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3.xml" ContentType="application/vnd.openxmlformats-officedocument.drawingml.chartshape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4.xml" ContentType="application/vnd.openxmlformats-officedocument.drawingml.chartshapes+xml"/>
  <Override PartName="/xl/charts/chart22.xml" ContentType="application/vnd.openxmlformats-officedocument.drawingml.chart+xml"/>
  <Override PartName="/xl/drawings/drawing5.xml" ContentType="application/vnd.openxmlformats-officedocument.drawingml.chartshape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0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3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3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3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3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4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4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4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charts/chart4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0.xml" ContentType="application/vnd.openxmlformats-officedocument.drawing+xml"/>
  <Override PartName="/xl/charts/chart4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4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4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1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12.xml" ContentType="application/vnd.openxmlformats-officedocument.drawing+xml"/>
  <Override PartName="/xl/comments4.xml" ContentType="application/vnd.openxmlformats-officedocument.spreadsheetml.comments+xml"/>
  <Override PartName="/xl/charts/chart4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H:\Bachelor thesis\"/>
    </mc:Choice>
  </mc:AlternateContent>
  <xr:revisionPtr revIDLastSave="0" documentId="13_ncr:1_{605E086F-02B9-4029-8E2A-7CEB9E20235C}" xr6:coauthVersionLast="47" xr6:coauthVersionMax="47" xr10:uidLastSave="{00000000-0000-0000-0000-000000000000}"/>
  <bookViews>
    <workbookView xWindow="-28920" yWindow="-120" windowWidth="29040" windowHeight="15720" firstSheet="1" activeTab="9" xr2:uid="{00000000-000D-0000-FFFF-FFFF00000000}"/>
  </bookViews>
  <sheets>
    <sheet name="plot" sheetId="2" r:id="rId1"/>
    <sheet name="T89-16t" sheetId="1" r:id="rId2"/>
    <sheet name="pteropoda" sheetId="5" r:id="rId3"/>
    <sheet name="CN" sheetId="7" r:id="rId4"/>
    <sheet name="XRF selectie" sheetId="10" r:id="rId5"/>
    <sheet name="XRF samples" sheetId="13" r:id="rId6"/>
    <sheet name="grainsize" sheetId="8" r:id="rId7"/>
    <sheet name="TGA" sheetId="9" r:id="rId8"/>
    <sheet name="agemodel 500" sheetId="3" r:id="rId9"/>
    <sheet name="isotopes rr" sheetId="4" r:id="rId10"/>
    <sheet name="Sheet1" sheetId="11" r:id="rId11"/>
    <sheet name="isotopes bull" sheetId="6" r:id="rId12"/>
  </sheets>
  <externalReferences>
    <externalReference r:id="rId13"/>
    <externalReference r:id="rId14"/>
  </externalReferences>
  <definedNames>
    <definedName name="_xlnm.Print_Area" localSheetId="1">'T89-16t'!$A$5:$F$69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N59" i="1" l="1"/>
  <c r="BN51" i="1"/>
  <c r="BN45" i="1"/>
  <c r="BN39" i="1"/>
  <c r="O18" i="9"/>
  <c r="O17" i="9"/>
  <c r="O16" i="9"/>
  <c r="O15" i="9"/>
  <c r="O14" i="9"/>
  <c r="O13" i="9"/>
  <c r="O12" i="9"/>
  <c r="O11" i="9"/>
  <c r="O10" i="9"/>
  <c r="O9" i="9"/>
  <c r="O8" i="9"/>
  <c r="O7" i="9"/>
  <c r="O6" i="9"/>
  <c r="O5" i="9"/>
  <c r="O4" i="9"/>
  <c r="BM20" i="1"/>
  <c r="AR45" i="1"/>
  <c r="BN6" i="1"/>
  <c r="AR20" i="1"/>
  <c r="AA16" i="13"/>
  <c r="Z16" i="13"/>
  <c r="AB16" i="13" s="1"/>
  <c r="AC16" i="13" s="1"/>
  <c r="W16" i="13"/>
  <c r="X16" i="13" s="1"/>
  <c r="U16" i="13"/>
  <c r="V16" i="13" s="1"/>
  <c r="S16" i="13"/>
  <c r="T16" i="13" s="1"/>
  <c r="Z15" i="13"/>
  <c r="AB15" i="13" s="1"/>
  <c r="X15" i="13"/>
  <c r="W15" i="13"/>
  <c r="U15" i="13"/>
  <c r="V15" i="13" s="1"/>
  <c r="T15" i="13"/>
  <c r="S15" i="13"/>
  <c r="AA14" i="13"/>
  <c r="Z14" i="13"/>
  <c r="AB14" i="13" s="1"/>
  <c r="W14" i="13"/>
  <c r="X14" i="13" s="1"/>
  <c r="V14" i="13"/>
  <c r="U14" i="13"/>
  <c r="T14" i="13"/>
  <c r="S14" i="13"/>
  <c r="AA13" i="13"/>
  <c r="Z13" i="13"/>
  <c r="AB13" i="13" s="1"/>
  <c r="W13" i="13"/>
  <c r="X13" i="13" s="1"/>
  <c r="U13" i="13"/>
  <c r="V13" i="13" s="1"/>
  <c r="S13" i="13"/>
  <c r="T13" i="13" s="1"/>
  <c r="AA12" i="13"/>
  <c r="Z12" i="13"/>
  <c r="AB12" i="13" s="1"/>
  <c r="W12" i="13"/>
  <c r="U12" i="13"/>
  <c r="V12" i="13" s="1"/>
  <c r="S12" i="13"/>
  <c r="Z11" i="13"/>
  <c r="AB11" i="13" s="1"/>
  <c r="W11" i="13"/>
  <c r="U11" i="13"/>
  <c r="S11" i="13"/>
  <c r="AA10" i="13"/>
  <c r="Z10" i="13"/>
  <c r="AB10" i="13" s="1"/>
  <c r="W10" i="13"/>
  <c r="X10" i="13" s="1"/>
  <c r="V10" i="13"/>
  <c r="U10" i="13"/>
  <c r="S10" i="13"/>
  <c r="T10" i="13" s="1"/>
  <c r="Z9" i="13"/>
  <c r="AB9" i="13" s="1"/>
  <c r="W9" i="13"/>
  <c r="X9" i="13" s="1"/>
  <c r="U9" i="13"/>
  <c r="V9" i="13" s="1"/>
  <c r="T9" i="13"/>
  <c r="S9" i="13"/>
  <c r="S8" i="13"/>
  <c r="T8" i="13"/>
  <c r="U8" i="13"/>
  <c r="W8" i="13"/>
  <c r="X8" i="13" s="1"/>
  <c r="Z8" i="13"/>
  <c r="AA8" i="13" s="1"/>
  <c r="T7" i="13"/>
  <c r="AA7" i="13"/>
  <c r="Z7" i="13"/>
  <c r="AB7" i="13" s="1"/>
  <c r="W7" i="13"/>
  <c r="V7" i="13"/>
  <c r="U7" i="13"/>
  <c r="S7" i="13"/>
  <c r="Z6" i="13"/>
  <c r="AB6" i="13" s="1"/>
  <c r="W6" i="13"/>
  <c r="V6" i="13"/>
  <c r="U6" i="13"/>
  <c r="T6" i="13"/>
  <c r="S6" i="13"/>
  <c r="Z5" i="13"/>
  <c r="AB5" i="13" s="1"/>
  <c r="W5" i="13"/>
  <c r="U5" i="13"/>
  <c r="V5" i="13" s="1"/>
  <c r="T5" i="13"/>
  <c r="S5" i="13"/>
  <c r="Z4" i="13"/>
  <c r="AB4" i="13" s="1"/>
  <c r="X4" i="13"/>
  <c r="W4" i="13"/>
  <c r="U4" i="13"/>
  <c r="V4" i="13" s="1"/>
  <c r="T4" i="13"/>
  <c r="S4" i="13"/>
  <c r="Z3" i="13"/>
  <c r="AB3" i="13" s="1"/>
  <c r="W3" i="13"/>
  <c r="X3" i="13" s="1"/>
  <c r="U3" i="13"/>
  <c r="S3" i="13"/>
  <c r="T3" i="13" s="1"/>
  <c r="AB2" i="13"/>
  <c r="AA2" i="13"/>
  <c r="Z2" i="13"/>
  <c r="W2" i="13"/>
  <c r="X2" i="13" s="1"/>
  <c r="U2" i="13"/>
  <c r="V2" i="13" s="1"/>
  <c r="S2" i="13"/>
  <c r="T2" i="13" s="1"/>
  <c r="AA1066" i="10"/>
  <c r="AA1065" i="10"/>
  <c r="AA1064" i="10"/>
  <c r="AA1063" i="10"/>
  <c r="AA1062" i="10"/>
  <c r="AA1061" i="10"/>
  <c r="AA1060" i="10"/>
  <c r="AA1059" i="10"/>
  <c r="AA1058" i="10"/>
  <c r="AA1057" i="10"/>
  <c r="AA1056" i="10"/>
  <c r="AA1055" i="10"/>
  <c r="AA1054" i="10"/>
  <c r="AA1053" i="10"/>
  <c r="AA1052" i="10"/>
  <c r="AA1051" i="10"/>
  <c r="AA1050" i="10"/>
  <c r="AA1049" i="10"/>
  <c r="AA1048" i="10"/>
  <c r="AA1047" i="10"/>
  <c r="AA1046" i="10"/>
  <c r="AA1045" i="10"/>
  <c r="AA1044" i="10"/>
  <c r="AA1043" i="10"/>
  <c r="AA1042" i="10"/>
  <c r="AA1041" i="10"/>
  <c r="AA1040" i="10"/>
  <c r="AA1039" i="10"/>
  <c r="AA1038" i="10"/>
  <c r="AA1037" i="10"/>
  <c r="AA1036" i="10"/>
  <c r="AA1035" i="10"/>
  <c r="AA1034" i="10"/>
  <c r="AA1033" i="10"/>
  <c r="AA1032" i="10"/>
  <c r="AA1031" i="10"/>
  <c r="AA1030" i="10"/>
  <c r="AA1029" i="10"/>
  <c r="AA1028" i="10"/>
  <c r="AA1027" i="10"/>
  <c r="AA1026" i="10"/>
  <c r="AA1025" i="10"/>
  <c r="AA1024" i="10"/>
  <c r="AA1023" i="10"/>
  <c r="AA1022" i="10"/>
  <c r="AA1021" i="10"/>
  <c r="AA1020" i="10"/>
  <c r="AA1019" i="10"/>
  <c r="AA1018" i="10"/>
  <c r="AA1017" i="10"/>
  <c r="AA1016" i="10"/>
  <c r="AA1015" i="10"/>
  <c r="AA1014" i="10"/>
  <c r="AA1013" i="10"/>
  <c r="AA1012" i="10"/>
  <c r="AA1011" i="10"/>
  <c r="AA1010" i="10"/>
  <c r="AA1009" i="10"/>
  <c r="AA1008" i="10"/>
  <c r="AA1007" i="10"/>
  <c r="AA1006" i="10"/>
  <c r="AA1005" i="10"/>
  <c r="AA1004" i="10"/>
  <c r="AA1003" i="10"/>
  <c r="AA1002" i="10"/>
  <c r="AA1001" i="10"/>
  <c r="AA1000" i="10"/>
  <c r="AA999" i="10"/>
  <c r="AA998" i="10"/>
  <c r="AA997" i="10"/>
  <c r="AA996" i="10"/>
  <c r="AA995" i="10"/>
  <c r="AA994" i="10"/>
  <c r="AA993" i="10"/>
  <c r="AA992" i="10"/>
  <c r="AA991" i="10"/>
  <c r="AA990" i="10"/>
  <c r="AA989" i="10"/>
  <c r="AA988" i="10"/>
  <c r="AA987" i="10"/>
  <c r="AA986" i="10"/>
  <c r="AA985" i="10"/>
  <c r="AA984" i="10"/>
  <c r="AA983" i="10"/>
  <c r="AA982" i="10"/>
  <c r="AA981" i="10"/>
  <c r="AA980" i="10"/>
  <c r="AA979" i="10"/>
  <c r="AA978" i="10"/>
  <c r="AA977" i="10"/>
  <c r="AA976" i="10"/>
  <c r="AA975" i="10"/>
  <c r="AA974" i="10"/>
  <c r="AA973" i="10"/>
  <c r="AA972" i="10"/>
  <c r="AA971" i="10"/>
  <c r="AA970" i="10"/>
  <c r="AA969" i="10"/>
  <c r="AA968" i="10"/>
  <c r="AA967" i="10"/>
  <c r="AA966" i="10"/>
  <c r="AA965" i="10"/>
  <c r="AA964" i="10"/>
  <c r="AA963" i="10"/>
  <c r="AA962" i="10"/>
  <c r="AA961" i="10"/>
  <c r="AA960" i="10"/>
  <c r="AA959" i="10"/>
  <c r="AA958" i="10"/>
  <c r="AA957" i="10"/>
  <c r="AA956" i="10"/>
  <c r="AA955" i="10"/>
  <c r="AA954" i="10"/>
  <c r="AA953" i="10"/>
  <c r="AA952" i="10"/>
  <c r="AA951" i="10"/>
  <c r="AA950" i="10"/>
  <c r="AA949" i="10"/>
  <c r="AA948" i="10"/>
  <c r="AA947" i="10"/>
  <c r="AA946" i="10"/>
  <c r="AA945" i="10"/>
  <c r="AA944" i="10"/>
  <c r="AA943" i="10"/>
  <c r="AA942" i="10"/>
  <c r="AA941" i="10"/>
  <c r="AA940" i="10"/>
  <c r="AA939" i="10"/>
  <c r="AA938" i="10"/>
  <c r="AA937" i="10"/>
  <c r="AA936" i="10"/>
  <c r="AA935" i="10"/>
  <c r="AA934" i="10"/>
  <c r="AA933" i="10"/>
  <c r="AA932" i="10"/>
  <c r="AA931" i="10"/>
  <c r="AA930" i="10"/>
  <c r="AA929" i="10"/>
  <c r="AA928" i="10"/>
  <c r="AA927" i="10"/>
  <c r="AA926" i="10"/>
  <c r="AA925" i="10"/>
  <c r="AA924" i="10"/>
  <c r="AA923" i="10"/>
  <c r="AA922" i="10"/>
  <c r="AA921" i="10"/>
  <c r="AA920" i="10"/>
  <c r="AA919" i="10"/>
  <c r="AA918" i="10"/>
  <c r="AA917" i="10"/>
  <c r="AA916" i="10"/>
  <c r="AA915" i="10"/>
  <c r="AA914" i="10"/>
  <c r="AA913" i="10"/>
  <c r="AA912" i="10"/>
  <c r="AA911" i="10"/>
  <c r="AA910" i="10"/>
  <c r="AA909" i="10"/>
  <c r="AA908" i="10"/>
  <c r="AA907" i="10"/>
  <c r="AA906" i="10"/>
  <c r="AA905" i="10"/>
  <c r="AA904" i="10"/>
  <c r="AA903" i="10"/>
  <c r="AA902" i="10"/>
  <c r="AA901" i="10"/>
  <c r="AA900" i="10"/>
  <c r="AA899" i="10"/>
  <c r="AA898" i="10"/>
  <c r="AA897" i="10"/>
  <c r="AA896" i="10"/>
  <c r="AA895" i="10"/>
  <c r="AA894" i="10"/>
  <c r="AA893" i="10"/>
  <c r="AA892" i="10"/>
  <c r="AA891" i="10"/>
  <c r="AA890" i="10"/>
  <c r="AA889" i="10"/>
  <c r="AA888" i="10"/>
  <c r="AA887" i="10"/>
  <c r="AA886" i="10"/>
  <c r="AA885" i="10"/>
  <c r="AA884" i="10"/>
  <c r="AA883" i="10"/>
  <c r="AA882" i="10"/>
  <c r="AA881" i="10"/>
  <c r="AA880" i="10"/>
  <c r="AA879" i="10"/>
  <c r="AA878" i="10"/>
  <c r="AA877" i="10"/>
  <c r="AA876" i="10"/>
  <c r="AA875" i="10"/>
  <c r="AA874" i="10"/>
  <c r="AA873" i="10"/>
  <c r="AA872" i="10"/>
  <c r="AA871" i="10"/>
  <c r="AA870" i="10"/>
  <c r="AA869" i="10"/>
  <c r="AA868" i="10"/>
  <c r="AA867" i="10"/>
  <c r="AA866" i="10"/>
  <c r="AA865" i="10"/>
  <c r="AA864" i="10"/>
  <c r="AA863" i="10"/>
  <c r="AA862" i="10"/>
  <c r="AA861" i="10"/>
  <c r="AA860" i="10"/>
  <c r="AA859" i="10"/>
  <c r="AA858" i="10"/>
  <c r="AA857" i="10"/>
  <c r="AA856" i="10"/>
  <c r="AA855" i="10"/>
  <c r="AA854" i="10"/>
  <c r="AA853" i="10"/>
  <c r="AA852" i="10"/>
  <c r="AA851" i="10"/>
  <c r="AA850" i="10"/>
  <c r="AA849" i="10"/>
  <c r="AA848" i="10"/>
  <c r="AA847" i="10"/>
  <c r="AA846" i="10"/>
  <c r="AA845" i="10"/>
  <c r="AA844" i="10"/>
  <c r="AA843" i="10"/>
  <c r="AA842" i="10"/>
  <c r="AA841" i="10"/>
  <c r="AA840" i="10"/>
  <c r="AA839" i="10"/>
  <c r="AA838" i="10"/>
  <c r="AA837" i="10"/>
  <c r="AA836" i="10"/>
  <c r="AA835" i="10"/>
  <c r="AA834" i="10"/>
  <c r="AA833" i="10"/>
  <c r="AA832" i="10"/>
  <c r="AA831" i="10"/>
  <c r="AA830" i="10"/>
  <c r="AA829" i="10"/>
  <c r="AA828" i="10"/>
  <c r="AA827" i="10"/>
  <c r="AA826" i="10"/>
  <c r="AA825" i="10"/>
  <c r="AA824" i="10"/>
  <c r="AA823" i="10"/>
  <c r="AA822" i="10"/>
  <c r="AA821" i="10"/>
  <c r="AA820" i="10"/>
  <c r="AA819" i="10"/>
  <c r="AA818" i="10"/>
  <c r="AA817" i="10"/>
  <c r="AA816" i="10"/>
  <c r="AA815" i="10"/>
  <c r="AA814" i="10"/>
  <c r="AA813" i="10"/>
  <c r="AA812" i="10"/>
  <c r="AA811" i="10"/>
  <c r="AA810" i="10"/>
  <c r="AA809" i="10"/>
  <c r="AA808" i="10"/>
  <c r="AA807" i="10"/>
  <c r="AA806" i="10"/>
  <c r="AA805" i="10"/>
  <c r="AA804" i="10"/>
  <c r="AA803" i="10"/>
  <c r="AA802" i="10"/>
  <c r="AA801" i="10"/>
  <c r="AA800" i="10"/>
  <c r="AA799" i="10"/>
  <c r="AA798" i="10"/>
  <c r="AA797" i="10"/>
  <c r="AA796" i="10"/>
  <c r="AA795" i="10"/>
  <c r="AA794" i="10"/>
  <c r="AA793" i="10"/>
  <c r="AA792" i="10"/>
  <c r="AA791" i="10"/>
  <c r="AA790" i="10"/>
  <c r="AA789" i="10"/>
  <c r="AA788" i="10"/>
  <c r="AA787" i="10"/>
  <c r="AA786" i="10"/>
  <c r="AA785" i="10"/>
  <c r="AA784" i="10"/>
  <c r="AA783" i="10"/>
  <c r="AA782" i="10"/>
  <c r="AA781" i="10"/>
  <c r="AA780" i="10"/>
  <c r="AA779" i="10"/>
  <c r="AA778" i="10"/>
  <c r="AA777" i="10"/>
  <c r="AA776" i="10"/>
  <c r="AA775" i="10"/>
  <c r="AA774" i="10"/>
  <c r="AA773" i="10"/>
  <c r="AA772" i="10"/>
  <c r="AA771" i="10"/>
  <c r="AA770" i="10"/>
  <c r="AA769" i="10"/>
  <c r="AA768" i="10"/>
  <c r="AA767" i="10"/>
  <c r="AA766" i="10"/>
  <c r="AA765" i="10"/>
  <c r="AA764" i="10"/>
  <c r="AA763" i="10"/>
  <c r="AA762" i="10"/>
  <c r="AA761" i="10"/>
  <c r="AA760" i="10"/>
  <c r="AA759" i="10"/>
  <c r="AA758" i="10"/>
  <c r="AA757" i="10"/>
  <c r="AA756" i="10"/>
  <c r="AA755" i="10"/>
  <c r="AA754" i="10"/>
  <c r="AA753" i="10"/>
  <c r="AA752" i="10"/>
  <c r="AA751" i="10"/>
  <c r="AA750" i="10"/>
  <c r="AA749" i="10"/>
  <c r="AA748" i="10"/>
  <c r="AA747" i="10"/>
  <c r="AA746" i="10"/>
  <c r="AA745" i="10"/>
  <c r="AA744" i="10"/>
  <c r="AA743" i="10"/>
  <c r="AA742" i="10"/>
  <c r="AA741" i="10"/>
  <c r="AA740" i="10"/>
  <c r="AA739" i="10"/>
  <c r="AA738" i="10"/>
  <c r="AA737" i="10"/>
  <c r="AA736" i="10"/>
  <c r="AA735" i="10"/>
  <c r="AA734" i="10"/>
  <c r="AA733" i="10"/>
  <c r="AA732" i="10"/>
  <c r="AA731" i="10"/>
  <c r="AA730" i="10"/>
  <c r="AA729" i="10"/>
  <c r="AA728" i="10"/>
  <c r="AA727" i="10"/>
  <c r="AA726" i="10"/>
  <c r="AA725" i="10"/>
  <c r="AA724" i="10"/>
  <c r="AA723" i="10"/>
  <c r="AA722" i="10"/>
  <c r="AA721" i="10"/>
  <c r="AA720" i="10"/>
  <c r="AA719" i="10"/>
  <c r="AA718" i="10"/>
  <c r="AA717" i="10"/>
  <c r="AA716" i="10"/>
  <c r="AA715" i="10"/>
  <c r="AA714" i="10"/>
  <c r="AA713" i="10"/>
  <c r="AA712" i="10"/>
  <c r="AA711" i="10"/>
  <c r="AA710" i="10"/>
  <c r="AA709" i="10"/>
  <c r="AA708" i="10"/>
  <c r="AA707" i="10"/>
  <c r="AA706" i="10"/>
  <c r="AA705" i="10"/>
  <c r="AA704" i="10"/>
  <c r="AA703" i="10"/>
  <c r="AA702" i="10"/>
  <c r="AA701" i="10"/>
  <c r="AA700" i="10"/>
  <c r="AA699" i="10"/>
  <c r="AA698" i="10"/>
  <c r="AA697" i="10"/>
  <c r="AA696" i="10"/>
  <c r="AA695" i="10"/>
  <c r="AA694" i="10"/>
  <c r="AA693" i="10"/>
  <c r="AA692" i="10"/>
  <c r="AA691" i="10"/>
  <c r="AA690" i="10"/>
  <c r="AA689" i="10"/>
  <c r="AA688" i="10"/>
  <c r="AA687" i="10"/>
  <c r="AA686" i="10"/>
  <c r="AA685" i="10"/>
  <c r="AA684" i="10"/>
  <c r="AA683" i="10"/>
  <c r="AA682" i="10"/>
  <c r="AA681" i="10"/>
  <c r="AA680" i="10"/>
  <c r="AA679" i="10"/>
  <c r="AA678" i="10"/>
  <c r="AA677" i="10"/>
  <c r="AA676" i="10"/>
  <c r="AA675" i="10"/>
  <c r="AA674" i="10"/>
  <c r="AA673" i="10"/>
  <c r="AA672" i="10"/>
  <c r="AA671" i="10"/>
  <c r="AA670" i="10"/>
  <c r="AA669" i="10"/>
  <c r="AA668" i="10"/>
  <c r="AA667" i="10"/>
  <c r="AA666" i="10"/>
  <c r="AA665" i="10"/>
  <c r="AA664" i="10"/>
  <c r="AA663" i="10"/>
  <c r="AA662" i="10"/>
  <c r="AA661" i="10"/>
  <c r="AA660" i="10"/>
  <c r="AA659" i="10"/>
  <c r="AA658" i="10"/>
  <c r="AA657" i="10"/>
  <c r="AA656" i="10"/>
  <c r="AA655" i="10"/>
  <c r="AA654" i="10"/>
  <c r="AA653" i="10"/>
  <c r="AA652" i="10"/>
  <c r="AA651" i="10"/>
  <c r="AA650" i="10"/>
  <c r="AA649" i="10"/>
  <c r="AA648" i="10"/>
  <c r="AA647" i="10"/>
  <c r="AA646" i="10"/>
  <c r="AA645" i="10"/>
  <c r="AA644" i="10"/>
  <c r="AA643" i="10"/>
  <c r="AA642" i="10"/>
  <c r="AA641" i="10"/>
  <c r="AA640" i="10"/>
  <c r="AA639" i="10"/>
  <c r="AA638" i="10"/>
  <c r="AA637" i="10"/>
  <c r="AA636" i="10"/>
  <c r="AA635" i="10"/>
  <c r="AA634" i="10"/>
  <c r="AA633" i="10"/>
  <c r="AA632" i="10"/>
  <c r="AA631" i="10"/>
  <c r="AA630" i="10"/>
  <c r="AA629" i="10"/>
  <c r="AA628" i="10"/>
  <c r="AA627" i="10"/>
  <c r="AA626" i="10"/>
  <c r="AA625" i="10"/>
  <c r="AA624" i="10"/>
  <c r="AA623" i="10"/>
  <c r="AA622" i="10"/>
  <c r="AA621" i="10"/>
  <c r="AA620" i="10"/>
  <c r="AA619" i="10"/>
  <c r="AA618" i="10"/>
  <c r="AA617" i="10"/>
  <c r="AA616" i="10"/>
  <c r="AA615" i="10"/>
  <c r="AA614" i="10"/>
  <c r="AA613" i="10"/>
  <c r="AA612" i="10"/>
  <c r="AA611" i="10"/>
  <c r="AA610" i="10"/>
  <c r="AA609" i="10"/>
  <c r="AA608" i="10"/>
  <c r="AA607" i="10"/>
  <c r="AA606" i="10"/>
  <c r="AA605" i="10"/>
  <c r="AA604" i="10"/>
  <c r="AA603" i="10"/>
  <c r="AA602" i="10"/>
  <c r="AA601" i="10"/>
  <c r="AA600" i="10"/>
  <c r="AA599" i="10"/>
  <c r="AA598" i="10"/>
  <c r="AA597" i="10"/>
  <c r="AA596" i="10"/>
  <c r="AA595" i="10"/>
  <c r="AA594" i="10"/>
  <c r="AA593" i="10"/>
  <c r="AA592" i="10"/>
  <c r="AA591" i="10"/>
  <c r="AA590" i="10"/>
  <c r="AA589" i="10"/>
  <c r="AA588" i="10"/>
  <c r="AA587" i="10"/>
  <c r="AA586" i="10"/>
  <c r="AA585" i="10"/>
  <c r="AA584" i="10"/>
  <c r="AA583" i="10"/>
  <c r="AA582" i="10"/>
  <c r="AA581" i="10"/>
  <c r="AA580" i="10"/>
  <c r="AA579" i="10"/>
  <c r="AA578" i="10"/>
  <c r="AA577" i="10"/>
  <c r="AA576" i="10"/>
  <c r="AA575" i="10"/>
  <c r="AA574" i="10"/>
  <c r="AA573" i="10"/>
  <c r="AA572" i="10"/>
  <c r="AA571" i="10"/>
  <c r="AA570" i="10"/>
  <c r="AA569" i="10"/>
  <c r="AA568" i="10"/>
  <c r="AA567" i="10"/>
  <c r="AA566" i="10"/>
  <c r="AA565" i="10"/>
  <c r="AA564" i="10"/>
  <c r="AA563" i="10"/>
  <c r="AA562" i="10"/>
  <c r="AA561" i="10"/>
  <c r="AA560" i="10"/>
  <c r="AA559" i="10"/>
  <c r="AA558" i="10"/>
  <c r="AA557" i="10"/>
  <c r="AA556" i="10"/>
  <c r="AA555" i="10"/>
  <c r="AA554" i="10"/>
  <c r="AA553" i="10"/>
  <c r="AA552" i="10"/>
  <c r="AA551" i="10"/>
  <c r="AA550" i="10"/>
  <c r="AA549" i="10"/>
  <c r="AA548" i="10"/>
  <c r="AA547" i="10"/>
  <c r="AA546" i="10"/>
  <c r="AA545" i="10"/>
  <c r="AA544" i="10"/>
  <c r="AA543" i="10"/>
  <c r="AA542" i="10"/>
  <c r="AA541" i="10"/>
  <c r="AA540" i="10"/>
  <c r="AA539" i="10"/>
  <c r="AA538" i="10"/>
  <c r="AA537" i="10"/>
  <c r="AA536" i="10"/>
  <c r="AA535" i="10"/>
  <c r="AA534" i="10"/>
  <c r="AA533" i="10"/>
  <c r="AA532" i="10"/>
  <c r="AA531" i="10"/>
  <c r="AA530" i="10"/>
  <c r="AA529" i="10"/>
  <c r="AA528" i="10"/>
  <c r="AA527" i="10"/>
  <c r="AA526" i="10"/>
  <c r="AA525" i="10"/>
  <c r="AA524" i="10"/>
  <c r="AA523" i="10"/>
  <c r="AA522" i="10"/>
  <c r="AA521" i="10"/>
  <c r="AA520" i="10"/>
  <c r="AA519" i="10"/>
  <c r="AA518" i="10"/>
  <c r="AA517" i="10"/>
  <c r="AA516" i="10"/>
  <c r="AA515" i="10"/>
  <c r="AA514" i="10"/>
  <c r="AA513" i="10"/>
  <c r="AA512" i="10"/>
  <c r="AA511" i="10"/>
  <c r="AA510" i="10"/>
  <c r="AA509" i="10"/>
  <c r="AA508" i="10"/>
  <c r="AA507" i="10"/>
  <c r="AA506" i="10"/>
  <c r="AA505" i="10"/>
  <c r="AA504" i="10"/>
  <c r="AA503" i="10"/>
  <c r="AA502" i="10"/>
  <c r="AA501" i="10"/>
  <c r="AA500" i="10"/>
  <c r="AA499" i="10"/>
  <c r="AA498" i="10"/>
  <c r="AA497" i="10"/>
  <c r="AA496" i="10"/>
  <c r="AA495" i="10"/>
  <c r="AA494" i="10"/>
  <c r="AA493" i="10"/>
  <c r="AA492" i="10"/>
  <c r="AA491" i="10"/>
  <c r="AA490" i="10"/>
  <c r="AA489" i="10"/>
  <c r="AA488" i="10"/>
  <c r="AA487" i="10"/>
  <c r="AA486" i="10"/>
  <c r="AA485" i="10"/>
  <c r="AA484" i="10"/>
  <c r="AA483" i="10"/>
  <c r="AA482" i="10"/>
  <c r="AA481" i="10"/>
  <c r="AA480" i="10"/>
  <c r="AA479" i="10"/>
  <c r="AA478" i="10"/>
  <c r="AA477" i="10"/>
  <c r="AA476" i="10"/>
  <c r="AA475" i="10"/>
  <c r="AA474" i="10"/>
  <c r="AA473" i="10"/>
  <c r="AA472" i="10"/>
  <c r="AA471" i="10"/>
  <c r="AA470" i="10"/>
  <c r="AA469" i="10"/>
  <c r="AA468" i="10"/>
  <c r="AA467" i="10"/>
  <c r="AA466" i="10"/>
  <c r="AA465" i="10"/>
  <c r="AA464" i="10"/>
  <c r="AA463" i="10"/>
  <c r="AA462" i="10"/>
  <c r="AA461" i="10"/>
  <c r="AA460" i="10"/>
  <c r="AA459" i="10"/>
  <c r="AA458" i="10"/>
  <c r="AA457" i="10"/>
  <c r="AA456" i="10"/>
  <c r="AA455" i="10"/>
  <c r="AA454" i="10"/>
  <c r="AA453" i="10"/>
  <c r="AA452" i="10"/>
  <c r="AA451" i="10"/>
  <c r="AA450" i="10"/>
  <c r="AA449" i="10"/>
  <c r="AA448" i="10"/>
  <c r="AA447" i="10"/>
  <c r="AA446" i="10"/>
  <c r="AA445" i="10"/>
  <c r="AA444" i="10"/>
  <c r="AA443" i="10"/>
  <c r="AA442" i="10"/>
  <c r="AA441" i="10"/>
  <c r="AA440" i="10"/>
  <c r="AA439" i="10"/>
  <c r="AA438" i="10"/>
  <c r="AA437" i="10"/>
  <c r="AA436" i="10"/>
  <c r="AA435" i="10"/>
  <c r="AA434" i="10"/>
  <c r="AA433" i="10"/>
  <c r="AA432" i="10"/>
  <c r="AA431" i="10"/>
  <c r="AA430" i="10"/>
  <c r="AA429" i="10"/>
  <c r="AA428" i="10"/>
  <c r="AA427" i="10"/>
  <c r="AA426" i="10"/>
  <c r="AA425" i="10"/>
  <c r="AA424" i="10"/>
  <c r="AA423" i="10"/>
  <c r="AA422" i="10"/>
  <c r="AA421" i="10"/>
  <c r="AA420" i="10"/>
  <c r="AA419" i="10"/>
  <c r="AA418" i="10"/>
  <c r="AA417" i="10"/>
  <c r="AA416" i="10"/>
  <c r="AA415" i="10"/>
  <c r="AA414" i="10"/>
  <c r="AA413" i="10"/>
  <c r="AA412" i="10"/>
  <c r="AA411" i="10"/>
  <c r="AA410" i="10"/>
  <c r="AA409" i="10"/>
  <c r="AA408" i="10"/>
  <c r="AA407" i="10"/>
  <c r="AA406" i="10"/>
  <c r="AA405" i="10"/>
  <c r="AA404" i="10"/>
  <c r="AA403" i="10"/>
  <c r="AA402" i="10"/>
  <c r="AA401" i="10"/>
  <c r="AA400" i="10"/>
  <c r="AA399" i="10"/>
  <c r="AA398" i="10"/>
  <c r="AA397" i="10"/>
  <c r="AA396" i="10"/>
  <c r="AA395" i="10"/>
  <c r="AA394" i="10"/>
  <c r="AA393" i="10"/>
  <c r="AA392" i="10"/>
  <c r="AA391" i="10"/>
  <c r="AA390" i="10"/>
  <c r="AA389" i="10"/>
  <c r="AA388" i="10"/>
  <c r="AA387" i="10"/>
  <c r="AA386" i="10"/>
  <c r="AA385" i="10"/>
  <c r="AA384" i="10"/>
  <c r="AA383" i="10"/>
  <c r="AA382" i="10"/>
  <c r="AA381" i="10"/>
  <c r="AA380" i="10"/>
  <c r="AA379" i="10"/>
  <c r="AA378" i="10"/>
  <c r="AA377" i="10"/>
  <c r="AA376" i="10"/>
  <c r="AA375" i="10"/>
  <c r="AA374" i="10"/>
  <c r="AA373" i="10"/>
  <c r="AA372" i="10"/>
  <c r="AA371" i="10"/>
  <c r="AA370" i="10"/>
  <c r="AA369" i="10"/>
  <c r="AA368" i="10"/>
  <c r="AA367" i="10"/>
  <c r="AA366" i="10"/>
  <c r="AA365" i="10"/>
  <c r="AA364" i="10"/>
  <c r="AA363" i="10"/>
  <c r="AA362" i="10"/>
  <c r="AA361" i="10"/>
  <c r="AA360" i="10"/>
  <c r="AA359" i="10"/>
  <c r="AA358" i="10"/>
  <c r="AA357" i="10"/>
  <c r="AA356" i="10"/>
  <c r="AA355" i="10"/>
  <c r="AA354" i="10"/>
  <c r="AA353" i="10"/>
  <c r="AA352" i="10"/>
  <c r="AA351" i="10"/>
  <c r="AA350" i="10"/>
  <c r="AA349" i="10"/>
  <c r="AA348" i="10"/>
  <c r="AA347" i="10"/>
  <c r="AA346" i="10"/>
  <c r="AA345" i="10"/>
  <c r="AA344" i="10"/>
  <c r="AA343" i="10"/>
  <c r="AA342" i="10"/>
  <c r="AA341" i="10"/>
  <c r="AA340" i="10"/>
  <c r="AA339" i="10"/>
  <c r="AA338" i="10"/>
  <c r="AA337" i="10"/>
  <c r="AA336" i="10"/>
  <c r="AA335" i="10"/>
  <c r="AA334" i="10"/>
  <c r="AA333" i="10"/>
  <c r="AA332" i="10"/>
  <c r="AA331" i="10"/>
  <c r="AA330" i="10"/>
  <c r="AA329" i="10"/>
  <c r="AA328" i="10"/>
  <c r="AA327" i="10"/>
  <c r="AA326" i="10"/>
  <c r="AA325" i="10"/>
  <c r="AA324" i="10"/>
  <c r="AA323" i="10"/>
  <c r="AA322" i="10"/>
  <c r="AA321" i="10"/>
  <c r="AA320" i="10"/>
  <c r="AA319" i="10"/>
  <c r="AA318" i="10"/>
  <c r="AA317" i="10"/>
  <c r="AA316" i="10"/>
  <c r="AA315" i="10"/>
  <c r="AA314" i="10"/>
  <c r="AA313" i="10"/>
  <c r="AA312" i="10"/>
  <c r="AA311" i="10"/>
  <c r="AA310" i="10"/>
  <c r="AA309" i="10"/>
  <c r="AA308" i="10"/>
  <c r="AA307" i="10"/>
  <c r="AA306" i="10"/>
  <c r="AA305" i="10"/>
  <c r="AA304" i="10"/>
  <c r="AA303" i="10"/>
  <c r="AA302" i="10"/>
  <c r="AA301" i="10"/>
  <c r="AA300" i="10"/>
  <c r="AA299" i="10"/>
  <c r="AA298" i="10"/>
  <c r="AA297" i="10"/>
  <c r="AA296" i="10"/>
  <c r="AA295" i="10"/>
  <c r="AA294" i="10"/>
  <c r="AA293" i="10"/>
  <c r="AA292" i="10"/>
  <c r="AA291" i="10"/>
  <c r="AA290" i="10"/>
  <c r="AA289" i="10"/>
  <c r="AA288" i="10"/>
  <c r="AA287" i="10"/>
  <c r="AA286" i="10"/>
  <c r="AA285" i="10"/>
  <c r="AA284" i="10"/>
  <c r="AA283" i="10"/>
  <c r="AA282" i="10"/>
  <c r="AA281" i="10"/>
  <c r="AA280" i="10"/>
  <c r="AA279" i="10"/>
  <c r="AA278" i="10"/>
  <c r="AA277" i="10"/>
  <c r="AA276" i="10"/>
  <c r="AA275" i="10"/>
  <c r="AA274" i="10"/>
  <c r="AA273" i="10"/>
  <c r="AA272" i="10"/>
  <c r="AA271" i="10"/>
  <c r="AA270" i="10"/>
  <c r="AA269" i="10"/>
  <c r="AA268" i="10"/>
  <c r="AA267" i="10"/>
  <c r="AA266" i="10"/>
  <c r="AA265" i="10"/>
  <c r="AA264" i="10"/>
  <c r="AA263" i="10"/>
  <c r="AA262" i="10"/>
  <c r="AA261" i="10"/>
  <c r="AA260" i="10"/>
  <c r="AA259" i="10"/>
  <c r="AA258" i="10"/>
  <c r="AA257" i="10"/>
  <c r="AA256" i="10"/>
  <c r="AA255" i="10"/>
  <c r="AA254" i="10"/>
  <c r="AA253" i="10"/>
  <c r="AA252" i="10"/>
  <c r="AA251" i="10"/>
  <c r="AA250" i="10"/>
  <c r="AA249" i="10"/>
  <c r="AA248" i="10"/>
  <c r="AA247" i="10"/>
  <c r="AA246" i="10"/>
  <c r="AA245" i="10"/>
  <c r="AA244" i="10"/>
  <c r="AA243" i="10"/>
  <c r="AA242" i="10"/>
  <c r="AA241" i="10"/>
  <c r="AA240" i="10"/>
  <c r="AA239" i="10"/>
  <c r="AA238" i="10"/>
  <c r="AA237" i="10"/>
  <c r="AA236" i="10"/>
  <c r="AA235" i="10"/>
  <c r="AA234" i="10"/>
  <c r="AA233" i="10"/>
  <c r="AA232" i="10"/>
  <c r="AA231" i="10"/>
  <c r="AA230" i="10"/>
  <c r="AA229" i="10"/>
  <c r="AA228" i="10"/>
  <c r="AA227" i="10"/>
  <c r="AA226" i="10"/>
  <c r="AA225" i="10"/>
  <c r="AA224" i="10"/>
  <c r="AA223" i="10"/>
  <c r="AA222" i="10"/>
  <c r="AA221" i="10"/>
  <c r="AA220" i="10"/>
  <c r="AA219" i="10"/>
  <c r="AA218" i="10"/>
  <c r="AA217" i="10"/>
  <c r="AA216" i="10"/>
  <c r="AA215" i="10"/>
  <c r="AA214" i="10"/>
  <c r="AA213" i="10"/>
  <c r="AA212" i="10"/>
  <c r="AA211" i="10"/>
  <c r="AA210" i="10"/>
  <c r="AA209" i="10"/>
  <c r="AA208" i="10"/>
  <c r="AA207" i="10"/>
  <c r="AA206" i="10"/>
  <c r="AA205" i="10"/>
  <c r="AA204" i="10"/>
  <c r="AA203" i="10"/>
  <c r="AA202" i="10"/>
  <c r="AA201" i="10"/>
  <c r="AA200" i="10"/>
  <c r="AA199" i="10"/>
  <c r="AA198" i="10"/>
  <c r="AA197" i="10"/>
  <c r="AA196" i="10"/>
  <c r="AA195" i="10"/>
  <c r="AA194" i="10"/>
  <c r="AA193" i="10"/>
  <c r="AA192" i="10"/>
  <c r="AA191" i="10"/>
  <c r="AA190" i="10"/>
  <c r="AA189" i="10"/>
  <c r="AA188" i="10"/>
  <c r="AA187" i="10"/>
  <c r="AA186" i="10"/>
  <c r="AA185" i="10"/>
  <c r="AA184" i="10"/>
  <c r="AA183" i="10"/>
  <c r="AA182" i="10"/>
  <c r="AA181" i="10"/>
  <c r="AA180" i="10"/>
  <c r="AA179" i="10"/>
  <c r="AA178" i="10"/>
  <c r="AA177" i="10"/>
  <c r="AA176" i="10"/>
  <c r="AA175" i="10"/>
  <c r="AA174" i="10"/>
  <c r="AA173" i="10"/>
  <c r="AA172" i="10"/>
  <c r="AA171" i="10"/>
  <c r="AA170" i="10"/>
  <c r="AA169" i="10"/>
  <c r="AA168" i="10"/>
  <c r="AA167" i="10"/>
  <c r="AA166" i="10"/>
  <c r="AA165" i="10"/>
  <c r="AA164" i="10"/>
  <c r="AA163" i="10"/>
  <c r="AA162" i="10"/>
  <c r="AA161" i="10"/>
  <c r="AA160" i="10"/>
  <c r="AA159" i="10"/>
  <c r="AA158" i="10"/>
  <c r="AA157" i="10"/>
  <c r="AA156" i="10"/>
  <c r="AA155" i="10"/>
  <c r="AA154" i="10"/>
  <c r="AA153" i="10"/>
  <c r="AA152" i="10"/>
  <c r="AA151" i="10"/>
  <c r="AA150" i="10"/>
  <c r="AA149" i="10"/>
  <c r="AA148" i="10"/>
  <c r="AA147" i="10"/>
  <c r="AA146" i="10"/>
  <c r="AA145" i="10"/>
  <c r="AA144" i="10"/>
  <c r="AA143" i="10"/>
  <c r="AA142" i="10"/>
  <c r="AA141" i="10"/>
  <c r="AA140" i="10"/>
  <c r="AA139" i="10"/>
  <c r="AA138" i="10"/>
  <c r="AA137" i="10"/>
  <c r="AA136" i="10"/>
  <c r="AA135" i="10"/>
  <c r="AA134" i="10"/>
  <c r="AA133" i="10"/>
  <c r="AA132" i="10"/>
  <c r="AA131" i="10"/>
  <c r="AA130" i="10"/>
  <c r="AA129" i="10"/>
  <c r="AA128" i="10"/>
  <c r="AA127" i="10"/>
  <c r="AA126" i="10"/>
  <c r="AA125" i="10"/>
  <c r="AA124" i="10"/>
  <c r="AA123" i="10"/>
  <c r="AA122" i="10"/>
  <c r="AA121" i="10"/>
  <c r="AA120" i="10"/>
  <c r="AA119" i="10"/>
  <c r="AA118" i="10"/>
  <c r="AA117" i="10"/>
  <c r="AA116" i="10"/>
  <c r="AA115" i="10"/>
  <c r="AA114" i="10"/>
  <c r="AA113" i="10"/>
  <c r="AA112" i="10"/>
  <c r="AA111" i="10"/>
  <c r="AA110" i="10"/>
  <c r="AA109" i="10"/>
  <c r="AA108" i="10"/>
  <c r="AA107" i="10"/>
  <c r="AA106" i="10"/>
  <c r="AA105" i="10"/>
  <c r="AA104" i="10"/>
  <c r="AA103" i="10"/>
  <c r="AA102" i="10"/>
  <c r="AA101" i="10"/>
  <c r="AA100" i="10"/>
  <c r="AA99" i="10"/>
  <c r="AA98" i="10"/>
  <c r="AA97" i="10"/>
  <c r="AA96" i="10"/>
  <c r="AA95" i="10"/>
  <c r="AA94" i="10"/>
  <c r="AA93" i="10"/>
  <c r="AA92" i="10"/>
  <c r="AA91" i="10"/>
  <c r="AA90" i="10"/>
  <c r="AA89" i="10"/>
  <c r="AA88" i="10"/>
  <c r="AA87" i="10"/>
  <c r="AA86" i="10"/>
  <c r="AA85" i="10"/>
  <c r="AA84" i="10"/>
  <c r="AA83" i="10"/>
  <c r="AA82" i="10"/>
  <c r="AA81" i="10"/>
  <c r="AA80" i="10"/>
  <c r="AA79" i="10"/>
  <c r="AA78" i="10"/>
  <c r="AA77" i="10"/>
  <c r="AA76" i="10"/>
  <c r="AA75" i="10"/>
  <c r="AA74" i="10"/>
  <c r="AA73" i="10"/>
  <c r="AA72" i="10"/>
  <c r="AA71" i="10"/>
  <c r="AA70" i="10"/>
  <c r="AA69" i="10"/>
  <c r="AA68" i="10"/>
  <c r="AA67" i="10"/>
  <c r="AA66" i="10"/>
  <c r="AA65" i="10"/>
  <c r="AA64" i="10"/>
  <c r="AA63" i="10"/>
  <c r="AA62" i="10"/>
  <c r="AA61" i="10"/>
  <c r="AA60" i="10"/>
  <c r="AA59" i="10"/>
  <c r="AA58" i="10"/>
  <c r="AA20" i="10"/>
  <c r="AA21" i="10"/>
  <c r="AA22" i="10"/>
  <c r="AA23" i="10"/>
  <c r="AA24" i="10"/>
  <c r="AA25" i="10"/>
  <c r="AA26" i="10"/>
  <c r="AA27" i="10"/>
  <c r="AA28" i="10"/>
  <c r="AA29" i="10"/>
  <c r="AA30" i="10"/>
  <c r="AA31" i="10"/>
  <c r="AA32" i="10"/>
  <c r="AA33" i="10"/>
  <c r="AA34" i="10"/>
  <c r="AA35" i="10"/>
  <c r="AA36" i="10"/>
  <c r="AA37" i="10"/>
  <c r="AA38" i="10"/>
  <c r="AA39" i="10"/>
  <c r="AA40" i="10"/>
  <c r="AA41" i="10"/>
  <c r="AA42" i="10"/>
  <c r="AA43" i="10"/>
  <c r="AA44" i="10"/>
  <c r="AA45" i="10"/>
  <c r="AA46" i="10"/>
  <c r="AA47" i="10"/>
  <c r="AA48" i="10"/>
  <c r="AA49" i="10"/>
  <c r="AA50" i="10"/>
  <c r="AA51" i="10"/>
  <c r="AA52" i="10"/>
  <c r="AA53" i="10"/>
  <c r="AA54" i="10"/>
  <c r="AA55" i="10"/>
  <c r="AA56" i="10"/>
  <c r="AA57" i="10"/>
  <c r="AA19" i="10"/>
  <c r="AA18" i="10"/>
  <c r="AA17" i="10"/>
  <c r="AA16" i="10"/>
  <c r="AA15" i="10"/>
  <c r="AA14" i="10"/>
  <c r="AA13" i="10"/>
  <c r="AA12" i="10"/>
  <c r="AA11" i="10"/>
  <c r="AA10" i="10"/>
  <c r="AA9" i="10"/>
  <c r="AA8" i="10"/>
  <c r="AA7" i="10"/>
  <c r="AA6" i="10"/>
  <c r="AA5" i="10"/>
  <c r="AA4" i="10"/>
  <c r="AA3" i="10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3" i="9"/>
  <c r="AC15" i="13" l="1"/>
  <c r="AC14" i="13"/>
  <c r="AA15" i="13"/>
  <c r="AC13" i="13"/>
  <c r="T12" i="13"/>
  <c r="X12" i="13"/>
  <c r="AC12" i="13"/>
  <c r="T11" i="13"/>
  <c r="V11" i="13"/>
  <c r="X11" i="13"/>
  <c r="AC11" i="13"/>
  <c r="AC10" i="13"/>
  <c r="AA11" i="13"/>
  <c r="AC9" i="13"/>
  <c r="V8" i="13"/>
  <c r="AA9" i="13"/>
  <c r="AB8" i="13"/>
  <c r="AC8" i="13" s="1"/>
  <c r="X7" i="13"/>
  <c r="AC7" i="13"/>
  <c r="X6" i="13"/>
  <c r="AC6" i="13"/>
  <c r="X5" i="13"/>
  <c r="AC5" i="13"/>
  <c r="AA6" i="13"/>
  <c r="AC4" i="13"/>
  <c r="AA5" i="13"/>
  <c r="V3" i="13"/>
  <c r="AC3" i="13"/>
  <c r="AA3" i="13"/>
  <c r="AA4" i="13"/>
  <c r="AC2" i="13"/>
  <c r="BP73" i="1"/>
  <c r="BP72" i="1"/>
  <c r="BP71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6" i="1"/>
  <c r="W1067" i="10"/>
  <c r="U1067" i="10"/>
  <c r="S1067" i="10"/>
  <c r="S17" i="10"/>
  <c r="U17" i="10"/>
  <c r="W17" i="10"/>
  <c r="S18" i="10"/>
  <c r="U18" i="10"/>
  <c r="W18" i="10"/>
  <c r="S19" i="10"/>
  <c r="U19" i="10"/>
  <c r="W19" i="10"/>
  <c r="S20" i="10"/>
  <c r="U20" i="10"/>
  <c r="V21" i="10" s="1"/>
  <c r="W20" i="10"/>
  <c r="X21" i="10" s="1"/>
  <c r="X20" i="10"/>
  <c r="S21" i="10"/>
  <c r="T22" i="10" s="1"/>
  <c r="U21" i="10"/>
  <c r="W21" i="10"/>
  <c r="S22" i="10"/>
  <c r="U22" i="10"/>
  <c r="W22" i="10"/>
  <c r="S23" i="10"/>
  <c r="U23" i="10"/>
  <c r="W23" i="10"/>
  <c r="S24" i="10"/>
  <c r="U24" i="10"/>
  <c r="W24" i="10"/>
  <c r="S25" i="10"/>
  <c r="U25" i="10"/>
  <c r="W25" i="10"/>
  <c r="S26" i="10"/>
  <c r="U26" i="10"/>
  <c r="W26" i="10"/>
  <c r="S27" i="10"/>
  <c r="U27" i="10"/>
  <c r="W27" i="10"/>
  <c r="S28" i="10"/>
  <c r="U28" i="10"/>
  <c r="V29" i="10" s="1"/>
  <c r="W28" i="10"/>
  <c r="X29" i="10" s="1"/>
  <c r="X28" i="10"/>
  <c r="S29" i="10"/>
  <c r="U29" i="10"/>
  <c r="W29" i="10"/>
  <c r="S30" i="10"/>
  <c r="U30" i="10"/>
  <c r="W30" i="10"/>
  <c r="S31" i="10"/>
  <c r="U31" i="10"/>
  <c r="W31" i="10"/>
  <c r="S32" i="10"/>
  <c r="U32" i="10"/>
  <c r="W32" i="10"/>
  <c r="S33" i="10"/>
  <c r="U33" i="10"/>
  <c r="W33" i="10"/>
  <c r="S34" i="10"/>
  <c r="U34" i="10"/>
  <c r="W34" i="10"/>
  <c r="S35" i="10"/>
  <c r="U35" i="10"/>
  <c r="W35" i="10"/>
  <c r="S36" i="10"/>
  <c r="U36" i="10"/>
  <c r="V37" i="10" s="1"/>
  <c r="W36" i="10"/>
  <c r="X37" i="10" s="1"/>
  <c r="S37" i="10"/>
  <c r="U37" i="10"/>
  <c r="W37" i="10"/>
  <c r="S38" i="10"/>
  <c r="U38" i="10"/>
  <c r="W38" i="10"/>
  <c r="S39" i="10"/>
  <c r="U39" i="10"/>
  <c r="W39" i="10"/>
  <c r="S40" i="10"/>
  <c r="U40" i="10"/>
  <c r="W40" i="10"/>
  <c r="S41" i="10"/>
  <c r="U41" i="10"/>
  <c r="W41" i="10"/>
  <c r="X42" i="10" s="1"/>
  <c r="S42" i="10"/>
  <c r="U42" i="10"/>
  <c r="W42" i="10"/>
  <c r="S43" i="10"/>
  <c r="U43" i="10"/>
  <c r="W43" i="10"/>
  <c r="X44" i="10" s="1"/>
  <c r="S44" i="10"/>
  <c r="T44" i="10" s="1"/>
  <c r="U44" i="10"/>
  <c r="V45" i="10" s="1"/>
  <c r="W44" i="10"/>
  <c r="S45" i="10"/>
  <c r="T46" i="10" s="1"/>
  <c r="U45" i="10"/>
  <c r="W45" i="10"/>
  <c r="S46" i="10"/>
  <c r="U46" i="10"/>
  <c r="W46" i="10"/>
  <c r="S47" i="10"/>
  <c r="U47" i="10"/>
  <c r="W47" i="10"/>
  <c r="S48" i="10"/>
  <c r="U48" i="10"/>
  <c r="W48" i="10"/>
  <c r="S49" i="10"/>
  <c r="U49" i="10"/>
  <c r="W49" i="10"/>
  <c r="S50" i="10"/>
  <c r="U50" i="10"/>
  <c r="W50" i="10"/>
  <c r="S51" i="10"/>
  <c r="U51" i="10"/>
  <c r="W51" i="10"/>
  <c r="X52" i="10" s="1"/>
  <c r="S52" i="10"/>
  <c r="T53" i="10" s="1"/>
  <c r="U52" i="10"/>
  <c r="W52" i="10"/>
  <c r="S53" i="10"/>
  <c r="T54" i="10" s="1"/>
  <c r="U53" i="10"/>
  <c r="W53" i="10"/>
  <c r="S54" i="10"/>
  <c r="U54" i="10"/>
  <c r="W54" i="10"/>
  <c r="S55" i="10"/>
  <c r="U55" i="10"/>
  <c r="V56" i="10" s="1"/>
  <c r="W55" i="10"/>
  <c r="S56" i="10"/>
  <c r="U56" i="10"/>
  <c r="W56" i="10"/>
  <c r="S57" i="10"/>
  <c r="U57" i="10"/>
  <c r="W57" i="10"/>
  <c r="S58" i="10"/>
  <c r="U58" i="10"/>
  <c r="W58" i="10"/>
  <c r="S59" i="10"/>
  <c r="U59" i="10"/>
  <c r="W59" i="10"/>
  <c r="X60" i="10" s="1"/>
  <c r="S60" i="10"/>
  <c r="U60" i="10"/>
  <c r="W60" i="10"/>
  <c r="S61" i="10"/>
  <c r="U61" i="10"/>
  <c r="W61" i="10"/>
  <c r="S62" i="10"/>
  <c r="U62" i="10"/>
  <c r="W62" i="10"/>
  <c r="S63" i="10"/>
  <c r="T64" i="10" s="1"/>
  <c r="U63" i="10"/>
  <c r="V64" i="10" s="1"/>
  <c r="W63" i="10"/>
  <c r="S64" i="10"/>
  <c r="U64" i="10"/>
  <c r="W64" i="10"/>
  <c r="S65" i="10"/>
  <c r="U65" i="10"/>
  <c r="W65" i="10"/>
  <c r="S66" i="10"/>
  <c r="U66" i="10"/>
  <c r="W66" i="10"/>
  <c r="S67" i="10"/>
  <c r="U67" i="10"/>
  <c r="W67" i="10"/>
  <c r="S68" i="10"/>
  <c r="U68" i="10"/>
  <c r="W68" i="10"/>
  <c r="X68" i="10" s="1"/>
  <c r="S69" i="10"/>
  <c r="U69" i="10"/>
  <c r="W69" i="10"/>
  <c r="S70" i="10"/>
  <c r="U70" i="10"/>
  <c r="W70" i="10"/>
  <c r="S71" i="10"/>
  <c r="T72" i="10" s="1"/>
  <c r="U71" i="10"/>
  <c r="W71" i="10"/>
  <c r="S72" i="10"/>
  <c r="T73" i="10" s="1"/>
  <c r="U72" i="10"/>
  <c r="W72" i="10"/>
  <c r="S73" i="10"/>
  <c r="U73" i="10"/>
  <c r="W73" i="10"/>
  <c r="S74" i="10"/>
  <c r="U74" i="10"/>
  <c r="V75" i="10" s="1"/>
  <c r="W74" i="10"/>
  <c r="X75" i="10" s="1"/>
  <c r="S75" i="10"/>
  <c r="U75" i="10"/>
  <c r="W75" i="10"/>
  <c r="X76" i="10" s="1"/>
  <c r="S76" i="10"/>
  <c r="U76" i="10"/>
  <c r="W76" i="10"/>
  <c r="S77" i="10"/>
  <c r="U77" i="10"/>
  <c r="W77" i="10"/>
  <c r="S78" i="10"/>
  <c r="T78" i="10"/>
  <c r="U78" i="10"/>
  <c r="W78" i="10"/>
  <c r="S79" i="10"/>
  <c r="U79" i="10"/>
  <c r="V80" i="10" s="1"/>
  <c r="W79" i="10"/>
  <c r="S80" i="10"/>
  <c r="U80" i="10"/>
  <c r="W80" i="10"/>
  <c r="S81" i="10"/>
  <c r="U81" i="10"/>
  <c r="W81" i="10"/>
  <c r="X82" i="10" s="1"/>
  <c r="S82" i="10"/>
  <c r="U82" i="10"/>
  <c r="W82" i="10"/>
  <c r="S83" i="10"/>
  <c r="U83" i="10"/>
  <c r="W83" i="10"/>
  <c r="S84" i="10"/>
  <c r="U84" i="10"/>
  <c r="W84" i="10"/>
  <c r="S85" i="10"/>
  <c r="U85" i="10"/>
  <c r="W85" i="10"/>
  <c r="S86" i="10"/>
  <c r="U86" i="10"/>
  <c r="W86" i="10"/>
  <c r="S87" i="10"/>
  <c r="T88" i="10" s="1"/>
  <c r="U87" i="10"/>
  <c r="V88" i="10" s="1"/>
  <c r="W87" i="10"/>
  <c r="S88" i="10"/>
  <c r="U88" i="10"/>
  <c r="W88" i="10"/>
  <c r="S89" i="10"/>
  <c r="U89" i="10"/>
  <c r="W89" i="10"/>
  <c r="X90" i="10" s="1"/>
  <c r="S90" i="10"/>
  <c r="T90" i="10" s="1"/>
  <c r="U90" i="10"/>
  <c r="W90" i="10"/>
  <c r="S91" i="10"/>
  <c r="U91" i="10"/>
  <c r="W91" i="10"/>
  <c r="S92" i="10"/>
  <c r="U92" i="10"/>
  <c r="W92" i="10"/>
  <c r="S93" i="10"/>
  <c r="U93" i="10"/>
  <c r="W93" i="10"/>
  <c r="X92" i="10" s="1"/>
  <c r="S94" i="10"/>
  <c r="U94" i="10"/>
  <c r="W94" i="10"/>
  <c r="S95" i="10"/>
  <c r="T96" i="10" s="1"/>
  <c r="U95" i="10"/>
  <c r="W95" i="10"/>
  <c r="S96" i="10"/>
  <c r="U96" i="10"/>
  <c r="W96" i="10"/>
  <c r="S97" i="10"/>
  <c r="U97" i="10"/>
  <c r="W97" i="10"/>
  <c r="S98" i="10"/>
  <c r="U98" i="10"/>
  <c r="W98" i="10"/>
  <c r="S99" i="10"/>
  <c r="U99" i="10"/>
  <c r="W99" i="10"/>
  <c r="S100" i="10"/>
  <c r="U100" i="10"/>
  <c r="W100" i="10"/>
  <c r="S101" i="10"/>
  <c r="T102" i="10" s="1"/>
  <c r="U101" i="10"/>
  <c r="W101" i="10"/>
  <c r="S102" i="10"/>
  <c r="U102" i="10"/>
  <c r="W102" i="10"/>
  <c r="S103" i="10"/>
  <c r="U103" i="10"/>
  <c r="W103" i="10"/>
  <c r="S104" i="10"/>
  <c r="U104" i="10"/>
  <c r="W104" i="10"/>
  <c r="S105" i="10"/>
  <c r="T104" i="10" s="1"/>
  <c r="U105" i="10"/>
  <c r="V104" i="10" s="1"/>
  <c r="W105" i="10"/>
  <c r="S106" i="10"/>
  <c r="U106" i="10"/>
  <c r="W106" i="10"/>
  <c r="S107" i="10"/>
  <c r="U107" i="10"/>
  <c r="W107" i="10"/>
  <c r="S108" i="10"/>
  <c r="T108" i="10" s="1"/>
  <c r="U108" i="10"/>
  <c r="W108" i="10"/>
  <c r="X108" i="10" s="1"/>
  <c r="S109" i="10"/>
  <c r="U109" i="10"/>
  <c r="W109" i="10"/>
  <c r="S110" i="10"/>
  <c r="U110" i="10"/>
  <c r="W110" i="10"/>
  <c r="S111" i="10"/>
  <c r="U111" i="10"/>
  <c r="V112" i="10" s="1"/>
  <c r="W111" i="10"/>
  <c r="S112" i="10"/>
  <c r="U112" i="10"/>
  <c r="W112" i="10"/>
  <c r="S113" i="10"/>
  <c r="U113" i="10"/>
  <c r="W113" i="10"/>
  <c r="S114" i="10"/>
  <c r="U114" i="10"/>
  <c r="W114" i="10"/>
  <c r="X114" i="10"/>
  <c r="S115" i="10"/>
  <c r="U115" i="10"/>
  <c r="W115" i="10"/>
  <c r="S116" i="10"/>
  <c r="U116" i="10"/>
  <c r="W116" i="10"/>
  <c r="S117" i="10"/>
  <c r="U117" i="10"/>
  <c r="W117" i="10"/>
  <c r="S118" i="10"/>
  <c r="U118" i="10"/>
  <c r="W118" i="10"/>
  <c r="S119" i="10"/>
  <c r="U119" i="10"/>
  <c r="W119" i="10"/>
  <c r="S120" i="10"/>
  <c r="T121" i="10" s="1"/>
  <c r="U120" i="10"/>
  <c r="V121" i="10" s="1"/>
  <c r="V120" i="10"/>
  <c r="W120" i="10"/>
  <c r="S121" i="10"/>
  <c r="U121" i="10"/>
  <c r="W121" i="10"/>
  <c r="S122" i="10"/>
  <c r="U122" i="10"/>
  <c r="W122" i="10"/>
  <c r="S123" i="10"/>
  <c r="U123" i="10"/>
  <c r="W123" i="10"/>
  <c r="S124" i="10"/>
  <c r="U124" i="10"/>
  <c r="W124" i="10"/>
  <c r="S125" i="10"/>
  <c r="U125" i="10"/>
  <c r="W125" i="10"/>
  <c r="S126" i="10"/>
  <c r="U126" i="10"/>
  <c r="W126" i="10"/>
  <c r="S127" i="10"/>
  <c r="U127" i="10"/>
  <c r="W127" i="10"/>
  <c r="S128" i="10"/>
  <c r="T128" i="10" s="1"/>
  <c r="U128" i="10"/>
  <c r="W128" i="10"/>
  <c r="S129" i="10"/>
  <c r="U129" i="10"/>
  <c r="W129" i="10"/>
  <c r="X130" i="10" s="1"/>
  <c r="S130" i="10"/>
  <c r="U130" i="10"/>
  <c r="W130" i="10"/>
  <c r="S131" i="10"/>
  <c r="U131" i="10"/>
  <c r="V132" i="10" s="1"/>
  <c r="W131" i="10"/>
  <c r="S132" i="10"/>
  <c r="T133" i="10" s="1"/>
  <c r="U132" i="10"/>
  <c r="W132" i="10"/>
  <c r="S133" i="10"/>
  <c r="T134" i="10" s="1"/>
  <c r="U133" i="10"/>
  <c r="W133" i="10"/>
  <c r="S134" i="10"/>
  <c r="U134" i="10"/>
  <c r="W134" i="10"/>
  <c r="S135" i="10"/>
  <c r="T136" i="10" s="1"/>
  <c r="U135" i="10"/>
  <c r="W135" i="10"/>
  <c r="X136" i="10" s="1"/>
  <c r="S136" i="10"/>
  <c r="U136" i="10"/>
  <c r="W136" i="10"/>
  <c r="S137" i="10"/>
  <c r="U137" i="10"/>
  <c r="W137" i="10"/>
  <c r="S138" i="10"/>
  <c r="U138" i="10"/>
  <c r="W138" i="10"/>
  <c r="S139" i="10"/>
  <c r="T140" i="10" s="1"/>
  <c r="U139" i="10"/>
  <c r="V140" i="10" s="1"/>
  <c r="W139" i="10"/>
  <c r="S140" i="10"/>
  <c r="U140" i="10"/>
  <c r="W140" i="10"/>
  <c r="S141" i="10"/>
  <c r="U141" i="10"/>
  <c r="W141" i="10"/>
  <c r="S142" i="10"/>
  <c r="U142" i="10"/>
  <c r="W142" i="10"/>
  <c r="S143" i="10"/>
  <c r="T144" i="10" s="1"/>
  <c r="U143" i="10"/>
  <c r="V144" i="10" s="1"/>
  <c r="W143" i="10"/>
  <c r="S144" i="10"/>
  <c r="U144" i="10"/>
  <c r="W144" i="10"/>
  <c r="S145" i="10"/>
  <c r="U145" i="10"/>
  <c r="W145" i="10"/>
  <c r="S146" i="10"/>
  <c r="U146" i="10"/>
  <c r="W146" i="10"/>
  <c r="X147" i="10" s="1"/>
  <c r="S147" i="10"/>
  <c r="T148" i="10" s="1"/>
  <c r="U147" i="10"/>
  <c r="W147" i="10"/>
  <c r="S148" i="10"/>
  <c r="U148" i="10"/>
  <c r="W148" i="10"/>
  <c r="S149" i="10"/>
  <c r="U149" i="10"/>
  <c r="W149" i="10"/>
  <c r="S150" i="10"/>
  <c r="U150" i="10"/>
  <c r="W150" i="10"/>
  <c r="S151" i="10"/>
  <c r="T152" i="10" s="1"/>
  <c r="U151" i="10"/>
  <c r="W151" i="10"/>
  <c r="S152" i="10"/>
  <c r="U152" i="10"/>
  <c r="W152" i="10"/>
  <c r="S153" i="10"/>
  <c r="U153" i="10"/>
  <c r="W153" i="10"/>
  <c r="S154" i="10"/>
  <c r="U154" i="10"/>
  <c r="W154" i="10"/>
  <c r="S155" i="10"/>
  <c r="U155" i="10"/>
  <c r="W155" i="10"/>
  <c r="X156" i="10" s="1"/>
  <c r="S156" i="10"/>
  <c r="T157" i="10" s="1"/>
  <c r="U156" i="10"/>
  <c r="W156" i="10"/>
  <c r="S157" i="10"/>
  <c r="U157" i="10"/>
  <c r="W157" i="10"/>
  <c r="S158" i="10"/>
  <c r="T158" i="10"/>
  <c r="U158" i="10"/>
  <c r="W158" i="10"/>
  <c r="S159" i="10"/>
  <c r="U159" i="10"/>
  <c r="V160" i="10" s="1"/>
  <c r="W159" i="10"/>
  <c r="S160" i="10"/>
  <c r="U160" i="10"/>
  <c r="W160" i="10"/>
  <c r="S161" i="10"/>
  <c r="U161" i="10"/>
  <c r="W161" i="10"/>
  <c r="S162" i="10"/>
  <c r="U162" i="10"/>
  <c r="W162" i="10"/>
  <c r="S163" i="10"/>
  <c r="U163" i="10"/>
  <c r="V164" i="10" s="1"/>
  <c r="W163" i="10"/>
  <c r="S164" i="10"/>
  <c r="U164" i="10"/>
  <c r="W164" i="10"/>
  <c r="X163" i="10" s="1"/>
  <c r="X164" i="10"/>
  <c r="S165" i="10"/>
  <c r="T166" i="10" s="1"/>
  <c r="U165" i="10"/>
  <c r="W165" i="10"/>
  <c r="S166" i="10"/>
  <c r="U166" i="10"/>
  <c r="V166" i="10" s="1"/>
  <c r="W166" i="10"/>
  <c r="S167" i="10"/>
  <c r="U167" i="10"/>
  <c r="W167" i="10"/>
  <c r="S168" i="10"/>
  <c r="U168" i="10"/>
  <c r="V168" i="10" s="1"/>
  <c r="W168" i="10"/>
  <c r="S169" i="10"/>
  <c r="T170" i="10" s="1"/>
  <c r="U169" i="10"/>
  <c r="W169" i="10"/>
  <c r="S170" i="10"/>
  <c r="U170" i="10"/>
  <c r="W170" i="10"/>
  <c r="S171" i="10"/>
  <c r="U171" i="10"/>
  <c r="W171" i="10"/>
  <c r="S172" i="10"/>
  <c r="U172" i="10"/>
  <c r="W172" i="10"/>
  <c r="X173" i="10" s="1"/>
  <c r="S173" i="10"/>
  <c r="T174" i="10" s="1"/>
  <c r="U173" i="10"/>
  <c r="W173" i="10"/>
  <c r="S174" i="10"/>
  <c r="U174" i="10"/>
  <c r="W174" i="10"/>
  <c r="S175" i="10"/>
  <c r="U175" i="10"/>
  <c r="W175" i="10"/>
  <c r="S176" i="10"/>
  <c r="U176" i="10"/>
  <c r="W176" i="10"/>
  <c r="S177" i="10"/>
  <c r="U177" i="10"/>
  <c r="W177" i="10"/>
  <c r="S178" i="10"/>
  <c r="U178" i="10"/>
  <c r="W178" i="10"/>
  <c r="X179" i="10" s="1"/>
  <c r="S179" i="10"/>
  <c r="U179" i="10"/>
  <c r="W179" i="10"/>
  <c r="S180" i="10"/>
  <c r="U180" i="10"/>
  <c r="V181" i="10" s="1"/>
  <c r="W180" i="10"/>
  <c r="S181" i="10"/>
  <c r="U181" i="10"/>
  <c r="W181" i="10"/>
  <c r="S182" i="10"/>
  <c r="T183" i="10" s="1"/>
  <c r="U182" i="10"/>
  <c r="W182" i="10"/>
  <c r="S183" i="10"/>
  <c r="U183" i="10"/>
  <c r="W183" i="10"/>
  <c r="S184" i="10"/>
  <c r="U184" i="10"/>
  <c r="W184" i="10"/>
  <c r="S185" i="10"/>
  <c r="U185" i="10"/>
  <c r="W185" i="10"/>
  <c r="S186" i="10"/>
  <c r="U186" i="10"/>
  <c r="W186" i="10"/>
  <c r="S187" i="10"/>
  <c r="U187" i="10"/>
  <c r="W187" i="10"/>
  <c r="S188" i="10"/>
  <c r="U188" i="10"/>
  <c r="W188" i="10"/>
  <c r="X189" i="10" s="1"/>
  <c r="S189" i="10"/>
  <c r="U189" i="10"/>
  <c r="W189" i="10"/>
  <c r="S190" i="10"/>
  <c r="U190" i="10"/>
  <c r="W190" i="10"/>
  <c r="S191" i="10"/>
  <c r="U191" i="10"/>
  <c r="W191" i="10"/>
  <c r="S192" i="10"/>
  <c r="U192" i="10"/>
  <c r="W192" i="10"/>
  <c r="S193" i="10"/>
  <c r="U193" i="10"/>
  <c r="W193" i="10"/>
  <c r="S194" i="10"/>
  <c r="U194" i="10"/>
  <c r="V195" i="10" s="1"/>
  <c r="W194" i="10"/>
  <c r="S195" i="10"/>
  <c r="U195" i="10"/>
  <c r="W195" i="10"/>
  <c r="S196" i="10"/>
  <c r="U196" i="10"/>
  <c r="W196" i="10"/>
  <c r="S197" i="10"/>
  <c r="U197" i="10"/>
  <c r="W197" i="10"/>
  <c r="X198" i="10" s="1"/>
  <c r="S198" i="10"/>
  <c r="U198" i="10"/>
  <c r="V199" i="10" s="1"/>
  <c r="W198" i="10"/>
  <c r="S199" i="10"/>
  <c r="U199" i="10"/>
  <c r="W199" i="10"/>
  <c r="S200" i="10"/>
  <c r="U200" i="10"/>
  <c r="W200" i="10"/>
  <c r="S201" i="10"/>
  <c r="U201" i="10"/>
  <c r="V202" i="10" s="1"/>
  <c r="W201" i="10"/>
  <c r="S202" i="10"/>
  <c r="U202" i="10"/>
  <c r="W202" i="10"/>
  <c r="S203" i="10"/>
  <c r="U203" i="10"/>
  <c r="V203" i="10" s="1"/>
  <c r="W203" i="10"/>
  <c r="X204" i="10" s="1"/>
  <c r="S204" i="10"/>
  <c r="U204" i="10"/>
  <c r="W204" i="10"/>
  <c r="S205" i="10"/>
  <c r="T206" i="10" s="1"/>
  <c r="U205" i="10"/>
  <c r="W205" i="10"/>
  <c r="S206" i="10"/>
  <c r="U206" i="10"/>
  <c r="W206" i="10"/>
  <c r="S207" i="10"/>
  <c r="U207" i="10"/>
  <c r="V208" i="10" s="1"/>
  <c r="W207" i="10"/>
  <c r="X208" i="10" s="1"/>
  <c r="S208" i="10"/>
  <c r="U208" i="10"/>
  <c r="W208" i="10"/>
  <c r="S209" i="10"/>
  <c r="U209" i="10"/>
  <c r="V209" i="10" s="1"/>
  <c r="W209" i="10"/>
  <c r="X210" i="10" s="1"/>
  <c r="S210" i="10"/>
  <c r="U210" i="10"/>
  <c r="W210" i="10"/>
  <c r="S211" i="10"/>
  <c r="T212" i="10" s="1"/>
  <c r="U211" i="10"/>
  <c r="W211" i="10"/>
  <c r="S212" i="10"/>
  <c r="U212" i="10"/>
  <c r="W212" i="10"/>
  <c r="S213" i="10"/>
  <c r="U213" i="10"/>
  <c r="W213" i="10"/>
  <c r="X214" i="10" s="1"/>
  <c r="S214" i="10"/>
  <c r="U214" i="10"/>
  <c r="W214" i="10"/>
  <c r="S215" i="10"/>
  <c r="U215" i="10"/>
  <c r="V215" i="10" s="1"/>
  <c r="W215" i="10"/>
  <c r="S216" i="10"/>
  <c r="U216" i="10"/>
  <c r="W216" i="10"/>
  <c r="X216" i="10" s="1"/>
  <c r="S217" i="10"/>
  <c r="U217" i="10"/>
  <c r="W217" i="10"/>
  <c r="S218" i="10"/>
  <c r="U218" i="10"/>
  <c r="W218" i="10"/>
  <c r="S219" i="10"/>
  <c r="U219" i="10"/>
  <c r="W219" i="10"/>
  <c r="S220" i="10"/>
  <c r="U220" i="10"/>
  <c r="W220" i="10"/>
  <c r="S221" i="10"/>
  <c r="U221" i="10"/>
  <c r="W221" i="10"/>
  <c r="S222" i="10"/>
  <c r="U222" i="10"/>
  <c r="W222" i="10"/>
  <c r="X223" i="10" s="1"/>
  <c r="S223" i="10"/>
  <c r="T224" i="10" s="1"/>
  <c r="U223" i="10"/>
  <c r="W223" i="10"/>
  <c r="S224" i="10"/>
  <c r="U224" i="10"/>
  <c r="W224" i="10"/>
  <c r="S225" i="10"/>
  <c r="U225" i="10"/>
  <c r="V226" i="10" s="1"/>
  <c r="W225" i="10"/>
  <c r="S226" i="10"/>
  <c r="U226" i="10"/>
  <c r="W226" i="10"/>
  <c r="S227" i="10"/>
  <c r="U227" i="10"/>
  <c r="W227" i="10"/>
  <c r="S228" i="10"/>
  <c r="U228" i="10"/>
  <c r="V229" i="10" s="1"/>
  <c r="W228" i="10"/>
  <c r="S229" i="10"/>
  <c r="U229" i="10"/>
  <c r="W229" i="10"/>
  <c r="S230" i="10"/>
  <c r="U230" i="10"/>
  <c r="W230" i="10"/>
  <c r="S231" i="10"/>
  <c r="U231" i="10"/>
  <c r="W231" i="10"/>
  <c r="S232" i="10"/>
  <c r="U232" i="10"/>
  <c r="W232" i="10"/>
  <c r="S233" i="10"/>
  <c r="U233" i="10"/>
  <c r="W233" i="10"/>
  <c r="S234" i="10"/>
  <c r="U234" i="10"/>
  <c r="W234" i="10"/>
  <c r="X235" i="10" s="1"/>
  <c r="S235" i="10"/>
  <c r="T236" i="10" s="1"/>
  <c r="U235" i="10"/>
  <c r="W235" i="10"/>
  <c r="S236" i="10"/>
  <c r="U236" i="10"/>
  <c r="W236" i="10"/>
  <c r="S237" i="10"/>
  <c r="U237" i="10"/>
  <c r="V238" i="10" s="1"/>
  <c r="W237" i="10"/>
  <c r="S238" i="10"/>
  <c r="U238" i="10"/>
  <c r="W238" i="10"/>
  <c r="S239" i="10"/>
  <c r="U239" i="10"/>
  <c r="W239" i="10"/>
  <c r="S240" i="10"/>
  <c r="U240" i="10"/>
  <c r="V241" i="10" s="1"/>
  <c r="W240" i="10"/>
  <c r="S241" i="10"/>
  <c r="U241" i="10"/>
  <c r="W241" i="10"/>
  <c r="S242" i="10"/>
  <c r="U242" i="10"/>
  <c r="V243" i="10" s="1"/>
  <c r="W242" i="10"/>
  <c r="X243" i="10" s="1"/>
  <c r="X242" i="10"/>
  <c r="S243" i="10"/>
  <c r="T244" i="10" s="1"/>
  <c r="U243" i="10"/>
  <c r="W243" i="10"/>
  <c r="S244" i="10"/>
  <c r="U244" i="10"/>
  <c r="W244" i="10"/>
  <c r="S245" i="10"/>
  <c r="U245" i="10"/>
  <c r="W245" i="10"/>
  <c r="S246" i="10"/>
  <c r="T247" i="10" s="1"/>
  <c r="U246" i="10"/>
  <c r="W246" i="10"/>
  <c r="S247" i="10"/>
  <c r="U247" i="10"/>
  <c r="W247" i="10"/>
  <c r="S248" i="10"/>
  <c r="U248" i="10"/>
  <c r="W248" i="10"/>
  <c r="X249" i="10" s="1"/>
  <c r="S249" i="10"/>
  <c r="U249" i="10"/>
  <c r="W249" i="10"/>
  <c r="S250" i="10"/>
  <c r="U250" i="10"/>
  <c r="W250" i="10"/>
  <c r="S251" i="10"/>
  <c r="U251" i="10"/>
  <c r="W251" i="10"/>
  <c r="S252" i="10"/>
  <c r="U252" i="10"/>
  <c r="W252" i="10"/>
  <c r="S253" i="10"/>
  <c r="U253" i="10"/>
  <c r="W253" i="10"/>
  <c r="S254" i="10"/>
  <c r="T255" i="10" s="1"/>
  <c r="U254" i="10"/>
  <c r="V255" i="10" s="1"/>
  <c r="W254" i="10"/>
  <c r="S255" i="10"/>
  <c r="U255" i="10"/>
  <c r="W255" i="10"/>
  <c r="S256" i="10"/>
  <c r="U256" i="10"/>
  <c r="W256" i="10"/>
  <c r="S257" i="10"/>
  <c r="U257" i="10"/>
  <c r="W257" i="10"/>
  <c r="S258" i="10"/>
  <c r="T259" i="10" s="1"/>
  <c r="U258" i="10"/>
  <c r="W258" i="10"/>
  <c r="S259" i="10"/>
  <c r="U259" i="10"/>
  <c r="W259" i="10"/>
  <c r="S260" i="10"/>
  <c r="U260" i="10"/>
  <c r="W260" i="10"/>
  <c r="S261" i="10"/>
  <c r="U261" i="10"/>
  <c r="W261" i="10"/>
  <c r="X262" i="10" s="1"/>
  <c r="S262" i="10"/>
  <c r="U262" i="10"/>
  <c r="W262" i="10"/>
  <c r="S263" i="10"/>
  <c r="U263" i="10"/>
  <c r="W263" i="10"/>
  <c r="X264" i="10" s="1"/>
  <c r="S264" i="10"/>
  <c r="U264" i="10"/>
  <c r="W264" i="10"/>
  <c r="S265" i="10"/>
  <c r="T266" i="10" s="1"/>
  <c r="U265" i="10"/>
  <c r="V266" i="10" s="1"/>
  <c r="W265" i="10"/>
  <c r="S266" i="10"/>
  <c r="U266" i="10"/>
  <c r="W266" i="10"/>
  <c r="X266" i="10" s="1"/>
  <c r="S267" i="10"/>
  <c r="U267" i="10"/>
  <c r="W267" i="10"/>
  <c r="S268" i="10"/>
  <c r="U268" i="10"/>
  <c r="W268" i="10"/>
  <c r="S269" i="10"/>
  <c r="U269" i="10"/>
  <c r="W269" i="10"/>
  <c r="X270" i="10" s="1"/>
  <c r="S270" i="10"/>
  <c r="U270" i="10"/>
  <c r="W270" i="10"/>
  <c r="S271" i="10"/>
  <c r="U271" i="10"/>
  <c r="W271" i="10"/>
  <c r="S272" i="10"/>
  <c r="U272" i="10"/>
  <c r="W272" i="10"/>
  <c r="X273" i="10" s="1"/>
  <c r="X272" i="10"/>
  <c r="S273" i="10"/>
  <c r="U273" i="10"/>
  <c r="V274" i="10" s="1"/>
  <c r="W273" i="10"/>
  <c r="S274" i="10"/>
  <c r="U274" i="10"/>
  <c r="W274" i="10"/>
  <c r="S275" i="10"/>
  <c r="U275" i="10"/>
  <c r="W275" i="10"/>
  <c r="S276" i="10"/>
  <c r="T277" i="10" s="1"/>
  <c r="U276" i="10"/>
  <c r="V277" i="10" s="1"/>
  <c r="W276" i="10"/>
  <c r="X277" i="10" s="1"/>
  <c r="X276" i="10"/>
  <c r="S277" i="10"/>
  <c r="U277" i="10"/>
  <c r="W277" i="10"/>
  <c r="S278" i="10"/>
  <c r="U278" i="10"/>
  <c r="W278" i="10"/>
  <c r="S279" i="10"/>
  <c r="U279" i="10"/>
  <c r="V280" i="10" s="1"/>
  <c r="W279" i="10"/>
  <c r="S280" i="10"/>
  <c r="U280" i="10"/>
  <c r="W280" i="10"/>
  <c r="S281" i="10"/>
  <c r="U281" i="10"/>
  <c r="W281" i="10"/>
  <c r="S282" i="10"/>
  <c r="U282" i="10"/>
  <c r="V281" i="10" s="1"/>
  <c r="W282" i="10"/>
  <c r="S283" i="10"/>
  <c r="U283" i="10"/>
  <c r="W283" i="10"/>
  <c r="X284" i="10" s="1"/>
  <c r="S284" i="10"/>
  <c r="U284" i="10"/>
  <c r="W284" i="10"/>
  <c r="S285" i="10"/>
  <c r="U285" i="10"/>
  <c r="V285" i="10"/>
  <c r="W285" i="10"/>
  <c r="S286" i="10"/>
  <c r="U286" i="10"/>
  <c r="W286" i="10"/>
  <c r="X286" i="10" s="1"/>
  <c r="S287" i="10"/>
  <c r="U287" i="10"/>
  <c r="W287" i="10"/>
  <c r="S288" i="10"/>
  <c r="U288" i="10"/>
  <c r="W288" i="10"/>
  <c r="S289" i="10"/>
  <c r="U289" i="10"/>
  <c r="W289" i="10"/>
  <c r="S290" i="10"/>
  <c r="U290" i="10"/>
  <c r="W290" i="10"/>
  <c r="X291" i="10" s="1"/>
  <c r="X290" i="10"/>
  <c r="S291" i="10"/>
  <c r="U291" i="10"/>
  <c r="V291" i="10" s="1"/>
  <c r="W291" i="10"/>
  <c r="S292" i="10"/>
  <c r="U292" i="10"/>
  <c r="W292" i="10"/>
  <c r="X292" i="10" s="1"/>
  <c r="S293" i="10"/>
  <c r="U293" i="10"/>
  <c r="W293" i="10"/>
  <c r="S294" i="10"/>
  <c r="U294" i="10"/>
  <c r="V295" i="10" s="1"/>
  <c r="W294" i="10"/>
  <c r="X295" i="10" s="1"/>
  <c r="S295" i="10"/>
  <c r="U295" i="10"/>
  <c r="W295" i="10"/>
  <c r="S296" i="10"/>
  <c r="U296" i="10"/>
  <c r="W296" i="10"/>
  <c r="S297" i="10"/>
  <c r="U297" i="10"/>
  <c r="W297" i="10"/>
  <c r="S298" i="10"/>
  <c r="U298" i="10"/>
  <c r="W298" i="10"/>
  <c r="X298" i="10" s="1"/>
  <c r="S299" i="10"/>
  <c r="U299" i="10"/>
  <c r="W299" i="10"/>
  <c r="S300" i="10"/>
  <c r="U300" i="10"/>
  <c r="W300" i="10"/>
  <c r="S301" i="10"/>
  <c r="U301" i="10"/>
  <c r="W301" i="10"/>
  <c r="S302" i="10"/>
  <c r="U302" i="10"/>
  <c r="W302" i="10"/>
  <c r="S303" i="10"/>
  <c r="U303" i="10"/>
  <c r="W303" i="10"/>
  <c r="S304" i="10"/>
  <c r="U304" i="10"/>
  <c r="W304" i="10"/>
  <c r="S305" i="10"/>
  <c r="U305" i="10"/>
  <c r="W305" i="10"/>
  <c r="S306" i="10"/>
  <c r="U306" i="10"/>
  <c r="V305" i="10" s="1"/>
  <c r="W306" i="10"/>
  <c r="S307" i="10"/>
  <c r="U307" i="10"/>
  <c r="W307" i="10"/>
  <c r="X308" i="10" s="1"/>
  <c r="S308" i="10"/>
  <c r="U308" i="10"/>
  <c r="W308" i="10"/>
  <c r="S309" i="10"/>
  <c r="U309" i="10"/>
  <c r="V309" i="10"/>
  <c r="W309" i="10"/>
  <c r="S310" i="10"/>
  <c r="U310" i="10"/>
  <c r="W310" i="10"/>
  <c r="S311" i="10"/>
  <c r="U311" i="10"/>
  <c r="W311" i="10"/>
  <c r="S312" i="10"/>
  <c r="T313" i="10" s="1"/>
  <c r="U312" i="10"/>
  <c r="V311" i="10" s="1"/>
  <c r="W312" i="10"/>
  <c r="S313" i="10"/>
  <c r="U313" i="10"/>
  <c r="V314" i="10" s="1"/>
  <c r="W313" i="10"/>
  <c r="S314" i="10"/>
  <c r="U314" i="10"/>
  <c r="W314" i="10"/>
  <c r="S315" i="10"/>
  <c r="U315" i="10"/>
  <c r="V316" i="10" s="1"/>
  <c r="V315" i="10"/>
  <c r="W315" i="10"/>
  <c r="S316" i="10"/>
  <c r="U316" i="10"/>
  <c r="W316" i="10"/>
  <c r="S317" i="10"/>
  <c r="U317" i="10"/>
  <c r="W317" i="10"/>
  <c r="S318" i="10"/>
  <c r="U318" i="10"/>
  <c r="W318" i="10"/>
  <c r="S319" i="10"/>
  <c r="U319" i="10"/>
  <c r="W319" i="10"/>
  <c r="S320" i="10"/>
  <c r="U320" i="10"/>
  <c r="W320" i="10"/>
  <c r="X321" i="10" s="1"/>
  <c r="X320" i="10"/>
  <c r="S321" i="10"/>
  <c r="U321" i="10"/>
  <c r="V322" i="10" s="1"/>
  <c r="W321" i="10"/>
  <c r="S322" i="10"/>
  <c r="U322" i="10"/>
  <c r="W322" i="10"/>
  <c r="S323" i="10"/>
  <c r="U323" i="10"/>
  <c r="W323" i="10"/>
  <c r="S324" i="10"/>
  <c r="U324" i="10"/>
  <c r="W324" i="10"/>
  <c r="S325" i="10"/>
  <c r="U325" i="10"/>
  <c r="W325" i="10"/>
  <c r="S326" i="10"/>
  <c r="U326" i="10"/>
  <c r="W326" i="10"/>
  <c r="S327" i="10"/>
  <c r="U327" i="10"/>
  <c r="W327" i="10"/>
  <c r="S328" i="10"/>
  <c r="U328" i="10"/>
  <c r="W328" i="10"/>
  <c r="S329" i="10"/>
  <c r="U329" i="10"/>
  <c r="W329" i="10"/>
  <c r="X330" i="10" s="1"/>
  <c r="S330" i="10"/>
  <c r="U330" i="10"/>
  <c r="W330" i="10"/>
  <c r="S331" i="10"/>
  <c r="U331" i="10"/>
  <c r="W331" i="10"/>
  <c r="S332" i="10"/>
  <c r="T333" i="10" s="1"/>
  <c r="U332" i="10"/>
  <c r="V333" i="10" s="1"/>
  <c r="W332" i="10"/>
  <c r="S333" i="10"/>
  <c r="U333" i="10"/>
  <c r="W333" i="10"/>
  <c r="S334" i="10"/>
  <c r="U334" i="10"/>
  <c r="W334" i="10"/>
  <c r="S335" i="10"/>
  <c r="U335" i="10"/>
  <c r="W335" i="10"/>
  <c r="X334" i="10" s="1"/>
  <c r="S336" i="10"/>
  <c r="T337" i="10" s="1"/>
  <c r="U336" i="10"/>
  <c r="W336" i="10"/>
  <c r="S337" i="10"/>
  <c r="U337" i="10"/>
  <c r="W337" i="10"/>
  <c r="S338" i="10"/>
  <c r="U338" i="10"/>
  <c r="W338" i="10"/>
  <c r="S339" i="10"/>
  <c r="U339" i="10"/>
  <c r="W339" i="10"/>
  <c r="S340" i="10"/>
  <c r="U340" i="10"/>
  <c r="W340" i="10"/>
  <c r="S341" i="10"/>
  <c r="U341" i="10"/>
  <c r="W341" i="10"/>
  <c r="S342" i="10"/>
  <c r="U342" i="10"/>
  <c r="W342" i="10"/>
  <c r="S343" i="10"/>
  <c r="U343" i="10"/>
  <c r="W343" i="10"/>
  <c r="S344" i="10"/>
  <c r="U344" i="10"/>
  <c r="W344" i="10"/>
  <c r="S345" i="10"/>
  <c r="U345" i="10"/>
  <c r="V346" i="10" s="1"/>
  <c r="W345" i="10"/>
  <c r="S346" i="10"/>
  <c r="U346" i="10"/>
  <c r="W346" i="10"/>
  <c r="S347" i="10"/>
  <c r="U347" i="10"/>
  <c r="W347" i="10"/>
  <c r="X348" i="10" s="1"/>
  <c r="S348" i="10"/>
  <c r="U348" i="10"/>
  <c r="W348" i="10"/>
  <c r="S349" i="10"/>
  <c r="U349" i="10"/>
  <c r="W349" i="10"/>
  <c r="S350" i="10"/>
  <c r="U350" i="10"/>
  <c r="W350" i="10"/>
  <c r="S351" i="10"/>
  <c r="U351" i="10"/>
  <c r="W351" i="10"/>
  <c r="S352" i="10"/>
  <c r="T353" i="10" s="1"/>
  <c r="U352" i="10"/>
  <c r="W352" i="10"/>
  <c r="S353" i="10"/>
  <c r="T354" i="10" s="1"/>
  <c r="U353" i="10"/>
  <c r="W353" i="10"/>
  <c r="S354" i="10"/>
  <c r="U354" i="10"/>
  <c r="W354" i="10"/>
  <c r="S355" i="10"/>
  <c r="U355" i="10"/>
  <c r="W355" i="10"/>
  <c r="X356" i="10" s="1"/>
  <c r="S356" i="10"/>
  <c r="U356" i="10"/>
  <c r="W356" i="10"/>
  <c r="S357" i="10"/>
  <c r="T358" i="10" s="1"/>
  <c r="U357" i="10"/>
  <c r="W357" i="10"/>
  <c r="S358" i="10"/>
  <c r="U358" i="10"/>
  <c r="W358" i="10"/>
  <c r="S359" i="10"/>
  <c r="U359" i="10"/>
  <c r="W359" i="10"/>
  <c r="S360" i="10"/>
  <c r="U360" i="10"/>
  <c r="W360" i="10"/>
  <c r="S361" i="10"/>
  <c r="T361" i="10"/>
  <c r="U361" i="10"/>
  <c r="W361" i="10"/>
  <c r="S362" i="10"/>
  <c r="U362" i="10"/>
  <c r="V362" i="10" s="1"/>
  <c r="W362" i="10"/>
  <c r="S363" i="10"/>
  <c r="U363" i="10"/>
  <c r="W363" i="10"/>
  <c r="X362" i="10" s="1"/>
  <c r="S364" i="10"/>
  <c r="T365" i="10" s="1"/>
  <c r="U364" i="10"/>
  <c r="W364" i="10"/>
  <c r="S365" i="10"/>
  <c r="U365" i="10"/>
  <c r="W365" i="10"/>
  <c r="S366" i="10"/>
  <c r="U366" i="10"/>
  <c r="W366" i="10"/>
  <c r="X367" i="10" s="1"/>
  <c r="S367" i="10"/>
  <c r="T368" i="10" s="1"/>
  <c r="T367" i="10"/>
  <c r="U367" i="10"/>
  <c r="W367" i="10"/>
  <c r="S368" i="10"/>
  <c r="U368" i="10"/>
  <c r="W368" i="10"/>
  <c r="S369" i="10"/>
  <c r="U369" i="10"/>
  <c r="W369" i="10"/>
  <c r="S370" i="10"/>
  <c r="U370" i="10"/>
  <c r="W370" i="10"/>
  <c r="S371" i="10"/>
  <c r="U371" i="10"/>
  <c r="W371" i="10"/>
  <c r="S372" i="10"/>
  <c r="U372" i="10"/>
  <c r="W372" i="10"/>
  <c r="S373" i="10"/>
  <c r="U373" i="10"/>
  <c r="W373" i="10"/>
  <c r="S374" i="10"/>
  <c r="U374" i="10"/>
  <c r="W374" i="10"/>
  <c r="S375" i="10"/>
  <c r="T376" i="10" s="1"/>
  <c r="T375" i="10"/>
  <c r="U375" i="10"/>
  <c r="V376" i="10" s="1"/>
  <c r="W375" i="10"/>
  <c r="S376" i="10"/>
  <c r="U376" i="10"/>
  <c r="W376" i="10"/>
  <c r="S377" i="10"/>
  <c r="U377" i="10"/>
  <c r="W377" i="10"/>
  <c r="S378" i="10"/>
  <c r="U378" i="10"/>
  <c r="W378" i="10"/>
  <c r="X379" i="10" s="1"/>
  <c r="S379" i="10"/>
  <c r="T380" i="10" s="1"/>
  <c r="U379" i="10"/>
  <c r="W379" i="10"/>
  <c r="S380" i="10"/>
  <c r="U380" i="10"/>
  <c r="W380" i="10"/>
  <c r="S381" i="10"/>
  <c r="U381" i="10"/>
  <c r="W381" i="10"/>
  <c r="S382" i="10"/>
  <c r="U382" i="10"/>
  <c r="W382" i="10"/>
  <c r="S383" i="10"/>
  <c r="U383" i="10"/>
  <c r="W383" i="10"/>
  <c r="S384" i="10"/>
  <c r="U384" i="10"/>
  <c r="W384" i="10"/>
  <c r="S385" i="10"/>
  <c r="U385" i="10"/>
  <c r="W385" i="10"/>
  <c r="S386" i="10"/>
  <c r="U386" i="10"/>
  <c r="V387" i="10" s="1"/>
  <c r="V386" i="10"/>
  <c r="W386" i="10"/>
  <c r="X386" i="10" s="1"/>
  <c r="S387" i="10"/>
  <c r="U387" i="10"/>
  <c r="W387" i="10"/>
  <c r="S388" i="10"/>
  <c r="U388" i="10"/>
  <c r="W388" i="10"/>
  <c r="S389" i="10"/>
  <c r="U389" i="10"/>
  <c r="W389" i="10"/>
  <c r="S390" i="10"/>
  <c r="U390" i="10"/>
  <c r="W390" i="10"/>
  <c r="S391" i="10"/>
  <c r="U391" i="10"/>
  <c r="W391" i="10"/>
  <c r="S392" i="10"/>
  <c r="U392" i="10"/>
  <c r="W392" i="10"/>
  <c r="S393" i="10"/>
  <c r="T394" i="10" s="1"/>
  <c r="U393" i="10"/>
  <c r="W393" i="10"/>
  <c r="S394" i="10"/>
  <c r="U394" i="10"/>
  <c r="V395" i="10" s="1"/>
  <c r="W394" i="10"/>
  <c r="X394" i="10" s="1"/>
  <c r="S395" i="10"/>
  <c r="U395" i="10"/>
  <c r="W395" i="10"/>
  <c r="S396" i="10"/>
  <c r="U396" i="10"/>
  <c r="W396" i="10"/>
  <c r="S397" i="10"/>
  <c r="U397" i="10"/>
  <c r="W397" i="10"/>
  <c r="S398" i="10"/>
  <c r="T399" i="10" s="1"/>
  <c r="U398" i="10"/>
  <c r="W398" i="10"/>
  <c r="S399" i="10"/>
  <c r="U399" i="10"/>
  <c r="W399" i="10"/>
  <c r="S400" i="10"/>
  <c r="U400" i="10"/>
  <c r="W400" i="10"/>
  <c r="S401" i="10"/>
  <c r="U401" i="10"/>
  <c r="W401" i="10"/>
  <c r="S402" i="10"/>
  <c r="U402" i="10"/>
  <c r="W402" i="10"/>
  <c r="S403" i="10"/>
  <c r="T404" i="10" s="1"/>
  <c r="U403" i="10"/>
  <c r="W403" i="10"/>
  <c r="S404" i="10"/>
  <c r="U404" i="10"/>
  <c r="V405" i="10" s="1"/>
  <c r="W404" i="10"/>
  <c r="S405" i="10"/>
  <c r="U405" i="10"/>
  <c r="W405" i="10"/>
  <c r="S406" i="10"/>
  <c r="U406" i="10"/>
  <c r="W406" i="10"/>
  <c r="S407" i="10"/>
  <c r="U407" i="10"/>
  <c r="V406" i="10" s="1"/>
  <c r="W407" i="10"/>
  <c r="S408" i="10"/>
  <c r="U408" i="10"/>
  <c r="W408" i="10"/>
  <c r="S409" i="10"/>
  <c r="U409" i="10"/>
  <c r="V410" i="10" s="1"/>
  <c r="W409" i="10"/>
  <c r="X410" i="10" s="1"/>
  <c r="S410" i="10"/>
  <c r="T409" i="10" s="1"/>
  <c r="U410" i="10"/>
  <c r="V411" i="10" s="1"/>
  <c r="W410" i="10"/>
  <c r="S411" i="10"/>
  <c r="U411" i="10"/>
  <c r="W411" i="10"/>
  <c r="S412" i="10"/>
  <c r="U412" i="10"/>
  <c r="W412" i="10"/>
  <c r="S413" i="10"/>
  <c r="U413" i="10"/>
  <c r="V412" i="10" s="1"/>
  <c r="W413" i="10"/>
  <c r="S414" i="10"/>
  <c r="U414" i="10"/>
  <c r="W414" i="10"/>
  <c r="S415" i="10"/>
  <c r="U415" i="10"/>
  <c r="W415" i="10"/>
  <c r="S416" i="10"/>
  <c r="T415" i="10" s="1"/>
  <c r="U416" i="10"/>
  <c r="W416" i="10"/>
  <c r="S417" i="10"/>
  <c r="U417" i="10"/>
  <c r="W417" i="10"/>
  <c r="S418" i="10"/>
  <c r="U418" i="10"/>
  <c r="V419" i="10" s="1"/>
  <c r="W418" i="10"/>
  <c r="S419" i="10"/>
  <c r="U419" i="10"/>
  <c r="W419" i="10"/>
  <c r="S420" i="10"/>
  <c r="U420" i="10"/>
  <c r="W420" i="10"/>
  <c r="S421" i="10"/>
  <c r="U421" i="10"/>
  <c r="W421" i="10"/>
  <c r="S422" i="10"/>
  <c r="U422" i="10"/>
  <c r="W422" i="10"/>
  <c r="S423" i="10"/>
  <c r="U423" i="10"/>
  <c r="W423" i="10"/>
  <c r="S424" i="10"/>
  <c r="U424" i="10"/>
  <c r="W424" i="10"/>
  <c r="S425" i="10"/>
  <c r="T426" i="10" s="1"/>
  <c r="U425" i="10"/>
  <c r="W425" i="10"/>
  <c r="S426" i="10"/>
  <c r="U426" i="10"/>
  <c r="W426" i="10"/>
  <c r="S427" i="10"/>
  <c r="U427" i="10"/>
  <c r="W427" i="10"/>
  <c r="X428" i="10" s="1"/>
  <c r="S428" i="10"/>
  <c r="U428" i="10"/>
  <c r="W428" i="10"/>
  <c r="S429" i="10"/>
  <c r="U429" i="10"/>
  <c r="V430" i="10" s="1"/>
  <c r="W429" i="10"/>
  <c r="S430" i="10"/>
  <c r="U430" i="10"/>
  <c r="W430" i="10"/>
  <c r="S431" i="10"/>
  <c r="U431" i="10"/>
  <c r="W431" i="10"/>
  <c r="S432" i="10"/>
  <c r="T433" i="10" s="1"/>
  <c r="U432" i="10"/>
  <c r="W432" i="10"/>
  <c r="S433" i="10"/>
  <c r="U433" i="10"/>
  <c r="W433" i="10"/>
  <c r="S434" i="10"/>
  <c r="U434" i="10"/>
  <c r="W434" i="10"/>
  <c r="S435" i="10"/>
  <c r="U435" i="10"/>
  <c r="W435" i="10"/>
  <c r="S436" i="10"/>
  <c r="U436" i="10"/>
  <c r="W436" i="10"/>
  <c r="S437" i="10"/>
  <c r="U437" i="10"/>
  <c r="W437" i="10"/>
  <c r="S438" i="10"/>
  <c r="U438" i="10"/>
  <c r="W438" i="10"/>
  <c r="S439" i="10"/>
  <c r="U439" i="10"/>
  <c r="V440" i="10" s="1"/>
  <c r="W439" i="10"/>
  <c r="S440" i="10"/>
  <c r="U440" i="10"/>
  <c r="W440" i="10"/>
  <c r="S441" i="10"/>
  <c r="U441" i="10"/>
  <c r="W441" i="10"/>
  <c r="S442" i="10"/>
  <c r="U442" i="10"/>
  <c r="W442" i="10"/>
  <c r="S443" i="10"/>
  <c r="U443" i="10"/>
  <c r="W443" i="10"/>
  <c r="S444" i="10"/>
  <c r="U444" i="10"/>
  <c r="W444" i="10"/>
  <c r="S445" i="10"/>
  <c r="U445" i="10"/>
  <c r="W445" i="10"/>
  <c r="S446" i="10"/>
  <c r="U446" i="10"/>
  <c r="W446" i="10"/>
  <c r="S447" i="10"/>
  <c r="U447" i="10"/>
  <c r="W447" i="10"/>
  <c r="S448" i="10"/>
  <c r="T449" i="10" s="1"/>
  <c r="U448" i="10"/>
  <c r="W448" i="10"/>
  <c r="S449" i="10"/>
  <c r="U449" i="10"/>
  <c r="W449" i="10"/>
  <c r="S450" i="10"/>
  <c r="U450" i="10"/>
  <c r="W450" i="10"/>
  <c r="X451" i="10" s="1"/>
  <c r="S451" i="10"/>
  <c r="U451" i="10"/>
  <c r="W451" i="10"/>
  <c r="X452" i="10" s="1"/>
  <c r="S452" i="10"/>
  <c r="U452" i="10"/>
  <c r="W452" i="10"/>
  <c r="S453" i="10"/>
  <c r="U453" i="10"/>
  <c r="W453" i="10"/>
  <c r="S454" i="10"/>
  <c r="U454" i="10"/>
  <c r="W454" i="10"/>
  <c r="X455" i="10" s="1"/>
  <c r="S455" i="10"/>
  <c r="T456" i="10" s="1"/>
  <c r="U455" i="10"/>
  <c r="W455" i="10"/>
  <c r="S456" i="10"/>
  <c r="U456" i="10"/>
  <c r="W456" i="10"/>
  <c r="S457" i="10"/>
  <c r="U457" i="10"/>
  <c r="W457" i="10"/>
  <c r="S458" i="10"/>
  <c r="U458" i="10"/>
  <c r="W458" i="10"/>
  <c r="S459" i="10"/>
  <c r="U459" i="10"/>
  <c r="W459" i="10"/>
  <c r="S460" i="10"/>
  <c r="U460" i="10"/>
  <c r="W460" i="10"/>
  <c r="S461" i="10"/>
  <c r="U461" i="10"/>
  <c r="W461" i="10"/>
  <c r="S462" i="10"/>
  <c r="U462" i="10"/>
  <c r="W462" i="10"/>
  <c r="S463" i="10"/>
  <c r="U463" i="10"/>
  <c r="W463" i="10"/>
  <c r="S464" i="10"/>
  <c r="U464" i="10"/>
  <c r="W464" i="10"/>
  <c r="S465" i="10"/>
  <c r="U465" i="10"/>
  <c r="W465" i="10"/>
  <c r="S466" i="10"/>
  <c r="T467" i="10" s="1"/>
  <c r="U466" i="10"/>
  <c r="W466" i="10"/>
  <c r="S467" i="10"/>
  <c r="U467" i="10"/>
  <c r="W467" i="10"/>
  <c r="S468" i="10"/>
  <c r="U468" i="10"/>
  <c r="W468" i="10"/>
  <c r="S469" i="10"/>
  <c r="U469" i="10"/>
  <c r="W469" i="10"/>
  <c r="X470" i="10" s="1"/>
  <c r="X469" i="10"/>
  <c r="S470" i="10"/>
  <c r="U470" i="10"/>
  <c r="W470" i="10"/>
  <c r="S471" i="10"/>
  <c r="U471" i="10"/>
  <c r="W471" i="10"/>
  <c r="S472" i="10"/>
  <c r="U472" i="10"/>
  <c r="W472" i="10"/>
  <c r="S473" i="10"/>
  <c r="U473" i="10"/>
  <c r="W473" i="10"/>
  <c r="S474" i="10"/>
  <c r="U474" i="10"/>
  <c r="W474" i="10"/>
  <c r="S475" i="10"/>
  <c r="U475" i="10"/>
  <c r="W475" i="10"/>
  <c r="S476" i="10"/>
  <c r="U476" i="10"/>
  <c r="W476" i="10"/>
  <c r="S477" i="10"/>
  <c r="U477" i="10"/>
  <c r="W477" i="10"/>
  <c r="X477" i="10" s="1"/>
  <c r="S478" i="10"/>
  <c r="T479" i="10" s="1"/>
  <c r="U478" i="10"/>
  <c r="W478" i="10"/>
  <c r="S479" i="10"/>
  <c r="U479" i="10"/>
  <c r="W479" i="10"/>
  <c r="S480" i="10"/>
  <c r="U480" i="10"/>
  <c r="W480" i="10"/>
  <c r="S481" i="10"/>
  <c r="U481" i="10"/>
  <c r="V482" i="10" s="1"/>
  <c r="W481" i="10"/>
  <c r="S482" i="10"/>
  <c r="U482" i="10"/>
  <c r="W482" i="10"/>
  <c r="S483" i="10"/>
  <c r="U483" i="10"/>
  <c r="W483" i="10"/>
  <c r="S484" i="10"/>
  <c r="U484" i="10"/>
  <c r="W484" i="10"/>
  <c r="X485" i="10" s="1"/>
  <c r="S485" i="10"/>
  <c r="T486" i="10" s="1"/>
  <c r="T485" i="10"/>
  <c r="U485" i="10"/>
  <c r="W485" i="10"/>
  <c r="S486" i="10"/>
  <c r="U486" i="10"/>
  <c r="W486" i="10"/>
  <c r="S487" i="10"/>
  <c r="U487" i="10"/>
  <c r="W487" i="10"/>
  <c r="S488" i="10"/>
  <c r="U488" i="10"/>
  <c r="W488" i="10"/>
  <c r="X487" i="10" s="1"/>
  <c r="S489" i="10"/>
  <c r="U489" i="10"/>
  <c r="W489" i="10"/>
  <c r="S490" i="10"/>
  <c r="U490" i="10"/>
  <c r="W490" i="10"/>
  <c r="S491" i="10"/>
  <c r="T492" i="10" s="1"/>
  <c r="U491" i="10"/>
  <c r="W491" i="10"/>
  <c r="S492" i="10"/>
  <c r="U492" i="10"/>
  <c r="W492" i="10"/>
  <c r="S493" i="10"/>
  <c r="U493" i="10"/>
  <c r="W493" i="10"/>
  <c r="S494" i="10"/>
  <c r="U494" i="10"/>
  <c r="W494" i="10"/>
  <c r="S495" i="10"/>
  <c r="U495" i="10"/>
  <c r="W495" i="10"/>
  <c r="S496" i="10"/>
  <c r="T497" i="10" s="1"/>
  <c r="U496" i="10"/>
  <c r="W496" i="10"/>
  <c r="X497" i="10" s="1"/>
  <c r="S497" i="10"/>
  <c r="T498" i="10" s="1"/>
  <c r="U497" i="10"/>
  <c r="W497" i="10"/>
  <c r="S498" i="10"/>
  <c r="U498" i="10"/>
  <c r="W498" i="10"/>
  <c r="S499" i="10"/>
  <c r="U499" i="10"/>
  <c r="W499" i="10"/>
  <c r="S500" i="10"/>
  <c r="U500" i="10"/>
  <c r="W500" i="10"/>
  <c r="S501" i="10"/>
  <c r="U501" i="10"/>
  <c r="W501" i="10"/>
  <c r="S502" i="10"/>
  <c r="U502" i="10"/>
  <c r="W502" i="10"/>
  <c r="S503" i="10"/>
  <c r="U503" i="10"/>
  <c r="W503" i="10"/>
  <c r="S504" i="10"/>
  <c r="T503" i="10" s="1"/>
  <c r="U504" i="10"/>
  <c r="W504" i="10"/>
  <c r="X505" i="10" s="1"/>
  <c r="S505" i="10"/>
  <c r="U505" i="10"/>
  <c r="W505" i="10"/>
  <c r="S506" i="10"/>
  <c r="U506" i="10"/>
  <c r="W506" i="10"/>
  <c r="S507" i="10"/>
  <c r="U507" i="10"/>
  <c r="W507" i="10"/>
  <c r="S508" i="10"/>
  <c r="U508" i="10"/>
  <c r="W508" i="10"/>
  <c r="S509" i="10"/>
  <c r="U509" i="10"/>
  <c r="W509" i="10"/>
  <c r="S510" i="10"/>
  <c r="U510" i="10"/>
  <c r="W510" i="10"/>
  <c r="S511" i="10"/>
  <c r="U511" i="10"/>
  <c r="V512" i="10" s="1"/>
  <c r="W511" i="10"/>
  <c r="X512" i="10" s="1"/>
  <c r="S512" i="10"/>
  <c r="U512" i="10"/>
  <c r="W512" i="10"/>
  <c r="S513" i="10"/>
  <c r="U513" i="10"/>
  <c r="W513" i="10"/>
  <c r="S514" i="10"/>
  <c r="U514" i="10"/>
  <c r="W514" i="10"/>
  <c r="S515" i="10"/>
  <c r="T516" i="10" s="1"/>
  <c r="T515" i="10"/>
  <c r="U515" i="10"/>
  <c r="W515" i="10"/>
  <c r="S516" i="10"/>
  <c r="U516" i="10"/>
  <c r="W516" i="10"/>
  <c r="S517" i="10"/>
  <c r="U517" i="10"/>
  <c r="W517" i="10"/>
  <c r="S518" i="10"/>
  <c r="U518" i="10"/>
  <c r="W518" i="10"/>
  <c r="S519" i="10"/>
  <c r="U519" i="10"/>
  <c r="W519" i="10"/>
  <c r="S520" i="10"/>
  <c r="U520" i="10"/>
  <c r="W520" i="10"/>
  <c r="S521" i="10"/>
  <c r="U521" i="10"/>
  <c r="V522" i="10" s="1"/>
  <c r="W521" i="10"/>
  <c r="S522" i="10"/>
  <c r="T521" i="10" s="1"/>
  <c r="U522" i="10"/>
  <c r="W522" i="10"/>
  <c r="X523" i="10" s="1"/>
  <c r="S523" i="10"/>
  <c r="U523" i="10"/>
  <c r="W523" i="10"/>
  <c r="S524" i="10"/>
  <c r="U524" i="10"/>
  <c r="W524" i="10"/>
  <c r="S525" i="10"/>
  <c r="U525" i="10"/>
  <c r="W525" i="10"/>
  <c r="S526" i="10"/>
  <c r="U526" i="10"/>
  <c r="W526" i="10"/>
  <c r="S527" i="10"/>
  <c r="U527" i="10"/>
  <c r="W527" i="10"/>
  <c r="S528" i="10"/>
  <c r="U528" i="10"/>
  <c r="W528" i="10"/>
  <c r="S529" i="10"/>
  <c r="U529" i="10"/>
  <c r="W529" i="10"/>
  <c r="X530" i="10" s="1"/>
  <c r="X529" i="10"/>
  <c r="S530" i="10"/>
  <c r="U530" i="10"/>
  <c r="W530" i="10"/>
  <c r="S531" i="10"/>
  <c r="U531" i="10"/>
  <c r="W531" i="10"/>
  <c r="S532" i="10"/>
  <c r="U532" i="10"/>
  <c r="W532" i="10"/>
  <c r="X531" i="10" s="1"/>
  <c r="S533" i="10"/>
  <c r="T534" i="10" s="1"/>
  <c r="U533" i="10"/>
  <c r="W533" i="10"/>
  <c r="X533" i="10"/>
  <c r="S534" i="10"/>
  <c r="U534" i="10"/>
  <c r="W534" i="10"/>
  <c r="S535" i="10"/>
  <c r="U535" i="10"/>
  <c r="W535" i="10"/>
  <c r="X535" i="10"/>
  <c r="S536" i="10"/>
  <c r="U536" i="10"/>
  <c r="W536" i="10"/>
  <c r="S537" i="10"/>
  <c r="T537" i="10" s="1"/>
  <c r="U537" i="10"/>
  <c r="W537" i="10"/>
  <c r="S538" i="10"/>
  <c r="U538" i="10"/>
  <c r="W538" i="10"/>
  <c r="S539" i="10"/>
  <c r="U539" i="10"/>
  <c r="W539" i="10"/>
  <c r="S540" i="10"/>
  <c r="T541" i="10" s="1"/>
  <c r="U540" i="10"/>
  <c r="W540" i="10"/>
  <c r="X541" i="10" s="1"/>
  <c r="S541" i="10"/>
  <c r="U541" i="10"/>
  <c r="W541" i="10"/>
  <c r="S542" i="10"/>
  <c r="U542" i="10"/>
  <c r="W542" i="10"/>
  <c r="S543" i="10"/>
  <c r="T544" i="10" s="1"/>
  <c r="U543" i="10"/>
  <c r="W543" i="10"/>
  <c r="S544" i="10"/>
  <c r="T545" i="10" s="1"/>
  <c r="U544" i="10"/>
  <c r="W544" i="10"/>
  <c r="S545" i="10"/>
  <c r="U545" i="10"/>
  <c r="W545" i="10"/>
  <c r="S546" i="10"/>
  <c r="U546" i="10"/>
  <c r="W546" i="10"/>
  <c r="X547" i="10" s="1"/>
  <c r="S547" i="10"/>
  <c r="U547" i="10"/>
  <c r="W547" i="10"/>
  <c r="S548" i="10"/>
  <c r="T549" i="10" s="1"/>
  <c r="U548" i="10"/>
  <c r="W548" i="10"/>
  <c r="S549" i="10"/>
  <c r="U549" i="10"/>
  <c r="W549" i="10"/>
  <c r="S550" i="10"/>
  <c r="U550" i="10"/>
  <c r="W550" i="10"/>
  <c r="S551" i="10"/>
  <c r="U551" i="10"/>
  <c r="W551" i="10"/>
  <c r="S552" i="10"/>
  <c r="T553" i="10" s="1"/>
  <c r="U552" i="10"/>
  <c r="W552" i="10"/>
  <c r="S553" i="10"/>
  <c r="U553" i="10"/>
  <c r="W553" i="10"/>
  <c r="S554" i="10"/>
  <c r="U554" i="10"/>
  <c r="W554" i="10"/>
  <c r="S555" i="10"/>
  <c r="U555" i="10"/>
  <c r="W555" i="10"/>
  <c r="X555" i="10"/>
  <c r="S556" i="10"/>
  <c r="U556" i="10"/>
  <c r="W556" i="10"/>
  <c r="S557" i="10"/>
  <c r="U557" i="10"/>
  <c r="W557" i="10"/>
  <c r="S558" i="10"/>
  <c r="U558" i="10"/>
  <c r="W558" i="10"/>
  <c r="S559" i="10"/>
  <c r="U559" i="10"/>
  <c r="W559" i="10"/>
  <c r="S560" i="10"/>
  <c r="U560" i="10"/>
  <c r="W560" i="10"/>
  <c r="S561" i="10"/>
  <c r="U561" i="10"/>
  <c r="V561" i="10" s="1"/>
  <c r="W561" i="10"/>
  <c r="S562" i="10"/>
  <c r="U562" i="10"/>
  <c r="W562" i="10"/>
  <c r="X563" i="10" s="1"/>
  <c r="S563" i="10"/>
  <c r="U563" i="10"/>
  <c r="W563" i="10"/>
  <c r="S564" i="10"/>
  <c r="U564" i="10"/>
  <c r="W564" i="10"/>
  <c r="S565" i="10"/>
  <c r="U565" i="10"/>
  <c r="W565" i="10"/>
  <c r="S566" i="10"/>
  <c r="U566" i="10"/>
  <c r="W566" i="10"/>
  <c r="S567" i="10"/>
  <c r="U567" i="10"/>
  <c r="W567" i="10"/>
  <c r="S568" i="10"/>
  <c r="U568" i="10"/>
  <c r="W568" i="10"/>
  <c r="S569" i="10"/>
  <c r="U569" i="10"/>
  <c r="W569" i="10"/>
  <c r="S570" i="10"/>
  <c r="U570" i="10"/>
  <c r="W570" i="10"/>
  <c r="X571" i="10" s="1"/>
  <c r="S571" i="10"/>
  <c r="U571" i="10"/>
  <c r="W571" i="10"/>
  <c r="S572" i="10"/>
  <c r="U572" i="10"/>
  <c r="W572" i="10"/>
  <c r="S573" i="10"/>
  <c r="U573" i="10"/>
  <c r="W573" i="10"/>
  <c r="S574" i="10"/>
  <c r="U574" i="10"/>
  <c r="W574" i="10"/>
  <c r="S575" i="10"/>
  <c r="U575" i="10"/>
  <c r="W575" i="10"/>
  <c r="S576" i="10"/>
  <c r="T577" i="10" s="1"/>
  <c r="U576" i="10"/>
  <c r="W576" i="10"/>
  <c r="S577" i="10"/>
  <c r="U577" i="10"/>
  <c r="W577" i="10"/>
  <c r="S578" i="10"/>
  <c r="U578" i="10"/>
  <c r="W578" i="10"/>
  <c r="S579" i="10"/>
  <c r="U579" i="10"/>
  <c r="W579" i="10"/>
  <c r="X579" i="10" s="1"/>
  <c r="S580" i="10"/>
  <c r="U580" i="10"/>
  <c r="W580" i="10"/>
  <c r="S581" i="10"/>
  <c r="U581" i="10"/>
  <c r="W581" i="10"/>
  <c r="S582" i="10"/>
  <c r="U582" i="10"/>
  <c r="W582" i="10"/>
  <c r="S583" i="10"/>
  <c r="U583" i="10"/>
  <c r="W583" i="10"/>
  <c r="S584" i="10"/>
  <c r="T585" i="10" s="1"/>
  <c r="U584" i="10"/>
  <c r="W584" i="10"/>
  <c r="X585" i="10" s="1"/>
  <c r="S585" i="10"/>
  <c r="U585" i="10"/>
  <c r="V585" i="10"/>
  <c r="W585" i="10"/>
  <c r="S586" i="10"/>
  <c r="U586" i="10"/>
  <c r="W586" i="10"/>
  <c r="S587" i="10"/>
  <c r="T588" i="10" s="1"/>
  <c r="U587" i="10"/>
  <c r="W587" i="10"/>
  <c r="S588" i="10"/>
  <c r="U588" i="10"/>
  <c r="V589" i="10" s="1"/>
  <c r="W588" i="10"/>
  <c r="X588" i="10"/>
  <c r="S589" i="10"/>
  <c r="U589" i="10"/>
  <c r="W589" i="10"/>
  <c r="S590" i="10"/>
  <c r="U590" i="10"/>
  <c r="W590" i="10"/>
  <c r="X591" i="10" s="1"/>
  <c r="S591" i="10"/>
  <c r="U591" i="10"/>
  <c r="W591" i="10"/>
  <c r="S592" i="10"/>
  <c r="U592" i="10"/>
  <c r="W592" i="10"/>
  <c r="S593" i="10"/>
  <c r="U593" i="10"/>
  <c r="W593" i="10"/>
  <c r="S594" i="10"/>
  <c r="T595" i="10" s="1"/>
  <c r="U594" i="10"/>
  <c r="V595" i="10" s="1"/>
  <c r="W594" i="10"/>
  <c r="S595" i="10"/>
  <c r="U595" i="10"/>
  <c r="W595" i="10"/>
  <c r="S596" i="10"/>
  <c r="U596" i="10"/>
  <c r="V597" i="10" s="1"/>
  <c r="W596" i="10"/>
  <c r="S597" i="10"/>
  <c r="U597" i="10"/>
  <c r="W597" i="10"/>
  <c r="S598" i="10"/>
  <c r="T599" i="10" s="1"/>
  <c r="U598" i="10"/>
  <c r="W598" i="10"/>
  <c r="S599" i="10"/>
  <c r="U599" i="10"/>
  <c r="W599" i="10"/>
  <c r="S600" i="10"/>
  <c r="U600" i="10"/>
  <c r="W600" i="10"/>
  <c r="S601" i="10"/>
  <c r="U601" i="10"/>
  <c r="W601" i="10"/>
  <c r="S602" i="10"/>
  <c r="U602" i="10"/>
  <c r="W602" i="10"/>
  <c r="S603" i="10"/>
  <c r="U603" i="10"/>
  <c r="W603" i="10"/>
  <c r="S604" i="10"/>
  <c r="U604" i="10"/>
  <c r="W604" i="10"/>
  <c r="S605" i="10"/>
  <c r="U605" i="10"/>
  <c r="W605" i="10"/>
  <c r="S606" i="10"/>
  <c r="T607" i="10" s="1"/>
  <c r="U606" i="10"/>
  <c r="V607" i="10" s="1"/>
  <c r="W606" i="10"/>
  <c r="S607" i="10"/>
  <c r="U607" i="10"/>
  <c r="W607" i="10"/>
  <c r="S608" i="10"/>
  <c r="U608" i="10"/>
  <c r="W608" i="10"/>
  <c r="S609" i="10"/>
  <c r="U609" i="10"/>
  <c r="V609" i="10"/>
  <c r="W609" i="10"/>
  <c r="X610" i="10" s="1"/>
  <c r="S610" i="10"/>
  <c r="T611" i="10" s="1"/>
  <c r="U610" i="10"/>
  <c r="W610" i="10"/>
  <c r="S611" i="10"/>
  <c r="U611" i="10"/>
  <c r="W611" i="10"/>
  <c r="S612" i="10"/>
  <c r="U612" i="10"/>
  <c r="W612" i="10"/>
  <c r="S613" i="10"/>
  <c r="U613" i="10"/>
  <c r="W613" i="10"/>
  <c r="S614" i="10"/>
  <c r="U614" i="10"/>
  <c r="V613" i="10" s="1"/>
  <c r="W614" i="10"/>
  <c r="S615" i="10"/>
  <c r="U615" i="10"/>
  <c r="W615" i="10"/>
  <c r="X616" i="10" s="1"/>
  <c r="S616" i="10"/>
  <c r="U616" i="10"/>
  <c r="W616" i="10"/>
  <c r="S617" i="10"/>
  <c r="U617" i="10"/>
  <c r="W617" i="10"/>
  <c r="S618" i="10"/>
  <c r="T619" i="10" s="1"/>
  <c r="U618" i="10"/>
  <c r="W618" i="10"/>
  <c r="S619" i="10"/>
  <c r="U619" i="10"/>
  <c r="W619" i="10"/>
  <c r="S620" i="10"/>
  <c r="U620" i="10"/>
  <c r="W620" i="10"/>
  <c r="S621" i="10"/>
  <c r="U621" i="10"/>
  <c r="V621" i="10"/>
  <c r="W621" i="10"/>
  <c r="X621" i="10"/>
  <c r="S622" i="10"/>
  <c r="U622" i="10"/>
  <c r="W622" i="10"/>
  <c r="X622" i="10"/>
  <c r="S623" i="10"/>
  <c r="U623" i="10"/>
  <c r="W623" i="10"/>
  <c r="S624" i="10"/>
  <c r="U624" i="10"/>
  <c r="V625" i="10" s="1"/>
  <c r="W624" i="10"/>
  <c r="S625" i="10"/>
  <c r="U625" i="10"/>
  <c r="W625" i="10"/>
  <c r="S626" i="10"/>
  <c r="U626" i="10"/>
  <c r="W626" i="10"/>
  <c r="S627" i="10"/>
  <c r="U627" i="10"/>
  <c r="W627" i="10"/>
  <c r="X627" i="10"/>
  <c r="S628" i="10"/>
  <c r="U628" i="10"/>
  <c r="W628" i="10"/>
  <c r="S629" i="10"/>
  <c r="U629" i="10"/>
  <c r="W629" i="10"/>
  <c r="S630" i="10"/>
  <c r="U630" i="10"/>
  <c r="W630" i="10"/>
  <c r="S631" i="10"/>
  <c r="U631" i="10"/>
  <c r="V632" i="10" s="1"/>
  <c r="W631" i="10"/>
  <c r="S632" i="10"/>
  <c r="U632" i="10"/>
  <c r="W632" i="10"/>
  <c r="S633" i="10"/>
  <c r="U633" i="10"/>
  <c r="V633" i="10"/>
  <c r="W633" i="10"/>
  <c r="S634" i="10"/>
  <c r="U634" i="10"/>
  <c r="W634" i="10"/>
  <c r="S635" i="10"/>
  <c r="T635" i="10" s="1"/>
  <c r="U635" i="10"/>
  <c r="W635" i="10"/>
  <c r="S636" i="10"/>
  <c r="U636" i="10"/>
  <c r="W636" i="10"/>
  <c r="S637" i="10"/>
  <c r="U637" i="10"/>
  <c r="W637" i="10"/>
  <c r="S638" i="10"/>
  <c r="U638" i="10"/>
  <c r="W638" i="10"/>
  <c r="S639" i="10"/>
  <c r="U639" i="10"/>
  <c r="W639" i="10"/>
  <c r="X640" i="10" s="1"/>
  <c r="S640" i="10"/>
  <c r="U640" i="10"/>
  <c r="W640" i="10"/>
  <c r="S641" i="10"/>
  <c r="U641" i="10"/>
  <c r="V642" i="10" s="1"/>
  <c r="W641" i="10"/>
  <c r="S642" i="10"/>
  <c r="U642" i="10"/>
  <c r="W642" i="10"/>
  <c r="S643" i="10"/>
  <c r="T643" i="10"/>
  <c r="U643" i="10"/>
  <c r="V644" i="10" s="1"/>
  <c r="W643" i="10"/>
  <c r="S644" i="10"/>
  <c r="U644" i="10"/>
  <c r="W644" i="10"/>
  <c r="S645" i="10"/>
  <c r="U645" i="10"/>
  <c r="V645" i="10"/>
  <c r="W645" i="10"/>
  <c r="S646" i="10"/>
  <c r="T647" i="10" s="1"/>
  <c r="U646" i="10"/>
  <c r="W646" i="10"/>
  <c r="X646" i="10" s="1"/>
  <c r="S647" i="10"/>
  <c r="U647" i="10"/>
  <c r="W647" i="10"/>
  <c r="S648" i="10"/>
  <c r="U648" i="10"/>
  <c r="W648" i="10"/>
  <c r="S649" i="10"/>
  <c r="U649" i="10"/>
  <c r="V649" i="10" s="1"/>
  <c r="W649" i="10"/>
  <c r="S650" i="10"/>
  <c r="U650" i="10"/>
  <c r="W650" i="10"/>
  <c r="S651" i="10"/>
  <c r="U651" i="10"/>
  <c r="W651" i="10"/>
  <c r="S652" i="10"/>
  <c r="T653" i="10" s="1"/>
  <c r="U652" i="10"/>
  <c r="W652" i="10"/>
  <c r="S653" i="10"/>
  <c r="U653" i="10"/>
  <c r="V654" i="10" s="1"/>
  <c r="W653" i="10"/>
  <c r="S654" i="10"/>
  <c r="U654" i="10"/>
  <c r="W654" i="10"/>
  <c r="S655" i="10"/>
  <c r="T655" i="10" s="1"/>
  <c r="U655" i="10"/>
  <c r="W655" i="10"/>
  <c r="X655" i="10"/>
  <c r="S656" i="10"/>
  <c r="U656" i="10"/>
  <c r="V657" i="10" s="1"/>
  <c r="W656" i="10"/>
  <c r="S657" i="10"/>
  <c r="T657" i="10"/>
  <c r="U657" i="10"/>
  <c r="W657" i="10"/>
  <c r="S658" i="10"/>
  <c r="U658" i="10"/>
  <c r="W658" i="10"/>
  <c r="S659" i="10"/>
  <c r="U659" i="10"/>
  <c r="W659" i="10"/>
  <c r="X660" i="10" s="1"/>
  <c r="S660" i="10"/>
  <c r="T660" i="10"/>
  <c r="U660" i="10"/>
  <c r="V661" i="10" s="1"/>
  <c r="W660" i="10"/>
  <c r="S661" i="10"/>
  <c r="T661" i="10" s="1"/>
  <c r="U661" i="10"/>
  <c r="W661" i="10"/>
  <c r="S662" i="10"/>
  <c r="U662" i="10"/>
  <c r="V663" i="10" s="1"/>
  <c r="W662" i="10"/>
  <c r="S663" i="10"/>
  <c r="U663" i="10"/>
  <c r="W663" i="10"/>
  <c r="S664" i="10"/>
  <c r="T665" i="10" s="1"/>
  <c r="U664" i="10"/>
  <c r="W664" i="10"/>
  <c r="S665" i="10"/>
  <c r="U665" i="10"/>
  <c r="W665" i="10"/>
  <c r="S666" i="10"/>
  <c r="U666" i="10"/>
  <c r="W666" i="10"/>
  <c r="S667" i="10"/>
  <c r="T667" i="10" s="1"/>
  <c r="U667" i="10"/>
  <c r="W667" i="10"/>
  <c r="S668" i="10"/>
  <c r="U668" i="10"/>
  <c r="W668" i="10"/>
  <c r="S669" i="10"/>
  <c r="T669" i="10"/>
  <c r="U669" i="10"/>
  <c r="W669" i="10"/>
  <c r="S670" i="10"/>
  <c r="U670" i="10"/>
  <c r="W670" i="10"/>
  <c r="S671" i="10"/>
  <c r="U671" i="10"/>
  <c r="W671" i="10"/>
  <c r="S672" i="10"/>
  <c r="U672" i="10"/>
  <c r="W672" i="10"/>
  <c r="S673" i="10"/>
  <c r="U673" i="10"/>
  <c r="W673" i="10"/>
  <c r="S674" i="10"/>
  <c r="U674" i="10"/>
  <c r="W674" i="10"/>
  <c r="S675" i="10"/>
  <c r="U675" i="10"/>
  <c r="W675" i="10"/>
  <c r="S676" i="10"/>
  <c r="U676" i="10"/>
  <c r="W676" i="10"/>
  <c r="S677" i="10"/>
  <c r="U677" i="10"/>
  <c r="W677" i="10"/>
  <c r="S678" i="10"/>
  <c r="U678" i="10"/>
  <c r="W678" i="10"/>
  <c r="X679" i="10" s="1"/>
  <c r="S679" i="10"/>
  <c r="U679" i="10"/>
  <c r="W679" i="10"/>
  <c r="S680" i="10"/>
  <c r="U680" i="10"/>
  <c r="W680" i="10"/>
  <c r="S681" i="10"/>
  <c r="U681" i="10"/>
  <c r="W681" i="10"/>
  <c r="S682" i="10"/>
  <c r="U682" i="10"/>
  <c r="W682" i="10"/>
  <c r="S683" i="10"/>
  <c r="U683" i="10"/>
  <c r="W683" i="10"/>
  <c r="S684" i="10"/>
  <c r="U684" i="10"/>
  <c r="W684" i="10"/>
  <c r="S685" i="10"/>
  <c r="U685" i="10"/>
  <c r="W685" i="10"/>
  <c r="S686" i="10"/>
  <c r="U686" i="10"/>
  <c r="V687" i="10" s="1"/>
  <c r="W686" i="10"/>
  <c r="S687" i="10"/>
  <c r="U687" i="10"/>
  <c r="W687" i="10"/>
  <c r="S688" i="10"/>
  <c r="T689" i="10" s="1"/>
  <c r="U688" i="10"/>
  <c r="W688" i="10"/>
  <c r="X689" i="10" s="1"/>
  <c r="S689" i="10"/>
  <c r="U689" i="10"/>
  <c r="W689" i="10"/>
  <c r="S690" i="10"/>
  <c r="U690" i="10"/>
  <c r="V691" i="10" s="1"/>
  <c r="W690" i="10"/>
  <c r="S691" i="10"/>
  <c r="U691" i="10"/>
  <c r="W691" i="10"/>
  <c r="S692" i="10"/>
  <c r="U692" i="10"/>
  <c r="W692" i="10"/>
  <c r="S693" i="10"/>
  <c r="U693" i="10"/>
  <c r="W693" i="10"/>
  <c r="S694" i="10"/>
  <c r="U694" i="10"/>
  <c r="W694" i="10"/>
  <c r="S695" i="10"/>
  <c r="U695" i="10"/>
  <c r="W695" i="10"/>
  <c r="S696" i="10"/>
  <c r="T697" i="10" s="1"/>
  <c r="U696" i="10"/>
  <c r="W696" i="10"/>
  <c r="X697" i="10" s="1"/>
  <c r="S697" i="10"/>
  <c r="U697" i="10"/>
  <c r="W697" i="10"/>
  <c r="S698" i="10"/>
  <c r="U698" i="10"/>
  <c r="W698" i="10"/>
  <c r="S699" i="10"/>
  <c r="U699" i="10"/>
  <c r="W699" i="10"/>
  <c r="S700" i="10"/>
  <c r="U700" i="10"/>
  <c r="W700" i="10"/>
  <c r="S701" i="10"/>
  <c r="U701" i="10"/>
  <c r="W701" i="10"/>
  <c r="S702" i="10"/>
  <c r="T703" i="10" s="1"/>
  <c r="U702" i="10"/>
  <c r="W702" i="10"/>
  <c r="S703" i="10"/>
  <c r="U703" i="10"/>
  <c r="W703" i="10"/>
  <c r="S704" i="10"/>
  <c r="U704" i="10"/>
  <c r="W704" i="10"/>
  <c r="S705" i="10"/>
  <c r="U705" i="10"/>
  <c r="W705" i="10"/>
  <c r="S706" i="10"/>
  <c r="T707" i="10" s="1"/>
  <c r="U706" i="10"/>
  <c r="W706" i="10"/>
  <c r="S707" i="10"/>
  <c r="U707" i="10"/>
  <c r="W707" i="10"/>
  <c r="S708" i="10"/>
  <c r="T709" i="10" s="1"/>
  <c r="U708" i="10"/>
  <c r="W708" i="10"/>
  <c r="S709" i="10"/>
  <c r="U709" i="10"/>
  <c r="W709" i="10"/>
  <c r="S710" i="10"/>
  <c r="U710" i="10"/>
  <c r="W710" i="10"/>
  <c r="S711" i="10"/>
  <c r="U711" i="10"/>
  <c r="W711" i="10"/>
  <c r="S712" i="10"/>
  <c r="T713" i="10" s="1"/>
  <c r="U712" i="10"/>
  <c r="W712" i="10"/>
  <c r="S713" i="10"/>
  <c r="U713" i="10"/>
  <c r="W713" i="10"/>
  <c r="S714" i="10"/>
  <c r="U714" i="10"/>
  <c r="W714" i="10"/>
  <c r="S715" i="10"/>
  <c r="U715" i="10"/>
  <c r="W715" i="10"/>
  <c r="S716" i="10"/>
  <c r="U716" i="10"/>
  <c r="W716" i="10"/>
  <c r="S717" i="10"/>
  <c r="U717" i="10"/>
  <c r="W717" i="10"/>
  <c r="S718" i="10"/>
  <c r="U718" i="10"/>
  <c r="W718" i="10"/>
  <c r="S719" i="10"/>
  <c r="U719" i="10"/>
  <c r="W719" i="10"/>
  <c r="S720" i="10"/>
  <c r="T721" i="10" s="1"/>
  <c r="U720" i="10"/>
  <c r="W720" i="10"/>
  <c r="S721" i="10"/>
  <c r="U721" i="10"/>
  <c r="W721" i="10"/>
  <c r="S722" i="10"/>
  <c r="U722" i="10"/>
  <c r="W722" i="10"/>
  <c r="S723" i="10"/>
  <c r="U723" i="10"/>
  <c r="W723" i="10"/>
  <c r="S724" i="10"/>
  <c r="U724" i="10"/>
  <c r="W724" i="10"/>
  <c r="S725" i="10"/>
  <c r="U725" i="10"/>
  <c r="W725" i="10"/>
  <c r="S726" i="10"/>
  <c r="U726" i="10"/>
  <c r="W726" i="10"/>
  <c r="S727" i="10"/>
  <c r="U727" i="10"/>
  <c r="W727" i="10"/>
  <c r="S728" i="10"/>
  <c r="U728" i="10"/>
  <c r="W728" i="10"/>
  <c r="S729" i="10"/>
  <c r="U729" i="10"/>
  <c r="W729" i="10"/>
  <c r="S730" i="10"/>
  <c r="U730" i="10"/>
  <c r="W730" i="10"/>
  <c r="S731" i="10"/>
  <c r="U731" i="10"/>
  <c r="W731" i="10"/>
  <c r="S732" i="10"/>
  <c r="U732" i="10"/>
  <c r="W732" i="10"/>
  <c r="S733" i="10"/>
  <c r="T733" i="10"/>
  <c r="U733" i="10"/>
  <c r="W733" i="10"/>
  <c r="S734" i="10"/>
  <c r="U734" i="10"/>
  <c r="W734" i="10"/>
  <c r="S735" i="10"/>
  <c r="U735" i="10"/>
  <c r="W735" i="10"/>
  <c r="S736" i="10"/>
  <c r="U736" i="10"/>
  <c r="W736" i="10"/>
  <c r="S737" i="10"/>
  <c r="U737" i="10"/>
  <c r="W737" i="10"/>
  <c r="S738" i="10"/>
  <c r="U738" i="10"/>
  <c r="W738" i="10"/>
  <c r="S739" i="10"/>
  <c r="U739" i="10"/>
  <c r="W739" i="10"/>
  <c r="S740" i="10"/>
  <c r="U740" i="10"/>
  <c r="W740" i="10"/>
  <c r="S741" i="10"/>
  <c r="U741" i="10"/>
  <c r="W741" i="10"/>
  <c r="S742" i="10"/>
  <c r="U742" i="10"/>
  <c r="W742" i="10"/>
  <c r="S743" i="10"/>
  <c r="U743" i="10"/>
  <c r="W743" i="10"/>
  <c r="S744" i="10"/>
  <c r="U744" i="10"/>
  <c r="W744" i="10"/>
  <c r="S745" i="10"/>
  <c r="U745" i="10"/>
  <c r="W745" i="10"/>
  <c r="S746" i="10"/>
  <c r="U746" i="10"/>
  <c r="W746" i="10"/>
  <c r="S747" i="10"/>
  <c r="T747" i="10"/>
  <c r="U747" i="10"/>
  <c r="W747" i="10"/>
  <c r="X748" i="10" s="1"/>
  <c r="S748" i="10"/>
  <c r="U748" i="10"/>
  <c r="W748" i="10"/>
  <c r="S749" i="10"/>
  <c r="U749" i="10"/>
  <c r="W749" i="10"/>
  <c r="S750" i="10"/>
  <c r="T751" i="10" s="1"/>
  <c r="U750" i="10"/>
  <c r="W750" i="10"/>
  <c r="X750" i="10" s="1"/>
  <c r="S751" i="10"/>
  <c r="U751" i="10"/>
  <c r="V752" i="10" s="1"/>
  <c r="W751" i="10"/>
  <c r="S752" i="10"/>
  <c r="U752" i="10"/>
  <c r="V753" i="10" s="1"/>
  <c r="W752" i="10"/>
  <c r="S753" i="10"/>
  <c r="U753" i="10"/>
  <c r="W753" i="10"/>
  <c r="S754" i="10"/>
  <c r="U754" i="10"/>
  <c r="W754" i="10"/>
  <c r="S755" i="10"/>
  <c r="U755" i="10"/>
  <c r="W755" i="10"/>
  <c r="S756" i="10"/>
  <c r="U756" i="10"/>
  <c r="W756" i="10"/>
  <c r="S757" i="10"/>
  <c r="U757" i="10"/>
  <c r="W757" i="10"/>
  <c r="S758" i="10"/>
  <c r="T759" i="10" s="1"/>
  <c r="U758" i="10"/>
  <c r="W758" i="10"/>
  <c r="S759" i="10"/>
  <c r="U759" i="10"/>
  <c r="W759" i="10"/>
  <c r="S760" i="10"/>
  <c r="U760" i="10"/>
  <c r="W760" i="10"/>
  <c r="S761" i="10"/>
  <c r="U761" i="10"/>
  <c r="W761" i="10"/>
  <c r="S762" i="10"/>
  <c r="T763" i="10" s="1"/>
  <c r="U762" i="10"/>
  <c r="W762" i="10"/>
  <c r="S763" i="10"/>
  <c r="U763" i="10"/>
  <c r="W763" i="10"/>
  <c r="S764" i="10"/>
  <c r="U764" i="10"/>
  <c r="W764" i="10"/>
  <c r="S765" i="10"/>
  <c r="U765" i="10"/>
  <c r="W765" i="10"/>
  <c r="S766" i="10"/>
  <c r="U766" i="10"/>
  <c r="W766" i="10"/>
  <c r="X767" i="10" s="1"/>
  <c r="S767" i="10"/>
  <c r="U767" i="10"/>
  <c r="W767" i="10"/>
  <c r="S768" i="10"/>
  <c r="U768" i="10"/>
  <c r="W768" i="10"/>
  <c r="S769" i="10"/>
  <c r="U769" i="10"/>
  <c r="W769" i="10"/>
  <c r="X768" i="10" s="1"/>
  <c r="S770" i="10"/>
  <c r="U770" i="10"/>
  <c r="V770" i="10" s="1"/>
  <c r="W770" i="10"/>
  <c r="S771" i="10"/>
  <c r="U771" i="10"/>
  <c r="W771" i="10"/>
  <c r="X772" i="10" s="1"/>
  <c r="S772" i="10"/>
  <c r="U772" i="10"/>
  <c r="W772" i="10"/>
  <c r="S773" i="10"/>
  <c r="U773" i="10"/>
  <c r="W773" i="10"/>
  <c r="S774" i="10"/>
  <c r="U774" i="10"/>
  <c r="W774" i="10"/>
  <c r="S775" i="10"/>
  <c r="T776" i="10" s="1"/>
  <c r="U775" i="10"/>
  <c r="W775" i="10"/>
  <c r="S776" i="10"/>
  <c r="U776" i="10"/>
  <c r="W776" i="10"/>
  <c r="S777" i="10"/>
  <c r="U777" i="10"/>
  <c r="W777" i="10"/>
  <c r="S778" i="10"/>
  <c r="U778" i="10"/>
  <c r="W778" i="10"/>
  <c r="S779" i="10"/>
  <c r="U779" i="10"/>
  <c r="W779" i="10"/>
  <c r="X780" i="10" s="1"/>
  <c r="S780" i="10"/>
  <c r="U780" i="10"/>
  <c r="W780" i="10"/>
  <c r="S781" i="10"/>
  <c r="U781" i="10"/>
  <c r="W781" i="10"/>
  <c r="S782" i="10"/>
  <c r="T783" i="10" s="1"/>
  <c r="U782" i="10"/>
  <c r="W782" i="10"/>
  <c r="S783" i="10"/>
  <c r="U783" i="10"/>
  <c r="W783" i="10"/>
  <c r="X784" i="10" s="1"/>
  <c r="S784" i="10"/>
  <c r="U784" i="10"/>
  <c r="W784" i="10"/>
  <c r="S785" i="10"/>
  <c r="U785" i="10"/>
  <c r="W785" i="10"/>
  <c r="S786" i="10"/>
  <c r="U786" i="10"/>
  <c r="W786" i="10"/>
  <c r="S787" i="10"/>
  <c r="T788" i="10" s="1"/>
  <c r="U787" i="10"/>
  <c r="W787" i="10"/>
  <c r="S788" i="10"/>
  <c r="U788" i="10"/>
  <c r="W788" i="10"/>
  <c r="S789" i="10"/>
  <c r="U789" i="10"/>
  <c r="W789" i="10"/>
  <c r="S790" i="10"/>
  <c r="U790" i="10"/>
  <c r="W790" i="10"/>
  <c r="S791" i="10"/>
  <c r="U791" i="10"/>
  <c r="W791" i="10"/>
  <c r="S792" i="10"/>
  <c r="U792" i="10"/>
  <c r="W792" i="10"/>
  <c r="S793" i="10"/>
  <c r="U793" i="10"/>
  <c r="W793" i="10"/>
  <c r="X792" i="10" s="1"/>
  <c r="S794" i="10"/>
  <c r="U794" i="10"/>
  <c r="W794" i="10"/>
  <c r="S795" i="10"/>
  <c r="U795" i="10"/>
  <c r="W795" i="10"/>
  <c r="S796" i="10"/>
  <c r="U796" i="10"/>
  <c r="W796" i="10"/>
  <c r="S797" i="10"/>
  <c r="U797" i="10"/>
  <c r="W797" i="10"/>
  <c r="S798" i="10"/>
  <c r="U798" i="10"/>
  <c r="W798" i="10"/>
  <c r="S799" i="10"/>
  <c r="U799" i="10"/>
  <c r="V800" i="10" s="1"/>
  <c r="W799" i="10"/>
  <c r="S800" i="10"/>
  <c r="U800" i="10"/>
  <c r="W800" i="10"/>
  <c r="S801" i="10"/>
  <c r="U801" i="10"/>
  <c r="W801" i="10"/>
  <c r="S802" i="10"/>
  <c r="U802" i="10"/>
  <c r="W802" i="10"/>
  <c r="S803" i="10"/>
  <c r="T804" i="10" s="1"/>
  <c r="U803" i="10"/>
  <c r="V804" i="10" s="1"/>
  <c r="W803" i="10"/>
  <c r="S804" i="10"/>
  <c r="U804" i="10"/>
  <c r="W804" i="10"/>
  <c r="S805" i="10"/>
  <c r="U805" i="10"/>
  <c r="W805" i="10"/>
  <c r="S806" i="10"/>
  <c r="U806" i="10"/>
  <c r="W806" i="10"/>
  <c r="S807" i="10"/>
  <c r="T808" i="10" s="1"/>
  <c r="U807" i="10"/>
  <c r="V808" i="10" s="1"/>
  <c r="W807" i="10"/>
  <c r="S808" i="10"/>
  <c r="U808" i="10"/>
  <c r="W808" i="10"/>
  <c r="S809" i="10"/>
  <c r="T809" i="10"/>
  <c r="U809" i="10"/>
  <c r="W809" i="10"/>
  <c r="S810" i="10"/>
  <c r="U810" i="10"/>
  <c r="W810" i="10"/>
  <c r="X811" i="10" s="1"/>
  <c r="S811" i="10"/>
  <c r="T811" i="10" s="1"/>
  <c r="U811" i="10"/>
  <c r="V812" i="10" s="1"/>
  <c r="W811" i="10"/>
  <c r="S812" i="10"/>
  <c r="U812" i="10"/>
  <c r="W812" i="10"/>
  <c r="S813" i="10"/>
  <c r="T814" i="10" s="1"/>
  <c r="T813" i="10"/>
  <c r="U813" i="10"/>
  <c r="W813" i="10"/>
  <c r="S814" i="10"/>
  <c r="U814" i="10"/>
  <c r="V814" i="10" s="1"/>
  <c r="W814" i="10"/>
  <c r="S815" i="10"/>
  <c r="U815" i="10"/>
  <c r="W815" i="10"/>
  <c r="S816" i="10"/>
  <c r="U816" i="10"/>
  <c r="W816" i="10"/>
  <c r="S817" i="10"/>
  <c r="U817" i="10"/>
  <c r="W817" i="10"/>
  <c r="X816" i="10" s="1"/>
  <c r="S818" i="10"/>
  <c r="U818" i="10"/>
  <c r="V819" i="10" s="1"/>
  <c r="W818" i="10"/>
  <c r="S819" i="10"/>
  <c r="U819" i="10"/>
  <c r="V820" i="10" s="1"/>
  <c r="W819" i="10"/>
  <c r="S820" i="10"/>
  <c r="U820" i="10"/>
  <c r="W820" i="10"/>
  <c r="S821" i="10"/>
  <c r="U821" i="10"/>
  <c r="W821" i="10"/>
  <c r="S822" i="10"/>
  <c r="U822" i="10"/>
  <c r="W822" i="10"/>
  <c r="S823" i="10"/>
  <c r="U823" i="10"/>
  <c r="W823" i="10"/>
  <c r="S824" i="10"/>
  <c r="U824" i="10"/>
  <c r="W824" i="10"/>
  <c r="S825" i="10"/>
  <c r="U825" i="10"/>
  <c r="W825" i="10"/>
  <c r="S826" i="10"/>
  <c r="U826" i="10"/>
  <c r="W826" i="10"/>
  <c r="S827" i="10"/>
  <c r="T828" i="10" s="1"/>
  <c r="U827" i="10"/>
  <c r="W827" i="10"/>
  <c r="S828" i="10"/>
  <c r="U828" i="10"/>
  <c r="W828" i="10"/>
  <c r="X827" i="10" s="1"/>
  <c r="S829" i="10"/>
  <c r="U829" i="10"/>
  <c r="V830" i="10" s="1"/>
  <c r="W829" i="10"/>
  <c r="X829" i="10"/>
  <c r="S830" i="10"/>
  <c r="U830" i="10"/>
  <c r="W830" i="10"/>
  <c r="X830" i="10" s="1"/>
  <c r="S831" i="10"/>
  <c r="U831" i="10"/>
  <c r="W831" i="10"/>
  <c r="S832" i="10"/>
  <c r="U832" i="10"/>
  <c r="W832" i="10"/>
  <c r="S833" i="10"/>
  <c r="T833" i="10"/>
  <c r="U833" i="10"/>
  <c r="W833" i="10"/>
  <c r="S834" i="10"/>
  <c r="U834" i="10"/>
  <c r="W834" i="10"/>
  <c r="S835" i="10"/>
  <c r="U835" i="10"/>
  <c r="W835" i="10"/>
  <c r="S836" i="10"/>
  <c r="U836" i="10"/>
  <c r="W836" i="10"/>
  <c r="X836" i="10"/>
  <c r="S837" i="10"/>
  <c r="U837" i="10"/>
  <c r="W837" i="10"/>
  <c r="S838" i="10"/>
  <c r="U838" i="10"/>
  <c r="W838" i="10"/>
  <c r="S839" i="10"/>
  <c r="U839" i="10"/>
  <c r="W839" i="10"/>
  <c r="S840" i="10"/>
  <c r="U840" i="10"/>
  <c r="V840" i="10"/>
  <c r="W840" i="10"/>
  <c r="S841" i="10"/>
  <c r="U841" i="10"/>
  <c r="W841" i="10"/>
  <c r="S842" i="10"/>
  <c r="U842" i="10"/>
  <c r="W842" i="10"/>
  <c r="S843" i="10"/>
  <c r="U843" i="10"/>
  <c r="W843" i="10"/>
  <c r="S844" i="10"/>
  <c r="U844" i="10"/>
  <c r="W844" i="10"/>
  <c r="X845" i="10" s="1"/>
  <c r="S845" i="10"/>
  <c r="U845" i="10"/>
  <c r="W845" i="10"/>
  <c r="S846" i="10"/>
  <c r="T845" i="10" s="1"/>
  <c r="U846" i="10"/>
  <c r="W846" i="10"/>
  <c r="S847" i="10"/>
  <c r="U847" i="10"/>
  <c r="W847" i="10"/>
  <c r="S848" i="10"/>
  <c r="U848" i="10"/>
  <c r="W848" i="10"/>
  <c r="S849" i="10"/>
  <c r="U849" i="10"/>
  <c r="W849" i="10"/>
  <c r="S850" i="10"/>
  <c r="U850" i="10"/>
  <c r="W850" i="10"/>
  <c r="S851" i="10"/>
  <c r="U851" i="10"/>
  <c r="W851" i="10"/>
  <c r="X852" i="10" s="1"/>
  <c r="X851" i="10"/>
  <c r="S852" i="10"/>
  <c r="U852" i="10"/>
  <c r="W852" i="10"/>
  <c r="X853" i="10" s="1"/>
  <c r="S853" i="10"/>
  <c r="U853" i="10"/>
  <c r="W853" i="10"/>
  <c r="S854" i="10"/>
  <c r="U854" i="10"/>
  <c r="W854" i="10"/>
  <c r="S855" i="10"/>
  <c r="T856" i="10" s="1"/>
  <c r="U855" i="10"/>
  <c r="V854" i="10" s="1"/>
  <c r="W855" i="10"/>
  <c r="S856" i="10"/>
  <c r="U856" i="10"/>
  <c r="W856" i="10"/>
  <c r="S857" i="10"/>
  <c r="U857" i="10"/>
  <c r="W857" i="10"/>
  <c r="S858" i="10"/>
  <c r="U858" i="10"/>
  <c r="W858" i="10"/>
  <c r="S859" i="10"/>
  <c r="T858" i="10" s="1"/>
  <c r="U859" i="10"/>
  <c r="W859" i="10"/>
  <c r="S860" i="10"/>
  <c r="U860" i="10"/>
  <c r="W860" i="10"/>
  <c r="S861" i="10"/>
  <c r="U861" i="10"/>
  <c r="W861" i="10"/>
  <c r="S862" i="10"/>
  <c r="T863" i="10" s="1"/>
  <c r="U862" i="10"/>
  <c r="V862" i="10"/>
  <c r="W862" i="10"/>
  <c r="S863" i="10"/>
  <c r="U863" i="10"/>
  <c r="W863" i="10"/>
  <c r="S864" i="10"/>
  <c r="U864" i="10"/>
  <c r="W864" i="10"/>
  <c r="S865" i="10"/>
  <c r="T864" i="10" s="1"/>
  <c r="U865" i="10"/>
  <c r="W865" i="10"/>
  <c r="S866" i="10"/>
  <c r="U866" i="10"/>
  <c r="W866" i="10"/>
  <c r="S867" i="10"/>
  <c r="U867" i="10"/>
  <c r="W867" i="10"/>
  <c r="S868" i="10"/>
  <c r="U868" i="10"/>
  <c r="W868" i="10"/>
  <c r="S869" i="10"/>
  <c r="U869" i="10"/>
  <c r="W869" i="10"/>
  <c r="X868" i="10" s="1"/>
  <c r="S870" i="10"/>
  <c r="U870" i="10"/>
  <c r="W870" i="10"/>
  <c r="S871" i="10"/>
  <c r="U871" i="10"/>
  <c r="W871" i="10"/>
  <c r="S872" i="10"/>
  <c r="T873" i="10" s="1"/>
  <c r="U872" i="10"/>
  <c r="W872" i="10"/>
  <c r="S873" i="10"/>
  <c r="U873" i="10"/>
  <c r="W873" i="10"/>
  <c r="S874" i="10"/>
  <c r="U874" i="10"/>
  <c r="W874" i="10"/>
  <c r="S875" i="10"/>
  <c r="U875" i="10"/>
  <c r="W875" i="10"/>
  <c r="S876" i="10"/>
  <c r="U876" i="10"/>
  <c r="W876" i="10"/>
  <c r="S877" i="10"/>
  <c r="U877" i="10"/>
  <c r="V878" i="10" s="1"/>
  <c r="W877" i="10"/>
  <c r="S878" i="10"/>
  <c r="U878" i="10"/>
  <c r="W878" i="10"/>
  <c r="S879" i="10"/>
  <c r="U879" i="10"/>
  <c r="W879" i="10"/>
  <c r="S880" i="10"/>
  <c r="U880" i="10"/>
  <c r="W880" i="10"/>
  <c r="S881" i="10"/>
  <c r="T881" i="10" s="1"/>
  <c r="U881" i="10"/>
  <c r="W881" i="10"/>
  <c r="S882" i="10"/>
  <c r="U882" i="10"/>
  <c r="W882" i="10"/>
  <c r="X882" i="10"/>
  <c r="S883" i="10"/>
  <c r="U883" i="10"/>
  <c r="W883" i="10"/>
  <c r="S884" i="10"/>
  <c r="U884" i="10"/>
  <c r="W884" i="10"/>
  <c r="S885" i="10"/>
  <c r="U885" i="10"/>
  <c r="W885" i="10"/>
  <c r="S886" i="10"/>
  <c r="U886" i="10"/>
  <c r="W886" i="10"/>
  <c r="S887" i="10"/>
  <c r="T888" i="10" s="1"/>
  <c r="U887" i="10"/>
  <c r="W887" i="10"/>
  <c r="X888" i="10" s="1"/>
  <c r="S888" i="10"/>
  <c r="U888" i="10"/>
  <c r="V888" i="10" s="1"/>
  <c r="W888" i="10"/>
  <c r="S889" i="10"/>
  <c r="U889" i="10"/>
  <c r="W889" i="10"/>
  <c r="S890" i="10"/>
  <c r="U890" i="10"/>
  <c r="W890" i="10"/>
  <c r="X891" i="10" s="1"/>
  <c r="S891" i="10"/>
  <c r="U891" i="10"/>
  <c r="W891" i="10"/>
  <c r="S892" i="10"/>
  <c r="T893" i="10" s="1"/>
  <c r="U892" i="10"/>
  <c r="W892" i="10"/>
  <c r="S893" i="10"/>
  <c r="U893" i="10"/>
  <c r="W893" i="10"/>
  <c r="S894" i="10"/>
  <c r="U894" i="10"/>
  <c r="W894" i="10"/>
  <c r="S895" i="10"/>
  <c r="U895" i="10"/>
  <c r="W895" i="10"/>
  <c r="S896" i="10"/>
  <c r="U896" i="10"/>
  <c r="W896" i="10"/>
  <c r="S897" i="10"/>
  <c r="U897" i="10"/>
  <c r="W897" i="10"/>
  <c r="S898" i="10"/>
  <c r="U898" i="10"/>
  <c r="W898" i="10"/>
  <c r="S899" i="10"/>
  <c r="U899" i="10"/>
  <c r="W899" i="10"/>
  <c r="S900" i="10"/>
  <c r="U900" i="10"/>
  <c r="W900" i="10"/>
  <c r="S901" i="10"/>
  <c r="U901" i="10"/>
  <c r="W901" i="10"/>
  <c r="X901" i="10" s="1"/>
  <c r="S902" i="10"/>
  <c r="U902" i="10"/>
  <c r="W902" i="10"/>
  <c r="S903" i="10"/>
  <c r="U903" i="10"/>
  <c r="W903" i="10"/>
  <c r="X904" i="10" s="1"/>
  <c r="S904" i="10"/>
  <c r="U904" i="10"/>
  <c r="W904" i="10"/>
  <c r="S905" i="10"/>
  <c r="U905" i="10"/>
  <c r="W905" i="10"/>
  <c r="S906" i="10"/>
  <c r="U906" i="10"/>
  <c r="W906" i="10"/>
  <c r="S907" i="10"/>
  <c r="U907" i="10"/>
  <c r="W907" i="10"/>
  <c r="S908" i="10"/>
  <c r="U908" i="10"/>
  <c r="W908" i="10"/>
  <c r="X907" i="10" s="1"/>
  <c r="S909" i="10"/>
  <c r="U909" i="10"/>
  <c r="W909" i="10"/>
  <c r="S910" i="10"/>
  <c r="U910" i="10"/>
  <c r="W910" i="10"/>
  <c r="S911" i="10"/>
  <c r="U911" i="10"/>
  <c r="W911" i="10"/>
  <c r="S912" i="10"/>
  <c r="U912" i="10"/>
  <c r="W912" i="10"/>
  <c r="S913" i="10"/>
  <c r="U913" i="10"/>
  <c r="W913" i="10"/>
  <c r="S914" i="10"/>
  <c r="U914" i="10"/>
  <c r="W914" i="10"/>
  <c r="S915" i="10"/>
  <c r="T916" i="10" s="1"/>
  <c r="U915" i="10"/>
  <c r="W915" i="10"/>
  <c r="S916" i="10"/>
  <c r="U916" i="10"/>
  <c r="V916" i="10" s="1"/>
  <c r="W916" i="10"/>
  <c r="S917" i="10"/>
  <c r="T917" i="10"/>
  <c r="U917" i="10"/>
  <c r="W917" i="10"/>
  <c r="S918" i="10"/>
  <c r="U918" i="10"/>
  <c r="W918" i="10"/>
  <c r="S919" i="10"/>
  <c r="U919" i="10"/>
  <c r="W919" i="10"/>
  <c r="S920" i="10"/>
  <c r="U920" i="10"/>
  <c r="W920" i="10"/>
  <c r="S921" i="10"/>
  <c r="U921" i="10"/>
  <c r="V922" i="10" s="1"/>
  <c r="W921" i="10"/>
  <c r="S922" i="10"/>
  <c r="U922" i="10"/>
  <c r="W922" i="10"/>
  <c r="S923" i="10"/>
  <c r="U923" i="10"/>
  <c r="W923" i="10"/>
  <c r="S924" i="10"/>
  <c r="U924" i="10"/>
  <c r="W924" i="10"/>
  <c r="X925" i="10" s="1"/>
  <c r="S925" i="10"/>
  <c r="U925" i="10"/>
  <c r="W925" i="10"/>
  <c r="S926" i="10"/>
  <c r="U926" i="10"/>
  <c r="W926" i="10"/>
  <c r="S927" i="10"/>
  <c r="U927" i="10"/>
  <c r="W927" i="10"/>
  <c r="S928" i="10"/>
  <c r="T929" i="10" s="1"/>
  <c r="U928" i="10"/>
  <c r="W928" i="10"/>
  <c r="X928" i="10"/>
  <c r="S929" i="10"/>
  <c r="U929" i="10"/>
  <c r="W929" i="10"/>
  <c r="S930" i="10"/>
  <c r="U930" i="10"/>
  <c r="W930" i="10"/>
  <c r="S931" i="10"/>
  <c r="U931" i="10"/>
  <c r="V932" i="10" s="1"/>
  <c r="W931" i="10"/>
  <c r="S932" i="10"/>
  <c r="U932" i="10"/>
  <c r="W932" i="10"/>
  <c r="S933" i="10"/>
  <c r="U933" i="10"/>
  <c r="V934" i="10" s="1"/>
  <c r="W933" i="10"/>
  <c r="S934" i="10"/>
  <c r="U934" i="10"/>
  <c r="W934" i="10"/>
  <c r="S935" i="10"/>
  <c r="U935" i="10"/>
  <c r="W935" i="10"/>
  <c r="X936" i="10" s="1"/>
  <c r="S936" i="10"/>
  <c r="U936" i="10"/>
  <c r="V936" i="10" s="1"/>
  <c r="W936" i="10"/>
  <c r="S937" i="10"/>
  <c r="U937" i="10"/>
  <c r="W937" i="10"/>
  <c r="S938" i="10"/>
  <c r="U938" i="10"/>
  <c r="W938" i="10"/>
  <c r="S939" i="10"/>
  <c r="U939" i="10"/>
  <c r="W939" i="10"/>
  <c r="S940" i="10"/>
  <c r="U940" i="10"/>
  <c r="W940" i="10"/>
  <c r="S941" i="10"/>
  <c r="T942" i="10" s="1"/>
  <c r="U941" i="10"/>
  <c r="W941" i="10"/>
  <c r="S942" i="10"/>
  <c r="U942" i="10"/>
  <c r="W942" i="10"/>
  <c r="S943" i="10"/>
  <c r="U943" i="10"/>
  <c r="W943" i="10"/>
  <c r="S944" i="10"/>
  <c r="U944" i="10"/>
  <c r="W944" i="10"/>
  <c r="X945" i="10" s="1"/>
  <c r="S945" i="10"/>
  <c r="U945" i="10"/>
  <c r="W945" i="10"/>
  <c r="S946" i="10"/>
  <c r="U946" i="10"/>
  <c r="W946" i="10"/>
  <c r="S947" i="10"/>
  <c r="U947" i="10"/>
  <c r="V948" i="10" s="1"/>
  <c r="W947" i="10"/>
  <c r="X946" i="10" s="1"/>
  <c r="S948" i="10"/>
  <c r="U948" i="10"/>
  <c r="W948" i="10"/>
  <c r="S949" i="10"/>
  <c r="U949" i="10"/>
  <c r="W949" i="10"/>
  <c r="S950" i="10"/>
  <c r="U950" i="10"/>
  <c r="W950" i="10"/>
  <c r="S951" i="10"/>
  <c r="U951" i="10"/>
  <c r="W951" i="10"/>
  <c r="X952" i="10" s="1"/>
  <c r="S952" i="10"/>
  <c r="U952" i="10"/>
  <c r="V952" i="10" s="1"/>
  <c r="W952" i="10"/>
  <c r="S953" i="10"/>
  <c r="U953" i="10"/>
  <c r="W953" i="10"/>
  <c r="S954" i="10"/>
  <c r="U954" i="10"/>
  <c r="V955" i="10" s="1"/>
  <c r="W954" i="10"/>
  <c r="X954" i="10"/>
  <c r="S955" i="10"/>
  <c r="T956" i="10" s="1"/>
  <c r="U955" i="10"/>
  <c r="W955" i="10"/>
  <c r="S956" i="10"/>
  <c r="U956" i="10"/>
  <c r="W956" i="10"/>
  <c r="S957" i="10"/>
  <c r="U957" i="10"/>
  <c r="W957" i="10"/>
  <c r="S958" i="10"/>
  <c r="U958" i="10"/>
  <c r="W958" i="10"/>
  <c r="S959" i="10"/>
  <c r="U959" i="10"/>
  <c r="W959" i="10"/>
  <c r="S960" i="10"/>
  <c r="U960" i="10"/>
  <c r="W960" i="10"/>
  <c r="S961" i="10"/>
  <c r="U961" i="10"/>
  <c r="W961" i="10"/>
  <c r="X962" i="10" s="1"/>
  <c r="S962" i="10"/>
  <c r="U962" i="10"/>
  <c r="W962" i="10"/>
  <c r="S963" i="10"/>
  <c r="T964" i="10" s="1"/>
  <c r="U963" i="10"/>
  <c r="V964" i="10" s="1"/>
  <c r="W963" i="10"/>
  <c r="S964" i="10"/>
  <c r="U964" i="10"/>
  <c r="W964" i="10"/>
  <c r="S965" i="10"/>
  <c r="U965" i="10"/>
  <c r="W965" i="10"/>
  <c r="S966" i="10"/>
  <c r="U966" i="10"/>
  <c r="W966" i="10"/>
  <c r="S967" i="10"/>
  <c r="U967" i="10"/>
  <c r="V968" i="10" s="1"/>
  <c r="W967" i="10"/>
  <c r="S968" i="10"/>
  <c r="U968" i="10"/>
  <c r="W968" i="10"/>
  <c r="X969" i="10" s="1"/>
  <c r="X968" i="10"/>
  <c r="S969" i="10"/>
  <c r="U969" i="10"/>
  <c r="W969" i="10"/>
  <c r="S970" i="10"/>
  <c r="U970" i="10"/>
  <c r="V971" i="10" s="1"/>
  <c r="W970" i="10"/>
  <c r="X970" i="10"/>
  <c r="S971" i="10"/>
  <c r="U971" i="10"/>
  <c r="W971" i="10"/>
  <c r="S972" i="10"/>
  <c r="U972" i="10"/>
  <c r="W972" i="10"/>
  <c r="S973" i="10"/>
  <c r="U973" i="10"/>
  <c r="W973" i="10"/>
  <c r="X974" i="10" s="1"/>
  <c r="S974" i="10"/>
  <c r="U974" i="10"/>
  <c r="W974" i="10"/>
  <c r="S975" i="10"/>
  <c r="U975" i="10"/>
  <c r="W975" i="10"/>
  <c r="S976" i="10"/>
  <c r="U976" i="10"/>
  <c r="V976" i="10" s="1"/>
  <c r="W976" i="10"/>
  <c r="S977" i="10"/>
  <c r="U977" i="10"/>
  <c r="W977" i="10"/>
  <c r="X978" i="10" s="1"/>
  <c r="S978" i="10"/>
  <c r="U978" i="10"/>
  <c r="V979" i="10" s="1"/>
  <c r="W978" i="10"/>
  <c r="S979" i="10"/>
  <c r="U979" i="10"/>
  <c r="W979" i="10"/>
  <c r="S980" i="10"/>
  <c r="U980" i="10"/>
  <c r="W980" i="10"/>
  <c r="S981" i="10"/>
  <c r="U981" i="10"/>
  <c r="W981" i="10"/>
  <c r="X982" i="10" s="1"/>
  <c r="S982" i="10"/>
  <c r="U982" i="10"/>
  <c r="W982" i="10"/>
  <c r="S983" i="10"/>
  <c r="U983" i="10"/>
  <c r="W983" i="10"/>
  <c r="S984" i="10"/>
  <c r="U984" i="10"/>
  <c r="V985" i="10" s="1"/>
  <c r="V984" i="10"/>
  <c r="W984" i="10"/>
  <c r="S985" i="10"/>
  <c r="U985" i="10"/>
  <c r="W985" i="10"/>
  <c r="S986" i="10"/>
  <c r="U986" i="10"/>
  <c r="W986" i="10"/>
  <c r="S987" i="10"/>
  <c r="U987" i="10"/>
  <c r="V986" i="10" s="1"/>
  <c r="W987" i="10"/>
  <c r="S988" i="10"/>
  <c r="U988" i="10"/>
  <c r="W988" i="10"/>
  <c r="S989" i="10"/>
  <c r="U989" i="10"/>
  <c r="V990" i="10" s="1"/>
  <c r="W989" i="10"/>
  <c r="S990" i="10"/>
  <c r="U990" i="10"/>
  <c r="W990" i="10"/>
  <c r="S991" i="10"/>
  <c r="U991" i="10"/>
  <c r="W991" i="10"/>
  <c r="S992" i="10"/>
  <c r="U992" i="10"/>
  <c r="W992" i="10"/>
  <c r="X993" i="10" s="1"/>
  <c r="X992" i="10"/>
  <c r="S993" i="10"/>
  <c r="U993" i="10"/>
  <c r="W993" i="10"/>
  <c r="S994" i="10"/>
  <c r="U994" i="10"/>
  <c r="W994" i="10"/>
  <c r="S995" i="10"/>
  <c r="U995" i="10"/>
  <c r="W995" i="10"/>
  <c r="S996" i="10"/>
  <c r="U996" i="10"/>
  <c r="W996" i="10"/>
  <c r="S997" i="10"/>
  <c r="U997" i="10"/>
  <c r="W997" i="10"/>
  <c r="S998" i="10"/>
  <c r="U998" i="10"/>
  <c r="W998" i="10"/>
  <c r="X998" i="10" s="1"/>
  <c r="S999" i="10"/>
  <c r="U999" i="10"/>
  <c r="W999" i="10"/>
  <c r="S1000" i="10"/>
  <c r="U1000" i="10"/>
  <c r="V1001" i="10" s="1"/>
  <c r="W1000" i="10"/>
  <c r="S1001" i="10"/>
  <c r="U1001" i="10"/>
  <c r="W1001" i="10"/>
  <c r="S1002" i="10"/>
  <c r="U1002" i="10"/>
  <c r="W1002" i="10"/>
  <c r="S1003" i="10"/>
  <c r="U1003" i="10"/>
  <c r="V1004" i="10" s="1"/>
  <c r="W1003" i="10"/>
  <c r="X1004" i="10" s="1"/>
  <c r="S1004" i="10"/>
  <c r="U1004" i="10"/>
  <c r="W1004" i="10"/>
  <c r="S1005" i="10"/>
  <c r="U1005" i="10"/>
  <c r="W1005" i="10"/>
  <c r="S1006" i="10"/>
  <c r="U1006" i="10"/>
  <c r="W1006" i="10"/>
  <c r="X1007" i="10" s="1"/>
  <c r="X1006" i="10"/>
  <c r="S1007" i="10"/>
  <c r="T1008" i="10" s="1"/>
  <c r="U1007" i="10"/>
  <c r="W1007" i="10"/>
  <c r="S1008" i="10"/>
  <c r="U1008" i="10"/>
  <c r="W1008" i="10"/>
  <c r="S1009" i="10"/>
  <c r="U1009" i="10"/>
  <c r="W1009" i="10"/>
  <c r="S1010" i="10"/>
  <c r="U1010" i="10"/>
  <c r="W1010" i="10"/>
  <c r="S1011" i="10"/>
  <c r="U1011" i="10"/>
  <c r="V1012" i="10" s="1"/>
  <c r="W1011" i="10"/>
  <c r="S1012" i="10"/>
  <c r="U1012" i="10"/>
  <c r="W1012" i="10"/>
  <c r="S1013" i="10"/>
  <c r="U1013" i="10"/>
  <c r="W1013" i="10"/>
  <c r="S1014" i="10"/>
  <c r="U1014" i="10"/>
  <c r="W1014" i="10"/>
  <c r="X1015" i="10" s="1"/>
  <c r="X1014" i="10"/>
  <c r="S1015" i="10"/>
  <c r="U1015" i="10"/>
  <c r="W1015" i="10"/>
  <c r="S1016" i="10"/>
  <c r="U1016" i="10"/>
  <c r="W1016" i="10"/>
  <c r="S1017" i="10"/>
  <c r="U1017" i="10"/>
  <c r="W1017" i="10"/>
  <c r="S1018" i="10"/>
  <c r="U1018" i="10"/>
  <c r="W1018" i="10"/>
  <c r="S1019" i="10"/>
  <c r="U1019" i="10"/>
  <c r="W1019" i="10"/>
  <c r="S1020" i="10"/>
  <c r="U1020" i="10"/>
  <c r="W1020" i="10"/>
  <c r="S1021" i="10"/>
  <c r="U1021" i="10"/>
  <c r="V1020" i="10" s="1"/>
  <c r="W1021" i="10"/>
  <c r="X1022" i="10" s="1"/>
  <c r="S1022" i="10"/>
  <c r="U1022" i="10"/>
  <c r="W1022" i="10"/>
  <c r="S1023" i="10"/>
  <c r="U1023" i="10"/>
  <c r="W1023" i="10"/>
  <c r="S1024" i="10"/>
  <c r="U1024" i="10"/>
  <c r="W1024" i="10"/>
  <c r="S1025" i="10"/>
  <c r="U1025" i="10"/>
  <c r="V1026" i="10" s="1"/>
  <c r="W1025" i="10"/>
  <c r="X1026" i="10" s="1"/>
  <c r="S1026" i="10"/>
  <c r="U1026" i="10"/>
  <c r="W1026" i="10"/>
  <c r="S1027" i="10"/>
  <c r="U1027" i="10"/>
  <c r="W1027" i="10"/>
  <c r="S1028" i="10"/>
  <c r="U1028" i="10"/>
  <c r="W1028" i="10"/>
  <c r="S1029" i="10"/>
  <c r="U1029" i="10"/>
  <c r="V1028" i="10" s="1"/>
  <c r="W1029" i="10"/>
  <c r="S1030" i="10"/>
  <c r="U1030" i="10"/>
  <c r="W1030" i="10"/>
  <c r="S1031" i="10"/>
  <c r="U1031" i="10"/>
  <c r="W1031" i="10"/>
  <c r="S1032" i="10"/>
  <c r="U1032" i="10"/>
  <c r="W1032" i="10"/>
  <c r="S1033" i="10"/>
  <c r="U1033" i="10"/>
  <c r="V1034" i="10" s="1"/>
  <c r="W1033" i="10"/>
  <c r="X1034" i="10" s="1"/>
  <c r="S1034" i="10"/>
  <c r="U1034" i="10"/>
  <c r="W1034" i="10"/>
  <c r="S1035" i="10"/>
  <c r="U1035" i="10"/>
  <c r="W1035" i="10"/>
  <c r="S1036" i="10"/>
  <c r="U1036" i="10"/>
  <c r="W1036" i="10"/>
  <c r="X1037" i="10" s="1"/>
  <c r="S1037" i="10"/>
  <c r="U1037" i="10"/>
  <c r="V1036" i="10" s="1"/>
  <c r="W1037" i="10"/>
  <c r="S1038" i="10"/>
  <c r="U1038" i="10"/>
  <c r="W1038" i="10"/>
  <c r="S1039" i="10"/>
  <c r="U1039" i="10"/>
  <c r="W1039" i="10"/>
  <c r="S1040" i="10"/>
  <c r="U1040" i="10"/>
  <c r="W1040" i="10"/>
  <c r="S1041" i="10"/>
  <c r="U1041" i="10"/>
  <c r="V1042" i="10" s="1"/>
  <c r="W1041" i="10"/>
  <c r="S1042" i="10"/>
  <c r="U1042" i="10"/>
  <c r="W1042" i="10"/>
  <c r="S1043" i="10"/>
  <c r="U1043" i="10"/>
  <c r="W1043" i="10"/>
  <c r="S1044" i="10"/>
  <c r="U1044" i="10"/>
  <c r="V1044" i="10"/>
  <c r="W1044" i="10"/>
  <c r="X1045" i="10" s="1"/>
  <c r="S1045" i="10"/>
  <c r="U1045" i="10"/>
  <c r="W1045" i="10"/>
  <c r="S1046" i="10"/>
  <c r="U1046" i="10"/>
  <c r="W1046" i="10"/>
  <c r="S1047" i="10"/>
  <c r="U1047" i="10"/>
  <c r="W1047" i="10"/>
  <c r="S1048" i="10"/>
  <c r="U1048" i="10"/>
  <c r="V1049" i="10" s="1"/>
  <c r="W1048" i="10"/>
  <c r="S1049" i="10"/>
  <c r="U1049" i="10"/>
  <c r="W1049" i="10"/>
  <c r="S1050" i="10"/>
  <c r="U1050" i="10"/>
  <c r="W1050" i="10"/>
  <c r="S1051" i="10"/>
  <c r="U1051" i="10"/>
  <c r="V1050" i="10" s="1"/>
  <c r="W1051" i="10"/>
  <c r="X1052" i="10" s="1"/>
  <c r="S1052" i="10"/>
  <c r="U1052" i="10"/>
  <c r="W1052" i="10"/>
  <c r="S1053" i="10"/>
  <c r="U1053" i="10"/>
  <c r="W1053" i="10"/>
  <c r="S1054" i="10"/>
  <c r="U1054" i="10"/>
  <c r="W1054" i="10"/>
  <c r="S1055" i="10"/>
  <c r="U1055" i="10"/>
  <c r="W1055" i="10"/>
  <c r="X1056" i="10" s="1"/>
  <c r="S1056" i="10"/>
  <c r="U1056" i="10"/>
  <c r="W1056" i="10"/>
  <c r="S1057" i="10"/>
  <c r="U1057" i="10"/>
  <c r="W1057" i="10"/>
  <c r="S1058" i="10"/>
  <c r="U1058" i="10"/>
  <c r="W1058" i="10"/>
  <c r="X1059" i="10" s="1"/>
  <c r="S1059" i="10"/>
  <c r="T1060" i="10" s="1"/>
  <c r="T1059" i="10"/>
  <c r="U1059" i="10"/>
  <c r="V1058" i="10" s="1"/>
  <c r="W1059" i="10"/>
  <c r="S1060" i="10"/>
  <c r="U1060" i="10"/>
  <c r="W1060" i="10"/>
  <c r="S1061" i="10"/>
  <c r="U1061" i="10"/>
  <c r="V1061" i="10" s="1"/>
  <c r="W1061" i="10"/>
  <c r="S1062" i="10"/>
  <c r="U1062" i="10"/>
  <c r="W1062" i="10"/>
  <c r="S1063" i="10"/>
  <c r="U1063" i="10"/>
  <c r="W1063" i="10"/>
  <c r="S1064" i="10"/>
  <c r="U1064" i="10"/>
  <c r="W1064" i="10"/>
  <c r="S1065" i="10"/>
  <c r="U1065" i="10"/>
  <c r="W1065" i="10"/>
  <c r="S1066" i="10"/>
  <c r="U1066" i="10"/>
  <c r="W1066" i="10"/>
  <c r="X1066" i="10"/>
  <c r="T3" i="10"/>
  <c r="X11" i="10"/>
  <c r="V10" i="10"/>
  <c r="V9" i="10"/>
  <c r="V8" i="10"/>
  <c r="W3" i="10"/>
  <c r="X4" i="10" s="1"/>
  <c r="W4" i="10"/>
  <c r="X5" i="10" s="1"/>
  <c r="W5" i="10"/>
  <c r="W6" i="10"/>
  <c r="W7" i="10"/>
  <c r="W8" i="10"/>
  <c r="X9" i="10" s="1"/>
  <c r="W9" i="10"/>
  <c r="W10" i="10"/>
  <c r="X10" i="10" s="1"/>
  <c r="W11" i="10"/>
  <c r="W12" i="10"/>
  <c r="W13" i="10"/>
  <c r="W14" i="10"/>
  <c r="W15" i="10"/>
  <c r="X16" i="10" s="1"/>
  <c r="W16" i="10"/>
  <c r="W2" i="10"/>
  <c r="X3" i="10" s="1"/>
  <c r="U3" i="10"/>
  <c r="U4" i="10"/>
  <c r="U5" i="10"/>
  <c r="V6" i="10" s="1"/>
  <c r="U6" i="10"/>
  <c r="V7" i="10" s="1"/>
  <c r="U7" i="10"/>
  <c r="U8" i="10"/>
  <c r="U9" i="10"/>
  <c r="U10" i="10"/>
  <c r="U11" i="10"/>
  <c r="U12" i="10"/>
  <c r="U13" i="10"/>
  <c r="U14" i="10"/>
  <c r="U15" i="10"/>
  <c r="U16" i="10"/>
  <c r="U2" i="10"/>
  <c r="S3" i="10"/>
  <c r="T4" i="10" s="1"/>
  <c r="S4" i="10"/>
  <c r="T5" i="10" s="1"/>
  <c r="S5" i="10"/>
  <c r="T6" i="10" s="1"/>
  <c r="S6" i="10"/>
  <c r="S7" i="10"/>
  <c r="S8" i="10"/>
  <c r="S9" i="10"/>
  <c r="S10" i="10"/>
  <c r="S11" i="10"/>
  <c r="S12" i="10"/>
  <c r="S13" i="10"/>
  <c r="T14" i="10" s="1"/>
  <c r="S14" i="10"/>
  <c r="T15" i="10" s="1"/>
  <c r="S15" i="10"/>
  <c r="T16" i="10" s="1"/>
  <c r="S16" i="10"/>
  <c r="S2" i="10"/>
  <c r="Z709" i="10"/>
  <c r="AB709" i="10" s="1"/>
  <c r="Z710" i="10"/>
  <c r="AB710" i="10" s="1"/>
  <c r="Z711" i="10"/>
  <c r="AB711" i="10" s="1"/>
  <c r="Z712" i="10"/>
  <c r="AB712" i="10" s="1"/>
  <c r="Z713" i="10"/>
  <c r="AB713" i="10" s="1"/>
  <c r="Z714" i="10"/>
  <c r="AB714" i="10" s="1"/>
  <c r="Z715" i="10"/>
  <c r="AB715" i="10" s="1"/>
  <c r="Z716" i="10"/>
  <c r="AB716" i="10" s="1"/>
  <c r="Z717" i="10"/>
  <c r="AB717" i="10" s="1"/>
  <c r="Z718" i="10"/>
  <c r="AB718" i="10" s="1"/>
  <c r="Z719" i="10"/>
  <c r="AB719" i="10" s="1"/>
  <c r="Z720" i="10"/>
  <c r="AB720" i="10" s="1"/>
  <c r="Z721" i="10"/>
  <c r="AB721" i="10" s="1"/>
  <c r="AC720" i="10" s="1"/>
  <c r="Z722" i="10"/>
  <c r="AB722" i="10" s="1"/>
  <c r="Z723" i="10"/>
  <c r="AB723" i="10" s="1"/>
  <c r="Z724" i="10"/>
  <c r="AB724" i="10" s="1"/>
  <c r="Z725" i="10"/>
  <c r="AB725" i="10" s="1"/>
  <c r="Z726" i="10"/>
  <c r="AB726" i="10" s="1"/>
  <c r="Z727" i="10"/>
  <c r="AB727" i="10" s="1"/>
  <c r="AC726" i="10" s="1"/>
  <c r="Z728" i="10"/>
  <c r="AB728" i="10" s="1"/>
  <c r="Z729" i="10"/>
  <c r="AB729" i="10" s="1"/>
  <c r="Z730" i="10"/>
  <c r="AB730" i="10" s="1"/>
  <c r="Z731" i="10"/>
  <c r="AB731" i="10" s="1"/>
  <c r="Z732" i="10"/>
  <c r="AB732" i="10" s="1"/>
  <c r="Z733" i="10"/>
  <c r="AB733" i="10" s="1"/>
  <c r="Z734" i="10"/>
  <c r="AB734" i="10" s="1"/>
  <c r="Z735" i="10"/>
  <c r="AB735" i="10" s="1"/>
  <c r="Z736" i="10"/>
  <c r="AB736" i="10" s="1"/>
  <c r="Z737" i="10"/>
  <c r="AB737" i="10" s="1"/>
  <c r="AC736" i="10" s="1"/>
  <c r="Z738" i="10"/>
  <c r="AB738" i="10" s="1"/>
  <c r="Z739" i="10"/>
  <c r="AB739" i="10" s="1"/>
  <c r="Z740" i="10"/>
  <c r="AB740" i="10" s="1"/>
  <c r="Z741" i="10"/>
  <c r="AB741" i="10" s="1"/>
  <c r="Z742" i="10"/>
  <c r="AB742" i="10" s="1"/>
  <c r="Z743" i="10"/>
  <c r="AB743" i="10" s="1"/>
  <c r="Z744" i="10"/>
  <c r="AB744" i="10" s="1"/>
  <c r="Z745" i="10"/>
  <c r="AB745" i="10" s="1"/>
  <c r="Z746" i="10"/>
  <c r="AB746" i="10" s="1"/>
  <c r="Z747" i="10"/>
  <c r="AB747" i="10" s="1"/>
  <c r="Z748" i="10"/>
  <c r="AB748" i="10" s="1"/>
  <c r="Z749" i="10"/>
  <c r="AB749" i="10" s="1"/>
  <c r="AC748" i="10" s="1"/>
  <c r="Z750" i="10"/>
  <c r="AB750" i="10" s="1"/>
  <c r="Z751" i="10"/>
  <c r="AB751" i="10" s="1"/>
  <c r="Z752" i="10"/>
  <c r="AB752" i="10" s="1"/>
  <c r="Z753" i="10"/>
  <c r="AB753" i="10" s="1"/>
  <c r="Z754" i="10"/>
  <c r="AB754" i="10" s="1"/>
  <c r="Z755" i="10"/>
  <c r="AB755" i="10" s="1"/>
  <c r="Z756" i="10"/>
  <c r="AB756" i="10" s="1"/>
  <c r="Z757" i="10"/>
  <c r="AB757" i="10" s="1"/>
  <c r="Z758" i="10"/>
  <c r="AB758" i="10" s="1"/>
  <c r="Z759" i="10"/>
  <c r="AB759" i="10" s="1"/>
  <c r="Z760" i="10"/>
  <c r="AB760" i="10" s="1"/>
  <c r="Z761" i="10"/>
  <c r="AB761" i="10" s="1"/>
  <c r="AC760" i="10" s="1"/>
  <c r="Z762" i="10"/>
  <c r="AB762" i="10" s="1"/>
  <c r="Z763" i="10"/>
  <c r="AB763" i="10" s="1"/>
  <c r="Z764" i="10"/>
  <c r="AB764" i="10" s="1"/>
  <c r="Z765" i="10"/>
  <c r="AB765" i="10" s="1"/>
  <c r="Z766" i="10"/>
  <c r="AB766" i="10" s="1"/>
  <c r="Z767" i="10"/>
  <c r="AB767" i="10" s="1"/>
  <c r="Z768" i="10"/>
  <c r="AB768" i="10" s="1"/>
  <c r="Z769" i="10"/>
  <c r="AB769" i="10" s="1"/>
  <c r="Z770" i="10"/>
  <c r="AB770" i="10" s="1"/>
  <c r="Z771" i="10"/>
  <c r="AB771" i="10" s="1"/>
  <c r="Z772" i="10"/>
  <c r="AB772" i="10" s="1"/>
  <c r="Z773" i="10"/>
  <c r="AB773" i="10" s="1"/>
  <c r="AC772" i="10" s="1"/>
  <c r="Z774" i="10"/>
  <c r="AB774" i="10" s="1"/>
  <c r="Z775" i="10"/>
  <c r="AB775" i="10" s="1"/>
  <c r="Z776" i="10"/>
  <c r="AB776" i="10" s="1"/>
  <c r="Z777" i="10"/>
  <c r="AB777" i="10" s="1"/>
  <c r="Z778" i="10"/>
  <c r="AB778" i="10" s="1"/>
  <c r="Z779" i="10"/>
  <c r="AB779" i="10" s="1"/>
  <c r="Z780" i="10"/>
  <c r="AB780" i="10" s="1"/>
  <c r="Z781" i="10"/>
  <c r="AB781" i="10" s="1"/>
  <c r="Z782" i="10"/>
  <c r="AB782" i="10" s="1"/>
  <c r="Z783" i="10"/>
  <c r="AB783" i="10" s="1"/>
  <c r="Z784" i="10"/>
  <c r="AB784" i="10" s="1"/>
  <c r="Z785" i="10"/>
  <c r="AB785" i="10" s="1"/>
  <c r="AC784" i="10" s="1"/>
  <c r="Z786" i="10"/>
  <c r="AB786" i="10" s="1"/>
  <c r="Z787" i="10"/>
  <c r="AB787" i="10" s="1"/>
  <c r="Z788" i="10"/>
  <c r="AB788" i="10" s="1"/>
  <c r="Z789" i="10"/>
  <c r="AB789" i="10" s="1"/>
  <c r="Z790" i="10"/>
  <c r="AB790" i="10" s="1"/>
  <c r="Z791" i="10"/>
  <c r="AB791" i="10" s="1"/>
  <c r="Z792" i="10"/>
  <c r="AB792" i="10" s="1"/>
  <c r="Z793" i="10"/>
  <c r="AB793" i="10" s="1"/>
  <c r="Z794" i="10"/>
  <c r="AB794" i="10" s="1"/>
  <c r="Z795" i="10"/>
  <c r="AB795" i="10" s="1"/>
  <c r="Z796" i="10"/>
  <c r="AB796" i="10" s="1"/>
  <c r="Z797" i="10"/>
  <c r="AB797" i="10" s="1"/>
  <c r="AC796" i="10" s="1"/>
  <c r="Z798" i="10"/>
  <c r="AB798" i="10" s="1"/>
  <c r="Z799" i="10"/>
  <c r="AB799" i="10" s="1"/>
  <c r="Z800" i="10"/>
  <c r="AB800" i="10" s="1"/>
  <c r="Z801" i="10"/>
  <c r="AB801" i="10" s="1"/>
  <c r="Z802" i="10"/>
  <c r="AB802" i="10" s="1"/>
  <c r="Z803" i="10"/>
  <c r="AB803" i="10" s="1"/>
  <c r="Z804" i="10"/>
  <c r="AB804" i="10" s="1"/>
  <c r="Z805" i="10"/>
  <c r="AB805" i="10" s="1"/>
  <c r="Z806" i="10"/>
  <c r="AB806" i="10" s="1"/>
  <c r="Z807" i="10"/>
  <c r="AB807" i="10" s="1"/>
  <c r="Z808" i="10"/>
  <c r="AB808" i="10" s="1"/>
  <c r="Z809" i="10"/>
  <c r="AB809" i="10" s="1"/>
  <c r="Z810" i="10"/>
  <c r="AB810" i="10" s="1"/>
  <c r="Z811" i="10"/>
  <c r="AB811" i="10" s="1"/>
  <c r="Z812" i="10"/>
  <c r="AB812" i="10" s="1"/>
  <c r="Z813" i="10"/>
  <c r="AB813" i="10" s="1"/>
  <c r="Z814" i="10"/>
  <c r="AB814" i="10" s="1"/>
  <c r="Z815" i="10"/>
  <c r="AB815" i="10" s="1"/>
  <c r="Z816" i="10"/>
  <c r="AB816" i="10" s="1"/>
  <c r="Z817" i="10"/>
  <c r="AB817" i="10" s="1"/>
  <c r="Z818" i="10"/>
  <c r="AB818" i="10" s="1"/>
  <c r="Z819" i="10"/>
  <c r="AB819" i="10" s="1"/>
  <c r="Z820" i="10"/>
  <c r="AB820" i="10" s="1"/>
  <c r="Z821" i="10"/>
  <c r="AB821" i="10" s="1"/>
  <c r="Z822" i="10"/>
  <c r="AB822" i="10" s="1"/>
  <c r="Z823" i="10"/>
  <c r="AB823" i="10" s="1"/>
  <c r="Z824" i="10"/>
  <c r="AB824" i="10" s="1"/>
  <c r="Z825" i="10"/>
  <c r="AB825" i="10" s="1"/>
  <c r="Z826" i="10"/>
  <c r="AB826" i="10" s="1"/>
  <c r="Z827" i="10"/>
  <c r="AB827" i="10" s="1"/>
  <c r="Z828" i="10"/>
  <c r="AB828" i="10" s="1"/>
  <c r="Z829" i="10"/>
  <c r="AB829" i="10" s="1"/>
  <c r="Z830" i="10"/>
  <c r="AB830" i="10" s="1"/>
  <c r="Z831" i="10"/>
  <c r="AB831" i="10" s="1"/>
  <c r="Z832" i="10"/>
  <c r="AB832" i="10" s="1"/>
  <c r="Z833" i="10"/>
  <c r="AB833" i="10" s="1"/>
  <c r="Z834" i="10"/>
  <c r="AB834" i="10" s="1"/>
  <c r="Z835" i="10"/>
  <c r="AB835" i="10" s="1"/>
  <c r="Z836" i="10"/>
  <c r="AB836" i="10" s="1"/>
  <c r="Z837" i="10"/>
  <c r="AB837" i="10" s="1"/>
  <c r="Z838" i="10"/>
  <c r="AB838" i="10" s="1"/>
  <c r="Z839" i="10"/>
  <c r="AB839" i="10" s="1"/>
  <c r="Z840" i="10"/>
  <c r="AB840" i="10" s="1"/>
  <c r="Z841" i="10"/>
  <c r="AB841" i="10" s="1"/>
  <c r="Z842" i="10"/>
  <c r="AB842" i="10" s="1"/>
  <c r="Z843" i="10"/>
  <c r="AB843" i="10" s="1"/>
  <c r="Z844" i="10"/>
  <c r="AB844" i="10" s="1"/>
  <c r="Z845" i="10"/>
  <c r="AB845" i="10" s="1"/>
  <c r="Z846" i="10"/>
  <c r="AB846" i="10" s="1"/>
  <c r="Z847" i="10"/>
  <c r="AB847" i="10" s="1"/>
  <c r="Z848" i="10"/>
  <c r="AB848" i="10" s="1"/>
  <c r="Z849" i="10"/>
  <c r="AB849" i="10" s="1"/>
  <c r="Z850" i="10"/>
  <c r="AB850" i="10" s="1"/>
  <c r="Z851" i="10"/>
  <c r="AB851" i="10" s="1"/>
  <c r="Z852" i="10"/>
  <c r="AB852" i="10" s="1"/>
  <c r="Z853" i="10"/>
  <c r="AB853" i="10" s="1"/>
  <c r="Z854" i="10"/>
  <c r="AB854" i="10" s="1"/>
  <c r="Z855" i="10"/>
  <c r="AB855" i="10" s="1"/>
  <c r="Z856" i="10"/>
  <c r="AB856" i="10" s="1"/>
  <c r="Z857" i="10"/>
  <c r="AB857" i="10" s="1"/>
  <c r="Z858" i="10"/>
  <c r="AB858" i="10" s="1"/>
  <c r="Z859" i="10"/>
  <c r="AB859" i="10" s="1"/>
  <c r="Z860" i="10"/>
  <c r="AB860" i="10" s="1"/>
  <c r="Z861" i="10"/>
  <c r="AB861" i="10" s="1"/>
  <c r="Z862" i="10"/>
  <c r="AB862" i="10" s="1"/>
  <c r="Z863" i="10"/>
  <c r="AB863" i="10" s="1"/>
  <c r="Z864" i="10"/>
  <c r="AB864" i="10" s="1"/>
  <c r="Z865" i="10"/>
  <c r="AB865" i="10" s="1"/>
  <c r="Z866" i="10"/>
  <c r="AB866" i="10" s="1"/>
  <c r="Z867" i="10"/>
  <c r="AB867" i="10" s="1"/>
  <c r="Z868" i="10"/>
  <c r="AB868" i="10" s="1"/>
  <c r="Z869" i="10"/>
  <c r="AB869" i="10" s="1"/>
  <c r="Z870" i="10"/>
  <c r="AB870" i="10" s="1"/>
  <c r="Z871" i="10"/>
  <c r="AB871" i="10" s="1"/>
  <c r="Z872" i="10"/>
  <c r="AB872" i="10" s="1"/>
  <c r="Z873" i="10"/>
  <c r="AB873" i="10" s="1"/>
  <c r="Z874" i="10"/>
  <c r="AB874" i="10" s="1"/>
  <c r="Z875" i="10"/>
  <c r="AB875" i="10" s="1"/>
  <c r="Z876" i="10"/>
  <c r="AB876" i="10" s="1"/>
  <c r="Z877" i="10"/>
  <c r="AB877" i="10" s="1"/>
  <c r="Z878" i="10"/>
  <c r="AB878" i="10" s="1"/>
  <c r="AC879" i="10" s="1"/>
  <c r="Z879" i="10"/>
  <c r="AB879" i="10" s="1"/>
  <c r="Z880" i="10"/>
  <c r="AB880" i="10" s="1"/>
  <c r="Z881" i="10"/>
  <c r="AB881" i="10" s="1"/>
  <c r="Z882" i="10"/>
  <c r="AB882" i="10" s="1"/>
  <c r="Z883" i="10"/>
  <c r="AB883" i="10" s="1"/>
  <c r="Z884" i="10"/>
  <c r="AB884" i="10" s="1"/>
  <c r="Z885" i="10"/>
  <c r="AB885" i="10" s="1"/>
  <c r="Z886" i="10"/>
  <c r="AB886" i="10" s="1"/>
  <c r="Z887" i="10"/>
  <c r="AB887" i="10" s="1"/>
  <c r="Z888" i="10"/>
  <c r="AB888" i="10" s="1"/>
  <c r="Z889" i="10"/>
  <c r="AB889" i="10" s="1"/>
  <c r="Z890" i="10"/>
  <c r="AB890" i="10" s="1"/>
  <c r="AC891" i="10" s="1"/>
  <c r="Z891" i="10"/>
  <c r="AB891" i="10" s="1"/>
  <c r="Z892" i="10"/>
  <c r="AB892" i="10" s="1"/>
  <c r="Z893" i="10"/>
  <c r="AB893" i="10" s="1"/>
  <c r="Z894" i="10"/>
  <c r="AB894" i="10" s="1"/>
  <c r="Z895" i="10"/>
  <c r="AB895" i="10" s="1"/>
  <c r="Z896" i="10"/>
  <c r="AB896" i="10" s="1"/>
  <c r="Z897" i="10"/>
  <c r="AB897" i="10" s="1"/>
  <c r="Z898" i="10"/>
  <c r="AB898" i="10" s="1"/>
  <c r="Z899" i="10"/>
  <c r="AB899" i="10" s="1"/>
  <c r="Z900" i="10"/>
  <c r="AB900" i="10" s="1"/>
  <c r="Z901" i="10"/>
  <c r="AB901" i="10" s="1"/>
  <c r="Z902" i="10"/>
  <c r="AB902" i="10" s="1"/>
  <c r="AC903" i="10" s="1"/>
  <c r="Z903" i="10"/>
  <c r="AB903" i="10" s="1"/>
  <c r="Z904" i="10"/>
  <c r="AB904" i="10" s="1"/>
  <c r="Z905" i="10"/>
  <c r="AB905" i="10" s="1"/>
  <c r="Z906" i="10"/>
  <c r="AB906" i="10" s="1"/>
  <c r="Z907" i="10"/>
  <c r="AB907" i="10" s="1"/>
  <c r="Z908" i="10"/>
  <c r="AB908" i="10" s="1"/>
  <c r="Z909" i="10"/>
  <c r="AB909" i="10" s="1"/>
  <c r="Z910" i="10"/>
  <c r="AB910" i="10" s="1"/>
  <c r="Z911" i="10"/>
  <c r="AB911" i="10" s="1"/>
  <c r="Z912" i="10"/>
  <c r="AB912" i="10" s="1"/>
  <c r="Z913" i="10"/>
  <c r="AB913" i="10" s="1"/>
  <c r="Z914" i="10"/>
  <c r="AB914" i="10" s="1"/>
  <c r="AC915" i="10" s="1"/>
  <c r="Z915" i="10"/>
  <c r="AB915" i="10" s="1"/>
  <c r="Z916" i="10"/>
  <c r="AB916" i="10" s="1"/>
  <c r="Z917" i="10"/>
  <c r="AB917" i="10" s="1"/>
  <c r="Z918" i="10"/>
  <c r="AB918" i="10" s="1"/>
  <c r="Z919" i="10"/>
  <c r="AB919" i="10" s="1"/>
  <c r="Z920" i="10"/>
  <c r="AB920" i="10" s="1"/>
  <c r="Z921" i="10"/>
  <c r="AB921" i="10" s="1"/>
  <c r="Z922" i="10"/>
  <c r="AB922" i="10" s="1"/>
  <c r="Z923" i="10"/>
  <c r="AB923" i="10" s="1"/>
  <c r="Z924" i="10"/>
  <c r="AB924" i="10" s="1"/>
  <c r="Z925" i="10"/>
  <c r="AB925" i="10" s="1"/>
  <c r="Z926" i="10"/>
  <c r="AB926" i="10" s="1"/>
  <c r="AC927" i="10" s="1"/>
  <c r="Z927" i="10"/>
  <c r="AB927" i="10" s="1"/>
  <c r="Z928" i="10"/>
  <c r="AB928" i="10" s="1"/>
  <c r="Z929" i="10"/>
  <c r="AB929" i="10" s="1"/>
  <c r="Z930" i="10"/>
  <c r="AB930" i="10" s="1"/>
  <c r="Z931" i="10"/>
  <c r="AB931" i="10" s="1"/>
  <c r="Z932" i="10"/>
  <c r="AB932" i="10" s="1"/>
  <c r="Z933" i="10"/>
  <c r="AB933" i="10" s="1"/>
  <c r="Z934" i="10"/>
  <c r="AB934" i="10" s="1"/>
  <c r="Z935" i="10"/>
  <c r="AB935" i="10" s="1"/>
  <c r="Z936" i="10"/>
  <c r="AB936" i="10" s="1"/>
  <c r="Z937" i="10"/>
  <c r="AB937" i="10" s="1"/>
  <c r="Z938" i="10"/>
  <c r="AB938" i="10" s="1"/>
  <c r="AC939" i="10" s="1"/>
  <c r="Z939" i="10"/>
  <c r="AB939" i="10" s="1"/>
  <c r="Z940" i="10"/>
  <c r="AB940" i="10" s="1"/>
  <c r="Z941" i="10"/>
  <c r="AB941" i="10" s="1"/>
  <c r="Z942" i="10"/>
  <c r="AB942" i="10" s="1"/>
  <c r="Z943" i="10"/>
  <c r="AB943" i="10" s="1"/>
  <c r="Z944" i="10"/>
  <c r="AB944" i="10" s="1"/>
  <c r="Z945" i="10"/>
  <c r="AB945" i="10" s="1"/>
  <c r="Z946" i="10"/>
  <c r="AB946" i="10" s="1"/>
  <c r="Z947" i="10"/>
  <c r="AB947" i="10" s="1"/>
  <c r="Z948" i="10"/>
  <c r="AB948" i="10" s="1"/>
  <c r="Z949" i="10"/>
  <c r="AB949" i="10" s="1"/>
  <c r="Z950" i="10"/>
  <c r="AB950" i="10" s="1"/>
  <c r="AC951" i="10" s="1"/>
  <c r="Z951" i="10"/>
  <c r="AB951" i="10" s="1"/>
  <c r="Z952" i="10"/>
  <c r="AB952" i="10" s="1"/>
  <c r="Z953" i="10"/>
  <c r="AB953" i="10" s="1"/>
  <c r="Z954" i="10"/>
  <c r="AB954" i="10" s="1"/>
  <c r="Z955" i="10"/>
  <c r="AB955" i="10" s="1"/>
  <c r="Z956" i="10"/>
  <c r="AB956" i="10" s="1"/>
  <c r="Z957" i="10"/>
  <c r="AB957" i="10" s="1"/>
  <c r="Z958" i="10"/>
  <c r="AB958" i="10" s="1"/>
  <c r="Z959" i="10"/>
  <c r="AB959" i="10" s="1"/>
  <c r="Z960" i="10"/>
  <c r="AB960" i="10" s="1"/>
  <c r="Z961" i="10"/>
  <c r="AB961" i="10" s="1"/>
  <c r="Z962" i="10"/>
  <c r="AB962" i="10" s="1"/>
  <c r="AC963" i="10" s="1"/>
  <c r="Z963" i="10"/>
  <c r="AB963" i="10" s="1"/>
  <c r="Z964" i="10"/>
  <c r="AB964" i="10" s="1"/>
  <c r="Z965" i="10"/>
  <c r="AB965" i="10" s="1"/>
  <c r="Z966" i="10"/>
  <c r="AB966" i="10" s="1"/>
  <c r="Z967" i="10"/>
  <c r="AB967" i="10" s="1"/>
  <c r="Z968" i="10"/>
  <c r="AB968" i="10" s="1"/>
  <c r="Z969" i="10"/>
  <c r="AB969" i="10" s="1"/>
  <c r="Z970" i="10"/>
  <c r="AB970" i="10" s="1"/>
  <c r="Z971" i="10"/>
  <c r="AB971" i="10" s="1"/>
  <c r="Z972" i="10"/>
  <c r="AB972" i="10" s="1"/>
  <c r="Z973" i="10"/>
  <c r="AB973" i="10" s="1"/>
  <c r="Z974" i="10"/>
  <c r="AB974" i="10" s="1"/>
  <c r="AC975" i="10" s="1"/>
  <c r="Z975" i="10"/>
  <c r="AB975" i="10" s="1"/>
  <c r="Z976" i="10"/>
  <c r="AB976" i="10" s="1"/>
  <c r="Z977" i="10"/>
  <c r="AB977" i="10" s="1"/>
  <c r="Z978" i="10"/>
  <c r="AB978" i="10" s="1"/>
  <c r="Z979" i="10"/>
  <c r="AB979" i="10" s="1"/>
  <c r="Z980" i="10"/>
  <c r="AB980" i="10" s="1"/>
  <c r="Z981" i="10"/>
  <c r="AB981" i="10" s="1"/>
  <c r="Z982" i="10"/>
  <c r="AB982" i="10" s="1"/>
  <c r="Z983" i="10"/>
  <c r="AB983" i="10" s="1"/>
  <c r="AC983" i="10" s="1"/>
  <c r="Z984" i="10"/>
  <c r="AB984" i="10" s="1"/>
  <c r="Z985" i="10"/>
  <c r="AB985" i="10" s="1"/>
  <c r="Z986" i="10"/>
  <c r="AB986" i="10" s="1"/>
  <c r="AC985" i="10" s="1"/>
  <c r="Z987" i="10"/>
  <c r="AB987" i="10" s="1"/>
  <c r="Z988" i="10"/>
  <c r="AB988" i="10" s="1"/>
  <c r="Z989" i="10"/>
  <c r="AB989" i="10" s="1"/>
  <c r="Z990" i="10"/>
  <c r="AB990" i="10" s="1"/>
  <c r="Z991" i="10"/>
  <c r="AB991" i="10" s="1"/>
  <c r="Z992" i="10"/>
  <c r="AB992" i="10" s="1"/>
  <c r="Z993" i="10"/>
  <c r="AB993" i="10" s="1"/>
  <c r="Z994" i="10"/>
  <c r="AB994" i="10" s="1"/>
  <c r="Z995" i="10"/>
  <c r="AB995" i="10" s="1"/>
  <c r="Z996" i="10"/>
  <c r="AB996" i="10" s="1"/>
  <c r="Z997" i="10"/>
  <c r="AB997" i="10" s="1"/>
  <c r="Z998" i="10"/>
  <c r="AB998" i="10" s="1"/>
  <c r="AC999" i="10" s="1"/>
  <c r="Z999" i="10"/>
  <c r="AB999" i="10" s="1"/>
  <c r="Z1000" i="10"/>
  <c r="AB1000" i="10" s="1"/>
  <c r="Z1001" i="10"/>
  <c r="AB1001" i="10" s="1"/>
  <c r="Z1002" i="10"/>
  <c r="AB1002" i="10" s="1"/>
  <c r="Z1003" i="10"/>
  <c r="AB1003" i="10" s="1"/>
  <c r="Z1004" i="10"/>
  <c r="AB1004" i="10" s="1"/>
  <c r="Z1005" i="10"/>
  <c r="AB1005" i="10" s="1"/>
  <c r="AC1006" i="10" s="1"/>
  <c r="Z1006" i="10"/>
  <c r="AB1006" i="10" s="1"/>
  <c r="Z1007" i="10"/>
  <c r="AB1007" i="10" s="1"/>
  <c r="Z1008" i="10"/>
  <c r="AB1008" i="10" s="1"/>
  <c r="Z1009" i="10"/>
  <c r="AB1009" i="10" s="1"/>
  <c r="Z1010" i="10"/>
  <c r="AB1010" i="10" s="1"/>
  <c r="AC1011" i="10" s="1"/>
  <c r="Z1011" i="10"/>
  <c r="AB1011" i="10" s="1"/>
  <c r="Z1012" i="10"/>
  <c r="AB1012" i="10" s="1"/>
  <c r="Z1013" i="10"/>
  <c r="AB1013" i="10" s="1"/>
  <c r="Z1014" i="10"/>
  <c r="AB1014" i="10" s="1"/>
  <c r="Z1015" i="10"/>
  <c r="AB1015" i="10" s="1"/>
  <c r="Z1016" i="10"/>
  <c r="AB1016" i="10" s="1"/>
  <c r="Z1017" i="10"/>
  <c r="AB1017" i="10" s="1"/>
  <c r="AC1018" i="10" s="1"/>
  <c r="Z1018" i="10"/>
  <c r="AB1018" i="10" s="1"/>
  <c r="Z1019" i="10"/>
  <c r="AB1019" i="10" s="1"/>
  <c r="Z1020" i="10"/>
  <c r="AB1020" i="10" s="1"/>
  <c r="Z1021" i="10"/>
  <c r="AB1021" i="10" s="1"/>
  <c r="Z1022" i="10"/>
  <c r="AB1022" i="10" s="1"/>
  <c r="AC1023" i="10" s="1"/>
  <c r="Z1023" i="10"/>
  <c r="AB1023" i="10" s="1"/>
  <c r="Z1024" i="10"/>
  <c r="AB1024" i="10" s="1"/>
  <c r="Z1025" i="10"/>
  <c r="AB1025" i="10" s="1"/>
  <c r="Z1026" i="10"/>
  <c r="AB1026" i="10" s="1"/>
  <c r="Z1027" i="10"/>
  <c r="AB1027" i="10" s="1"/>
  <c r="Z1028" i="10"/>
  <c r="AB1028" i="10" s="1"/>
  <c r="Z1029" i="10"/>
  <c r="AB1029" i="10" s="1"/>
  <c r="AC1030" i="10" s="1"/>
  <c r="Z1030" i="10"/>
  <c r="AB1030" i="10" s="1"/>
  <c r="Z1031" i="10"/>
  <c r="AB1031" i="10" s="1"/>
  <c r="Z1032" i="10"/>
  <c r="AB1032" i="10" s="1"/>
  <c r="Z1033" i="10"/>
  <c r="AB1033" i="10" s="1"/>
  <c r="Z1034" i="10"/>
  <c r="AB1034" i="10" s="1"/>
  <c r="AC1035" i="10" s="1"/>
  <c r="Z1035" i="10"/>
  <c r="AB1035" i="10" s="1"/>
  <c r="Z1036" i="10"/>
  <c r="AB1036" i="10" s="1"/>
  <c r="Z1037" i="10"/>
  <c r="AB1037" i="10" s="1"/>
  <c r="Z1038" i="10"/>
  <c r="AB1038" i="10" s="1"/>
  <c r="AC1037" i="10" s="1"/>
  <c r="Z1039" i="10"/>
  <c r="AB1039" i="10" s="1"/>
  <c r="Z1040" i="10"/>
  <c r="AB1040" i="10" s="1"/>
  <c r="AC1039" i="10" s="1"/>
  <c r="Z1041" i="10"/>
  <c r="AB1041" i="10" s="1"/>
  <c r="AC1042" i="10" s="1"/>
  <c r="Z1042" i="10"/>
  <c r="AB1042" i="10" s="1"/>
  <c r="Z1043" i="10"/>
  <c r="AB1043" i="10" s="1"/>
  <c r="Z1044" i="10"/>
  <c r="AB1044" i="10" s="1"/>
  <c r="Z1045" i="10"/>
  <c r="AB1045" i="10" s="1"/>
  <c r="Z1046" i="10"/>
  <c r="AB1046" i="10" s="1"/>
  <c r="AC1045" i="10" s="1"/>
  <c r="Z1047" i="10"/>
  <c r="AB1047" i="10" s="1"/>
  <c r="Z1048" i="10"/>
  <c r="AB1048" i="10" s="1"/>
  <c r="Z1049" i="10"/>
  <c r="AB1049" i="10" s="1"/>
  <c r="Z1050" i="10"/>
  <c r="AB1050" i="10" s="1"/>
  <c r="AC1049" i="10" s="1"/>
  <c r="Z1051" i="10"/>
  <c r="AB1051" i="10" s="1"/>
  <c r="Z1052" i="10"/>
  <c r="AB1052" i="10" s="1"/>
  <c r="Z1053" i="10"/>
  <c r="AB1053" i="10" s="1"/>
  <c r="AC1054" i="10" s="1"/>
  <c r="Z1054" i="10"/>
  <c r="AB1054" i="10" s="1"/>
  <c r="Z1055" i="10"/>
  <c r="AB1055" i="10" s="1"/>
  <c r="Z1056" i="10"/>
  <c r="AB1056" i="10" s="1"/>
  <c r="Z1057" i="10"/>
  <c r="AB1057" i="10" s="1"/>
  <c r="Z1058" i="10"/>
  <c r="AB1058" i="10" s="1"/>
  <c r="AC1059" i="10" s="1"/>
  <c r="Z1059" i="10"/>
  <c r="AB1059" i="10" s="1"/>
  <c r="Z1060" i="10"/>
  <c r="AB1060" i="10" s="1"/>
  <c r="Z1061" i="10"/>
  <c r="AB1061" i="10" s="1"/>
  <c r="Z1062" i="10"/>
  <c r="AB1062" i="10" s="1"/>
  <c r="AC1061" i="10" s="1"/>
  <c r="Z1063" i="10"/>
  <c r="AB1063" i="10" s="1"/>
  <c r="Z1064" i="10"/>
  <c r="AB1064" i="10" s="1"/>
  <c r="Z1065" i="10"/>
  <c r="AB1065" i="10" s="1"/>
  <c r="AC1066" i="10" s="1"/>
  <c r="Z1066" i="10"/>
  <c r="AB1066" i="10" s="1"/>
  <c r="Z1067" i="10"/>
  <c r="AB1067" i="10" s="1"/>
  <c r="Z3" i="10"/>
  <c r="AB3" i="10" s="1"/>
  <c r="Z4" i="10"/>
  <c r="AB4" i="10" s="1"/>
  <c r="Z5" i="10"/>
  <c r="AB5" i="10" s="1"/>
  <c r="Z6" i="10"/>
  <c r="AB6" i="10" s="1"/>
  <c r="AC7" i="10" s="1"/>
  <c r="Z7" i="10"/>
  <c r="AB7" i="10" s="1"/>
  <c r="Z8" i="10"/>
  <c r="AB8" i="10" s="1"/>
  <c r="Z9" i="10"/>
  <c r="AB9" i="10" s="1"/>
  <c r="Z10" i="10"/>
  <c r="AB10" i="10" s="1"/>
  <c r="Z11" i="10"/>
  <c r="AB11" i="10" s="1"/>
  <c r="Z12" i="10"/>
  <c r="AB12" i="10" s="1"/>
  <c r="AC13" i="10" s="1"/>
  <c r="Z13" i="10"/>
  <c r="AB13" i="10" s="1"/>
  <c r="Z14" i="10"/>
  <c r="AB14" i="10" s="1"/>
  <c r="Z15" i="10"/>
  <c r="AB15" i="10" s="1"/>
  <c r="Z16" i="10"/>
  <c r="AB16" i="10" s="1"/>
  <c r="Z17" i="10"/>
  <c r="AB17" i="10" s="1"/>
  <c r="Z18" i="10"/>
  <c r="AB18" i="10" s="1"/>
  <c r="Z19" i="10"/>
  <c r="AB19" i="10" s="1"/>
  <c r="Z20" i="10"/>
  <c r="AB20" i="10" s="1"/>
  <c r="Z21" i="10"/>
  <c r="AB21" i="10" s="1"/>
  <c r="Z22" i="10"/>
  <c r="AB22" i="10" s="1"/>
  <c r="Z23" i="10"/>
  <c r="AB23" i="10" s="1"/>
  <c r="Z24" i="10"/>
  <c r="AB24" i="10" s="1"/>
  <c r="Z25" i="10"/>
  <c r="AB25" i="10" s="1"/>
  <c r="Z26" i="10"/>
  <c r="AB26" i="10" s="1"/>
  <c r="Z27" i="10"/>
  <c r="AB27" i="10" s="1"/>
  <c r="Z28" i="10"/>
  <c r="AB28" i="10" s="1"/>
  <c r="AC27" i="10" s="1"/>
  <c r="Z29" i="10"/>
  <c r="AB29" i="10" s="1"/>
  <c r="Z30" i="10"/>
  <c r="AB30" i="10" s="1"/>
  <c r="Z31" i="10"/>
  <c r="AB31" i="10" s="1"/>
  <c r="Z32" i="10"/>
  <c r="AB32" i="10" s="1"/>
  <c r="Z33" i="10"/>
  <c r="AB33" i="10" s="1"/>
  <c r="Z34" i="10"/>
  <c r="AB34" i="10" s="1"/>
  <c r="Z35" i="10"/>
  <c r="AB35" i="10" s="1"/>
  <c r="Z36" i="10"/>
  <c r="AB36" i="10" s="1"/>
  <c r="AC37" i="10" s="1"/>
  <c r="Z37" i="10"/>
  <c r="AB37" i="10" s="1"/>
  <c r="Z38" i="10"/>
  <c r="AB38" i="10" s="1"/>
  <c r="Z39" i="10"/>
  <c r="AB39" i="10" s="1"/>
  <c r="Z40" i="10"/>
  <c r="AB40" i="10" s="1"/>
  <c r="Z41" i="10"/>
  <c r="AB41" i="10" s="1"/>
  <c r="Z42" i="10"/>
  <c r="AB42" i="10" s="1"/>
  <c r="Z43" i="10"/>
  <c r="AB43" i="10" s="1"/>
  <c r="Z44" i="10"/>
  <c r="AB44" i="10" s="1"/>
  <c r="Z45" i="10"/>
  <c r="AB45" i="10" s="1"/>
  <c r="Z46" i="10"/>
  <c r="AB46" i="10" s="1"/>
  <c r="Z47" i="10"/>
  <c r="AB47" i="10" s="1"/>
  <c r="Z48" i="10"/>
  <c r="AB48" i="10" s="1"/>
  <c r="Z49" i="10"/>
  <c r="AB49" i="10" s="1"/>
  <c r="Z50" i="10"/>
  <c r="AB50" i="10" s="1"/>
  <c r="Z51" i="10"/>
  <c r="AB51" i="10" s="1"/>
  <c r="Z52" i="10"/>
  <c r="AB52" i="10" s="1"/>
  <c r="Z53" i="10"/>
  <c r="AB53" i="10" s="1"/>
  <c r="Z54" i="10"/>
  <c r="AB54" i="10" s="1"/>
  <c r="Z55" i="10"/>
  <c r="AB55" i="10" s="1"/>
  <c r="Z56" i="10"/>
  <c r="AB56" i="10" s="1"/>
  <c r="Z57" i="10"/>
  <c r="AB57" i="10" s="1"/>
  <c r="Z58" i="10"/>
  <c r="AB58" i="10" s="1"/>
  <c r="Z59" i="10"/>
  <c r="AB59" i="10" s="1"/>
  <c r="Z60" i="10"/>
  <c r="AB60" i="10" s="1"/>
  <c r="Z61" i="10"/>
  <c r="AB61" i="10" s="1"/>
  <c r="Z62" i="10"/>
  <c r="AB62" i="10" s="1"/>
  <c r="Z63" i="10"/>
  <c r="AB63" i="10" s="1"/>
  <c r="Z64" i="10"/>
  <c r="AB64" i="10" s="1"/>
  <c r="Z65" i="10"/>
  <c r="AB65" i="10" s="1"/>
  <c r="Z66" i="10"/>
  <c r="AB66" i="10" s="1"/>
  <c r="Z67" i="10"/>
  <c r="AB67" i="10" s="1"/>
  <c r="Z68" i="10"/>
  <c r="AB68" i="10" s="1"/>
  <c r="Z69" i="10"/>
  <c r="AB69" i="10" s="1"/>
  <c r="Z70" i="10"/>
  <c r="AB70" i="10" s="1"/>
  <c r="Z71" i="10"/>
  <c r="AB71" i="10" s="1"/>
  <c r="Z72" i="10"/>
  <c r="AB72" i="10" s="1"/>
  <c r="Z73" i="10"/>
  <c r="AB73" i="10" s="1"/>
  <c r="Z74" i="10"/>
  <c r="AB74" i="10" s="1"/>
  <c r="Z75" i="10"/>
  <c r="AB75" i="10" s="1"/>
  <c r="Z76" i="10"/>
  <c r="AB76" i="10" s="1"/>
  <c r="Z77" i="10"/>
  <c r="AB77" i="10" s="1"/>
  <c r="Z78" i="10"/>
  <c r="AB78" i="10" s="1"/>
  <c r="Z79" i="10"/>
  <c r="AB79" i="10" s="1"/>
  <c r="Z80" i="10"/>
  <c r="AB80" i="10" s="1"/>
  <c r="Z81" i="10"/>
  <c r="AB81" i="10" s="1"/>
  <c r="Z82" i="10"/>
  <c r="AB82" i="10" s="1"/>
  <c r="Z83" i="10"/>
  <c r="AB83" i="10" s="1"/>
  <c r="Z84" i="10"/>
  <c r="AB84" i="10" s="1"/>
  <c r="Z85" i="10"/>
  <c r="AB85" i="10" s="1"/>
  <c r="Z86" i="10"/>
  <c r="AB86" i="10" s="1"/>
  <c r="Z87" i="10"/>
  <c r="AB87" i="10" s="1"/>
  <c r="Z88" i="10"/>
  <c r="AB88" i="10" s="1"/>
  <c r="Z89" i="10"/>
  <c r="AB89" i="10" s="1"/>
  <c r="Z90" i="10"/>
  <c r="AB90" i="10" s="1"/>
  <c r="Z91" i="10"/>
  <c r="AB91" i="10" s="1"/>
  <c r="Z92" i="10"/>
  <c r="AB92" i="10" s="1"/>
  <c r="Z93" i="10"/>
  <c r="AB93" i="10" s="1"/>
  <c r="Z94" i="10"/>
  <c r="AB94" i="10" s="1"/>
  <c r="Z95" i="10"/>
  <c r="AB95" i="10" s="1"/>
  <c r="Z96" i="10"/>
  <c r="AB96" i="10" s="1"/>
  <c r="Z97" i="10"/>
  <c r="AB97" i="10" s="1"/>
  <c r="Z98" i="10"/>
  <c r="AB98" i="10" s="1"/>
  <c r="Z99" i="10"/>
  <c r="AB99" i="10" s="1"/>
  <c r="Z100" i="10"/>
  <c r="AB100" i="10" s="1"/>
  <c r="Z101" i="10"/>
  <c r="AB101" i="10" s="1"/>
  <c r="Z102" i="10"/>
  <c r="AB102" i="10" s="1"/>
  <c r="Z103" i="10"/>
  <c r="AB103" i="10" s="1"/>
  <c r="Z104" i="10"/>
  <c r="AB104" i="10" s="1"/>
  <c r="Z105" i="10"/>
  <c r="AB105" i="10" s="1"/>
  <c r="Z106" i="10"/>
  <c r="AB106" i="10" s="1"/>
  <c r="Z107" i="10"/>
  <c r="AB107" i="10" s="1"/>
  <c r="Z108" i="10"/>
  <c r="AB108" i="10" s="1"/>
  <c r="Z109" i="10"/>
  <c r="AB109" i="10" s="1"/>
  <c r="Z110" i="10"/>
  <c r="AB110" i="10" s="1"/>
  <c r="Z111" i="10"/>
  <c r="AB111" i="10" s="1"/>
  <c r="Z112" i="10"/>
  <c r="AB112" i="10" s="1"/>
  <c r="Z113" i="10"/>
  <c r="AB113" i="10" s="1"/>
  <c r="Z114" i="10"/>
  <c r="AB114" i="10" s="1"/>
  <c r="Z115" i="10"/>
  <c r="AB115" i="10" s="1"/>
  <c r="Z116" i="10"/>
  <c r="AB116" i="10" s="1"/>
  <c r="Z117" i="10"/>
  <c r="AB117" i="10" s="1"/>
  <c r="Z118" i="10"/>
  <c r="AB118" i="10" s="1"/>
  <c r="Z119" i="10"/>
  <c r="AB119" i="10" s="1"/>
  <c r="Z120" i="10"/>
  <c r="AB120" i="10" s="1"/>
  <c r="Z121" i="10"/>
  <c r="AB121" i="10" s="1"/>
  <c r="Z122" i="10"/>
  <c r="AB122" i="10" s="1"/>
  <c r="Z123" i="10"/>
  <c r="AB123" i="10" s="1"/>
  <c r="Z124" i="10"/>
  <c r="AB124" i="10" s="1"/>
  <c r="Z125" i="10"/>
  <c r="AB125" i="10" s="1"/>
  <c r="Z126" i="10"/>
  <c r="AB126" i="10" s="1"/>
  <c r="Z127" i="10"/>
  <c r="AB127" i="10" s="1"/>
  <c r="Z128" i="10"/>
  <c r="AB128" i="10" s="1"/>
  <c r="Z129" i="10"/>
  <c r="AB129" i="10" s="1"/>
  <c r="Z130" i="10"/>
  <c r="AB130" i="10" s="1"/>
  <c r="Z131" i="10"/>
  <c r="AB131" i="10" s="1"/>
  <c r="Z132" i="10"/>
  <c r="AB132" i="10" s="1"/>
  <c r="Z133" i="10"/>
  <c r="AB133" i="10" s="1"/>
  <c r="Z134" i="10"/>
  <c r="AB134" i="10" s="1"/>
  <c r="Z135" i="10"/>
  <c r="AB135" i="10" s="1"/>
  <c r="Z136" i="10"/>
  <c r="AB136" i="10" s="1"/>
  <c r="Z137" i="10"/>
  <c r="AB137" i="10" s="1"/>
  <c r="Z138" i="10"/>
  <c r="AB138" i="10" s="1"/>
  <c r="Z139" i="10"/>
  <c r="AB139" i="10" s="1"/>
  <c r="Z140" i="10"/>
  <c r="AB140" i="10" s="1"/>
  <c r="Z141" i="10"/>
  <c r="AB141" i="10" s="1"/>
  <c r="Z142" i="10"/>
  <c r="AB142" i="10" s="1"/>
  <c r="Z143" i="10"/>
  <c r="AB143" i="10" s="1"/>
  <c r="Z144" i="10"/>
  <c r="AB144" i="10" s="1"/>
  <c r="Z145" i="10"/>
  <c r="AB145" i="10" s="1"/>
  <c r="Z146" i="10"/>
  <c r="AB146" i="10" s="1"/>
  <c r="Z147" i="10"/>
  <c r="AB147" i="10" s="1"/>
  <c r="Z148" i="10"/>
  <c r="AB148" i="10" s="1"/>
  <c r="Z149" i="10"/>
  <c r="AB149" i="10" s="1"/>
  <c r="Z150" i="10"/>
  <c r="AB150" i="10" s="1"/>
  <c r="Z151" i="10"/>
  <c r="AB151" i="10" s="1"/>
  <c r="Z152" i="10"/>
  <c r="AB152" i="10" s="1"/>
  <c r="Z153" i="10"/>
  <c r="AB153" i="10" s="1"/>
  <c r="Z154" i="10"/>
  <c r="AB154" i="10" s="1"/>
  <c r="Z155" i="10"/>
  <c r="AB155" i="10" s="1"/>
  <c r="Z156" i="10"/>
  <c r="AB156" i="10" s="1"/>
  <c r="Z157" i="10"/>
  <c r="AB157" i="10" s="1"/>
  <c r="Z158" i="10"/>
  <c r="AB158" i="10" s="1"/>
  <c r="Z159" i="10"/>
  <c r="AB159" i="10" s="1"/>
  <c r="Z160" i="10"/>
  <c r="AB160" i="10" s="1"/>
  <c r="Z161" i="10"/>
  <c r="AB161" i="10" s="1"/>
  <c r="Z162" i="10"/>
  <c r="AB162" i="10" s="1"/>
  <c r="Z163" i="10"/>
  <c r="AB163" i="10" s="1"/>
  <c r="Z164" i="10"/>
  <c r="AB164" i="10" s="1"/>
  <c r="Z165" i="10"/>
  <c r="AB165" i="10" s="1"/>
  <c r="Z166" i="10"/>
  <c r="AB166" i="10" s="1"/>
  <c r="Z167" i="10"/>
  <c r="AB167" i="10" s="1"/>
  <c r="Z168" i="10"/>
  <c r="AB168" i="10" s="1"/>
  <c r="Z169" i="10"/>
  <c r="AB169" i="10" s="1"/>
  <c r="AC170" i="10" s="1"/>
  <c r="Z170" i="10"/>
  <c r="AB170" i="10" s="1"/>
  <c r="Z171" i="10"/>
  <c r="AB171" i="10" s="1"/>
  <c r="Z172" i="10"/>
  <c r="AB172" i="10" s="1"/>
  <c r="Z173" i="10"/>
  <c r="AB173" i="10" s="1"/>
  <c r="Z174" i="10"/>
  <c r="AB174" i="10" s="1"/>
  <c r="Z175" i="10"/>
  <c r="AB175" i="10" s="1"/>
  <c r="Z176" i="10"/>
  <c r="AB176" i="10" s="1"/>
  <c r="Z177" i="10"/>
  <c r="AB177" i="10" s="1"/>
  <c r="Z178" i="10"/>
  <c r="AB178" i="10" s="1"/>
  <c r="Z179" i="10"/>
  <c r="AB179" i="10" s="1"/>
  <c r="Z180" i="10"/>
  <c r="AB180" i="10" s="1"/>
  <c r="Z181" i="10"/>
  <c r="AB181" i="10" s="1"/>
  <c r="AC182" i="10" s="1"/>
  <c r="Z182" i="10"/>
  <c r="AB182" i="10" s="1"/>
  <c r="Z183" i="10"/>
  <c r="AB183" i="10" s="1"/>
  <c r="Z184" i="10"/>
  <c r="AB184" i="10" s="1"/>
  <c r="Z185" i="10"/>
  <c r="AB185" i="10" s="1"/>
  <c r="Z186" i="10"/>
  <c r="AB186" i="10" s="1"/>
  <c r="Z187" i="10"/>
  <c r="AB187" i="10" s="1"/>
  <c r="Z188" i="10"/>
  <c r="AB188" i="10" s="1"/>
  <c r="Z189" i="10"/>
  <c r="AB189" i="10" s="1"/>
  <c r="Z190" i="10"/>
  <c r="AB190" i="10" s="1"/>
  <c r="Z191" i="10"/>
  <c r="AB191" i="10" s="1"/>
  <c r="Z192" i="10"/>
  <c r="AB192" i="10" s="1"/>
  <c r="Z193" i="10"/>
  <c r="AB193" i="10" s="1"/>
  <c r="Z194" i="10"/>
  <c r="AB194" i="10" s="1"/>
  <c r="Z195" i="10"/>
  <c r="AB195" i="10" s="1"/>
  <c r="Z196" i="10"/>
  <c r="AB196" i="10" s="1"/>
  <c r="Z197" i="10"/>
  <c r="AB197" i="10" s="1"/>
  <c r="Z198" i="10"/>
  <c r="AB198" i="10" s="1"/>
  <c r="Z199" i="10"/>
  <c r="AB199" i="10" s="1"/>
  <c r="Z200" i="10"/>
  <c r="AB200" i="10" s="1"/>
  <c r="Z201" i="10"/>
  <c r="AB201" i="10" s="1"/>
  <c r="Z202" i="10"/>
  <c r="AB202" i="10" s="1"/>
  <c r="Z203" i="10"/>
  <c r="AB203" i="10" s="1"/>
  <c r="Z204" i="10"/>
  <c r="AB204" i="10" s="1"/>
  <c r="Z205" i="10"/>
  <c r="AB205" i="10" s="1"/>
  <c r="Z206" i="10"/>
  <c r="AB206" i="10" s="1"/>
  <c r="Z207" i="10"/>
  <c r="AB207" i="10" s="1"/>
  <c r="Z208" i="10"/>
  <c r="AB208" i="10" s="1"/>
  <c r="Z209" i="10"/>
  <c r="AB209" i="10" s="1"/>
  <c r="Z210" i="10"/>
  <c r="AB210" i="10" s="1"/>
  <c r="Z211" i="10"/>
  <c r="AB211" i="10" s="1"/>
  <c r="Z212" i="10"/>
  <c r="AB212" i="10" s="1"/>
  <c r="AC211" i="10" s="1"/>
  <c r="Z213" i="10"/>
  <c r="AB213" i="10" s="1"/>
  <c r="Z214" i="10"/>
  <c r="AB214" i="10" s="1"/>
  <c r="Z215" i="10"/>
  <c r="AB215" i="10" s="1"/>
  <c r="Z216" i="10"/>
  <c r="AB216" i="10" s="1"/>
  <c r="Z217" i="10"/>
  <c r="AB217" i="10" s="1"/>
  <c r="Z218" i="10"/>
  <c r="AB218" i="10" s="1"/>
  <c r="Z219" i="10"/>
  <c r="AB219" i="10" s="1"/>
  <c r="Z220" i="10"/>
  <c r="AB220" i="10" s="1"/>
  <c r="Z221" i="10"/>
  <c r="AB221" i="10" s="1"/>
  <c r="Z222" i="10"/>
  <c r="AB222" i="10" s="1"/>
  <c r="Z223" i="10"/>
  <c r="AB223" i="10" s="1"/>
  <c r="Z224" i="10"/>
  <c r="AB224" i="10" s="1"/>
  <c r="Z225" i="10"/>
  <c r="AB225" i="10" s="1"/>
  <c r="Z226" i="10"/>
  <c r="AB226" i="10" s="1"/>
  <c r="Z227" i="10"/>
  <c r="AB227" i="10" s="1"/>
  <c r="Z228" i="10"/>
  <c r="AB228" i="10" s="1"/>
  <c r="Z229" i="10"/>
  <c r="AB229" i="10" s="1"/>
  <c r="Z230" i="10"/>
  <c r="AB230" i="10" s="1"/>
  <c r="Z231" i="10"/>
  <c r="AB231" i="10" s="1"/>
  <c r="Z232" i="10"/>
  <c r="AB232" i="10" s="1"/>
  <c r="Z233" i="10"/>
  <c r="AB233" i="10" s="1"/>
  <c r="Z234" i="10"/>
  <c r="AB234" i="10" s="1"/>
  <c r="Z235" i="10"/>
  <c r="AB235" i="10" s="1"/>
  <c r="Z236" i="10"/>
  <c r="AB236" i="10" s="1"/>
  <c r="AC235" i="10" s="1"/>
  <c r="Z237" i="10"/>
  <c r="AB237" i="10" s="1"/>
  <c r="Z238" i="10"/>
  <c r="AB238" i="10" s="1"/>
  <c r="Z239" i="10"/>
  <c r="AB239" i="10" s="1"/>
  <c r="Z240" i="10"/>
  <c r="AB240" i="10" s="1"/>
  <c r="Z241" i="10"/>
  <c r="AB241" i="10" s="1"/>
  <c r="Z242" i="10"/>
  <c r="AB242" i="10" s="1"/>
  <c r="Z243" i="10"/>
  <c r="AB243" i="10" s="1"/>
  <c r="Z244" i="10"/>
  <c r="AB244" i="10" s="1"/>
  <c r="Z245" i="10"/>
  <c r="AB245" i="10" s="1"/>
  <c r="Z246" i="10"/>
  <c r="AB246" i="10" s="1"/>
  <c r="Z247" i="10"/>
  <c r="AB247" i="10" s="1"/>
  <c r="Z248" i="10"/>
  <c r="AB248" i="10" s="1"/>
  <c r="Z249" i="10"/>
  <c r="AB249" i="10" s="1"/>
  <c r="Z250" i="10"/>
  <c r="AB250" i="10" s="1"/>
  <c r="Z251" i="10"/>
  <c r="AB251" i="10" s="1"/>
  <c r="Z252" i="10"/>
  <c r="AB252" i="10" s="1"/>
  <c r="Z253" i="10"/>
  <c r="AB253" i="10" s="1"/>
  <c r="Z254" i="10"/>
  <c r="AB254" i="10" s="1"/>
  <c r="Z255" i="10"/>
  <c r="AB255" i="10" s="1"/>
  <c r="Z256" i="10"/>
  <c r="AB256" i="10" s="1"/>
  <c r="Z257" i="10"/>
  <c r="AB257" i="10" s="1"/>
  <c r="AC258" i="10" s="1"/>
  <c r="Z258" i="10"/>
  <c r="AB258" i="10" s="1"/>
  <c r="Z259" i="10"/>
  <c r="AB259" i="10" s="1"/>
  <c r="Z260" i="10"/>
  <c r="AB260" i="10" s="1"/>
  <c r="Z261" i="10"/>
  <c r="AB261" i="10" s="1"/>
  <c r="Z262" i="10"/>
  <c r="AB262" i="10" s="1"/>
  <c r="Z263" i="10"/>
  <c r="AB263" i="10" s="1"/>
  <c r="Z264" i="10"/>
  <c r="AB264" i="10" s="1"/>
  <c r="Z265" i="10"/>
  <c r="AB265" i="10" s="1"/>
  <c r="AC266" i="10" s="1"/>
  <c r="Z266" i="10"/>
  <c r="AB266" i="10" s="1"/>
  <c r="Z267" i="10"/>
  <c r="AB267" i="10" s="1"/>
  <c r="Z268" i="10"/>
  <c r="AB268" i="10" s="1"/>
  <c r="Z269" i="10"/>
  <c r="AB269" i="10" s="1"/>
  <c r="AC270" i="10" s="1"/>
  <c r="Z270" i="10"/>
  <c r="AB270" i="10" s="1"/>
  <c r="Z271" i="10"/>
  <c r="AB271" i="10" s="1"/>
  <c r="Z272" i="10"/>
  <c r="AB272" i="10" s="1"/>
  <c r="Z273" i="10"/>
  <c r="AB273" i="10" s="1"/>
  <c r="Z274" i="10"/>
  <c r="AB274" i="10" s="1"/>
  <c r="Z275" i="10"/>
  <c r="AB275" i="10" s="1"/>
  <c r="Z276" i="10"/>
  <c r="AB276" i="10" s="1"/>
  <c r="Z277" i="10"/>
  <c r="AB277" i="10" s="1"/>
  <c r="Z278" i="10"/>
  <c r="AB278" i="10" s="1"/>
  <c r="Z279" i="10"/>
  <c r="AB279" i="10" s="1"/>
  <c r="Z280" i="10"/>
  <c r="AB280" i="10" s="1"/>
  <c r="Z281" i="10"/>
  <c r="AB281" i="10" s="1"/>
  <c r="AC282" i="10" s="1"/>
  <c r="Z282" i="10"/>
  <c r="AB282" i="10" s="1"/>
  <c r="Z283" i="10"/>
  <c r="AB283" i="10" s="1"/>
  <c r="Z284" i="10"/>
  <c r="AB284" i="10" s="1"/>
  <c r="Z285" i="10"/>
  <c r="AB285" i="10" s="1"/>
  <c r="Z286" i="10"/>
  <c r="AB286" i="10" s="1"/>
  <c r="Z287" i="10"/>
  <c r="AB287" i="10" s="1"/>
  <c r="Z288" i="10"/>
  <c r="AB288" i="10" s="1"/>
  <c r="Z289" i="10"/>
  <c r="AB289" i="10" s="1"/>
  <c r="Z290" i="10"/>
  <c r="AB290" i="10" s="1"/>
  <c r="Z291" i="10"/>
  <c r="AB291" i="10" s="1"/>
  <c r="Z292" i="10"/>
  <c r="AB292" i="10" s="1"/>
  <c r="Z293" i="10"/>
  <c r="AB293" i="10" s="1"/>
  <c r="AC294" i="10" s="1"/>
  <c r="Z294" i="10"/>
  <c r="AB294" i="10" s="1"/>
  <c r="Z295" i="10"/>
  <c r="AB295" i="10" s="1"/>
  <c r="Z296" i="10"/>
  <c r="AB296" i="10" s="1"/>
  <c r="AC295" i="10" s="1"/>
  <c r="Z297" i="10"/>
  <c r="AB297" i="10" s="1"/>
  <c r="Z298" i="10"/>
  <c r="AB298" i="10" s="1"/>
  <c r="Z299" i="10"/>
  <c r="AB299" i="10" s="1"/>
  <c r="Z300" i="10"/>
  <c r="AB300" i="10" s="1"/>
  <c r="Z301" i="10"/>
  <c r="AB301" i="10" s="1"/>
  <c r="AC302" i="10" s="1"/>
  <c r="Z302" i="10"/>
  <c r="AB302" i="10" s="1"/>
  <c r="Z303" i="10"/>
  <c r="AB303" i="10" s="1"/>
  <c r="Z304" i="10"/>
  <c r="AB304" i="10" s="1"/>
  <c r="Z305" i="10"/>
  <c r="AB305" i="10" s="1"/>
  <c r="AC306" i="10" s="1"/>
  <c r="Z306" i="10"/>
  <c r="AB306" i="10" s="1"/>
  <c r="Z307" i="10"/>
  <c r="AB307" i="10" s="1"/>
  <c r="Z308" i="10"/>
  <c r="AB308" i="10" s="1"/>
  <c r="AC307" i="10" s="1"/>
  <c r="Z309" i="10"/>
  <c r="AB309" i="10" s="1"/>
  <c r="Z310" i="10"/>
  <c r="AB310" i="10" s="1"/>
  <c r="Z311" i="10"/>
  <c r="AB311" i="10" s="1"/>
  <c r="Z312" i="10"/>
  <c r="AB312" i="10" s="1"/>
  <c r="Z313" i="10"/>
  <c r="AB313" i="10" s="1"/>
  <c r="Z314" i="10"/>
  <c r="AB314" i="10" s="1"/>
  <c r="Z315" i="10"/>
  <c r="AB315" i="10" s="1"/>
  <c r="Z316" i="10"/>
  <c r="AB316" i="10" s="1"/>
  <c r="Z317" i="10"/>
  <c r="AB317" i="10" s="1"/>
  <c r="AC318" i="10" s="1"/>
  <c r="Z318" i="10"/>
  <c r="AB318" i="10" s="1"/>
  <c r="Z319" i="10"/>
  <c r="AB319" i="10" s="1"/>
  <c r="Z320" i="10"/>
  <c r="AB320" i="10" s="1"/>
  <c r="Z321" i="10"/>
  <c r="AB321" i="10" s="1"/>
  <c r="Z322" i="10"/>
  <c r="AB322" i="10" s="1"/>
  <c r="Z323" i="10"/>
  <c r="AB323" i="10" s="1"/>
  <c r="Z324" i="10"/>
  <c r="AB324" i="10" s="1"/>
  <c r="Z325" i="10"/>
  <c r="AB325" i="10" s="1"/>
  <c r="AC326" i="10" s="1"/>
  <c r="Z326" i="10"/>
  <c r="AB326" i="10" s="1"/>
  <c r="Z327" i="10"/>
  <c r="AB327" i="10" s="1"/>
  <c r="Z328" i="10"/>
  <c r="AB328" i="10" s="1"/>
  <c r="Z329" i="10"/>
  <c r="AB329" i="10" s="1"/>
  <c r="AC330" i="10" s="1"/>
  <c r="Z330" i="10"/>
  <c r="AB330" i="10" s="1"/>
  <c r="Z331" i="10"/>
  <c r="AB331" i="10" s="1"/>
  <c r="Z332" i="10"/>
  <c r="AB332" i="10" s="1"/>
  <c r="Z333" i="10"/>
  <c r="AB333" i="10" s="1"/>
  <c r="Z334" i="10"/>
  <c r="AB334" i="10" s="1"/>
  <c r="Z335" i="10"/>
  <c r="AB335" i="10" s="1"/>
  <c r="Z336" i="10"/>
  <c r="AB336" i="10" s="1"/>
  <c r="Z337" i="10"/>
  <c r="AB337" i="10" s="1"/>
  <c r="Z338" i="10"/>
  <c r="AB338" i="10" s="1"/>
  <c r="Z339" i="10"/>
  <c r="AB339" i="10" s="1"/>
  <c r="Z340" i="10"/>
  <c r="AB340" i="10" s="1"/>
  <c r="Z341" i="10"/>
  <c r="AB341" i="10" s="1"/>
  <c r="AC342" i="10" s="1"/>
  <c r="Z342" i="10"/>
  <c r="AB342" i="10" s="1"/>
  <c r="Z343" i="10"/>
  <c r="AB343" i="10" s="1"/>
  <c r="Z344" i="10"/>
  <c r="AB344" i="10" s="1"/>
  <c r="AC343" i="10" s="1"/>
  <c r="Z345" i="10"/>
  <c r="AB345" i="10" s="1"/>
  <c r="Z346" i="10"/>
  <c r="AB346" i="10" s="1"/>
  <c r="Z347" i="10"/>
  <c r="AB347" i="10" s="1"/>
  <c r="Z348" i="10"/>
  <c r="AB348" i="10" s="1"/>
  <c r="Z349" i="10"/>
  <c r="AB349" i="10" s="1"/>
  <c r="Z350" i="10"/>
  <c r="AB350" i="10" s="1"/>
  <c r="Z351" i="10"/>
  <c r="AB351" i="10" s="1"/>
  <c r="Z352" i="10"/>
  <c r="AB352" i="10" s="1"/>
  <c r="Z353" i="10"/>
  <c r="AB353" i="10" s="1"/>
  <c r="AC354" i="10" s="1"/>
  <c r="Z354" i="10"/>
  <c r="AB354" i="10" s="1"/>
  <c r="Z355" i="10"/>
  <c r="AB355" i="10" s="1"/>
  <c r="Z356" i="10"/>
  <c r="AB356" i="10" s="1"/>
  <c r="Z357" i="10"/>
  <c r="AB357" i="10" s="1"/>
  <c r="Z358" i="10"/>
  <c r="AB358" i="10" s="1"/>
  <c r="Z359" i="10"/>
  <c r="AB359" i="10" s="1"/>
  <c r="Z360" i="10"/>
  <c r="AB360" i="10" s="1"/>
  <c r="Z361" i="10"/>
  <c r="AB361" i="10" s="1"/>
  <c r="AC362" i="10" s="1"/>
  <c r="Z362" i="10"/>
  <c r="AB362" i="10" s="1"/>
  <c r="Z363" i="10"/>
  <c r="AB363" i="10" s="1"/>
  <c r="Z364" i="10"/>
  <c r="AB364" i="10" s="1"/>
  <c r="Z365" i="10"/>
  <c r="AB365" i="10" s="1"/>
  <c r="AC366" i="10" s="1"/>
  <c r="Z366" i="10"/>
  <c r="AB366" i="10" s="1"/>
  <c r="Z367" i="10"/>
  <c r="AB367" i="10" s="1"/>
  <c r="Z368" i="10"/>
  <c r="AB368" i="10" s="1"/>
  <c r="Z369" i="10"/>
  <c r="AB369" i="10" s="1"/>
  <c r="Z370" i="10"/>
  <c r="AB370" i="10" s="1"/>
  <c r="Z371" i="10"/>
  <c r="AB371" i="10" s="1"/>
  <c r="Z372" i="10"/>
  <c r="AB372" i="10" s="1"/>
  <c r="Z373" i="10"/>
  <c r="AB373" i="10" s="1"/>
  <c r="Z374" i="10"/>
  <c r="AB374" i="10" s="1"/>
  <c r="Z375" i="10"/>
  <c r="AB375" i="10" s="1"/>
  <c r="Z376" i="10"/>
  <c r="AB376" i="10" s="1"/>
  <c r="Z377" i="10"/>
  <c r="AB377" i="10" s="1"/>
  <c r="AC378" i="10" s="1"/>
  <c r="Z378" i="10"/>
  <c r="AB378" i="10" s="1"/>
  <c r="Z379" i="10"/>
  <c r="AB379" i="10" s="1"/>
  <c r="Z380" i="10"/>
  <c r="AB380" i="10" s="1"/>
  <c r="AC379" i="10" s="1"/>
  <c r="Z381" i="10"/>
  <c r="AB381" i="10" s="1"/>
  <c r="Z382" i="10"/>
  <c r="AB382" i="10" s="1"/>
  <c r="Z383" i="10"/>
  <c r="AB383" i="10" s="1"/>
  <c r="Z384" i="10"/>
  <c r="AB384" i="10" s="1"/>
  <c r="Z385" i="10"/>
  <c r="AB385" i="10" s="1"/>
  <c r="Z386" i="10"/>
  <c r="AB386" i="10" s="1"/>
  <c r="Z387" i="10"/>
  <c r="AB387" i="10" s="1"/>
  <c r="Z388" i="10"/>
  <c r="AB388" i="10" s="1"/>
  <c r="Z389" i="10"/>
  <c r="AB389" i="10" s="1"/>
  <c r="AC390" i="10" s="1"/>
  <c r="Z390" i="10"/>
  <c r="AB390" i="10" s="1"/>
  <c r="Z391" i="10"/>
  <c r="AB391" i="10" s="1"/>
  <c r="Z392" i="10"/>
  <c r="AB392" i="10" s="1"/>
  <c r="Z393" i="10"/>
  <c r="AB393" i="10" s="1"/>
  <c r="Z394" i="10"/>
  <c r="AB394" i="10" s="1"/>
  <c r="Z395" i="10"/>
  <c r="AB395" i="10" s="1"/>
  <c r="Z396" i="10"/>
  <c r="AB396" i="10" s="1"/>
  <c r="Z397" i="10"/>
  <c r="AB397" i="10" s="1"/>
  <c r="Z398" i="10"/>
  <c r="AB398" i="10" s="1"/>
  <c r="Z399" i="10"/>
  <c r="AB399" i="10" s="1"/>
  <c r="Z400" i="10"/>
  <c r="AB400" i="10" s="1"/>
  <c r="Z401" i="10"/>
  <c r="AB401" i="10" s="1"/>
  <c r="AC402" i="10" s="1"/>
  <c r="Z402" i="10"/>
  <c r="AB402" i="10" s="1"/>
  <c r="Z403" i="10"/>
  <c r="AB403" i="10" s="1"/>
  <c r="Z404" i="10"/>
  <c r="AB404" i="10" s="1"/>
  <c r="Z405" i="10"/>
  <c r="AB405" i="10" s="1"/>
  <c r="Z406" i="10"/>
  <c r="AB406" i="10" s="1"/>
  <c r="Z407" i="10"/>
  <c r="AB407" i="10" s="1"/>
  <c r="Z408" i="10"/>
  <c r="AB408" i="10" s="1"/>
  <c r="AC409" i="10" s="1"/>
  <c r="Z409" i="10"/>
  <c r="AB409" i="10" s="1"/>
  <c r="Z410" i="10"/>
  <c r="AB410" i="10" s="1"/>
  <c r="AC410" i="10" s="1"/>
  <c r="Z411" i="10"/>
  <c r="AB411" i="10" s="1"/>
  <c r="Z412" i="10"/>
  <c r="AB412" i="10" s="1"/>
  <c r="Z413" i="10"/>
  <c r="AB413" i="10" s="1"/>
  <c r="AC414" i="10" s="1"/>
  <c r="Z414" i="10"/>
  <c r="AB414" i="10" s="1"/>
  <c r="Z415" i="10"/>
  <c r="AB415" i="10" s="1"/>
  <c r="Z416" i="10"/>
  <c r="AB416" i="10" s="1"/>
  <c r="Z417" i="10"/>
  <c r="AB417" i="10" s="1"/>
  <c r="Z418" i="10"/>
  <c r="AB418" i="10" s="1"/>
  <c r="Z419" i="10"/>
  <c r="AB419" i="10" s="1"/>
  <c r="Z420" i="10"/>
  <c r="AB420" i="10" s="1"/>
  <c r="AC421" i="10" s="1"/>
  <c r="Z421" i="10"/>
  <c r="AB421" i="10" s="1"/>
  <c r="Z422" i="10"/>
  <c r="AB422" i="10" s="1"/>
  <c r="Z423" i="10"/>
  <c r="AB423" i="10" s="1"/>
  <c r="Z424" i="10"/>
  <c r="AB424" i="10" s="1"/>
  <c r="Z425" i="10"/>
  <c r="AB425" i="10" s="1"/>
  <c r="AC426" i="10" s="1"/>
  <c r="Z426" i="10"/>
  <c r="AB426" i="10" s="1"/>
  <c r="Z427" i="10"/>
  <c r="AB427" i="10" s="1"/>
  <c r="Z428" i="10"/>
  <c r="AB428" i="10" s="1"/>
  <c r="Z429" i="10"/>
  <c r="AB429" i="10" s="1"/>
  <c r="Z430" i="10"/>
  <c r="AB430" i="10" s="1"/>
  <c r="Z431" i="10"/>
  <c r="AB431" i="10" s="1"/>
  <c r="Z432" i="10"/>
  <c r="AB432" i="10" s="1"/>
  <c r="Z433" i="10"/>
  <c r="AB433" i="10" s="1"/>
  <c r="Z434" i="10"/>
  <c r="AB434" i="10" s="1"/>
  <c r="Z435" i="10"/>
  <c r="AB435" i="10" s="1"/>
  <c r="Z436" i="10"/>
  <c r="AB436" i="10" s="1"/>
  <c r="Z437" i="10"/>
  <c r="AB437" i="10" s="1"/>
  <c r="AC438" i="10" s="1"/>
  <c r="Z438" i="10"/>
  <c r="AB438" i="10" s="1"/>
  <c r="Z439" i="10"/>
  <c r="AB439" i="10" s="1"/>
  <c r="Z440" i="10"/>
  <c r="AB440" i="10" s="1"/>
  <c r="Z441" i="10"/>
  <c r="AB441" i="10" s="1"/>
  <c r="Z442" i="10"/>
  <c r="AB442" i="10" s="1"/>
  <c r="Z443" i="10"/>
  <c r="AB443" i="10" s="1"/>
  <c r="Z444" i="10"/>
  <c r="AB444" i="10" s="1"/>
  <c r="Z445" i="10"/>
  <c r="AB445" i="10" s="1"/>
  <c r="Z446" i="10"/>
  <c r="AB446" i="10" s="1"/>
  <c r="Z447" i="10"/>
  <c r="AB447" i="10" s="1"/>
  <c r="Z448" i="10"/>
  <c r="AB448" i="10" s="1"/>
  <c r="Z449" i="10"/>
  <c r="AB449" i="10" s="1"/>
  <c r="Z450" i="10"/>
  <c r="AB450" i="10" s="1"/>
  <c r="Z451" i="10"/>
  <c r="AB451" i="10" s="1"/>
  <c r="Z452" i="10"/>
  <c r="AB452" i="10" s="1"/>
  <c r="Z453" i="10"/>
  <c r="AB453" i="10" s="1"/>
  <c r="Z454" i="10"/>
  <c r="AB454" i="10" s="1"/>
  <c r="Z455" i="10"/>
  <c r="AB455" i="10" s="1"/>
  <c r="Z456" i="10"/>
  <c r="AB456" i="10" s="1"/>
  <c r="Z457" i="10"/>
  <c r="AB457" i="10" s="1"/>
  <c r="Z458" i="10"/>
  <c r="AB458" i="10" s="1"/>
  <c r="Z459" i="10"/>
  <c r="AB459" i="10" s="1"/>
  <c r="Z460" i="10"/>
  <c r="AB460" i="10" s="1"/>
  <c r="Z461" i="10"/>
  <c r="AB461" i="10" s="1"/>
  <c r="AC462" i="10" s="1"/>
  <c r="Z462" i="10"/>
  <c r="AB462" i="10" s="1"/>
  <c r="Z463" i="10"/>
  <c r="AB463" i="10" s="1"/>
  <c r="Z464" i="10"/>
  <c r="AB464" i="10" s="1"/>
  <c r="Z465" i="10"/>
  <c r="AB465" i="10" s="1"/>
  <c r="Z466" i="10"/>
  <c r="AB466" i="10" s="1"/>
  <c r="Z467" i="10"/>
  <c r="AB467" i="10" s="1"/>
  <c r="Z468" i="10"/>
  <c r="AB468" i="10" s="1"/>
  <c r="AC469" i="10" s="1"/>
  <c r="Z469" i="10"/>
  <c r="AB469" i="10" s="1"/>
  <c r="Z470" i="10"/>
  <c r="AB470" i="10" s="1"/>
  <c r="Z471" i="10"/>
  <c r="AB471" i="10" s="1"/>
  <c r="Z472" i="10"/>
  <c r="AB472" i="10" s="1"/>
  <c r="Z473" i="10"/>
  <c r="AB473" i="10" s="1"/>
  <c r="AC474" i="10" s="1"/>
  <c r="Z474" i="10"/>
  <c r="AB474" i="10" s="1"/>
  <c r="Z475" i="10"/>
  <c r="AB475" i="10" s="1"/>
  <c r="Z476" i="10"/>
  <c r="AB476" i="10" s="1"/>
  <c r="Z477" i="10"/>
  <c r="AB477" i="10" s="1"/>
  <c r="Z478" i="10"/>
  <c r="AB478" i="10" s="1"/>
  <c r="Z479" i="10"/>
  <c r="AB479" i="10" s="1"/>
  <c r="Z480" i="10"/>
  <c r="AB480" i="10" s="1"/>
  <c r="Z481" i="10"/>
  <c r="AB481" i="10" s="1"/>
  <c r="Z482" i="10"/>
  <c r="AB482" i="10" s="1"/>
  <c r="Z483" i="10"/>
  <c r="AB483" i="10" s="1"/>
  <c r="Z484" i="10"/>
  <c r="AB484" i="10" s="1"/>
  <c r="Z485" i="10"/>
  <c r="AB485" i="10" s="1"/>
  <c r="Z486" i="10"/>
  <c r="AB486" i="10" s="1"/>
  <c r="Z487" i="10"/>
  <c r="AB487" i="10" s="1"/>
  <c r="Z488" i="10"/>
  <c r="AB488" i="10" s="1"/>
  <c r="Z489" i="10"/>
  <c r="AB489" i="10" s="1"/>
  <c r="Z490" i="10"/>
  <c r="AB490" i="10" s="1"/>
  <c r="Z491" i="10"/>
  <c r="AB491" i="10" s="1"/>
  <c r="Z492" i="10"/>
  <c r="AB492" i="10" s="1"/>
  <c r="Z493" i="10"/>
  <c r="AB493" i="10" s="1"/>
  <c r="Z494" i="10"/>
  <c r="AB494" i="10" s="1"/>
  <c r="Z495" i="10"/>
  <c r="AB495" i="10" s="1"/>
  <c r="Z496" i="10"/>
  <c r="AB496" i="10" s="1"/>
  <c r="Z497" i="10"/>
  <c r="AB497" i="10" s="1"/>
  <c r="AC498" i="10" s="1"/>
  <c r="Z498" i="10"/>
  <c r="AB498" i="10" s="1"/>
  <c r="Z499" i="10"/>
  <c r="AB499" i="10" s="1"/>
  <c r="Z500" i="10"/>
  <c r="AB500" i="10" s="1"/>
  <c r="Z501" i="10"/>
  <c r="AB501" i="10" s="1"/>
  <c r="Z502" i="10"/>
  <c r="AB502" i="10" s="1"/>
  <c r="Z503" i="10"/>
  <c r="AB503" i="10" s="1"/>
  <c r="Z504" i="10"/>
  <c r="AB504" i="10" s="1"/>
  <c r="AC505" i="10" s="1"/>
  <c r="Z505" i="10"/>
  <c r="AB505" i="10" s="1"/>
  <c r="Z506" i="10"/>
  <c r="AB506" i="10" s="1"/>
  <c r="Z507" i="10"/>
  <c r="AB507" i="10" s="1"/>
  <c r="Z508" i="10"/>
  <c r="AB508" i="10" s="1"/>
  <c r="Z509" i="10"/>
  <c r="AB509" i="10" s="1"/>
  <c r="AC510" i="10" s="1"/>
  <c r="Z510" i="10"/>
  <c r="AB510" i="10" s="1"/>
  <c r="Z511" i="10"/>
  <c r="AB511" i="10" s="1"/>
  <c r="Z512" i="10"/>
  <c r="AB512" i="10" s="1"/>
  <c r="Z513" i="10"/>
  <c r="AB513" i="10" s="1"/>
  <c r="Z514" i="10"/>
  <c r="AB514" i="10" s="1"/>
  <c r="Z515" i="10"/>
  <c r="AB515" i="10" s="1"/>
  <c r="Z516" i="10"/>
  <c r="AB516" i="10" s="1"/>
  <c r="Z517" i="10"/>
  <c r="AB517" i="10" s="1"/>
  <c r="Z518" i="10"/>
  <c r="AB518" i="10" s="1"/>
  <c r="Z519" i="10"/>
  <c r="AB519" i="10" s="1"/>
  <c r="Z520" i="10"/>
  <c r="AB520" i="10" s="1"/>
  <c r="Z521" i="10"/>
  <c r="AB521" i="10" s="1"/>
  <c r="Z522" i="10"/>
  <c r="AB522" i="10" s="1"/>
  <c r="Z523" i="10"/>
  <c r="AB523" i="10" s="1"/>
  <c r="Z524" i="10"/>
  <c r="AB524" i="10" s="1"/>
  <c r="Z525" i="10"/>
  <c r="AB525" i="10" s="1"/>
  <c r="Z526" i="10"/>
  <c r="AB526" i="10" s="1"/>
  <c r="Z527" i="10"/>
  <c r="AB527" i="10" s="1"/>
  <c r="Z528" i="10"/>
  <c r="AB528" i="10" s="1"/>
  <c r="Z529" i="10"/>
  <c r="AB529" i="10" s="1"/>
  <c r="Z530" i="10"/>
  <c r="AB530" i="10" s="1"/>
  <c r="Z531" i="10"/>
  <c r="AB531" i="10" s="1"/>
  <c r="Z532" i="10"/>
  <c r="AB532" i="10" s="1"/>
  <c r="Z533" i="10"/>
  <c r="AB533" i="10" s="1"/>
  <c r="Z534" i="10"/>
  <c r="AB534" i="10" s="1"/>
  <c r="Z535" i="10"/>
  <c r="AB535" i="10" s="1"/>
  <c r="Z536" i="10"/>
  <c r="AB536" i="10" s="1"/>
  <c r="Z537" i="10"/>
  <c r="AB537" i="10" s="1"/>
  <c r="Z538" i="10"/>
  <c r="AB538" i="10" s="1"/>
  <c r="Z539" i="10"/>
  <c r="AB539" i="10" s="1"/>
  <c r="Z540" i="10"/>
  <c r="AB540" i="10" s="1"/>
  <c r="Z541" i="10"/>
  <c r="AB541" i="10" s="1"/>
  <c r="Z542" i="10"/>
  <c r="AB542" i="10" s="1"/>
  <c r="Z543" i="10"/>
  <c r="AB543" i="10" s="1"/>
  <c r="Z544" i="10"/>
  <c r="AB544" i="10" s="1"/>
  <c r="Z545" i="10"/>
  <c r="AB545" i="10" s="1"/>
  <c r="Z546" i="10"/>
  <c r="AB546" i="10" s="1"/>
  <c r="Z547" i="10"/>
  <c r="AB547" i="10" s="1"/>
  <c r="Z548" i="10"/>
  <c r="AB548" i="10" s="1"/>
  <c r="Z549" i="10"/>
  <c r="AB549" i="10" s="1"/>
  <c r="Z550" i="10"/>
  <c r="AB550" i="10" s="1"/>
  <c r="Z551" i="10"/>
  <c r="AB551" i="10" s="1"/>
  <c r="Z552" i="10"/>
  <c r="AB552" i="10" s="1"/>
  <c r="Z553" i="10"/>
  <c r="AB553" i="10" s="1"/>
  <c r="Z554" i="10"/>
  <c r="AB554" i="10" s="1"/>
  <c r="Z555" i="10"/>
  <c r="AB555" i="10" s="1"/>
  <c r="Z556" i="10"/>
  <c r="AB556" i="10" s="1"/>
  <c r="Z557" i="10"/>
  <c r="AB557" i="10" s="1"/>
  <c r="Z558" i="10"/>
  <c r="AB558" i="10" s="1"/>
  <c r="Z559" i="10"/>
  <c r="AB559" i="10" s="1"/>
  <c r="Z560" i="10"/>
  <c r="AB560" i="10" s="1"/>
  <c r="Z561" i="10"/>
  <c r="AB561" i="10" s="1"/>
  <c r="Z562" i="10"/>
  <c r="AB562" i="10" s="1"/>
  <c r="Z563" i="10"/>
  <c r="AB563" i="10" s="1"/>
  <c r="AC562" i="10" s="1"/>
  <c r="Z564" i="10"/>
  <c r="AB564" i="10" s="1"/>
  <c r="Z565" i="10"/>
  <c r="AB565" i="10" s="1"/>
  <c r="Z566" i="10"/>
  <c r="AB566" i="10" s="1"/>
  <c r="Z567" i="10"/>
  <c r="AB567" i="10" s="1"/>
  <c r="Z568" i="10"/>
  <c r="AB568" i="10" s="1"/>
  <c r="Z569" i="10"/>
  <c r="AB569" i="10" s="1"/>
  <c r="Z570" i="10"/>
  <c r="AB570" i="10" s="1"/>
  <c r="Z571" i="10"/>
  <c r="AB571" i="10" s="1"/>
  <c r="Z572" i="10"/>
  <c r="AB572" i="10" s="1"/>
  <c r="Z573" i="10"/>
  <c r="AB573" i="10" s="1"/>
  <c r="Z574" i="10"/>
  <c r="AB574" i="10" s="1"/>
  <c r="Z575" i="10"/>
  <c r="AB575" i="10" s="1"/>
  <c r="AC574" i="10" s="1"/>
  <c r="Z576" i="10"/>
  <c r="AB576" i="10" s="1"/>
  <c r="Z577" i="10"/>
  <c r="AB577" i="10" s="1"/>
  <c r="Z578" i="10"/>
  <c r="AB578" i="10" s="1"/>
  <c r="Z579" i="10"/>
  <c r="AB579" i="10" s="1"/>
  <c r="Z580" i="10"/>
  <c r="AB580" i="10" s="1"/>
  <c r="Z581" i="10"/>
  <c r="AB581" i="10" s="1"/>
  <c r="Z582" i="10"/>
  <c r="AB582" i="10" s="1"/>
  <c r="Z583" i="10"/>
  <c r="AB583" i="10" s="1"/>
  <c r="Z584" i="10"/>
  <c r="AB584" i="10" s="1"/>
  <c r="Z585" i="10"/>
  <c r="AB585" i="10" s="1"/>
  <c r="Z586" i="10"/>
  <c r="AB586" i="10" s="1"/>
  <c r="Z587" i="10"/>
  <c r="AB587" i="10" s="1"/>
  <c r="AC586" i="10" s="1"/>
  <c r="Z588" i="10"/>
  <c r="AB588" i="10" s="1"/>
  <c r="Z589" i="10"/>
  <c r="AB589" i="10" s="1"/>
  <c r="Z590" i="10"/>
  <c r="AB590" i="10" s="1"/>
  <c r="Z591" i="10"/>
  <c r="AB591" i="10" s="1"/>
  <c r="Z592" i="10"/>
  <c r="AB592" i="10" s="1"/>
  <c r="Z593" i="10"/>
  <c r="AB593" i="10" s="1"/>
  <c r="Z594" i="10"/>
  <c r="AB594" i="10" s="1"/>
  <c r="Z595" i="10"/>
  <c r="AB595" i="10" s="1"/>
  <c r="Z596" i="10"/>
  <c r="AB596" i="10" s="1"/>
  <c r="Z597" i="10"/>
  <c r="AB597" i="10" s="1"/>
  <c r="Z598" i="10"/>
  <c r="AB598" i="10" s="1"/>
  <c r="Z599" i="10"/>
  <c r="AB599" i="10" s="1"/>
  <c r="AC598" i="10" s="1"/>
  <c r="Z600" i="10"/>
  <c r="AB600" i="10" s="1"/>
  <c r="Z601" i="10"/>
  <c r="AB601" i="10" s="1"/>
  <c r="Z602" i="10"/>
  <c r="AB602" i="10" s="1"/>
  <c r="Z603" i="10"/>
  <c r="AB603" i="10" s="1"/>
  <c r="Z604" i="10"/>
  <c r="AB604" i="10" s="1"/>
  <c r="Z605" i="10"/>
  <c r="AB605" i="10" s="1"/>
  <c r="Z606" i="10"/>
  <c r="AB606" i="10" s="1"/>
  <c r="Z607" i="10"/>
  <c r="AB607" i="10" s="1"/>
  <c r="Z608" i="10"/>
  <c r="AB608" i="10" s="1"/>
  <c r="Z609" i="10"/>
  <c r="AB609" i="10" s="1"/>
  <c r="Z610" i="10"/>
  <c r="AB610" i="10" s="1"/>
  <c r="Z611" i="10"/>
  <c r="AB611" i="10" s="1"/>
  <c r="AC610" i="10" s="1"/>
  <c r="Z612" i="10"/>
  <c r="AB612" i="10" s="1"/>
  <c r="Z613" i="10"/>
  <c r="AB613" i="10" s="1"/>
  <c r="Z614" i="10"/>
  <c r="AB614" i="10" s="1"/>
  <c r="Z615" i="10"/>
  <c r="AB615" i="10" s="1"/>
  <c r="Z616" i="10"/>
  <c r="AB616" i="10" s="1"/>
  <c r="Z617" i="10"/>
  <c r="AB617" i="10" s="1"/>
  <c r="Z618" i="10"/>
  <c r="AB618" i="10" s="1"/>
  <c r="Z619" i="10"/>
  <c r="AB619" i="10" s="1"/>
  <c r="Z620" i="10"/>
  <c r="AB620" i="10" s="1"/>
  <c r="Z621" i="10"/>
  <c r="AB621" i="10" s="1"/>
  <c r="Z622" i="10"/>
  <c r="AB622" i="10" s="1"/>
  <c r="Z623" i="10"/>
  <c r="AB623" i="10" s="1"/>
  <c r="AC622" i="10" s="1"/>
  <c r="Z624" i="10"/>
  <c r="AB624" i="10" s="1"/>
  <c r="Z625" i="10"/>
  <c r="AB625" i="10" s="1"/>
  <c r="Z626" i="10"/>
  <c r="AB626" i="10" s="1"/>
  <c r="Z627" i="10"/>
  <c r="AB627" i="10" s="1"/>
  <c r="Z628" i="10"/>
  <c r="AB628" i="10" s="1"/>
  <c r="Z629" i="10"/>
  <c r="AB629" i="10" s="1"/>
  <c r="Z630" i="10"/>
  <c r="AB630" i="10" s="1"/>
  <c r="Z631" i="10"/>
  <c r="AB631" i="10" s="1"/>
  <c r="Z632" i="10"/>
  <c r="AB632" i="10" s="1"/>
  <c r="Z633" i="10"/>
  <c r="AB633" i="10" s="1"/>
  <c r="Z634" i="10"/>
  <c r="AB634" i="10" s="1"/>
  <c r="Z635" i="10"/>
  <c r="AB635" i="10" s="1"/>
  <c r="AC634" i="10" s="1"/>
  <c r="Z636" i="10"/>
  <c r="AB636" i="10" s="1"/>
  <c r="Z637" i="10"/>
  <c r="AB637" i="10" s="1"/>
  <c r="Z638" i="10"/>
  <c r="AB638" i="10" s="1"/>
  <c r="Z639" i="10"/>
  <c r="AB639" i="10" s="1"/>
  <c r="Z640" i="10"/>
  <c r="AB640" i="10" s="1"/>
  <c r="Z641" i="10"/>
  <c r="AB641" i="10" s="1"/>
  <c r="Z642" i="10"/>
  <c r="AB642" i="10" s="1"/>
  <c r="Z643" i="10"/>
  <c r="AB643" i="10" s="1"/>
  <c r="Z644" i="10"/>
  <c r="AB644" i="10" s="1"/>
  <c r="Z645" i="10"/>
  <c r="AB645" i="10" s="1"/>
  <c r="Z646" i="10"/>
  <c r="AB646" i="10" s="1"/>
  <c r="Z647" i="10"/>
  <c r="AB647" i="10" s="1"/>
  <c r="AC646" i="10" s="1"/>
  <c r="Z648" i="10"/>
  <c r="AB648" i="10" s="1"/>
  <c r="Z649" i="10"/>
  <c r="AB649" i="10" s="1"/>
  <c r="Z650" i="10"/>
  <c r="AB650" i="10" s="1"/>
  <c r="Z651" i="10"/>
  <c r="AB651" i="10" s="1"/>
  <c r="Z652" i="10"/>
  <c r="AB652" i="10" s="1"/>
  <c r="Z653" i="10"/>
  <c r="AB653" i="10" s="1"/>
  <c r="Z654" i="10"/>
  <c r="AB654" i="10" s="1"/>
  <c r="Z655" i="10"/>
  <c r="AB655" i="10" s="1"/>
  <c r="Z656" i="10"/>
  <c r="AB656" i="10" s="1"/>
  <c r="Z657" i="10"/>
  <c r="AB657" i="10" s="1"/>
  <c r="Z658" i="10"/>
  <c r="AB658" i="10" s="1"/>
  <c r="Z659" i="10"/>
  <c r="AB659" i="10" s="1"/>
  <c r="AC658" i="10" s="1"/>
  <c r="Z660" i="10"/>
  <c r="AB660" i="10" s="1"/>
  <c r="Z661" i="10"/>
  <c r="AB661" i="10" s="1"/>
  <c r="Z662" i="10"/>
  <c r="AB662" i="10" s="1"/>
  <c r="Z663" i="10"/>
  <c r="AB663" i="10" s="1"/>
  <c r="Z664" i="10"/>
  <c r="AB664" i="10" s="1"/>
  <c r="Z665" i="10"/>
  <c r="AB665" i="10" s="1"/>
  <c r="Z666" i="10"/>
  <c r="AB666" i="10" s="1"/>
  <c r="Z667" i="10"/>
  <c r="AB667" i="10" s="1"/>
  <c r="Z668" i="10"/>
  <c r="AB668" i="10" s="1"/>
  <c r="Z669" i="10"/>
  <c r="AB669" i="10" s="1"/>
  <c r="Z670" i="10"/>
  <c r="AB670" i="10" s="1"/>
  <c r="Z671" i="10"/>
  <c r="AB671" i="10" s="1"/>
  <c r="AC670" i="10" s="1"/>
  <c r="Z672" i="10"/>
  <c r="AB672" i="10" s="1"/>
  <c r="Z673" i="10"/>
  <c r="AB673" i="10" s="1"/>
  <c r="Z674" i="10"/>
  <c r="AB674" i="10" s="1"/>
  <c r="Z675" i="10"/>
  <c r="AB675" i="10" s="1"/>
  <c r="Z676" i="10"/>
  <c r="AB676" i="10" s="1"/>
  <c r="Z677" i="10"/>
  <c r="AB677" i="10" s="1"/>
  <c r="Z678" i="10"/>
  <c r="AB678" i="10" s="1"/>
  <c r="Z679" i="10"/>
  <c r="AB679" i="10" s="1"/>
  <c r="Z680" i="10"/>
  <c r="AB680" i="10" s="1"/>
  <c r="Z681" i="10"/>
  <c r="AB681" i="10" s="1"/>
  <c r="Z682" i="10"/>
  <c r="AB682" i="10" s="1"/>
  <c r="Z683" i="10"/>
  <c r="AB683" i="10" s="1"/>
  <c r="AC682" i="10" s="1"/>
  <c r="Z684" i="10"/>
  <c r="AB684" i="10" s="1"/>
  <c r="Z685" i="10"/>
  <c r="AB685" i="10" s="1"/>
  <c r="Z686" i="10"/>
  <c r="AB686" i="10" s="1"/>
  <c r="Z687" i="10"/>
  <c r="AB687" i="10" s="1"/>
  <c r="Z688" i="10"/>
  <c r="AB688" i="10" s="1"/>
  <c r="Z689" i="10"/>
  <c r="AB689" i="10" s="1"/>
  <c r="Z690" i="10"/>
  <c r="AB690" i="10" s="1"/>
  <c r="Z691" i="10"/>
  <c r="AB691" i="10" s="1"/>
  <c r="Z692" i="10"/>
  <c r="AB692" i="10" s="1"/>
  <c r="Z693" i="10"/>
  <c r="AB693" i="10" s="1"/>
  <c r="Z694" i="10"/>
  <c r="AB694" i="10" s="1"/>
  <c r="Z695" i="10"/>
  <c r="AB695" i="10" s="1"/>
  <c r="AC694" i="10" s="1"/>
  <c r="Z696" i="10"/>
  <c r="AB696" i="10" s="1"/>
  <c r="Z697" i="10"/>
  <c r="AB697" i="10" s="1"/>
  <c r="Z698" i="10"/>
  <c r="AB698" i="10" s="1"/>
  <c r="Z699" i="10"/>
  <c r="AB699" i="10" s="1"/>
  <c r="Z700" i="10"/>
  <c r="AB700" i="10" s="1"/>
  <c r="Z701" i="10"/>
  <c r="AB701" i="10" s="1"/>
  <c r="Z702" i="10"/>
  <c r="AB702" i="10" s="1"/>
  <c r="Z703" i="10"/>
  <c r="AB703" i="10" s="1"/>
  <c r="Z704" i="10"/>
  <c r="AB704" i="10" s="1"/>
  <c r="Z705" i="10"/>
  <c r="AB705" i="10" s="1"/>
  <c r="Z706" i="10"/>
  <c r="AB706" i="10" s="1"/>
  <c r="Z707" i="10"/>
  <c r="AB707" i="10" s="1"/>
  <c r="AC706" i="10" s="1"/>
  <c r="Z708" i="10"/>
  <c r="AB708" i="10" s="1"/>
  <c r="Z2" i="10"/>
  <c r="AB2" i="10" s="1"/>
  <c r="P44" i="7"/>
  <c r="N44" i="7"/>
  <c r="L44" i="7"/>
  <c r="G44" i="7"/>
  <c r="P43" i="7"/>
  <c r="N43" i="7"/>
  <c r="L43" i="7"/>
  <c r="G43" i="7"/>
  <c r="P42" i="7"/>
  <c r="N42" i="7"/>
  <c r="L42" i="7"/>
  <c r="G42" i="7"/>
  <c r="P41" i="7"/>
  <c r="N41" i="7"/>
  <c r="L41" i="7"/>
  <c r="G41" i="7"/>
  <c r="P40" i="7"/>
  <c r="N40" i="7"/>
  <c r="L40" i="7"/>
  <c r="G40" i="7"/>
  <c r="P39" i="7"/>
  <c r="N39" i="7"/>
  <c r="L39" i="7"/>
  <c r="G39" i="7"/>
  <c r="P38" i="7"/>
  <c r="N38" i="7"/>
  <c r="L38" i="7"/>
  <c r="G38" i="7"/>
  <c r="P37" i="7"/>
  <c r="N37" i="7"/>
  <c r="L37" i="7"/>
  <c r="G37" i="7"/>
  <c r="P36" i="7"/>
  <c r="N36" i="7"/>
  <c r="L36" i="7"/>
  <c r="G36" i="7"/>
  <c r="P35" i="7"/>
  <c r="N35" i="7"/>
  <c r="L35" i="7"/>
  <c r="G35" i="7"/>
  <c r="P34" i="7"/>
  <c r="N34" i="7"/>
  <c r="L34" i="7"/>
  <c r="G34" i="7"/>
  <c r="P33" i="7"/>
  <c r="N33" i="7"/>
  <c r="L33" i="7"/>
  <c r="G33" i="7"/>
  <c r="P32" i="7"/>
  <c r="N32" i="7"/>
  <c r="L32" i="7"/>
  <c r="G32" i="7"/>
  <c r="P31" i="7"/>
  <c r="N31" i="7"/>
  <c r="L31" i="7"/>
  <c r="G31" i="7"/>
  <c r="P30" i="7"/>
  <c r="N30" i="7"/>
  <c r="L30" i="7"/>
  <c r="G30" i="7"/>
  <c r="P29" i="7"/>
  <c r="N29" i="7"/>
  <c r="L29" i="7"/>
  <c r="G29" i="7"/>
  <c r="P28" i="7"/>
  <c r="N28" i="7"/>
  <c r="L28" i="7"/>
  <c r="G28" i="7"/>
  <c r="P27" i="7"/>
  <c r="N27" i="7"/>
  <c r="L27" i="7"/>
  <c r="G27" i="7"/>
  <c r="P26" i="7"/>
  <c r="N26" i="7"/>
  <c r="L26" i="7"/>
  <c r="G26" i="7"/>
  <c r="P25" i="7"/>
  <c r="N25" i="7"/>
  <c r="L25" i="7"/>
  <c r="G25" i="7"/>
  <c r="P24" i="7"/>
  <c r="N24" i="7"/>
  <c r="L24" i="7"/>
  <c r="G24" i="7"/>
  <c r="P23" i="7"/>
  <c r="N23" i="7"/>
  <c r="L23" i="7"/>
  <c r="G23" i="7"/>
  <c r="P22" i="7"/>
  <c r="N22" i="7"/>
  <c r="L22" i="7"/>
  <c r="G22" i="7"/>
  <c r="P21" i="7"/>
  <c r="N21" i="7"/>
  <c r="L21" i="7"/>
  <c r="G21" i="7"/>
  <c r="P20" i="7"/>
  <c r="N20" i="7"/>
  <c r="L20" i="7"/>
  <c r="G20" i="7"/>
  <c r="P19" i="7"/>
  <c r="N19" i="7"/>
  <c r="L19" i="7"/>
  <c r="G19" i="7"/>
  <c r="P18" i="7"/>
  <c r="N18" i="7"/>
  <c r="L18" i="7"/>
  <c r="G18" i="7"/>
  <c r="P17" i="7"/>
  <c r="N17" i="7"/>
  <c r="L17" i="7"/>
  <c r="G17" i="7"/>
  <c r="P16" i="7"/>
  <c r="N16" i="7"/>
  <c r="L16" i="7"/>
  <c r="G16" i="7"/>
  <c r="P15" i="7"/>
  <c r="N15" i="7"/>
  <c r="L15" i="7"/>
  <c r="G15" i="7"/>
  <c r="P14" i="7"/>
  <c r="N14" i="7"/>
  <c r="L14" i="7"/>
  <c r="G14" i="7"/>
  <c r="P13" i="7"/>
  <c r="N13" i="7"/>
  <c r="L13" i="7"/>
  <c r="G13" i="7"/>
  <c r="P12" i="7"/>
  <c r="N12" i="7"/>
  <c r="L12" i="7"/>
  <c r="G12" i="7"/>
  <c r="P11" i="7"/>
  <c r="N11" i="7"/>
  <c r="L11" i="7"/>
  <c r="G11" i="7"/>
  <c r="P10" i="7"/>
  <c r="N10" i="7"/>
  <c r="L10" i="7"/>
  <c r="G10" i="7"/>
  <c r="P9" i="7"/>
  <c r="N9" i="7"/>
  <c r="L9" i="7"/>
  <c r="G9" i="7"/>
  <c r="P8" i="7"/>
  <c r="N8" i="7"/>
  <c r="L8" i="7"/>
  <c r="G8" i="7"/>
  <c r="P7" i="7"/>
  <c r="N7" i="7"/>
  <c r="L7" i="7"/>
  <c r="G7" i="7"/>
  <c r="AC8" i="10" l="1"/>
  <c r="T440" i="10"/>
  <c r="T439" i="10"/>
  <c r="AC705" i="10"/>
  <c r="AC693" i="10"/>
  <c r="AC681" i="10"/>
  <c r="AC669" i="10"/>
  <c r="AC657" i="10"/>
  <c r="AC724" i="10"/>
  <c r="AC712" i="10"/>
  <c r="T11" i="10"/>
  <c r="V14" i="10"/>
  <c r="X1029" i="10"/>
  <c r="X1018" i="10"/>
  <c r="X996" i="10"/>
  <c r="V989" i="10"/>
  <c r="X985" i="10"/>
  <c r="X984" i="10"/>
  <c r="V963" i="10"/>
  <c r="T905" i="10"/>
  <c r="T685" i="10"/>
  <c r="T673" i="10"/>
  <c r="V606" i="10"/>
  <c r="X598" i="10"/>
  <c r="V552" i="10"/>
  <c r="T455" i="10"/>
  <c r="V360" i="10"/>
  <c r="X36" i="10"/>
  <c r="T10" i="10"/>
  <c r="V1047" i="10"/>
  <c r="V1037" i="10"/>
  <c r="V1018" i="10"/>
  <c r="V1007" i="10"/>
  <c r="T1000" i="10"/>
  <c r="X917" i="10"/>
  <c r="V848" i="10"/>
  <c r="T837" i="10"/>
  <c r="V799" i="10"/>
  <c r="V790" i="10"/>
  <c r="T540" i="10"/>
  <c r="T529" i="10"/>
  <c r="X458" i="10"/>
  <c r="X390" i="10"/>
  <c r="T379" i="10"/>
  <c r="V12" i="10"/>
  <c r="X15" i="10"/>
  <c r="X1051" i="10"/>
  <c r="V1048" i="10"/>
  <c r="X1044" i="10"/>
  <c r="X1040" i="10"/>
  <c r="V1029" i="10"/>
  <c r="X1021" i="10"/>
  <c r="X1010" i="10"/>
  <c r="X976" i="10"/>
  <c r="X958" i="10"/>
  <c r="X810" i="10"/>
  <c r="X539" i="10"/>
  <c r="AC867" i="10"/>
  <c r="AC855" i="10"/>
  <c r="AC843" i="10"/>
  <c r="AC831" i="10"/>
  <c r="AC819" i="10"/>
  <c r="AC807" i="10"/>
  <c r="AC795" i="10"/>
  <c r="AC783" i="10"/>
  <c r="AC771" i="10"/>
  <c r="AC759" i="10"/>
  <c r="AC747" i="10"/>
  <c r="AC735" i="10"/>
  <c r="AC723" i="10"/>
  <c r="AC711" i="10"/>
  <c r="T8" i="10"/>
  <c r="V11" i="10"/>
  <c r="X14" i="10"/>
  <c r="T1066" i="10"/>
  <c r="V1062" i="10"/>
  <c r="V1043" i="10"/>
  <c r="X1036" i="10"/>
  <c r="X1032" i="10"/>
  <c r="V1010" i="10"/>
  <c r="X999" i="10"/>
  <c r="V987" i="10"/>
  <c r="V947" i="10"/>
  <c r="T936" i="10"/>
  <c r="V928" i="10"/>
  <c r="X924" i="10"/>
  <c r="X877" i="10"/>
  <c r="T676" i="10"/>
  <c r="X634" i="10"/>
  <c r="T631" i="10"/>
  <c r="T617" i="10"/>
  <c r="V601" i="10"/>
  <c r="X597" i="10"/>
  <c r="T573" i="10"/>
  <c r="T563" i="10"/>
  <c r="X473" i="10"/>
  <c r="T462" i="10"/>
  <c r="T430" i="10"/>
  <c r="V323" i="10"/>
  <c r="AC509" i="10"/>
  <c r="AC497" i="10"/>
  <c r="AC473" i="10"/>
  <c r="AC461" i="10"/>
  <c r="AC437" i="10"/>
  <c r="AC425" i="10"/>
  <c r="AC16" i="10"/>
  <c r="AC5" i="10"/>
  <c r="T7" i="10"/>
  <c r="X13" i="10"/>
  <c r="X1065" i="10"/>
  <c r="T1061" i="10"/>
  <c r="V1051" i="10"/>
  <c r="T1040" i="10"/>
  <c r="V1035" i="10"/>
  <c r="X1024" i="10"/>
  <c r="V1021" i="10"/>
  <c r="X1013" i="10"/>
  <c r="V999" i="10"/>
  <c r="X991" i="10"/>
  <c r="X950" i="10"/>
  <c r="X896" i="10"/>
  <c r="V880" i="10"/>
  <c r="X864" i="10"/>
  <c r="V843" i="10"/>
  <c r="T836" i="10"/>
  <c r="V832" i="10"/>
  <c r="V782" i="10"/>
  <c r="V778" i="10"/>
  <c r="T605" i="10"/>
  <c r="X562" i="10"/>
  <c r="X561" i="10"/>
  <c r="T551" i="10"/>
  <c r="T547" i="10"/>
  <c r="X495" i="10"/>
  <c r="X412" i="10"/>
  <c r="V158" i="10"/>
  <c r="V1065" i="10"/>
  <c r="X1039" i="10"/>
  <c r="T1032" i="10"/>
  <c r="T988" i="10"/>
  <c r="X961" i="10"/>
  <c r="T919" i="10"/>
  <c r="V892" i="10"/>
  <c r="X835" i="10"/>
  <c r="V828" i="10"/>
  <c r="T812" i="10"/>
  <c r="V679" i="10"/>
  <c r="X652" i="10"/>
  <c r="V500" i="10"/>
  <c r="V429" i="10"/>
  <c r="X303" i="10"/>
  <c r="X302" i="10"/>
  <c r="T257" i="10"/>
  <c r="T1063" i="10"/>
  <c r="V1059" i="10"/>
  <c r="X1031" i="10"/>
  <c r="T1024" i="10"/>
  <c r="V1013" i="10"/>
  <c r="X1005" i="10"/>
  <c r="V1000" i="10"/>
  <c r="X994" i="10"/>
  <c r="T980" i="10"/>
  <c r="V969" i="10"/>
  <c r="V961" i="10"/>
  <c r="V960" i="10"/>
  <c r="T900" i="10"/>
  <c r="V884" i="10"/>
  <c r="T675" i="10"/>
  <c r="V666" i="10"/>
  <c r="V656" i="10"/>
  <c r="T630" i="10"/>
  <c r="T623" i="10"/>
  <c r="T461" i="10"/>
  <c r="X1057" i="10"/>
  <c r="V992" i="10"/>
  <c r="V972" i="10"/>
  <c r="T884" i="10"/>
  <c r="V876" i="10"/>
  <c r="T835" i="10"/>
  <c r="X818" i="10"/>
  <c r="V760" i="10"/>
  <c r="V659" i="10"/>
  <c r="V637" i="10"/>
  <c r="X633" i="10"/>
  <c r="X615" i="10"/>
  <c r="V596" i="10"/>
  <c r="X577" i="10"/>
  <c r="X569" i="10"/>
  <c r="X432" i="10"/>
  <c r="X278" i="10"/>
  <c r="AC252" i="10"/>
  <c r="AC240" i="10"/>
  <c r="AC228" i="10"/>
  <c r="AC216" i="10"/>
  <c r="AC192" i="10"/>
  <c r="AC180" i="10"/>
  <c r="AC168" i="10"/>
  <c r="AC156" i="10"/>
  <c r="AC144" i="10"/>
  <c r="AC132" i="10"/>
  <c r="AC994" i="10"/>
  <c r="V3" i="10"/>
  <c r="X1053" i="10"/>
  <c r="X1042" i="10"/>
  <c r="X1023" i="10"/>
  <c r="T1016" i="10"/>
  <c r="V1005" i="10"/>
  <c r="T994" i="10"/>
  <c r="X960" i="10"/>
  <c r="X944" i="10"/>
  <c r="T941" i="10"/>
  <c r="T880" i="10"/>
  <c r="X833" i="10"/>
  <c r="V823" i="10"/>
  <c r="X812" i="10"/>
  <c r="X651" i="10"/>
  <c r="X639" i="10"/>
  <c r="X603" i="10"/>
  <c r="T579" i="10"/>
  <c r="V569" i="10"/>
  <c r="V982" i="10"/>
  <c r="T972" i="10"/>
  <c r="V958" i="10"/>
  <c r="T948" i="10"/>
  <c r="V933" i="10"/>
  <c r="X884" i="10"/>
  <c r="V855" i="10"/>
  <c r="T848" i="10"/>
  <c r="X840" i="10"/>
  <c r="T834" i="10"/>
  <c r="T823" i="10"/>
  <c r="X819" i="10"/>
  <c r="T805" i="10"/>
  <c r="T795" i="10"/>
  <c r="T787" i="10"/>
  <c r="T767" i="10"/>
  <c r="T764" i="10"/>
  <c r="T752" i="10"/>
  <c r="T729" i="10"/>
  <c r="T725" i="10"/>
  <c r="V717" i="10"/>
  <c r="X701" i="10"/>
  <c r="T690" i="10"/>
  <c r="T671" i="10"/>
  <c r="X662" i="10"/>
  <c r="V643" i="10"/>
  <c r="X609" i="10"/>
  <c r="T606" i="10"/>
  <c r="X592" i="10"/>
  <c r="T589" i="10"/>
  <c r="V581" i="10"/>
  <c r="T578" i="10"/>
  <c r="T504" i="10"/>
  <c r="X488" i="10"/>
  <c r="V458" i="10"/>
  <c r="V443" i="10"/>
  <c r="T424" i="10"/>
  <c r="V417" i="10"/>
  <c r="V394" i="10"/>
  <c r="T371" i="10"/>
  <c r="X370" i="10"/>
  <c r="T355" i="10"/>
  <c r="V348" i="10"/>
  <c r="V336" i="10"/>
  <c r="X322" i="10"/>
  <c r="X306" i="10"/>
  <c r="T295" i="10"/>
  <c r="T280" i="10"/>
  <c r="T261" i="10"/>
  <c r="X246" i="10"/>
  <c r="V235" i="10"/>
  <c r="V223" i="10"/>
  <c r="V162" i="10"/>
  <c r="T159" i="10"/>
  <c r="V147" i="10"/>
  <c r="T116" i="10"/>
  <c r="V108" i="10"/>
  <c r="T56" i="10"/>
  <c r="V48" i="10"/>
  <c r="X980" i="10"/>
  <c r="V978" i="10"/>
  <c r="X971" i="10"/>
  <c r="X956" i="10"/>
  <c r="V954" i="10"/>
  <c r="X947" i="10"/>
  <c r="X931" i="10"/>
  <c r="T918" i="10"/>
  <c r="X872" i="10"/>
  <c r="V856" i="10"/>
  <c r="T840" i="10"/>
  <c r="V824" i="10"/>
  <c r="V794" i="10"/>
  <c r="T770" i="10"/>
  <c r="T744" i="10"/>
  <c r="T705" i="10"/>
  <c r="T701" i="10"/>
  <c r="V693" i="10"/>
  <c r="X685" i="10"/>
  <c r="X677" i="10"/>
  <c r="V669" i="10"/>
  <c r="T629" i="10"/>
  <c r="V619" i="10"/>
  <c r="V587" i="10"/>
  <c r="V577" i="10"/>
  <c r="V573" i="10"/>
  <c r="V518" i="10"/>
  <c r="X476" i="10"/>
  <c r="X461" i="10"/>
  <c r="V450" i="10"/>
  <c r="V428" i="10"/>
  <c r="X392" i="10"/>
  <c r="T381" i="10"/>
  <c r="V359" i="10"/>
  <c r="T339" i="10"/>
  <c r="T310" i="10"/>
  <c r="X265" i="10"/>
  <c r="X211" i="10"/>
  <c r="T162" i="10"/>
  <c r="X154" i="10"/>
  <c r="T151" i="10"/>
  <c r="V128" i="10"/>
  <c r="V124" i="10"/>
  <c r="T113" i="10"/>
  <c r="T94" i="10"/>
  <c r="T86" i="10"/>
  <c r="T48" i="10"/>
  <c r="V40" i="10"/>
  <c r="T28" i="10"/>
  <c r="X532" i="10"/>
  <c r="T522" i="10"/>
  <c r="X506" i="10"/>
  <c r="V476" i="10"/>
  <c r="V446" i="10"/>
  <c r="X434" i="10"/>
  <c r="X408" i="10"/>
  <c r="V393" i="10"/>
  <c r="V388" i="10"/>
  <c r="X380" i="10"/>
  <c r="T374" i="10"/>
  <c r="X350" i="10"/>
  <c r="X346" i="10"/>
  <c r="T327" i="10"/>
  <c r="V324" i="10"/>
  <c r="V298" i="10"/>
  <c r="X279" i="10"/>
  <c r="V265" i="10"/>
  <c r="T258" i="10"/>
  <c r="T253" i="10"/>
  <c r="T250" i="10"/>
  <c r="X238" i="10"/>
  <c r="X226" i="10"/>
  <c r="V211" i="10"/>
  <c r="V196" i="10"/>
  <c r="X180" i="10"/>
  <c r="X172" i="10"/>
  <c r="V139" i="10"/>
  <c r="T124" i="10"/>
  <c r="X112" i="10"/>
  <c r="V97" i="10"/>
  <c r="X81" i="10"/>
  <c r="T67" i="10"/>
  <c r="T40" i="10"/>
  <c r="V32" i="10"/>
  <c r="V902" i="10"/>
  <c r="T887" i="10"/>
  <c r="T876" i="10"/>
  <c r="V868" i="10"/>
  <c r="X856" i="10"/>
  <c r="T843" i="10"/>
  <c r="X825" i="10"/>
  <c r="X805" i="10"/>
  <c r="X796" i="10"/>
  <c r="V774" i="10"/>
  <c r="T720" i="10"/>
  <c r="T712" i="10"/>
  <c r="T681" i="10"/>
  <c r="T677" i="10"/>
  <c r="T670" i="10"/>
  <c r="T659" i="10"/>
  <c r="X645" i="10"/>
  <c r="T642" i="10"/>
  <c r="X628" i="10"/>
  <c r="V608" i="10"/>
  <c r="X587" i="10"/>
  <c r="V565" i="10"/>
  <c r="V532" i="10"/>
  <c r="T510" i="10"/>
  <c r="T480" i="10"/>
  <c r="V468" i="10"/>
  <c r="T450" i="10"/>
  <c r="V431" i="10"/>
  <c r="X423" i="10"/>
  <c r="T420" i="10"/>
  <c r="X396" i="10"/>
  <c r="V385" i="10"/>
  <c r="X373" i="10"/>
  <c r="X368" i="10"/>
  <c r="V351" i="10"/>
  <c r="V339" i="10"/>
  <c r="X309" i="10"/>
  <c r="X304" i="10"/>
  <c r="T297" i="10"/>
  <c r="V279" i="10"/>
  <c r="X274" i="10"/>
  <c r="X268" i="10"/>
  <c r="X257" i="10"/>
  <c r="X244" i="10"/>
  <c r="V233" i="10"/>
  <c r="V221" i="10"/>
  <c r="X199" i="10"/>
  <c r="T196" i="10"/>
  <c r="V180" i="10"/>
  <c r="V150" i="10"/>
  <c r="T101" i="10"/>
  <c r="V89" i="10"/>
  <c r="V84" i="10"/>
  <c r="X66" i="10"/>
  <c r="T59" i="10"/>
  <c r="T32" i="10"/>
  <c r="V24" i="10"/>
  <c r="X977" i="10"/>
  <c r="X953" i="10"/>
  <c r="T943" i="10"/>
  <c r="V939" i="10"/>
  <c r="X929" i="10"/>
  <c r="V920" i="10"/>
  <c r="T913" i="10"/>
  <c r="T909" i="10"/>
  <c r="X905" i="10"/>
  <c r="X874" i="10"/>
  <c r="V844" i="10"/>
  <c r="V796" i="10"/>
  <c r="V789" i="10"/>
  <c r="T778" i="10"/>
  <c r="V766" i="10"/>
  <c r="V762" i="10"/>
  <c r="V758" i="10"/>
  <c r="V754" i="10"/>
  <c r="T743" i="10"/>
  <c r="T739" i="10"/>
  <c r="T735" i="10"/>
  <c r="T708" i="10"/>
  <c r="V672" i="10"/>
  <c r="V618" i="10"/>
  <c r="X604" i="10"/>
  <c r="V576" i="10"/>
  <c r="T531" i="10"/>
  <c r="X494" i="10"/>
  <c r="X479" i="10"/>
  <c r="V464" i="10"/>
  <c r="X459" i="10"/>
  <c r="X449" i="10"/>
  <c r="T438" i="10"/>
  <c r="X419" i="10"/>
  <c r="X414" i="10"/>
  <c r="T385" i="10"/>
  <c r="T377" i="10"/>
  <c r="T343" i="10"/>
  <c r="V327" i="10"/>
  <c r="X301" i="10"/>
  <c r="X297" i="10"/>
  <c r="V286" i="10"/>
  <c r="X282" i="10"/>
  <c r="V268" i="10"/>
  <c r="V257" i="10"/>
  <c r="V249" i="10"/>
  <c r="T242" i="10"/>
  <c r="T230" i="10"/>
  <c r="T218" i="10"/>
  <c r="V214" i="10"/>
  <c r="T180" i="10"/>
  <c r="T168" i="10"/>
  <c r="V142" i="10"/>
  <c r="X138" i="10"/>
  <c r="V127" i="10"/>
  <c r="X100" i="10"/>
  <c r="T92" i="10"/>
  <c r="T85" i="10"/>
  <c r="T70" i="10"/>
  <c r="X58" i="10"/>
  <c r="T51" i="10"/>
  <c r="T24" i="10"/>
  <c r="V991" i="10"/>
  <c r="X972" i="10"/>
  <c r="V970" i="10"/>
  <c r="X963" i="10"/>
  <c r="X948" i="10"/>
  <c r="V946" i="10"/>
  <c r="T939" i="10"/>
  <c r="X927" i="10"/>
  <c r="T924" i="10"/>
  <c r="V886" i="10"/>
  <c r="X860" i="10"/>
  <c r="V853" i="10"/>
  <c r="X849" i="10"/>
  <c r="T799" i="10"/>
  <c r="X777" i="10"/>
  <c r="T757" i="10"/>
  <c r="T731" i="10"/>
  <c r="T727" i="10"/>
  <c r="V715" i="10"/>
  <c r="V711" i="10"/>
  <c r="X703" i="10"/>
  <c r="T696" i="10"/>
  <c r="T688" i="10"/>
  <c r="V675" i="10"/>
  <c r="X665" i="10"/>
  <c r="V655" i="10"/>
  <c r="T618" i="10"/>
  <c r="V594" i="10"/>
  <c r="T587" i="10"/>
  <c r="X568" i="10"/>
  <c r="T554" i="10"/>
  <c r="X524" i="10"/>
  <c r="V494" i="10"/>
  <c r="T468" i="10"/>
  <c r="V456" i="10"/>
  <c r="X436" i="10"/>
  <c r="T421" i="10"/>
  <c r="T400" i="10"/>
  <c r="V396" i="10"/>
  <c r="X384" i="10"/>
  <c r="X374" i="10"/>
  <c r="V365" i="10"/>
  <c r="X361" i="10"/>
  <c r="V354" i="10"/>
  <c r="X342" i="10"/>
  <c r="T331" i="10"/>
  <c r="X319" i="10"/>
  <c r="T315" i="10"/>
  <c r="V301" i="10"/>
  <c r="T286" i="10"/>
  <c r="V260" i="10"/>
  <c r="X241" i="10"/>
  <c r="X229" i="10"/>
  <c r="X202" i="10"/>
  <c r="V187" i="10"/>
  <c r="X167" i="10"/>
  <c r="V153" i="10"/>
  <c r="T142" i="10"/>
  <c r="T127" i="10"/>
  <c r="X115" i="10"/>
  <c r="V100" i="10"/>
  <c r="X88" i="10"/>
  <c r="X84" i="10"/>
  <c r="T62" i="10"/>
  <c r="X50" i="10"/>
  <c r="T43" i="10"/>
  <c r="V980" i="10"/>
  <c r="V977" i="10"/>
  <c r="X966" i="10"/>
  <c r="V956" i="10"/>
  <c r="V953" i="10"/>
  <c r="V940" i="10"/>
  <c r="X938" i="10"/>
  <c r="T931" i="10"/>
  <c r="V912" i="10"/>
  <c r="V860" i="10"/>
  <c r="T832" i="10"/>
  <c r="X824" i="10"/>
  <c r="T821" i="10"/>
  <c r="X800" i="10"/>
  <c r="V777" i="10"/>
  <c r="V703" i="10"/>
  <c r="V699" i="10"/>
  <c r="T684" i="10"/>
  <c r="T641" i="10"/>
  <c r="V631" i="10"/>
  <c r="X586" i="10"/>
  <c r="V568" i="10"/>
  <c r="V563" i="10"/>
  <c r="T561" i="10"/>
  <c r="T555" i="10"/>
  <c r="X553" i="10"/>
  <c r="X538" i="10"/>
  <c r="T535" i="10"/>
  <c r="V486" i="10"/>
  <c r="X467" i="10"/>
  <c r="X398" i="10"/>
  <c r="X271" i="10"/>
  <c r="X217" i="10"/>
  <c r="X140" i="10"/>
  <c r="V115" i="10"/>
  <c r="T35" i="10"/>
  <c r="T346" i="10"/>
  <c r="T319" i="10"/>
  <c r="X310" i="10"/>
  <c r="V304" i="10"/>
  <c r="T287" i="10"/>
  <c r="X285" i="10"/>
  <c r="X280" i="10"/>
  <c r="V273" i="10"/>
  <c r="V271" i="10"/>
  <c r="X263" i="10"/>
  <c r="T260" i="10"/>
  <c r="V252" i="10"/>
  <c r="V217" i="10"/>
  <c r="X186" i="10"/>
  <c r="T171" i="10"/>
  <c r="X116" i="10"/>
  <c r="T114" i="10"/>
  <c r="T110" i="10"/>
  <c r="V103" i="10"/>
  <c r="V68" i="10"/>
  <c r="X61" i="10"/>
  <c r="X34" i="10"/>
  <c r="T27" i="10"/>
  <c r="V364" i="10"/>
  <c r="T360" i="10"/>
  <c r="X344" i="10"/>
  <c r="X318" i="10"/>
  <c r="T304" i="10"/>
  <c r="X288" i="10"/>
  <c r="T271" i="10"/>
  <c r="V263" i="10"/>
  <c r="T252" i="10"/>
  <c r="V244" i="10"/>
  <c r="X232" i="10"/>
  <c r="X220" i="10"/>
  <c r="X205" i="10"/>
  <c r="X178" i="10"/>
  <c r="X170" i="10"/>
  <c r="V156" i="10"/>
  <c r="X148" i="10"/>
  <c r="T145" i="10"/>
  <c r="X132" i="10"/>
  <c r="V118" i="10"/>
  <c r="X91" i="10"/>
  <c r="X72" i="10"/>
  <c r="T69" i="10"/>
  <c r="V61" i="10"/>
  <c r="X53" i="10"/>
  <c r="T38" i="10"/>
  <c r="X26" i="10"/>
  <c r="T19" i="10"/>
  <c r="X979" i="10"/>
  <c r="X964" i="10"/>
  <c r="X955" i="10"/>
  <c r="V945" i="10"/>
  <c r="X941" i="10"/>
  <c r="X920" i="10"/>
  <c r="V896" i="10"/>
  <c r="X881" i="10"/>
  <c r="T870" i="10"/>
  <c r="X854" i="10"/>
  <c r="V852" i="10"/>
  <c r="X802" i="10"/>
  <c r="X791" i="10"/>
  <c r="X786" i="10"/>
  <c r="X760" i="10"/>
  <c r="X756" i="10"/>
  <c r="T714" i="10"/>
  <c r="T683" i="10"/>
  <c r="X671" i="10"/>
  <c r="V630" i="10"/>
  <c r="V620" i="10"/>
  <c r="T593" i="10"/>
  <c r="X537" i="10"/>
  <c r="T527" i="10"/>
  <c r="V504" i="10"/>
  <c r="T474" i="10"/>
  <c r="T444" i="10"/>
  <c r="T432" i="10"/>
  <c r="X424" i="10"/>
  <c r="X420" i="10"/>
  <c r="T391" i="10"/>
  <c r="T356" i="10"/>
  <c r="V345" i="10"/>
  <c r="X333" i="10"/>
  <c r="T322" i="10"/>
  <c r="V317" i="10"/>
  <c r="T274" i="10"/>
  <c r="T263" i="10"/>
  <c r="X255" i="10"/>
  <c r="V239" i="10"/>
  <c r="V232" i="10"/>
  <c r="V227" i="10"/>
  <c r="V220" i="10"/>
  <c r="V205" i="10"/>
  <c r="V148" i="10"/>
  <c r="X144" i="10"/>
  <c r="X129" i="10"/>
  <c r="X121" i="10"/>
  <c r="T118" i="10"/>
  <c r="T103" i="10"/>
  <c r="T76" i="10"/>
  <c r="V72" i="10"/>
  <c r="T60" i="10"/>
  <c r="V53" i="10"/>
  <c r="X45" i="10"/>
  <c r="T30" i="10"/>
  <c r="X18" i="10"/>
  <c r="AC544" i="10"/>
  <c r="AC520" i="10"/>
  <c r="AC4" i="10"/>
  <c r="X1062" i="10"/>
  <c r="X1060" i="10"/>
  <c r="V975" i="10"/>
  <c r="V973" i="10"/>
  <c r="V951" i="10"/>
  <c r="V949" i="10"/>
  <c r="X898" i="10"/>
  <c r="X899" i="10"/>
  <c r="T429" i="10"/>
  <c r="T427" i="10"/>
  <c r="T428" i="10"/>
  <c r="AC699" i="10"/>
  <c r="AC687" i="10"/>
  <c r="AC675" i="10"/>
  <c r="AC663" i="10"/>
  <c r="AC651" i="10"/>
  <c r="AC639" i="10"/>
  <c r="AC627" i="10"/>
  <c r="AC615" i="10"/>
  <c r="AC603" i="10"/>
  <c r="AC591" i="10"/>
  <c r="AC579" i="10"/>
  <c r="AC567" i="10"/>
  <c r="AC15" i="10"/>
  <c r="X988" i="10"/>
  <c r="X986" i="10"/>
  <c r="AC3" i="10"/>
  <c r="AC696" i="10"/>
  <c r="AC698" i="10"/>
  <c r="AC684" i="10"/>
  <c r="AC672" i="10"/>
  <c r="AC660" i="10"/>
  <c r="AC662" i="10"/>
  <c r="AC648" i="10"/>
  <c r="AC636" i="10"/>
  <c r="AC624" i="10"/>
  <c r="AC626" i="10"/>
  <c r="AC612" i="10"/>
  <c r="AC600" i="10"/>
  <c r="AC588" i="10"/>
  <c r="AC590" i="10"/>
  <c r="AC576" i="10"/>
  <c r="AC564" i="10"/>
  <c r="AC24" i="10"/>
  <c r="AC26" i="10"/>
  <c r="AC14" i="10"/>
  <c r="V1040" i="10"/>
  <c r="V1038" i="10"/>
  <c r="X623" i="10"/>
  <c r="X624" i="10"/>
  <c r="AC456" i="10"/>
  <c r="AC457" i="10"/>
  <c r="AC204" i="10"/>
  <c r="AC205" i="10"/>
  <c r="AC119" i="10"/>
  <c r="AC121" i="10"/>
  <c r="AC107" i="10"/>
  <c r="AC109" i="10"/>
  <c r="AC95" i="10"/>
  <c r="AC97" i="10"/>
  <c r="AC83" i="10"/>
  <c r="AC85" i="10"/>
  <c r="AC71" i="10"/>
  <c r="AC73" i="10"/>
  <c r="AC59" i="10"/>
  <c r="AC61" i="10"/>
  <c r="AC47" i="10"/>
  <c r="AC49" i="10"/>
  <c r="AC23" i="10"/>
  <c r="AC25" i="10"/>
  <c r="V1032" i="10"/>
  <c r="V1030" i="10"/>
  <c r="X1028" i="10"/>
  <c r="X1002" i="10"/>
  <c r="X1000" i="10"/>
  <c r="V974" i="10"/>
  <c r="V950" i="10"/>
  <c r="X913" i="10"/>
  <c r="X912" i="10"/>
  <c r="T724" i="10"/>
  <c r="T723" i="10"/>
  <c r="T691" i="10"/>
  <c r="T693" i="10"/>
  <c r="X1048" i="10"/>
  <c r="X1046" i="10"/>
  <c r="AC550" i="10"/>
  <c r="AC552" i="10"/>
  <c r="AC539" i="10"/>
  <c r="AC527" i="10"/>
  <c r="AC515" i="10"/>
  <c r="AC504" i="10"/>
  <c r="AC492" i="10"/>
  <c r="AC480" i="10"/>
  <c r="AC467" i="10"/>
  <c r="AC468" i="10"/>
  <c r="AC444" i="10"/>
  <c r="AC432" i="10"/>
  <c r="AC420" i="10"/>
  <c r="AC408" i="10"/>
  <c r="AC396" i="10"/>
  <c r="AC384" i="10"/>
  <c r="AC372" i="10"/>
  <c r="AC360" i="10"/>
  <c r="AC348" i="10"/>
  <c r="AC336" i="10"/>
  <c r="AC324" i="10"/>
  <c r="AC312" i="10"/>
  <c r="AC300" i="10"/>
  <c r="AC288" i="10"/>
  <c r="AC276" i="10"/>
  <c r="AC264" i="10"/>
  <c r="AC12" i="10"/>
  <c r="AC1065" i="10"/>
  <c r="AC1053" i="10"/>
  <c r="AC1029" i="10"/>
  <c r="AC1017" i="10"/>
  <c r="AC1005" i="10"/>
  <c r="AC993" i="10"/>
  <c r="AC981" i="10"/>
  <c r="AC969" i="10"/>
  <c r="AC957" i="10"/>
  <c r="AC945" i="10"/>
  <c r="AC933" i="10"/>
  <c r="AC921" i="10"/>
  <c r="AC909" i="10"/>
  <c r="AC897" i="10"/>
  <c r="AC885" i="10"/>
  <c r="AC873" i="10"/>
  <c r="AC861" i="10"/>
  <c r="AC849" i="10"/>
  <c r="AC837" i="10"/>
  <c r="AC825" i="10"/>
  <c r="AC813" i="10"/>
  <c r="AC801" i="10"/>
  <c r="AC789" i="10"/>
  <c r="AC777" i="10"/>
  <c r="AC765" i="10"/>
  <c r="AC753" i="10"/>
  <c r="AC741" i="10"/>
  <c r="AC729" i="10"/>
  <c r="AC717" i="10"/>
  <c r="V5" i="10"/>
  <c r="X8" i="10"/>
  <c r="V1053" i="10"/>
  <c r="V1052" i="10"/>
  <c r="V1024" i="10"/>
  <c r="V1022" i="10"/>
  <c r="V967" i="10"/>
  <c r="V965" i="10"/>
  <c r="AC503" i="10"/>
  <c r="AC491" i="10"/>
  <c r="AC479" i="10"/>
  <c r="AC455" i="10"/>
  <c r="AC443" i="10"/>
  <c r="AC431" i="10"/>
  <c r="AC419" i="10"/>
  <c r="AC407" i="10"/>
  <c r="AC395" i="10"/>
  <c r="AC383" i="10"/>
  <c r="AC371" i="10"/>
  <c r="AC359" i="10"/>
  <c r="AC347" i="10"/>
  <c r="AC335" i="10"/>
  <c r="AC323" i="10"/>
  <c r="AC311" i="10"/>
  <c r="AC299" i="10"/>
  <c r="AC287" i="10"/>
  <c r="AC275" i="10"/>
  <c r="AC263" i="10"/>
  <c r="AC251" i="10"/>
  <c r="AC239" i="10"/>
  <c r="AC227" i="10"/>
  <c r="AC215" i="10"/>
  <c r="AC203" i="10"/>
  <c r="AC191" i="10"/>
  <c r="AC179" i="10"/>
  <c r="AC167" i="10"/>
  <c r="AC155" i="10"/>
  <c r="AC143" i="10"/>
  <c r="T13" i="10"/>
  <c r="V16" i="10"/>
  <c r="V4" i="10"/>
  <c r="X7" i="10"/>
  <c r="X1050" i="10"/>
  <c r="V1039" i="10"/>
  <c r="X1020" i="10"/>
  <c r="X1016" i="10"/>
  <c r="AC538" i="10"/>
  <c r="AC526" i="10"/>
  <c r="AC514" i="10"/>
  <c r="AC502" i="10"/>
  <c r="AC478" i="10"/>
  <c r="AC466" i="10"/>
  <c r="AC454" i="10"/>
  <c r="AC442" i="10"/>
  <c r="AC430" i="10"/>
  <c r="AC418" i="10"/>
  <c r="AC406" i="10"/>
  <c r="AC394" i="10"/>
  <c r="AC370" i="10"/>
  <c r="AC358" i="10"/>
  <c r="AC334" i="10"/>
  <c r="AC322" i="10"/>
  <c r="AC298" i="10"/>
  <c r="AC286" i="10"/>
  <c r="AC262" i="10"/>
  <c r="AC250" i="10"/>
  <c r="AC238" i="10"/>
  <c r="AC226" i="10"/>
  <c r="AC214" i="10"/>
  <c r="AC202" i="10"/>
  <c r="AC190" i="10"/>
  <c r="AC178" i="10"/>
  <c r="AC166" i="10"/>
  <c r="AC154" i="10"/>
  <c r="AC142" i="10"/>
  <c r="AC130" i="10"/>
  <c r="AC118" i="10"/>
  <c r="AC22" i="10"/>
  <c r="T12" i="10"/>
  <c r="V15" i="10"/>
  <c r="X6" i="10"/>
  <c r="X1064" i="10"/>
  <c r="V1031" i="10"/>
  <c r="V1016" i="10"/>
  <c r="V1014" i="10"/>
  <c r="AC645" i="10"/>
  <c r="AC633" i="10"/>
  <c r="AC621" i="10"/>
  <c r="AC609" i="10"/>
  <c r="AC597" i="10"/>
  <c r="AC585" i="10"/>
  <c r="AC573" i="10"/>
  <c r="AC561" i="10"/>
  <c r="AC549" i="10"/>
  <c r="AC535" i="10"/>
  <c r="AC537" i="10"/>
  <c r="AC525" i="10"/>
  <c r="AC511" i="10"/>
  <c r="AC513" i="10"/>
  <c r="AC499" i="10"/>
  <c r="AC501" i="10"/>
  <c r="AC487" i="10"/>
  <c r="AC489" i="10"/>
  <c r="AC464" i="10"/>
  <c r="AC453" i="10"/>
  <c r="AC441" i="10"/>
  <c r="AC415" i="10"/>
  <c r="AC417" i="10"/>
  <c r="AC405" i="10"/>
  <c r="AC391" i="10"/>
  <c r="AC393" i="10"/>
  <c r="AC367" i="10"/>
  <c r="AC369" i="10"/>
  <c r="AC355" i="10"/>
  <c r="AC357" i="10"/>
  <c r="AC331" i="10"/>
  <c r="AC333" i="10"/>
  <c r="AC321" i="10"/>
  <c r="AC283" i="10"/>
  <c r="AC285" i="10"/>
  <c r="AC271" i="10"/>
  <c r="AC273" i="10"/>
  <c r="AC259" i="10"/>
  <c r="AC261" i="10"/>
  <c r="AC247" i="10"/>
  <c r="AC249" i="10"/>
  <c r="AC223" i="10"/>
  <c r="AC225" i="10"/>
  <c r="AC201" i="10"/>
  <c r="AC19" i="10"/>
  <c r="AC21" i="10"/>
  <c r="AC9" i="10"/>
  <c r="V1057" i="10"/>
  <c r="V1055" i="10"/>
  <c r="X1012" i="10"/>
  <c r="X1008" i="10"/>
  <c r="X990" i="10"/>
  <c r="V966" i="10"/>
  <c r="X922" i="10"/>
  <c r="X923" i="10"/>
  <c r="AC702" i="10"/>
  <c r="AC690" i="10"/>
  <c r="AC678" i="10"/>
  <c r="AC680" i="10"/>
  <c r="AC666" i="10"/>
  <c r="AC654" i="10"/>
  <c r="AC642" i="10"/>
  <c r="AC644" i="10"/>
  <c r="AC630" i="10"/>
  <c r="AC618" i="10"/>
  <c r="AC606" i="10"/>
  <c r="AC608" i="10"/>
  <c r="AC18" i="10"/>
  <c r="V1023" i="10"/>
  <c r="V1008" i="10"/>
  <c r="V1006" i="10"/>
  <c r="V983" i="10"/>
  <c r="V981" i="10"/>
  <c r="V959" i="10"/>
  <c r="V957" i="10"/>
  <c r="AC11" i="10"/>
  <c r="V997" i="10"/>
  <c r="V995" i="10"/>
  <c r="V962" i="10"/>
  <c r="AC700" i="10"/>
  <c r="AC688" i="10"/>
  <c r="AC676" i="10"/>
  <c r="AC664" i="10"/>
  <c r="AC652" i="10"/>
  <c r="AC640" i="10"/>
  <c r="AC628" i="10"/>
  <c r="AC616" i="10"/>
  <c r="AC604" i="10"/>
  <c r="AC592" i="10"/>
  <c r="AC580" i="10"/>
  <c r="AC568" i="10"/>
  <c r="AC556" i="10"/>
  <c r="AC545" i="10"/>
  <c r="AC533" i="10"/>
  <c r="AC521" i="10"/>
  <c r="AC485" i="10"/>
  <c r="AC486" i="10"/>
  <c r="AC449" i="10"/>
  <c r="AC6" i="10"/>
  <c r="AC10" i="10"/>
  <c r="V1015" i="10"/>
  <c r="V993" i="10"/>
  <c r="T930" i="10"/>
  <c r="T928" i="10"/>
  <c r="AC131" i="10"/>
  <c r="AC34" i="10"/>
  <c r="AC35" i="10"/>
  <c r="AC1064" i="10"/>
  <c r="AC1052" i="10"/>
  <c r="AC1040" i="10"/>
  <c r="AC1028" i="10"/>
  <c r="AC1016" i="10"/>
  <c r="AC1004" i="10"/>
  <c r="AC992" i="10"/>
  <c r="AC980" i="10"/>
  <c r="AC966" i="10"/>
  <c r="AC968" i="10"/>
  <c r="AC956" i="10"/>
  <c r="AC942" i="10"/>
  <c r="AC944" i="10"/>
  <c r="AC932" i="10"/>
  <c r="AC918" i="10"/>
  <c r="AC920" i="10"/>
  <c r="AC908" i="10"/>
  <c r="AC894" i="10"/>
  <c r="AC896" i="10"/>
  <c r="AC884" i="10"/>
  <c r="AC870" i="10"/>
  <c r="AC872" i="10"/>
  <c r="AC860" i="10"/>
  <c r="AC846" i="10"/>
  <c r="AC848" i="10"/>
  <c r="AC836" i="10"/>
  <c r="AC822" i="10"/>
  <c r="AC824" i="10"/>
  <c r="AC812" i="10"/>
  <c r="AC798" i="10"/>
  <c r="AC800" i="10"/>
  <c r="AC788" i="10"/>
  <c r="AC774" i="10"/>
  <c r="AC776" i="10"/>
  <c r="AC764" i="10"/>
  <c r="AC750" i="10"/>
  <c r="AC752" i="10"/>
  <c r="AC740" i="10"/>
  <c r="AC714" i="10"/>
  <c r="AC716" i="10"/>
  <c r="X1058" i="10"/>
  <c r="V1041" i="10"/>
  <c r="X1038" i="10"/>
  <c r="V1033" i="10"/>
  <c r="X1030" i="10"/>
  <c r="V1025" i="10"/>
  <c r="V1017" i="10"/>
  <c r="V1009" i="10"/>
  <c r="T700" i="10"/>
  <c r="T699" i="10"/>
  <c r="X518" i="10"/>
  <c r="X517" i="10"/>
  <c r="T477" i="10"/>
  <c r="T475" i="10"/>
  <c r="AC106" i="10"/>
  <c r="AC94" i="10"/>
  <c r="AC82" i="10"/>
  <c r="AC70" i="10"/>
  <c r="AC58" i="10"/>
  <c r="AC46" i="10"/>
  <c r="AC979" i="10"/>
  <c r="AC955" i="10"/>
  <c r="AC931" i="10"/>
  <c r="AC907" i="10"/>
  <c r="AC883" i="10"/>
  <c r="AC859" i="10"/>
  <c r="AC835" i="10"/>
  <c r="AC811" i="10"/>
  <c r="AC787" i="10"/>
  <c r="AC763" i="10"/>
  <c r="AC739" i="10"/>
  <c r="V872" i="10"/>
  <c r="T815" i="10"/>
  <c r="T816" i="10"/>
  <c r="X804" i="10"/>
  <c r="X599" i="10"/>
  <c r="X600" i="10"/>
  <c r="T566" i="10"/>
  <c r="T565" i="10"/>
  <c r="T533" i="10"/>
  <c r="X491" i="10"/>
  <c r="X489" i="10"/>
  <c r="X446" i="10"/>
  <c r="X445" i="10"/>
  <c r="AC187" i="10"/>
  <c r="AC189" i="10"/>
  <c r="AC175" i="10"/>
  <c r="AC177" i="10"/>
  <c r="AC163" i="10"/>
  <c r="AC165" i="10"/>
  <c r="AC151" i="10"/>
  <c r="AC153" i="10"/>
  <c r="AC139" i="10"/>
  <c r="AC141" i="10"/>
  <c r="AC127" i="10"/>
  <c r="AC129" i="10"/>
  <c r="AC117" i="10"/>
  <c r="AC105" i="10"/>
  <c r="AC93" i="10"/>
  <c r="AC81" i="10"/>
  <c r="AC69" i="10"/>
  <c r="AC57" i="10"/>
  <c r="AC43" i="10"/>
  <c r="AC45" i="10"/>
  <c r="AC33" i="10"/>
  <c r="AC978" i="10"/>
  <c r="AC954" i="10"/>
  <c r="AC930" i="10"/>
  <c r="AC906" i="10"/>
  <c r="AC882" i="10"/>
  <c r="AC858" i="10"/>
  <c r="AC834" i="10"/>
  <c r="AC810" i="10"/>
  <c r="V1063" i="10"/>
  <c r="T1034" i="10"/>
  <c r="T1026" i="10"/>
  <c r="T1018" i="10"/>
  <c r="T1010" i="10"/>
  <c r="T1002" i="10"/>
  <c r="V994" i="10"/>
  <c r="X880" i="10"/>
  <c r="T711" i="10"/>
  <c r="T397" i="10"/>
  <c r="T395" i="10"/>
  <c r="T269" i="10"/>
  <c r="T267" i="10"/>
  <c r="AC594" i="10"/>
  <c r="AC582" i="10"/>
  <c r="AC570" i="10"/>
  <c r="AC572" i="10"/>
  <c r="AC558" i="10"/>
  <c r="AC548" i="10"/>
  <c r="AC440" i="10"/>
  <c r="AC404" i="10"/>
  <c r="AC368" i="10"/>
  <c r="AC344" i="10"/>
  <c r="AC332" i="10"/>
  <c r="AC296" i="10"/>
  <c r="AC260" i="10"/>
  <c r="AC188" i="10"/>
  <c r="AC176" i="10"/>
  <c r="AC164" i="10"/>
  <c r="AC152" i="10"/>
  <c r="AC140" i="10"/>
  <c r="AC128" i="10"/>
  <c r="AC116" i="10"/>
  <c r="AC104" i="10"/>
  <c r="AC92" i="10"/>
  <c r="AC80" i="10"/>
  <c r="AC32" i="10"/>
  <c r="AC1025" i="10"/>
  <c r="AC1013" i="10"/>
  <c r="AC1001" i="10"/>
  <c r="AC989" i="10"/>
  <c r="X1061" i="10"/>
  <c r="V1056" i="10"/>
  <c r="X1047" i="10"/>
  <c r="V1027" i="10"/>
  <c r="V1019" i="10"/>
  <c r="V1011" i="10"/>
  <c r="V1003" i="10"/>
  <c r="T996" i="10"/>
  <c r="X987" i="10"/>
  <c r="T982" i="10"/>
  <c r="T974" i="10"/>
  <c r="T966" i="10"/>
  <c r="T958" i="10"/>
  <c r="T950" i="10"/>
  <c r="V944" i="10"/>
  <c r="V931" i="10"/>
  <c r="T912" i="10"/>
  <c r="X908" i="10"/>
  <c r="T898" i="10"/>
  <c r="X876" i="10"/>
  <c r="T742" i="10"/>
  <c r="T584" i="10"/>
  <c r="T583" i="10"/>
  <c r="T495" i="10"/>
  <c r="T493" i="10"/>
  <c r="X464" i="10"/>
  <c r="X463" i="10"/>
  <c r="AC475" i="10"/>
  <c r="AC463" i="10"/>
  <c r="AC451" i="10"/>
  <c r="AC403" i="10"/>
  <c r="AC319" i="10"/>
  <c r="AC246" i="10"/>
  <c r="AC234" i="10"/>
  <c r="AC222" i="10"/>
  <c r="AC210" i="10"/>
  <c r="AC198" i="10"/>
  <c r="AC199" i="10"/>
  <c r="AC186" i="10"/>
  <c r="AC174" i="10"/>
  <c r="AC162" i="10"/>
  <c r="AC150" i="10"/>
  <c r="AC138" i="10"/>
  <c r="AC125" i="10"/>
  <c r="AC113" i="10"/>
  <c r="AC115" i="10"/>
  <c r="AC101" i="10"/>
  <c r="AC103" i="10"/>
  <c r="AC89" i="10"/>
  <c r="AC91" i="10"/>
  <c r="AC77" i="10"/>
  <c r="AC79" i="10"/>
  <c r="AC65" i="10"/>
  <c r="AC67" i="10"/>
  <c r="AC53" i="10"/>
  <c r="AC55" i="10"/>
  <c r="AC41" i="10"/>
  <c r="AC29" i="10"/>
  <c r="AC31" i="10"/>
  <c r="AC1060" i="10"/>
  <c r="AC1048" i="10"/>
  <c r="AC1036" i="10"/>
  <c r="AC1024" i="10"/>
  <c r="AC1012" i="10"/>
  <c r="AC1000" i="10"/>
  <c r="AC988" i="10"/>
  <c r="T1064" i="10"/>
  <c r="V1060" i="10"/>
  <c r="X1041" i="10"/>
  <c r="X1033" i="10"/>
  <c r="X1025" i="10"/>
  <c r="X1017" i="10"/>
  <c r="X1009" i="10"/>
  <c r="X1001" i="10"/>
  <c r="V988" i="10"/>
  <c r="X937" i="10"/>
  <c r="T922" i="10"/>
  <c r="V915" i="10"/>
  <c r="V908" i="10"/>
  <c r="X892" i="10"/>
  <c r="T687" i="10"/>
  <c r="T658" i="10"/>
  <c r="X635" i="10"/>
  <c r="X636" i="10"/>
  <c r="T567" i="10"/>
  <c r="T569" i="10"/>
  <c r="X509" i="10"/>
  <c r="X507" i="10"/>
  <c r="V13" i="10"/>
  <c r="T9" i="10"/>
  <c r="X1054" i="10"/>
  <c r="T1036" i="10"/>
  <c r="T1028" i="10"/>
  <c r="T1020" i="10"/>
  <c r="T1012" i="10"/>
  <c r="T1004" i="10"/>
  <c r="X995" i="10"/>
  <c r="T990" i="10"/>
  <c r="X981" i="10"/>
  <c r="X973" i="10"/>
  <c r="X965" i="10"/>
  <c r="X957" i="10"/>
  <c r="X949" i="10"/>
  <c r="T944" i="10"/>
  <c r="V910" i="10"/>
  <c r="T908" i="10"/>
  <c r="T847" i="10"/>
  <c r="T679" i="10"/>
  <c r="V557" i="10"/>
  <c r="T539" i="10"/>
  <c r="AC413" i="10"/>
  <c r="AC401" i="10"/>
  <c r="AC389" i="10"/>
  <c r="AC377" i="10"/>
  <c r="AC365" i="10"/>
  <c r="AC353" i="10"/>
  <c r="AC341" i="10"/>
  <c r="AC329" i="10"/>
  <c r="AC317" i="10"/>
  <c r="AC305" i="10"/>
  <c r="AC293" i="10"/>
  <c r="AC281" i="10"/>
  <c r="AC269" i="10"/>
  <c r="AC257" i="10"/>
  <c r="AC245" i="10"/>
  <c r="AC233" i="10"/>
  <c r="AC221" i="10"/>
  <c r="AC209" i="10"/>
  <c r="AC197" i="10"/>
  <c r="AC185" i="10"/>
  <c r="AC173" i="10"/>
  <c r="AC161" i="10"/>
  <c r="AC149" i="10"/>
  <c r="AC137" i="10"/>
  <c r="AC40" i="10"/>
  <c r="AC1058" i="10"/>
  <c r="AC1046" i="10"/>
  <c r="AC1034" i="10"/>
  <c r="AC1022" i="10"/>
  <c r="AC1010" i="10"/>
  <c r="AC998" i="10"/>
  <c r="AC986" i="10"/>
  <c r="AC973" i="10"/>
  <c r="AC974" i="10"/>
  <c r="AC960" i="10"/>
  <c r="AC962" i="10"/>
  <c r="AC949" i="10"/>
  <c r="AC950" i="10"/>
  <c r="AC936" i="10"/>
  <c r="AC938" i="10"/>
  <c r="AC925" i="10"/>
  <c r="AC926" i="10"/>
  <c r="AC912" i="10"/>
  <c r="AC914" i="10"/>
  <c r="AC901" i="10"/>
  <c r="AC902" i="10"/>
  <c r="AC888" i="10"/>
  <c r="AC890" i="10"/>
  <c r="AC877" i="10"/>
  <c r="AC878" i="10"/>
  <c r="AC864" i="10"/>
  <c r="AC866" i="10"/>
  <c r="AC853" i="10"/>
  <c r="AC854" i="10"/>
  <c r="AC840" i="10"/>
  <c r="AC842" i="10"/>
  <c r="AC829" i="10"/>
  <c r="AC830" i="10"/>
  <c r="AC816" i="10"/>
  <c r="AC818" i="10"/>
  <c r="AC804" i="10"/>
  <c r="AC806" i="10"/>
  <c r="AC792" i="10"/>
  <c r="AC794" i="10"/>
  <c r="AC780" i="10"/>
  <c r="AC782" i="10"/>
  <c r="AC768" i="10"/>
  <c r="AC770" i="10"/>
  <c r="AC756" i="10"/>
  <c r="AC758" i="10"/>
  <c r="AC744" i="10"/>
  <c r="AC746" i="10"/>
  <c r="AC732" i="10"/>
  <c r="AC734" i="10"/>
  <c r="AC708" i="10"/>
  <c r="X12" i="10"/>
  <c r="X1063" i="10"/>
  <c r="X1055" i="10"/>
  <c r="T998" i="10"/>
  <c r="T984" i="10"/>
  <c r="T976" i="10"/>
  <c r="T968" i="10"/>
  <c r="T960" i="10"/>
  <c r="T952" i="10"/>
  <c r="X943" i="10"/>
  <c r="X932" i="10"/>
  <c r="X921" i="10"/>
  <c r="T897" i="10"/>
  <c r="T826" i="10"/>
  <c r="T741" i="10"/>
  <c r="T654" i="10"/>
  <c r="X611" i="10"/>
  <c r="X612" i="10"/>
  <c r="T572" i="10"/>
  <c r="T571" i="10"/>
  <c r="T513" i="10"/>
  <c r="T511" i="10"/>
  <c r="X482" i="10"/>
  <c r="X481" i="10"/>
  <c r="V437" i="10"/>
  <c r="V436" i="10"/>
  <c r="AC508" i="10"/>
  <c r="AC496" i="10"/>
  <c r="AC484" i="10"/>
  <c r="AC472" i="10"/>
  <c r="AC460" i="10"/>
  <c r="AC436" i="10"/>
  <c r="AC424" i="10"/>
  <c r="AC412" i="10"/>
  <c r="AC400" i="10"/>
  <c r="AC388" i="10"/>
  <c r="AC376" i="10"/>
  <c r="AC364" i="10"/>
  <c r="AC352" i="10"/>
  <c r="AC340" i="10"/>
  <c r="AC328" i="10"/>
  <c r="AC316" i="10"/>
  <c r="AC304" i="10"/>
  <c r="AC292" i="10"/>
  <c r="AC280" i="10"/>
  <c r="AC268" i="10"/>
  <c r="AC256" i="10"/>
  <c r="AC232" i="10"/>
  <c r="AC208" i="10"/>
  <c r="AC196" i="10"/>
  <c r="AC184" i="10"/>
  <c r="AC172" i="10"/>
  <c r="AC160" i="10"/>
  <c r="AC148" i="10"/>
  <c r="AC136" i="10"/>
  <c r="AC124" i="10"/>
  <c r="AC112" i="10"/>
  <c r="AC100" i="10"/>
  <c r="AC88" i="10"/>
  <c r="AC76" i="10"/>
  <c r="AC64" i="10"/>
  <c r="AC52" i="10"/>
  <c r="AC1055" i="10"/>
  <c r="AC1043" i="10"/>
  <c r="V1066" i="10"/>
  <c r="X1049" i="10"/>
  <c r="V1045" i="10"/>
  <c r="X1043" i="10"/>
  <c r="X1035" i="10"/>
  <c r="X1027" i="10"/>
  <c r="X1019" i="10"/>
  <c r="X1011" i="10"/>
  <c r="X1003" i="10"/>
  <c r="X989" i="10"/>
  <c r="T940" i="10"/>
  <c r="T937" i="10"/>
  <c r="X930" i="10"/>
  <c r="T911" i="10"/>
  <c r="T904" i="10"/>
  <c r="X900" i="10"/>
  <c r="V871" i="10"/>
  <c r="V864" i="10"/>
  <c r="X842" i="10"/>
  <c r="X809" i="10"/>
  <c r="T656" i="10"/>
  <c r="V553" i="10"/>
  <c r="X545" i="10"/>
  <c r="X527" i="10"/>
  <c r="X525" i="10"/>
  <c r="X440" i="10"/>
  <c r="X438" i="10"/>
  <c r="AC555" i="10"/>
  <c r="AC541" i="10"/>
  <c r="AC543" i="10"/>
  <c r="AC529" i="10"/>
  <c r="AC531" i="10"/>
  <c r="AC517" i="10"/>
  <c r="AC519" i="10"/>
  <c r="AC507" i="10"/>
  <c r="AC493" i="10"/>
  <c r="AC495" i="10"/>
  <c r="AC482" i="10"/>
  <c r="AC459" i="10"/>
  <c r="AC445" i="10"/>
  <c r="AC447" i="10"/>
  <c r="AC434" i="10"/>
  <c r="AC397" i="10"/>
  <c r="AC399" i="10"/>
  <c r="AC385" i="10"/>
  <c r="AC387" i="10"/>
  <c r="AC373" i="10"/>
  <c r="AC361" i="10"/>
  <c r="AC363" i="10"/>
  <c r="AC349" i="10"/>
  <c r="AC351" i="10"/>
  <c r="AC337" i="10"/>
  <c r="AC325" i="10"/>
  <c r="AC327" i="10"/>
  <c r="AC313" i="10"/>
  <c r="AC315" i="10"/>
  <c r="AC301" i="10"/>
  <c r="AC303" i="10"/>
  <c r="AC289" i="10"/>
  <c r="AC277" i="10"/>
  <c r="AC279" i="10"/>
  <c r="AC265" i="10"/>
  <c r="AC267" i="10"/>
  <c r="AC253" i="10"/>
  <c r="AC241" i="10"/>
  <c r="AC243" i="10"/>
  <c r="AC229" i="10"/>
  <c r="AC217" i="10"/>
  <c r="AC219" i="10"/>
  <c r="AC193" i="10"/>
  <c r="AC195" i="10"/>
  <c r="AC181" i="10"/>
  <c r="AC183" i="10"/>
  <c r="AC169" i="10"/>
  <c r="AC171" i="10"/>
  <c r="AC157" i="10"/>
  <c r="AC159" i="10"/>
  <c r="AC145" i="10"/>
  <c r="AC147" i="10"/>
  <c r="AC133" i="10"/>
  <c r="AC135" i="10"/>
  <c r="AC123" i="10"/>
  <c r="AC111" i="10"/>
  <c r="AC99" i="10"/>
  <c r="AC87" i="10"/>
  <c r="AC75" i="10"/>
  <c r="AC63" i="10"/>
  <c r="AC51" i="10"/>
  <c r="AC39" i="10"/>
  <c r="AC802" i="10"/>
  <c r="AC790" i="10"/>
  <c r="AC778" i="10"/>
  <c r="AC766" i="10"/>
  <c r="AC754" i="10"/>
  <c r="AC742" i="10"/>
  <c r="AC730" i="10"/>
  <c r="AC718" i="10"/>
  <c r="T1038" i="10"/>
  <c r="T1030" i="10"/>
  <c r="T1022" i="10"/>
  <c r="T1014" i="10"/>
  <c r="T1006" i="10"/>
  <c r="V1002" i="10"/>
  <c r="X997" i="10"/>
  <c r="T992" i="10"/>
  <c r="X983" i="10"/>
  <c r="X975" i="10"/>
  <c r="X967" i="10"/>
  <c r="X959" i="10"/>
  <c r="X951" i="10"/>
  <c r="V930" i="10"/>
  <c r="X926" i="10"/>
  <c r="T907" i="10"/>
  <c r="V900" i="10"/>
  <c r="X858" i="10"/>
  <c r="X859" i="10"/>
  <c r="T857" i="10"/>
  <c r="X834" i="10"/>
  <c r="X832" i="10"/>
  <c r="T817" i="10"/>
  <c r="V806" i="10"/>
  <c r="T715" i="10"/>
  <c r="T717" i="10"/>
  <c r="T403" i="10"/>
  <c r="T401" i="10"/>
  <c r="V357" i="10"/>
  <c r="V355" i="10"/>
  <c r="AC554" i="10"/>
  <c r="AC470" i="10"/>
  <c r="AC458" i="10"/>
  <c r="AC422" i="10"/>
  <c r="AC158" i="10"/>
  <c r="AC146" i="10"/>
  <c r="AC134" i="10"/>
  <c r="AC122" i="10"/>
  <c r="AC110" i="10"/>
  <c r="AC98" i="10"/>
  <c r="AC86" i="10"/>
  <c r="AC38" i="10"/>
  <c r="AC1031" i="10"/>
  <c r="AC1019" i="10"/>
  <c r="AC1007" i="10"/>
  <c r="AC995" i="10"/>
  <c r="V998" i="10"/>
  <c r="V996" i="10"/>
  <c r="T986" i="10"/>
  <c r="T978" i="10"/>
  <c r="T970" i="10"/>
  <c r="T962" i="10"/>
  <c r="T954" i="10"/>
  <c r="T946" i="10"/>
  <c r="X939" i="10"/>
  <c r="T933" i="10"/>
  <c r="V924" i="10"/>
  <c r="X906" i="10"/>
  <c r="T896" i="10"/>
  <c r="V838" i="10"/>
  <c r="V836" i="10"/>
  <c r="T794" i="10"/>
  <c r="T775" i="10"/>
  <c r="X647" i="10"/>
  <c r="X648" i="10"/>
  <c r="T560" i="10"/>
  <c r="T559" i="10"/>
  <c r="X500" i="10"/>
  <c r="X499" i="10"/>
  <c r="T459" i="10"/>
  <c r="T457" i="10"/>
  <c r="X915" i="10"/>
  <c r="V904" i="10"/>
  <c r="V891" i="10"/>
  <c r="T868" i="10"/>
  <c r="T865" i="10"/>
  <c r="T859" i="10"/>
  <c r="X855" i="10"/>
  <c r="X847" i="10"/>
  <c r="X826" i="10"/>
  <c r="T807" i="10"/>
  <c r="T802" i="10"/>
  <c r="X774" i="10"/>
  <c r="T766" i="10"/>
  <c r="T745" i="10"/>
  <c r="T722" i="10"/>
  <c r="V701" i="10"/>
  <c r="T698" i="10"/>
  <c r="X687" i="10"/>
  <c r="V676" i="10"/>
  <c r="V673" i="10"/>
  <c r="V670" i="10"/>
  <c r="V667" i="10"/>
  <c r="V662" i="10"/>
  <c r="X659" i="10"/>
  <c r="X649" i="10"/>
  <c r="X637" i="10"/>
  <c r="X625" i="10"/>
  <c r="X613" i="10"/>
  <c r="X601" i="10"/>
  <c r="X589" i="10"/>
  <c r="T581" i="10"/>
  <c r="T575" i="10"/>
  <c r="V570" i="10"/>
  <c r="T557" i="10"/>
  <c r="T546" i="10"/>
  <c r="X536" i="10"/>
  <c r="V516" i="10"/>
  <c r="X511" i="10"/>
  <c r="V498" i="10"/>
  <c r="X493" i="10"/>
  <c r="V480" i="10"/>
  <c r="X475" i="10"/>
  <c r="V462" i="10"/>
  <c r="X457" i="10"/>
  <c r="V444" i="10"/>
  <c r="T437" i="10"/>
  <c r="X418" i="10"/>
  <c r="X404" i="10"/>
  <c r="X897" i="10"/>
  <c r="V877" i="10"/>
  <c r="T874" i="10"/>
  <c r="X867" i="10"/>
  <c r="X857" i="10"/>
  <c r="V847" i="10"/>
  <c r="T844" i="10"/>
  <c r="V827" i="10"/>
  <c r="X806" i="10"/>
  <c r="V805" i="10"/>
  <c r="V784" i="10"/>
  <c r="T771" i="10"/>
  <c r="X765" i="10"/>
  <c r="T755" i="10"/>
  <c r="V748" i="10"/>
  <c r="T594" i="10"/>
  <c r="T582" i="10"/>
  <c r="T576" i="10"/>
  <c r="T564" i="10"/>
  <c r="T558" i="10"/>
  <c r="T552" i="10"/>
  <c r="V536" i="10"/>
  <c r="V530" i="10"/>
  <c r="V426" i="10"/>
  <c r="T407" i="10"/>
  <c r="T408" i="10"/>
  <c r="X260" i="10"/>
  <c r="X258" i="10"/>
  <c r="X902" i="10"/>
  <c r="T894" i="10"/>
  <c r="T885" i="10"/>
  <c r="X878" i="10"/>
  <c r="V867" i="10"/>
  <c r="V861" i="10"/>
  <c r="T850" i="10"/>
  <c r="T841" i="10"/>
  <c r="T824" i="10"/>
  <c r="X817" i="10"/>
  <c r="X801" i="10"/>
  <c r="T791" i="10"/>
  <c r="T781" i="10"/>
  <c r="V775" i="10"/>
  <c r="V765" i="10"/>
  <c r="T758" i="10"/>
  <c r="X755" i="10"/>
  <c r="T718" i="10"/>
  <c r="V697" i="10"/>
  <c r="T694" i="10"/>
  <c r="X683" i="10"/>
  <c r="T674" i="10"/>
  <c r="T668" i="10"/>
  <c r="X656" i="10"/>
  <c r="X643" i="10"/>
  <c r="X631" i="10"/>
  <c r="X619" i="10"/>
  <c r="X607" i="10"/>
  <c r="X595" i="10"/>
  <c r="X584" i="10"/>
  <c r="X578" i="10"/>
  <c r="T570" i="10"/>
  <c r="X560" i="10"/>
  <c r="X554" i="10"/>
  <c r="X471" i="10"/>
  <c r="X453" i="10"/>
  <c r="T425" i="10"/>
  <c r="X422" i="10"/>
  <c r="T373" i="10"/>
  <c r="V297" i="10"/>
  <c r="T249" i="10"/>
  <c r="X883" i="10"/>
  <c r="X875" i="10"/>
  <c r="X873" i="10"/>
  <c r="T869" i="10"/>
  <c r="T861" i="10"/>
  <c r="X848" i="10"/>
  <c r="X843" i="10"/>
  <c r="X831" i="10"/>
  <c r="X828" i="10"/>
  <c r="X823" i="10"/>
  <c r="V816" i="10"/>
  <c r="X808" i="10"/>
  <c r="V807" i="10"/>
  <c r="X803" i="10"/>
  <c r="T728" i="10"/>
  <c r="V707" i="10"/>
  <c r="T704" i="10"/>
  <c r="X693" i="10"/>
  <c r="V683" i="10"/>
  <c r="T680" i="10"/>
  <c r="X673" i="10"/>
  <c r="X667" i="10"/>
  <c r="X661" i="10"/>
  <c r="T650" i="10"/>
  <c r="T638" i="10"/>
  <c r="T626" i="10"/>
  <c r="T614" i="10"/>
  <c r="T602" i="10"/>
  <c r="V584" i="10"/>
  <c r="V571" i="10"/>
  <c r="V560" i="10"/>
  <c r="T542" i="10"/>
  <c r="T536" i="10"/>
  <c r="T530" i="10"/>
  <c r="T519" i="10"/>
  <c r="T517" i="10"/>
  <c r="X515" i="10"/>
  <c r="X513" i="10"/>
  <c r="T501" i="10"/>
  <c r="T499" i="10"/>
  <c r="T483" i="10"/>
  <c r="T481" i="10"/>
  <c r="T465" i="10"/>
  <c r="T463" i="10"/>
  <c r="T447" i="10"/>
  <c r="T445" i="10"/>
  <c r="V422" i="10"/>
  <c r="V289" i="10"/>
  <c r="V287" i="10"/>
  <c r="X252" i="10"/>
  <c r="X250" i="10"/>
  <c r="X893" i="10"/>
  <c r="V879" i="10"/>
  <c r="V837" i="10"/>
  <c r="X658" i="10"/>
  <c r="T590" i="10"/>
  <c r="V578" i="10"/>
  <c r="V554" i="10"/>
  <c r="T548" i="10"/>
  <c r="T406" i="10"/>
  <c r="X300" i="10"/>
  <c r="T241" i="10"/>
  <c r="V898" i="10"/>
  <c r="X889" i="10"/>
  <c r="X869" i="10"/>
  <c r="T846" i="10"/>
  <c r="V829" i="10"/>
  <c r="V787" i="10"/>
  <c r="V751" i="10"/>
  <c r="T734" i="10"/>
  <c r="T719" i="10"/>
  <c r="V713" i="10"/>
  <c r="T710" i="10"/>
  <c r="X699" i="10"/>
  <c r="T695" i="10"/>
  <c r="V689" i="10"/>
  <c r="T686" i="10"/>
  <c r="T543" i="10"/>
  <c r="V441" i="10"/>
  <c r="T414" i="10"/>
  <c r="T413" i="10"/>
  <c r="T793" i="10"/>
  <c r="X675" i="10"/>
  <c r="X669" i="10"/>
  <c r="X663" i="10"/>
  <c r="V652" i="10"/>
  <c r="V640" i="10"/>
  <c r="V628" i="10"/>
  <c r="V616" i="10"/>
  <c r="V604" i="10"/>
  <c r="V592" i="10"/>
  <c r="V579" i="10"/>
  <c r="V555" i="10"/>
  <c r="T538" i="10"/>
  <c r="T532" i="10"/>
  <c r="T525" i="10"/>
  <c r="T523" i="10"/>
  <c r="X521" i="10"/>
  <c r="X519" i="10"/>
  <c r="T507" i="10"/>
  <c r="T505" i="10"/>
  <c r="X503" i="10"/>
  <c r="X501" i="10"/>
  <c r="T489" i="10"/>
  <c r="T487" i="10"/>
  <c r="T471" i="10"/>
  <c r="T469" i="10"/>
  <c r="T453" i="10"/>
  <c r="T451" i="10"/>
  <c r="V371" i="10"/>
  <c r="V369" i="10"/>
  <c r="T349" i="10"/>
  <c r="T347" i="10"/>
  <c r="V247" i="10"/>
  <c r="V245" i="10"/>
  <c r="X56" i="10"/>
  <c r="X54" i="10"/>
  <c r="X895" i="10"/>
  <c r="V875" i="10"/>
  <c r="X865" i="10"/>
  <c r="T852" i="10"/>
  <c r="T810" i="10"/>
  <c r="V803" i="10"/>
  <c r="X762" i="10"/>
  <c r="T754" i="10"/>
  <c r="T730" i="10"/>
  <c r="V709" i="10"/>
  <c r="T706" i="10"/>
  <c r="X695" i="10"/>
  <c r="V685" i="10"/>
  <c r="T682" i="10"/>
  <c r="V677" i="10"/>
  <c r="V674" i="10"/>
  <c r="V671" i="10"/>
  <c r="V668" i="10"/>
  <c r="V665" i="10"/>
  <c r="T652" i="10"/>
  <c r="T640" i="10"/>
  <c r="T628" i="10"/>
  <c r="T616" i="10"/>
  <c r="T604" i="10"/>
  <c r="T592" i="10"/>
  <c r="V586" i="10"/>
  <c r="V562" i="10"/>
  <c r="T550" i="10"/>
  <c r="X540" i="10"/>
  <c r="X534" i="10"/>
  <c r="V528" i="10"/>
  <c r="V510" i="10"/>
  <c r="V492" i="10"/>
  <c r="V474" i="10"/>
  <c r="T402" i="10"/>
  <c r="V356" i="10"/>
  <c r="T325" i="10"/>
  <c r="T323" i="10"/>
  <c r="V303" i="10"/>
  <c r="V193" i="10"/>
  <c r="V191" i="10"/>
  <c r="T920" i="10"/>
  <c r="V895" i="10"/>
  <c r="T872" i="10"/>
  <c r="X850" i="10"/>
  <c r="T839" i="10"/>
  <c r="V831" i="10"/>
  <c r="T822" i="10"/>
  <c r="X807" i="10"/>
  <c r="T806" i="10"/>
  <c r="T800" i="10"/>
  <c r="T790" i="10"/>
  <c r="T779" i="10"/>
  <c r="V772" i="10"/>
  <c r="X753" i="10"/>
  <c r="V719" i="10"/>
  <c r="T716" i="10"/>
  <c r="X705" i="10"/>
  <c r="V695" i="10"/>
  <c r="T692" i="10"/>
  <c r="X681" i="10"/>
  <c r="V660" i="10"/>
  <c r="T645" i="10"/>
  <c r="T633" i="10"/>
  <c r="T621" i="10"/>
  <c r="T609" i="10"/>
  <c r="T597" i="10"/>
  <c r="T580" i="10"/>
  <c r="T574" i="10"/>
  <c r="T568" i="10"/>
  <c r="T556" i="10"/>
  <c r="X546" i="10"/>
  <c r="V534" i="10"/>
  <c r="T509" i="10"/>
  <c r="T491" i="10"/>
  <c r="T473" i="10"/>
  <c r="V382" i="10"/>
  <c r="V380" i="10"/>
  <c r="V340" i="10"/>
  <c r="V338" i="10"/>
  <c r="V321" i="10"/>
  <c r="X254" i="10"/>
  <c r="X196" i="10"/>
  <c r="X194" i="10"/>
  <c r="T935" i="10"/>
  <c r="V926" i="10"/>
  <c r="X919" i="10"/>
  <c r="V907" i="10"/>
  <c r="X903" i="10"/>
  <c r="T892" i="10"/>
  <c r="T889" i="10"/>
  <c r="T883" i="10"/>
  <c r="X879" i="10"/>
  <c r="X871" i="10"/>
  <c r="V851" i="10"/>
  <c r="X841" i="10"/>
  <c r="X821" i="10"/>
  <c r="V813" i="10"/>
  <c r="X799" i="10"/>
  <c r="X789" i="10"/>
  <c r="T782" i="10"/>
  <c r="X779" i="10"/>
  <c r="T769" i="10"/>
  <c r="V763" i="10"/>
  <c r="T740" i="10"/>
  <c r="T726" i="10"/>
  <c r="V705" i="10"/>
  <c r="T702" i="10"/>
  <c r="X691" i="10"/>
  <c r="V681" i="10"/>
  <c r="T678" i="10"/>
  <c r="T672" i="10"/>
  <c r="T666" i="10"/>
  <c r="X654" i="10"/>
  <c r="V647" i="10"/>
  <c r="X644" i="10"/>
  <c r="X642" i="10"/>
  <c r="V635" i="10"/>
  <c r="X632" i="10"/>
  <c r="X630" i="10"/>
  <c r="V623" i="10"/>
  <c r="X620" i="10"/>
  <c r="X618" i="10"/>
  <c r="V611" i="10"/>
  <c r="X608" i="10"/>
  <c r="X606" i="10"/>
  <c r="V599" i="10"/>
  <c r="X596" i="10"/>
  <c r="X594" i="10"/>
  <c r="T586" i="10"/>
  <c r="X576" i="10"/>
  <c r="X570" i="10"/>
  <c r="T562" i="10"/>
  <c r="X552" i="10"/>
  <c r="T528" i="10"/>
  <c r="V524" i="10"/>
  <c r="V506" i="10"/>
  <c r="V488" i="10"/>
  <c r="X483" i="10"/>
  <c r="V470" i="10"/>
  <c r="X465" i="10"/>
  <c r="V452" i="10"/>
  <c r="X447" i="10"/>
  <c r="V420" i="10"/>
  <c r="X416" i="10"/>
  <c r="T351" i="10"/>
  <c r="T352" i="10"/>
  <c r="V328" i="10"/>
  <c r="V326" i="10"/>
  <c r="X294" i="10"/>
  <c r="V404" i="10"/>
  <c r="T384" i="10"/>
  <c r="V375" i="10"/>
  <c r="X372" i="10"/>
  <c r="V358" i="10"/>
  <c r="V353" i="10"/>
  <c r="T334" i="10"/>
  <c r="T321" i="10"/>
  <c r="V310" i="10"/>
  <c r="T303" i="10"/>
  <c r="T279" i="10"/>
  <c r="V259" i="10"/>
  <c r="V251" i="10"/>
  <c r="X248" i="10"/>
  <c r="X240" i="10"/>
  <c r="X234" i="10"/>
  <c r="X228" i="10"/>
  <c r="X222" i="10"/>
  <c r="X177" i="10"/>
  <c r="X175" i="10"/>
  <c r="X162" i="10"/>
  <c r="X160" i="10"/>
  <c r="X48" i="10"/>
  <c r="X46" i="10"/>
  <c r="T378" i="10"/>
  <c r="X366" i="10"/>
  <c r="X360" i="10"/>
  <c r="V347" i="10"/>
  <c r="V335" i="10"/>
  <c r="X332" i="10"/>
  <c r="X296" i="10"/>
  <c r="V267" i="10"/>
  <c r="X256" i="10"/>
  <c r="T243" i="10"/>
  <c r="V237" i="10"/>
  <c r="V231" i="10"/>
  <c r="V225" i="10"/>
  <c r="V219" i="10"/>
  <c r="V213" i="10"/>
  <c r="V207" i="10"/>
  <c r="V201" i="10"/>
  <c r="X192" i="10"/>
  <c r="X190" i="10"/>
  <c r="V136" i="10"/>
  <c r="V134" i="10"/>
  <c r="X124" i="10"/>
  <c r="X122" i="10"/>
  <c r="X40" i="10"/>
  <c r="X38" i="10"/>
  <c r="V341" i="10"/>
  <c r="V329" i="10"/>
  <c r="X97" i="10"/>
  <c r="X96" i="10"/>
  <c r="V67" i="10"/>
  <c r="V66" i="10"/>
  <c r="X32" i="10"/>
  <c r="X30" i="10"/>
  <c r="V416" i="10"/>
  <c r="T389" i="10"/>
  <c r="V370" i="10"/>
  <c r="T336" i="10"/>
  <c r="V312" i="10"/>
  <c r="V306" i="10"/>
  <c r="V299" i="10"/>
  <c r="V293" i="10"/>
  <c r="V288" i="10"/>
  <c r="V282" i="10"/>
  <c r="V261" i="10"/>
  <c r="V253" i="10"/>
  <c r="V246" i="10"/>
  <c r="T238" i="10"/>
  <c r="T232" i="10"/>
  <c r="T226" i="10"/>
  <c r="T220" i="10"/>
  <c r="T214" i="10"/>
  <c r="T208" i="10"/>
  <c r="T202" i="10"/>
  <c r="V59" i="10"/>
  <c r="V58" i="10"/>
  <c r="X24" i="10"/>
  <c r="X22" i="10"/>
  <c r="X433" i="10"/>
  <c r="V413" i="10"/>
  <c r="V407" i="10"/>
  <c r="X400" i="10"/>
  <c r="T396" i="10"/>
  <c r="T390" i="10"/>
  <c r="T383" i="10"/>
  <c r="V381" i="10"/>
  <c r="T370" i="10"/>
  <c r="X352" i="10"/>
  <c r="T348" i="10"/>
  <c r="X340" i="10"/>
  <c r="X328" i="10"/>
  <c r="T324" i="10"/>
  <c r="T311" i="10"/>
  <c r="T305" i="10"/>
  <c r="T281" i="10"/>
  <c r="V275" i="10"/>
  <c r="V269" i="10"/>
  <c r="T268" i="10"/>
  <c r="V262" i="10"/>
  <c r="V254" i="10"/>
  <c r="X251" i="10"/>
  <c r="T245" i="10"/>
  <c r="X236" i="10"/>
  <c r="X230" i="10"/>
  <c r="X224" i="10"/>
  <c r="X218" i="10"/>
  <c r="X212" i="10"/>
  <c r="X206" i="10"/>
  <c r="X200" i="10"/>
  <c r="V197" i="10"/>
  <c r="X195" i="10"/>
  <c r="T192" i="10"/>
  <c r="V51" i="10"/>
  <c r="V50" i="10"/>
  <c r="T524" i="10"/>
  <c r="T518" i="10"/>
  <c r="T512" i="10"/>
  <c r="T506" i="10"/>
  <c r="T500" i="10"/>
  <c r="T494" i="10"/>
  <c r="T488" i="10"/>
  <c r="T482" i="10"/>
  <c r="T476" i="10"/>
  <c r="T470" i="10"/>
  <c r="T464" i="10"/>
  <c r="T458" i="10"/>
  <c r="T452" i="10"/>
  <c r="T446" i="10"/>
  <c r="X439" i="10"/>
  <c r="V433" i="10"/>
  <c r="T422" i="10"/>
  <c r="T416" i="10"/>
  <c r="V398" i="10"/>
  <c r="X388" i="10"/>
  <c r="V350" i="10"/>
  <c r="X316" i="10"/>
  <c r="T312" i="10"/>
  <c r="T294" i="10"/>
  <c r="T288" i="10"/>
  <c r="T276" i="10"/>
  <c r="V270" i="10"/>
  <c r="X259" i="10"/>
  <c r="T246" i="10"/>
  <c r="X237" i="10"/>
  <c r="X231" i="10"/>
  <c r="X225" i="10"/>
  <c r="X219" i="10"/>
  <c r="X213" i="10"/>
  <c r="X207" i="10"/>
  <c r="X201" i="10"/>
  <c r="V198" i="10"/>
  <c r="X183" i="10"/>
  <c r="X182" i="10"/>
  <c r="X153" i="10"/>
  <c r="X152" i="10"/>
  <c r="T150" i="10"/>
  <c r="T112" i="10"/>
  <c r="V43" i="10"/>
  <c r="V42" i="10"/>
  <c r="X526" i="10"/>
  <c r="X520" i="10"/>
  <c r="X514" i="10"/>
  <c r="X508" i="10"/>
  <c r="X502" i="10"/>
  <c r="X496" i="10"/>
  <c r="X490" i="10"/>
  <c r="X484" i="10"/>
  <c r="X478" i="10"/>
  <c r="X472" i="10"/>
  <c r="X466" i="10"/>
  <c r="X460" i="10"/>
  <c r="X454" i="10"/>
  <c r="X448" i="10"/>
  <c r="V442" i="10"/>
  <c r="V439" i="10"/>
  <c r="X427" i="10"/>
  <c r="X395" i="10"/>
  <c r="V392" i="10"/>
  <c r="V372" i="10"/>
  <c r="X347" i="10"/>
  <c r="V337" i="10"/>
  <c r="V325" i="10"/>
  <c r="X305" i="10"/>
  <c r="X299" i="10"/>
  <c r="X281" i="10"/>
  <c r="X267" i="10"/>
  <c r="T262" i="10"/>
  <c r="T254" i="10"/>
  <c r="V248" i="10"/>
  <c r="V240" i="10"/>
  <c r="V234" i="10"/>
  <c r="V228" i="10"/>
  <c r="V222" i="10"/>
  <c r="V216" i="10"/>
  <c r="V210" i="10"/>
  <c r="V204" i="10"/>
  <c r="T198" i="10"/>
  <c r="V35" i="10"/>
  <c r="V34" i="10"/>
  <c r="V526" i="10"/>
  <c r="V520" i="10"/>
  <c r="V514" i="10"/>
  <c r="V508" i="10"/>
  <c r="V502" i="10"/>
  <c r="V496" i="10"/>
  <c r="V490" i="10"/>
  <c r="V484" i="10"/>
  <c r="V478" i="10"/>
  <c r="V472" i="10"/>
  <c r="V466" i="10"/>
  <c r="V460" i="10"/>
  <c r="V454" i="10"/>
  <c r="V448" i="10"/>
  <c r="T442" i="10"/>
  <c r="X421" i="10"/>
  <c r="X415" i="10"/>
  <c r="X409" i="10"/>
  <c r="T398" i="10"/>
  <c r="V389" i="10"/>
  <c r="V383" i="10"/>
  <c r="X376" i="10"/>
  <c r="V363" i="10"/>
  <c r="T357" i="10"/>
  <c r="X355" i="10"/>
  <c r="T350" i="10"/>
  <c r="V313" i="10"/>
  <c r="V307" i="10"/>
  <c r="V296" i="10"/>
  <c r="X293" i="10"/>
  <c r="V290" i="10"/>
  <c r="X287" i="10"/>
  <c r="V283" i="10"/>
  <c r="X275" i="10"/>
  <c r="T270" i="10"/>
  <c r="V264" i="10"/>
  <c r="V256" i="10"/>
  <c r="X245" i="10"/>
  <c r="T240" i="10"/>
  <c r="T234" i="10"/>
  <c r="T228" i="10"/>
  <c r="T222" i="10"/>
  <c r="T216" i="10"/>
  <c r="T210" i="10"/>
  <c r="T204" i="10"/>
  <c r="T100" i="10"/>
  <c r="V27" i="10"/>
  <c r="V26" i="10"/>
  <c r="V424" i="10"/>
  <c r="V418" i="10"/>
  <c r="V415" i="10"/>
  <c r="V409" i="10"/>
  <c r="X403" i="10"/>
  <c r="T392" i="10"/>
  <c r="T382" i="10"/>
  <c r="T372" i="10"/>
  <c r="T366" i="10"/>
  <c r="T344" i="10"/>
  <c r="V302" i="10"/>
  <c r="T289" i="10"/>
  <c r="V278" i="10"/>
  <c r="V272" i="10"/>
  <c r="X261" i="10"/>
  <c r="X253" i="10"/>
  <c r="T248" i="10"/>
  <c r="V194" i="10"/>
  <c r="T526" i="10"/>
  <c r="T520" i="10"/>
  <c r="T514" i="10"/>
  <c r="T508" i="10"/>
  <c r="T502" i="10"/>
  <c r="T496" i="10"/>
  <c r="T490" i="10"/>
  <c r="T484" i="10"/>
  <c r="T478" i="10"/>
  <c r="T472" i="10"/>
  <c r="T466" i="10"/>
  <c r="T460" i="10"/>
  <c r="T454" i="10"/>
  <c r="T448" i="10"/>
  <c r="V435" i="10"/>
  <c r="T423" i="10"/>
  <c r="T418" i="10"/>
  <c r="T405" i="10"/>
  <c r="V400" i="10"/>
  <c r="X397" i="10"/>
  <c r="V374" i="10"/>
  <c r="X365" i="10"/>
  <c r="X349" i="10"/>
  <c r="X336" i="10"/>
  <c r="X324" i="10"/>
  <c r="T302" i="10"/>
  <c r="T296" i="10"/>
  <c r="X269" i="10"/>
  <c r="T264" i="10"/>
  <c r="T256" i="10"/>
  <c r="V250" i="10"/>
  <c r="V242" i="10"/>
  <c r="X239" i="10"/>
  <c r="X233" i="10"/>
  <c r="X227" i="10"/>
  <c r="X221" i="10"/>
  <c r="X215" i="10"/>
  <c r="X209" i="10"/>
  <c r="X203" i="10"/>
  <c r="V200" i="10"/>
  <c r="T194" i="10"/>
  <c r="V190" i="10"/>
  <c r="V189" i="10"/>
  <c r="T80" i="10"/>
  <c r="X528" i="10"/>
  <c r="X522" i="10"/>
  <c r="X516" i="10"/>
  <c r="X510" i="10"/>
  <c r="X504" i="10"/>
  <c r="X498" i="10"/>
  <c r="X492" i="10"/>
  <c r="X486" i="10"/>
  <c r="X480" i="10"/>
  <c r="X474" i="10"/>
  <c r="X468" i="10"/>
  <c r="X462" i="10"/>
  <c r="X456" i="10"/>
  <c r="X450" i="10"/>
  <c r="T431" i="10"/>
  <c r="X391" i="10"/>
  <c r="X385" i="10"/>
  <c r="X371" i="10"/>
  <c r="V361" i="10"/>
  <c r="T359" i="10"/>
  <c r="V352" i="10"/>
  <c r="X343" i="10"/>
  <c r="V334" i="10"/>
  <c r="X331" i="10"/>
  <c r="X312" i="10"/>
  <c r="X307" i="10"/>
  <c r="X289" i="10"/>
  <c r="X283" i="10"/>
  <c r="T278" i="10"/>
  <c r="T272" i="10"/>
  <c r="V258" i="10"/>
  <c r="X247" i="10"/>
  <c r="V236" i="10"/>
  <c r="V230" i="10"/>
  <c r="V224" i="10"/>
  <c r="V218" i="10"/>
  <c r="V212" i="10"/>
  <c r="V206" i="10"/>
  <c r="T200" i="10"/>
  <c r="X193" i="10"/>
  <c r="T156" i="10"/>
  <c r="X106" i="10"/>
  <c r="X104" i="10"/>
  <c r="X64" i="10"/>
  <c r="X62" i="10"/>
  <c r="T190" i="10"/>
  <c r="V183" i="10"/>
  <c r="X166" i="10"/>
  <c r="V159" i="10"/>
  <c r="V152" i="10"/>
  <c r="X146" i="10"/>
  <c r="T138" i="10"/>
  <c r="T126" i="10"/>
  <c r="V96" i="10"/>
  <c r="V91" i="10"/>
  <c r="T84" i="10"/>
  <c r="X80" i="10"/>
  <c r="T79" i="10"/>
  <c r="X74" i="10"/>
  <c r="T66" i="10"/>
  <c r="T58" i="10"/>
  <c r="T50" i="10"/>
  <c r="T42" i="10"/>
  <c r="T34" i="10"/>
  <c r="T26" i="10"/>
  <c r="X188" i="10"/>
  <c r="T182" i="10"/>
  <c r="T132" i="10"/>
  <c r="X128" i="10"/>
  <c r="T120" i="10"/>
  <c r="V60" i="10"/>
  <c r="V52" i="10"/>
  <c r="V44" i="10"/>
  <c r="V36" i="10"/>
  <c r="V28" i="10"/>
  <c r="V20" i="10"/>
  <c r="T17" i="10"/>
  <c r="V192" i="10"/>
  <c r="T186" i="10"/>
  <c r="X176" i="10"/>
  <c r="X168" i="10"/>
  <c r="X161" i="10"/>
  <c r="T153" i="10"/>
  <c r="T146" i="10"/>
  <c r="V135" i="10"/>
  <c r="X123" i="10"/>
  <c r="T109" i="10"/>
  <c r="X105" i="10"/>
  <c r="X98" i="10"/>
  <c r="T97" i="10"/>
  <c r="V87" i="10"/>
  <c r="V81" i="10"/>
  <c r="T74" i="10"/>
  <c r="T68" i="10"/>
  <c r="X63" i="10"/>
  <c r="X55" i="10"/>
  <c r="T52" i="10"/>
  <c r="X47" i="10"/>
  <c r="X39" i="10"/>
  <c r="T36" i="10"/>
  <c r="X31" i="10"/>
  <c r="X23" i="10"/>
  <c r="T20" i="10"/>
  <c r="X185" i="10"/>
  <c r="V176" i="10"/>
  <c r="T167" i="10"/>
  <c r="X155" i="10"/>
  <c r="V129" i="10"/>
  <c r="V123" i="10"/>
  <c r="V116" i="10"/>
  <c r="V111" i="10"/>
  <c r="X99" i="10"/>
  <c r="V92" i="10"/>
  <c r="V62" i="10"/>
  <c r="T61" i="10"/>
  <c r="V54" i="10"/>
  <c r="V46" i="10"/>
  <c r="T45" i="10"/>
  <c r="V38" i="10"/>
  <c r="T37" i="10"/>
  <c r="V30" i="10"/>
  <c r="T29" i="10"/>
  <c r="V22" i="10"/>
  <c r="T21" i="10"/>
  <c r="T178" i="10"/>
  <c r="T176" i="10"/>
  <c r="V169" i="10"/>
  <c r="X165" i="10"/>
  <c r="T164" i="10"/>
  <c r="V161" i="10"/>
  <c r="V155" i="10"/>
  <c r="T141" i="10"/>
  <c r="X137" i="10"/>
  <c r="T135" i="10"/>
  <c r="T122" i="10"/>
  <c r="V105" i="10"/>
  <c r="V99" i="10"/>
  <c r="T87" i="10"/>
  <c r="T81" i="10"/>
  <c r="V71" i="10"/>
  <c r="V63" i="10"/>
  <c r="V55" i="10"/>
  <c r="V47" i="10"/>
  <c r="V39" i="10"/>
  <c r="V31" i="10"/>
  <c r="V23" i="10"/>
  <c r="X197" i="10"/>
  <c r="X191" i="10"/>
  <c r="T179" i="10"/>
  <c r="T154" i="10"/>
  <c r="V143" i="10"/>
  <c r="T129" i="10"/>
  <c r="T111" i="10"/>
  <c r="T98" i="10"/>
  <c r="T93" i="10"/>
  <c r="X89" i="10"/>
  <c r="X83" i="10"/>
  <c r="V76" i="10"/>
  <c r="X65" i="10"/>
  <c r="X57" i="10"/>
  <c r="X49" i="10"/>
  <c r="X41" i="10"/>
  <c r="X33" i="10"/>
  <c r="X25" i="10"/>
  <c r="V188" i="10"/>
  <c r="T169" i="10"/>
  <c r="V137" i="10"/>
  <c r="X131" i="10"/>
  <c r="T117" i="10"/>
  <c r="X113" i="10"/>
  <c r="T105" i="10"/>
  <c r="V83" i="10"/>
  <c r="T71" i="10"/>
  <c r="T63" i="10"/>
  <c r="T55" i="10"/>
  <c r="T47" i="10"/>
  <c r="T39" i="10"/>
  <c r="T31" i="10"/>
  <c r="T23" i="10"/>
  <c r="T188" i="10"/>
  <c r="X171" i="10"/>
  <c r="T149" i="10"/>
  <c r="X145" i="10"/>
  <c r="T143" i="10"/>
  <c r="V131" i="10"/>
  <c r="V119" i="10"/>
  <c r="X107" i="10"/>
  <c r="V95" i="10"/>
  <c r="T82" i="10"/>
  <c r="T77" i="10"/>
  <c r="X73" i="10"/>
  <c r="V65" i="10"/>
  <c r="V57" i="10"/>
  <c r="V49" i="10"/>
  <c r="V41" i="10"/>
  <c r="V33" i="10"/>
  <c r="V25" i="10"/>
  <c r="V178" i="10"/>
  <c r="V171" i="10"/>
  <c r="V163" i="10"/>
  <c r="V151" i="10"/>
  <c r="T137" i="10"/>
  <c r="T130" i="10"/>
  <c r="X120" i="10"/>
  <c r="V113" i="10"/>
  <c r="V107" i="10"/>
  <c r="X67" i="10"/>
  <c r="X59" i="10"/>
  <c r="X51" i="10"/>
  <c r="X43" i="10"/>
  <c r="X35" i="10"/>
  <c r="X27" i="10"/>
  <c r="X17" i="10"/>
  <c r="X187" i="10"/>
  <c r="T181" i="10"/>
  <c r="V145" i="10"/>
  <c r="X139" i="10"/>
  <c r="T125" i="10"/>
  <c r="T119" i="10"/>
  <c r="T106" i="10"/>
  <c r="T95" i="10"/>
  <c r="T89" i="10"/>
  <c r="V79" i="10"/>
  <c r="V73" i="10"/>
  <c r="T65" i="10"/>
  <c r="T57" i="10"/>
  <c r="T49" i="10"/>
  <c r="T41" i="10"/>
  <c r="T33" i="10"/>
  <c r="T25" i="10"/>
  <c r="V17" i="10"/>
  <c r="AC1015" i="10"/>
  <c r="AC826" i="10"/>
  <c r="AC827" i="10"/>
  <c r="AC685" i="10"/>
  <c r="AC786" i="10"/>
  <c r="AC762" i="10"/>
  <c r="AC738" i="10"/>
  <c r="AC532" i="10"/>
  <c r="AC530" i="10"/>
  <c r="AC244" i="10"/>
  <c r="AC242" i="10"/>
  <c r="AC1027" i="10"/>
  <c r="AC991" i="10"/>
  <c r="AC946" i="10"/>
  <c r="AC947" i="10"/>
  <c r="AC721" i="10"/>
  <c r="AC1062" i="10"/>
  <c r="AC1056" i="10"/>
  <c r="AC1050" i="10"/>
  <c r="AC1044" i="10"/>
  <c r="AC1038" i="10"/>
  <c r="AC1032" i="10"/>
  <c r="AC1026" i="10"/>
  <c r="AC1020" i="10"/>
  <c r="AC1014" i="10"/>
  <c r="AC1008" i="10"/>
  <c r="AC1002" i="10"/>
  <c r="AC996" i="10"/>
  <c r="AC990" i="10"/>
  <c r="AC984" i="10"/>
  <c r="AC961" i="10"/>
  <c r="AC937" i="10"/>
  <c r="AC913" i="10"/>
  <c r="AC889" i="10"/>
  <c r="AC865" i="10"/>
  <c r="AC841" i="10"/>
  <c r="AC817" i="10"/>
  <c r="AC793" i="10"/>
  <c r="AC769" i="10"/>
  <c r="AC745" i="10"/>
  <c r="AC728" i="10"/>
  <c r="AC710" i="10"/>
  <c r="AC692" i="10"/>
  <c r="AC674" i="10"/>
  <c r="AC656" i="10"/>
  <c r="AC638" i="10"/>
  <c r="AC620" i="10"/>
  <c r="AC602" i="10"/>
  <c r="AC584" i="10"/>
  <c r="AC566" i="10"/>
  <c r="AC448" i="10"/>
  <c r="AC446" i="10"/>
  <c r="AC346" i="10"/>
  <c r="AC345" i="10"/>
  <c r="AC1009" i="10"/>
  <c r="AC703" i="10"/>
  <c r="AC559" i="10"/>
  <c r="AC976" i="10"/>
  <c r="AC977" i="10"/>
  <c r="AC952" i="10"/>
  <c r="AC953" i="10"/>
  <c r="AC928" i="10"/>
  <c r="AC929" i="10"/>
  <c r="AC904" i="10"/>
  <c r="AC905" i="10"/>
  <c r="AC880" i="10"/>
  <c r="AC881" i="10"/>
  <c r="AC856" i="10"/>
  <c r="AC857" i="10"/>
  <c r="AC832" i="10"/>
  <c r="AC833" i="10"/>
  <c r="AC808" i="10"/>
  <c r="AC809" i="10"/>
  <c r="AC1063" i="10"/>
  <c r="AC1021" i="10"/>
  <c r="AC874" i="10"/>
  <c r="AC875" i="10"/>
  <c r="AC595" i="10"/>
  <c r="AC727" i="10"/>
  <c r="AC709" i="10"/>
  <c r="AC691" i="10"/>
  <c r="AC673" i="10"/>
  <c r="AC655" i="10"/>
  <c r="AC637" i="10"/>
  <c r="AC619" i="10"/>
  <c r="AC601" i="10"/>
  <c r="AC583" i="10"/>
  <c r="AC565" i="10"/>
  <c r="AC310" i="10"/>
  <c r="AC308" i="10"/>
  <c r="AC1051" i="10"/>
  <c r="AC997" i="10"/>
  <c r="AC922" i="10"/>
  <c r="AC923" i="10"/>
  <c r="AC613" i="10"/>
  <c r="AC982" i="10"/>
  <c r="AC967" i="10"/>
  <c r="AC943" i="10"/>
  <c r="AC919" i="10"/>
  <c r="AC895" i="10"/>
  <c r="AC871" i="10"/>
  <c r="AC847" i="10"/>
  <c r="AC823" i="10"/>
  <c r="AC799" i="10"/>
  <c r="AC775" i="10"/>
  <c r="AC751" i="10"/>
  <c r="AC547" i="10"/>
  <c r="AC476" i="10"/>
  <c r="AC477" i="10"/>
  <c r="AC428" i="10"/>
  <c r="AC429" i="10"/>
  <c r="AC274" i="10"/>
  <c r="AC272" i="10"/>
  <c r="AC1057" i="10"/>
  <c r="AC1003" i="10"/>
  <c r="AC850" i="10"/>
  <c r="AC851" i="10"/>
  <c r="AC649" i="10"/>
  <c r="AC958" i="10"/>
  <c r="AC959" i="10"/>
  <c r="AC934" i="10"/>
  <c r="AC935" i="10"/>
  <c r="AC910" i="10"/>
  <c r="AC911" i="10"/>
  <c r="AC886" i="10"/>
  <c r="AC887" i="10"/>
  <c r="AC862" i="10"/>
  <c r="AC863" i="10"/>
  <c r="AC838" i="10"/>
  <c r="AC839" i="10"/>
  <c r="AC814" i="10"/>
  <c r="AC815" i="10"/>
  <c r="AC427" i="10"/>
  <c r="AC1033" i="10"/>
  <c r="AC898" i="10"/>
  <c r="AC899" i="10"/>
  <c r="AC631" i="10"/>
  <c r="AC382" i="10"/>
  <c r="AC381" i="10"/>
  <c r="AC220" i="10"/>
  <c r="AC218" i="10"/>
  <c r="AC1047" i="10"/>
  <c r="AC1041" i="10"/>
  <c r="AC987" i="10"/>
  <c r="AC805" i="10"/>
  <c r="AC781" i="10"/>
  <c r="AC757" i="10"/>
  <c r="AC733" i="10"/>
  <c r="AC715" i="10"/>
  <c r="AC697" i="10"/>
  <c r="AC679" i="10"/>
  <c r="AC661" i="10"/>
  <c r="AC643" i="10"/>
  <c r="AC625" i="10"/>
  <c r="AC607" i="10"/>
  <c r="AC589" i="10"/>
  <c r="AC571" i="10"/>
  <c r="AC553" i="10"/>
  <c r="AC524" i="10"/>
  <c r="AC380" i="10"/>
  <c r="AC970" i="10"/>
  <c r="AC971" i="10"/>
  <c r="AC667" i="10"/>
  <c r="AC964" i="10"/>
  <c r="AC965" i="10"/>
  <c r="AC940" i="10"/>
  <c r="AC941" i="10"/>
  <c r="AC916" i="10"/>
  <c r="AC917" i="10"/>
  <c r="AC892" i="10"/>
  <c r="AC893" i="10"/>
  <c r="AC868" i="10"/>
  <c r="AC869" i="10"/>
  <c r="AC844" i="10"/>
  <c r="AC845" i="10"/>
  <c r="AC820" i="10"/>
  <c r="AC821" i="10"/>
  <c r="AC483" i="10"/>
  <c r="AC481" i="10"/>
  <c r="AC435" i="10"/>
  <c r="AC433" i="10"/>
  <c r="AC577" i="10"/>
  <c r="AC490" i="10"/>
  <c r="AC488" i="10"/>
  <c r="AC972" i="10"/>
  <c r="AC948" i="10"/>
  <c r="AC924" i="10"/>
  <c r="AC900" i="10"/>
  <c r="AC876" i="10"/>
  <c r="AC852" i="10"/>
  <c r="AC828" i="10"/>
  <c r="AC722" i="10"/>
  <c r="AC704" i="10"/>
  <c r="AC686" i="10"/>
  <c r="AC668" i="10"/>
  <c r="AC650" i="10"/>
  <c r="AC632" i="10"/>
  <c r="AC614" i="10"/>
  <c r="AC596" i="10"/>
  <c r="AC578" i="10"/>
  <c r="AC560" i="10"/>
  <c r="AC523" i="10"/>
  <c r="AC309" i="10"/>
  <c r="AC494" i="10"/>
  <c r="AC439" i="10"/>
  <c r="AC386" i="10"/>
  <c r="AC350" i="10"/>
  <c r="AC500" i="10"/>
  <c r="AC314" i="10"/>
  <c r="AC278" i="10"/>
  <c r="AC194" i="10"/>
  <c r="AC506" i="10"/>
  <c r="AC452" i="10"/>
  <c r="AC392" i="10"/>
  <c r="AC356" i="10"/>
  <c r="AC320" i="10"/>
  <c r="AC248" i="10"/>
  <c r="AC224" i="10"/>
  <c r="AC803" i="10"/>
  <c r="AC797" i="10"/>
  <c r="AC791" i="10"/>
  <c r="AC785" i="10"/>
  <c r="AC779" i="10"/>
  <c r="AC773" i="10"/>
  <c r="AC767" i="10"/>
  <c r="AC761" i="10"/>
  <c r="AC755" i="10"/>
  <c r="AC749" i="10"/>
  <c r="AC743" i="10"/>
  <c r="AC737" i="10"/>
  <c r="AC731" i="10"/>
  <c r="AC725" i="10"/>
  <c r="AC719" i="10"/>
  <c r="AC713" i="10"/>
  <c r="AC707" i="10"/>
  <c r="AC701" i="10"/>
  <c r="AC695" i="10"/>
  <c r="AC689" i="10"/>
  <c r="AC683" i="10"/>
  <c r="AC677" i="10"/>
  <c r="AC671" i="10"/>
  <c r="AC665" i="10"/>
  <c r="AC659" i="10"/>
  <c r="AC653" i="10"/>
  <c r="AC647" i="10"/>
  <c r="AC641" i="10"/>
  <c r="AC635" i="10"/>
  <c r="AC629" i="10"/>
  <c r="AC623" i="10"/>
  <c r="AC617" i="10"/>
  <c r="AC611" i="10"/>
  <c r="AC605" i="10"/>
  <c r="AC599" i="10"/>
  <c r="AC593" i="10"/>
  <c r="AC587" i="10"/>
  <c r="AC581" i="10"/>
  <c r="AC575" i="10"/>
  <c r="AC569" i="10"/>
  <c r="AC563" i="10"/>
  <c r="AC557" i="10"/>
  <c r="AC551" i="10"/>
  <c r="AC536" i="10"/>
  <c r="AC512" i="10"/>
  <c r="AC465" i="10"/>
  <c r="AC411" i="10"/>
  <c r="AC398" i="10"/>
  <c r="AC291" i="10"/>
  <c r="AC284" i="10"/>
  <c r="AC255" i="10"/>
  <c r="AC231" i="10"/>
  <c r="AC207" i="10"/>
  <c r="AC200" i="10"/>
  <c r="AC471" i="10"/>
  <c r="AC423" i="10"/>
  <c r="AC297" i="10"/>
  <c r="AC290" i="10"/>
  <c r="AC254" i="10"/>
  <c r="AC230" i="10"/>
  <c r="AC206" i="10"/>
  <c r="AC542" i="10"/>
  <c r="AC518" i="10"/>
  <c r="AC416" i="10"/>
  <c r="AC375" i="10"/>
  <c r="AC339" i="10"/>
  <c r="AC237" i="10"/>
  <c r="AC213" i="10"/>
  <c r="AC374" i="10"/>
  <c r="AC338" i="10"/>
  <c r="AC236" i="10"/>
  <c r="AC212" i="10"/>
  <c r="AC74" i="10"/>
  <c r="AC68" i="10"/>
  <c r="AC62" i="10"/>
  <c r="AC56" i="10"/>
  <c r="AC50" i="10"/>
  <c r="AC44" i="10"/>
  <c r="AC546" i="10"/>
  <c r="AC540" i="10"/>
  <c r="AC534" i="10"/>
  <c r="AC528" i="10"/>
  <c r="AC522" i="10"/>
  <c r="AC516" i="10"/>
  <c r="AC450" i="10"/>
  <c r="AC126" i="10"/>
  <c r="AC120" i="10"/>
  <c r="AC114" i="10"/>
  <c r="AC108" i="10"/>
  <c r="AC102" i="10"/>
  <c r="AC96" i="10"/>
  <c r="AC90" i="10"/>
  <c r="AC84" i="10"/>
  <c r="AC78" i="10"/>
  <c r="AC72" i="10"/>
  <c r="AC66" i="10"/>
  <c r="AC60" i="10"/>
  <c r="AC54" i="10"/>
  <c r="AC48" i="10"/>
  <c r="AC42" i="10"/>
  <c r="AC36" i="10"/>
  <c r="AC30" i="10"/>
  <c r="AC28" i="10"/>
  <c r="T879" i="10"/>
  <c r="T877" i="10"/>
  <c r="V781" i="10"/>
  <c r="V780" i="10"/>
  <c r="V741" i="10"/>
  <c r="V740" i="10"/>
  <c r="T1065" i="10"/>
  <c r="X838" i="10"/>
  <c r="X839" i="10"/>
  <c r="X837" i="10"/>
  <c r="T773" i="10"/>
  <c r="T774" i="10"/>
  <c r="T772" i="10"/>
  <c r="V343" i="10"/>
  <c r="V344" i="10"/>
  <c r="V342" i="10"/>
  <c r="T1056" i="10"/>
  <c r="T1055" i="10"/>
  <c r="T1048" i="10"/>
  <c r="T1047" i="10"/>
  <c r="X934" i="10"/>
  <c r="X935" i="10"/>
  <c r="X933" i="10"/>
  <c r="T927" i="10"/>
  <c r="T925" i="10"/>
  <c r="T855" i="10"/>
  <c r="T853" i="10"/>
  <c r="V811" i="10"/>
  <c r="V810" i="10"/>
  <c r="X783" i="10"/>
  <c r="X782" i="10"/>
  <c r="T902" i="10"/>
  <c r="V747" i="10"/>
  <c r="V746" i="10"/>
  <c r="V883" i="10"/>
  <c r="V882" i="10"/>
  <c r="T878" i="10"/>
  <c r="V757" i="10"/>
  <c r="V756" i="10"/>
  <c r="V1064" i="10"/>
  <c r="T1058" i="10"/>
  <c r="T1057" i="10"/>
  <c r="V1054" i="10"/>
  <c r="T1050" i="10"/>
  <c r="T1049" i="10"/>
  <c r="V1046" i="10"/>
  <c r="T1042" i="10"/>
  <c r="T1041" i="10"/>
  <c r="V859" i="10"/>
  <c r="V858" i="10"/>
  <c r="T831" i="10"/>
  <c r="T829" i="10"/>
  <c r="X814" i="10"/>
  <c r="X815" i="10"/>
  <c r="X813" i="10"/>
  <c r="V793" i="10"/>
  <c r="V792" i="10"/>
  <c r="T785" i="10"/>
  <c r="T786" i="10"/>
  <c r="T784" i="10"/>
  <c r="T749" i="10"/>
  <c r="T750" i="10"/>
  <c r="T748" i="10"/>
  <c r="X862" i="10"/>
  <c r="X863" i="10"/>
  <c r="X861" i="10"/>
  <c r="T435" i="10"/>
  <c r="T436" i="10"/>
  <c r="T434" i="10"/>
  <c r="T926" i="10"/>
  <c r="V918" i="10"/>
  <c r="T854" i="10"/>
  <c r="X759" i="10"/>
  <c r="X758" i="10"/>
  <c r="T903" i="10"/>
  <c r="T901" i="10"/>
  <c r="T819" i="10"/>
  <c r="T820" i="10"/>
  <c r="T818" i="10"/>
  <c r="X727" i="10"/>
  <c r="X726" i="10"/>
  <c r="X795" i="10"/>
  <c r="X794" i="10"/>
  <c r="T1054" i="10"/>
  <c r="T1053" i="10"/>
  <c r="V331" i="10"/>
  <c r="V332" i="10"/>
  <c r="V330" i="10"/>
  <c r="X111" i="10"/>
  <c r="X110" i="10"/>
  <c r="T1052" i="10"/>
  <c r="T1051" i="10"/>
  <c r="T1044" i="10"/>
  <c r="T1043" i="10"/>
  <c r="T891" i="10"/>
  <c r="V835" i="10"/>
  <c r="V834" i="10"/>
  <c r="V769" i="10"/>
  <c r="V768" i="10"/>
  <c r="T1046" i="10"/>
  <c r="T1045" i="10"/>
  <c r="T915" i="10"/>
  <c r="V906" i="10"/>
  <c r="X886" i="10"/>
  <c r="X887" i="10"/>
  <c r="X885" i="10"/>
  <c r="T830" i="10"/>
  <c r="T761" i="10"/>
  <c r="T762" i="10"/>
  <c r="T760" i="10"/>
  <c r="T738" i="10"/>
  <c r="T737" i="10"/>
  <c r="X544" i="10"/>
  <c r="X543" i="10"/>
  <c r="T1062" i="10"/>
  <c r="V942" i="10"/>
  <c r="X910" i="10"/>
  <c r="X911" i="10"/>
  <c r="X909" i="10"/>
  <c r="T867" i="10"/>
  <c r="T797" i="10"/>
  <c r="T798" i="10"/>
  <c r="T796" i="10"/>
  <c r="X771" i="10"/>
  <c r="X770" i="10"/>
  <c r="X914" i="10"/>
  <c r="V909" i="10"/>
  <c r="T906" i="10"/>
  <c r="T895" i="10"/>
  <c r="X890" i="10"/>
  <c r="V885" i="10"/>
  <c r="T882" i="10"/>
  <c r="T871" i="10"/>
  <c r="X866" i="10"/>
  <c r="T792" i="10"/>
  <c r="T780" i="10"/>
  <c r="T768" i="10"/>
  <c r="T756" i="10"/>
  <c r="T746" i="10"/>
  <c r="X737" i="10"/>
  <c r="X736" i="10"/>
  <c r="V727" i="10"/>
  <c r="V726" i="10"/>
  <c r="X713" i="10"/>
  <c r="X712" i="10"/>
  <c r="T663" i="10"/>
  <c r="T664" i="10"/>
  <c r="T662" i="10"/>
  <c r="X574" i="10"/>
  <c r="X573" i="10"/>
  <c r="X550" i="10"/>
  <c r="X549" i="10"/>
  <c r="T1039" i="10"/>
  <c r="T1037" i="10"/>
  <c r="T1035" i="10"/>
  <c r="T1033" i="10"/>
  <c r="T1031" i="10"/>
  <c r="T1029" i="10"/>
  <c r="T1027" i="10"/>
  <c r="T1025" i="10"/>
  <c r="T1023" i="10"/>
  <c r="T1021" i="10"/>
  <c r="T1019" i="10"/>
  <c r="T1017" i="10"/>
  <c r="T1015" i="10"/>
  <c r="T1013" i="10"/>
  <c r="T1011" i="10"/>
  <c r="T1009" i="10"/>
  <c r="T1007" i="10"/>
  <c r="T1005" i="10"/>
  <c r="T1003" i="10"/>
  <c r="T1001" i="10"/>
  <c r="T999" i="10"/>
  <c r="T997" i="10"/>
  <c r="T995" i="10"/>
  <c r="T993" i="10"/>
  <c r="T991" i="10"/>
  <c r="T989" i="10"/>
  <c r="T987" i="10"/>
  <c r="T985" i="10"/>
  <c r="T983" i="10"/>
  <c r="T981" i="10"/>
  <c r="T979" i="10"/>
  <c r="T977" i="10"/>
  <c r="T975" i="10"/>
  <c r="T973" i="10"/>
  <c r="T971" i="10"/>
  <c r="T969" i="10"/>
  <c r="T967" i="10"/>
  <c r="T965" i="10"/>
  <c r="T963" i="10"/>
  <c r="T961" i="10"/>
  <c r="T959" i="10"/>
  <c r="T957" i="10"/>
  <c r="T955" i="10"/>
  <c r="T953" i="10"/>
  <c r="T951" i="10"/>
  <c r="T949" i="10"/>
  <c r="T947" i="10"/>
  <c r="T945" i="10"/>
  <c r="X940" i="10"/>
  <c r="V935" i="10"/>
  <c r="T932" i="10"/>
  <c r="T921" i="10"/>
  <c r="X916" i="10"/>
  <c r="V911" i="10"/>
  <c r="V887" i="10"/>
  <c r="V863" i="10"/>
  <c r="T860" i="10"/>
  <c r="T849" i="10"/>
  <c r="X844" i="10"/>
  <c r="V839" i="10"/>
  <c r="T825" i="10"/>
  <c r="X820" i="10"/>
  <c r="V815" i="10"/>
  <c r="T801" i="10"/>
  <c r="X797" i="10"/>
  <c r="V795" i="10"/>
  <c r="X785" i="10"/>
  <c r="V783" i="10"/>
  <c r="X773" i="10"/>
  <c r="V771" i="10"/>
  <c r="X761" i="10"/>
  <c r="V759" i="10"/>
  <c r="X749" i="10"/>
  <c r="V737" i="10"/>
  <c r="V736" i="10"/>
  <c r="X723" i="10"/>
  <c r="X722" i="10"/>
  <c r="X942" i="10"/>
  <c r="V938" i="10"/>
  <c r="V937" i="10"/>
  <c r="T934" i="10"/>
  <c r="T923" i="10"/>
  <c r="X918" i="10"/>
  <c r="V914" i="10"/>
  <c r="V913" i="10"/>
  <c r="T910" i="10"/>
  <c r="T899" i="10"/>
  <c r="X894" i="10"/>
  <c r="V890" i="10"/>
  <c r="V889" i="10"/>
  <c r="T886" i="10"/>
  <c r="T875" i="10"/>
  <c r="X870" i="10"/>
  <c r="V866" i="10"/>
  <c r="V865" i="10"/>
  <c r="T862" i="10"/>
  <c r="T851" i="10"/>
  <c r="X846" i="10"/>
  <c r="V842" i="10"/>
  <c r="V841" i="10"/>
  <c r="T838" i="10"/>
  <c r="T827" i="10"/>
  <c r="X822" i="10"/>
  <c r="V818" i="10"/>
  <c r="V817" i="10"/>
  <c r="T803" i="10"/>
  <c r="X798" i="10"/>
  <c r="T789" i="10"/>
  <c r="T777" i="10"/>
  <c r="T765" i="10"/>
  <c r="T753" i="10"/>
  <c r="X743" i="10"/>
  <c r="X742" i="10"/>
  <c r="X733" i="10"/>
  <c r="X732" i="10"/>
  <c r="V723" i="10"/>
  <c r="V722" i="10"/>
  <c r="X709" i="10"/>
  <c r="X708" i="10"/>
  <c r="V797" i="10"/>
  <c r="X787" i="10"/>
  <c r="V785" i="10"/>
  <c r="X775" i="10"/>
  <c r="V773" i="10"/>
  <c r="X763" i="10"/>
  <c r="V761" i="10"/>
  <c r="X751" i="10"/>
  <c r="V749" i="10"/>
  <c r="V743" i="10"/>
  <c r="V742" i="10"/>
  <c r="V733" i="10"/>
  <c r="V732" i="10"/>
  <c r="X719" i="10"/>
  <c r="X718" i="10"/>
  <c r="V941" i="10"/>
  <c r="T938" i="10"/>
  <c r="V917" i="10"/>
  <c r="T914" i="10"/>
  <c r="V894" i="10"/>
  <c r="V893" i="10"/>
  <c r="T890" i="10"/>
  <c r="V870" i="10"/>
  <c r="V869" i="10"/>
  <c r="T866" i="10"/>
  <c r="V846" i="10"/>
  <c r="V845" i="10"/>
  <c r="T842" i="10"/>
  <c r="V822" i="10"/>
  <c r="V821" i="10"/>
  <c r="V798" i="10"/>
  <c r="X788" i="10"/>
  <c r="V786" i="10"/>
  <c r="X776" i="10"/>
  <c r="X764" i="10"/>
  <c r="X752" i="10"/>
  <c r="V750" i="10"/>
  <c r="X729" i="10"/>
  <c r="X728" i="10"/>
  <c r="X582" i="10"/>
  <c r="X581" i="10"/>
  <c r="X558" i="10"/>
  <c r="X557" i="10"/>
  <c r="V943" i="10"/>
  <c r="V919" i="10"/>
  <c r="X739" i="10"/>
  <c r="X738" i="10"/>
  <c r="V729" i="10"/>
  <c r="V728" i="10"/>
  <c r="X715" i="10"/>
  <c r="X714" i="10"/>
  <c r="V921" i="10"/>
  <c r="V897" i="10"/>
  <c r="V874" i="10"/>
  <c r="V873" i="10"/>
  <c r="V850" i="10"/>
  <c r="V849" i="10"/>
  <c r="V826" i="10"/>
  <c r="V825" i="10"/>
  <c r="V802" i="10"/>
  <c r="V801" i="10"/>
  <c r="X790" i="10"/>
  <c r="V788" i="10"/>
  <c r="X778" i="10"/>
  <c r="V776" i="10"/>
  <c r="X766" i="10"/>
  <c r="V764" i="10"/>
  <c r="X754" i="10"/>
  <c r="X745" i="10"/>
  <c r="X744" i="10"/>
  <c r="V739" i="10"/>
  <c r="V738" i="10"/>
  <c r="T736" i="10"/>
  <c r="X725" i="10"/>
  <c r="X724" i="10"/>
  <c r="V923" i="10"/>
  <c r="V899" i="10"/>
  <c r="V745" i="10"/>
  <c r="V744" i="10"/>
  <c r="X735" i="10"/>
  <c r="X734" i="10"/>
  <c r="V725" i="10"/>
  <c r="V724" i="10"/>
  <c r="X711" i="10"/>
  <c r="X710" i="10"/>
  <c r="V925" i="10"/>
  <c r="V901" i="10"/>
  <c r="V735" i="10"/>
  <c r="V734" i="10"/>
  <c r="T732" i="10"/>
  <c r="X721" i="10"/>
  <c r="X720" i="10"/>
  <c r="X566" i="10"/>
  <c r="X565" i="10"/>
  <c r="V927" i="10"/>
  <c r="V903" i="10"/>
  <c r="X793" i="10"/>
  <c r="V791" i="10"/>
  <c r="X781" i="10"/>
  <c r="V779" i="10"/>
  <c r="X769" i="10"/>
  <c r="V767" i="10"/>
  <c r="X757" i="10"/>
  <c r="V755" i="10"/>
  <c r="X731" i="10"/>
  <c r="X730" i="10"/>
  <c r="V721" i="10"/>
  <c r="V720" i="10"/>
  <c r="X707" i="10"/>
  <c r="V929" i="10"/>
  <c r="V905" i="10"/>
  <c r="V881" i="10"/>
  <c r="V857" i="10"/>
  <c r="V833" i="10"/>
  <c r="V809" i="10"/>
  <c r="X747" i="10"/>
  <c r="X746" i="10"/>
  <c r="X741" i="10"/>
  <c r="X740" i="10"/>
  <c r="V731" i="10"/>
  <c r="V730" i="10"/>
  <c r="X717" i="10"/>
  <c r="X716" i="10"/>
  <c r="V650" i="10"/>
  <c r="T648" i="10"/>
  <c r="V638" i="10"/>
  <c r="T636" i="10"/>
  <c r="V626" i="10"/>
  <c r="T624" i="10"/>
  <c r="V614" i="10"/>
  <c r="T612" i="10"/>
  <c r="V602" i="10"/>
  <c r="T600" i="10"/>
  <c r="V590" i="10"/>
  <c r="V550" i="10"/>
  <c r="V549" i="10"/>
  <c r="V544" i="10"/>
  <c r="V543" i="10"/>
  <c r="V538" i="10"/>
  <c r="V427" i="10"/>
  <c r="V425" i="10"/>
  <c r="V319" i="10"/>
  <c r="V320" i="10"/>
  <c r="V318" i="10"/>
  <c r="X706" i="10"/>
  <c r="X704" i="10"/>
  <c r="X702" i="10"/>
  <c r="X700" i="10"/>
  <c r="X698" i="10"/>
  <c r="X696" i="10"/>
  <c r="X694" i="10"/>
  <c r="X692" i="10"/>
  <c r="X690" i="10"/>
  <c r="X688" i="10"/>
  <c r="X686" i="10"/>
  <c r="X684" i="10"/>
  <c r="X682" i="10"/>
  <c r="X680" i="10"/>
  <c r="X678" i="10"/>
  <c r="X676" i="10"/>
  <c r="X674" i="10"/>
  <c r="X672" i="10"/>
  <c r="X670" i="10"/>
  <c r="X668" i="10"/>
  <c r="X666" i="10"/>
  <c r="X664" i="10"/>
  <c r="X653" i="10"/>
  <c r="V651" i="10"/>
  <c r="T649" i="10"/>
  <c r="X641" i="10"/>
  <c r="V639" i="10"/>
  <c r="T637" i="10"/>
  <c r="X629" i="10"/>
  <c r="V627" i="10"/>
  <c r="T625" i="10"/>
  <c r="X617" i="10"/>
  <c r="V615" i="10"/>
  <c r="T613" i="10"/>
  <c r="X605" i="10"/>
  <c r="V603" i="10"/>
  <c r="T601" i="10"/>
  <c r="X593" i="10"/>
  <c r="V591" i="10"/>
  <c r="X583" i="10"/>
  <c r="V582" i="10"/>
  <c r="X575" i="10"/>
  <c r="V574" i="10"/>
  <c r="X567" i="10"/>
  <c r="V566" i="10"/>
  <c r="X559" i="10"/>
  <c r="V558" i="10"/>
  <c r="X551" i="10"/>
  <c r="T411" i="10"/>
  <c r="T412" i="10"/>
  <c r="T410" i="10"/>
  <c r="T308" i="10"/>
  <c r="T307" i="10"/>
  <c r="T284" i="10"/>
  <c r="T283" i="10"/>
  <c r="X444" i="10"/>
  <c r="X442" i="10"/>
  <c r="V403" i="10"/>
  <c r="V401" i="10"/>
  <c r="V718" i="10"/>
  <c r="V716" i="10"/>
  <c r="V714" i="10"/>
  <c r="V712" i="10"/>
  <c r="V710" i="10"/>
  <c r="V708" i="10"/>
  <c r="V706" i="10"/>
  <c r="V704" i="10"/>
  <c r="V702" i="10"/>
  <c r="V700" i="10"/>
  <c r="V698" i="10"/>
  <c r="V696" i="10"/>
  <c r="V694" i="10"/>
  <c r="V692" i="10"/>
  <c r="V690" i="10"/>
  <c r="V688" i="10"/>
  <c r="V686" i="10"/>
  <c r="V684" i="10"/>
  <c r="V682" i="10"/>
  <c r="V680" i="10"/>
  <c r="V678" i="10"/>
  <c r="X657" i="10"/>
  <c r="V653" i="10"/>
  <c r="T651" i="10"/>
  <c r="V641" i="10"/>
  <c r="T639" i="10"/>
  <c r="V629" i="10"/>
  <c r="T627" i="10"/>
  <c r="V617" i="10"/>
  <c r="T615" i="10"/>
  <c r="V605" i="10"/>
  <c r="T603" i="10"/>
  <c r="V593" i="10"/>
  <c r="T591" i="10"/>
  <c r="V583" i="10"/>
  <c r="V575" i="10"/>
  <c r="V567" i="10"/>
  <c r="V559" i="10"/>
  <c r="V551" i="10"/>
  <c r="V368" i="10"/>
  <c r="V366" i="10"/>
  <c r="V546" i="10"/>
  <c r="V545" i="10"/>
  <c r="V540" i="10"/>
  <c r="V539" i="10"/>
  <c r="X431" i="10"/>
  <c r="X430" i="10"/>
  <c r="V391" i="10"/>
  <c r="T387" i="10"/>
  <c r="T388" i="10"/>
  <c r="T386" i="10"/>
  <c r="X359" i="10"/>
  <c r="X358" i="10"/>
  <c r="X650" i="10"/>
  <c r="X638" i="10"/>
  <c r="X626" i="10"/>
  <c r="X614" i="10"/>
  <c r="X602" i="10"/>
  <c r="X590" i="10"/>
  <c r="V379" i="10"/>
  <c r="V377" i="10"/>
  <c r="T292" i="10"/>
  <c r="T291" i="10"/>
  <c r="V658" i="10"/>
  <c r="V402" i="10"/>
  <c r="X339" i="10"/>
  <c r="X338" i="10"/>
  <c r="X327" i="10"/>
  <c r="X326" i="10"/>
  <c r="X548" i="10"/>
  <c r="X542" i="10"/>
  <c r="X407" i="10"/>
  <c r="X406" i="10"/>
  <c r="X315" i="10"/>
  <c r="X314" i="10"/>
  <c r="V646" i="10"/>
  <c r="T644" i="10"/>
  <c r="V634" i="10"/>
  <c r="T632" i="10"/>
  <c r="V622" i="10"/>
  <c r="T620" i="10"/>
  <c r="V610" i="10"/>
  <c r="T608" i="10"/>
  <c r="V598" i="10"/>
  <c r="T596" i="10"/>
  <c r="X580" i="10"/>
  <c r="X572" i="10"/>
  <c r="X564" i="10"/>
  <c r="X556" i="10"/>
  <c r="V548" i="10"/>
  <c r="V547" i="10"/>
  <c r="V542" i="10"/>
  <c r="V541" i="10"/>
  <c r="V367" i="10"/>
  <c r="T363" i="10"/>
  <c r="T364" i="10"/>
  <c r="T362" i="10"/>
  <c r="T342" i="10"/>
  <c r="T341" i="10"/>
  <c r="T330" i="10"/>
  <c r="T329" i="10"/>
  <c r="V664" i="10"/>
  <c r="V378" i="10"/>
  <c r="T318" i="10"/>
  <c r="T317" i="10"/>
  <c r="T300" i="10"/>
  <c r="T299" i="10"/>
  <c r="V648" i="10"/>
  <c r="T646" i="10"/>
  <c r="V636" i="10"/>
  <c r="T634" i="10"/>
  <c r="V624" i="10"/>
  <c r="T622" i="10"/>
  <c r="V612" i="10"/>
  <c r="T610" i="10"/>
  <c r="V600" i="10"/>
  <c r="T598" i="10"/>
  <c r="V588" i="10"/>
  <c r="V580" i="10"/>
  <c r="V572" i="10"/>
  <c r="V564" i="10"/>
  <c r="V556" i="10"/>
  <c r="X383" i="10"/>
  <c r="X382" i="10"/>
  <c r="V294" i="10"/>
  <c r="X143" i="10"/>
  <c r="X142" i="10"/>
  <c r="X71" i="10"/>
  <c r="X70" i="10"/>
  <c r="V537" i="10"/>
  <c r="V535" i="10"/>
  <c r="V533" i="10"/>
  <c r="V531" i="10"/>
  <c r="V529" i="10"/>
  <c r="V527" i="10"/>
  <c r="V525" i="10"/>
  <c r="V523" i="10"/>
  <c r="V521" i="10"/>
  <c r="V519" i="10"/>
  <c r="V517" i="10"/>
  <c r="V515" i="10"/>
  <c r="V513" i="10"/>
  <c r="V511" i="10"/>
  <c r="V509" i="10"/>
  <c r="V507" i="10"/>
  <c r="V505" i="10"/>
  <c r="V503" i="10"/>
  <c r="V501" i="10"/>
  <c r="V499" i="10"/>
  <c r="V497" i="10"/>
  <c r="V495" i="10"/>
  <c r="V493" i="10"/>
  <c r="V491" i="10"/>
  <c r="V489" i="10"/>
  <c r="V487" i="10"/>
  <c r="V485" i="10"/>
  <c r="V483" i="10"/>
  <c r="V481" i="10"/>
  <c r="V479" i="10"/>
  <c r="V477" i="10"/>
  <c r="V475" i="10"/>
  <c r="V473" i="10"/>
  <c r="V471" i="10"/>
  <c r="V469" i="10"/>
  <c r="V467" i="10"/>
  <c r="V465" i="10"/>
  <c r="V463" i="10"/>
  <c r="V461" i="10"/>
  <c r="V459" i="10"/>
  <c r="V457" i="10"/>
  <c r="V455" i="10"/>
  <c r="V453" i="10"/>
  <c r="V451" i="10"/>
  <c r="V449" i="10"/>
  <c r="V447" i="10"/>
  <c r="V445" i="10"/>
  <c r="T441" i="10"/>
  <c r="X435" i="10"/>
  <c r="V432" i="10"/>
  <c r="V421" i="10"/>
  <c r="T417" i="10"/>
  <c r="X411" i="10"/>
  <c r="V408" i="10"/>
  <c r="V397" i="10"/>
  <c r="T393" i="10"/>
  <c r="X387" i="10"/>
  <c r="V384" i="10"/>
  <c r="V373" i="10"/>
  <c r="T369" i="10"/>
  <c r="X364" i="10"/>
  <c r="X363" i="10"/>
  <c r="V349" i="10"/>
  <c r="T345" i="10"/>
  <c r="X341" i="10"/>
  <c r="T332" i="10"/>
  <c r="X329" i="10"/>
  <c r="T320" i="10"/>
  <c r="X317" i="10"/>
  <c r="T309" i="10"/>
  <c r="T301" i="10"/>
  <c r="T293" i="10"/>
  <c r="T285" i="10"/>
  <c r="T443" i="10"/>
  <c r="X437" i="10"/>
  <c r="V434" i="10"/>
  <c r="V423" i="10"/>
  <c r="T419" i="10"/>
  <c r="X413" i="10"/>
  <c r="V399" i="10"/>
  <c r="X389" i="10"/>
  <c r="X119" i="10"/>
  <c r="X118" i="10"/>
  <c r="X151" i="10"/>
  <c r="X150" i="10"/>
  <c r="X95" i="10"/>
  <c r="X94" i="10"/>
  <c r="X441" i="10"/>
  <c r="V438" i="10"/>
  <c r="X417" i="10"/>
  <c r="V414" i="10"/>
  <c r="X393" i="10"/>
  <c r="V390" i="10"/>
  <c r="X369" i="10"/>
  <c r="X345" i="10"/>
  <c r="T335" i="10"/>
  <c r="X443" i="10"/>
  <c r="X79" i="10"/>
  <c r="X78" i="10"/>
  <c r="V174" i="10"/>
  <c r="V172" i="10"/>
  <c r="X159" i="10"/>
  <c r="X158" i="10"/>
  <c r="X127" i="10"/>
  <c r="X126" i="10"/>
  <c r="X399" i="10"/>
  <c r="X375" i="10"/>
  <c r="X351" i="10"/>
  <c r="T338" i="10"/>
  <c r="X335" i="10"/>
  <c r="T326" i="10"/>
  <c r="X323" i="10"/>
  <c r="T314" i="10"/>
  <c r="X311" i="10"/>
  <c r="X103" i="10"/>
  <c r="X102" i="10"/>
  <c r="X426" i="10"/>
  <c r="X425" i="10"/>
  <c r="X402" i="10"/>
  <c r="X401" i="10"/>
  <c r="X378" i="10"/>
  <c r="X377" i="10"/>
  <c r="X354" i="10"/>
  <c r="X353" i="10"/>
  <c r="T306" i="10"/>
  <c r="T298" i="10"/>
  <c r="T290" i="10"/>
  <c r="T282" i="10"/>
  <c r="T340" i="10"/>
  <c r="X337" i="10"/>
  <c r="T328" i="10"/>
  <c r="X325" i="10"/>
  <c r="T316" i="10"/>
  <c r="X313" i="10"/>
  <c r="V308" i="10"/>
  <c r="V300" i="10"/>
  <c r="V292" i="10"/>
  <c r="V284" i="10"/>
  <c r="V276" i="10"/>
  <c r="X135" i="10"/>
  <c r="X134" i="10"/>
  <c r="X429" i="10"/>
  <c r="X405" i="10"/>
  <c r="X381" i="10"/>
  <c r="X357" i="10"/>
  <c r="V186" i="10"/>
  <c r="V184" i="10"/>
  <c r="X87" i="10"/>
  <c r="X86" i="10"/>
  <c r="V126" i="10"/>
  <c r="V110" i="10"/>
  <c r="V102" i="10"/>
  <c r="V94" i="10"/>
  <c r="V86" i="10"/>
  <c r="V78" i="10"/>
  <c r="V70" i="10"/>
  <c r="T275" i="10"/>
  <c r="T273" i="10"/>
  <c r="T265" i="10"/>
  <c r="T251" i="10"/>
  <c r="T239" i="10"/>
  <c r="T237" i="10"/>
  <c r="T235" i="10"/>
  <c r="T233" i="10"/>
  <c r="T231" i="10"/>
  <c r="T229" i="10"/>
  <c r="T227" i="10"/>
  <c r="T225" i="10"/>
  <c r="T223" i="10"/>
  <c r="T221" i="10"/>
  <c r="T219" i="10"/>
  <c r="T217" i="10"/>
  <c r="T215" i="10"/>
  <c r="T213" i="10"/>
  <c r="T211" i="10"/>
  <c r="T209" i="10"/>
  <c r="T207" i="10"/>
  <c r="T205" i="10"/>
  <c r="T203" i="10"/>
  <c r="T201" i="10"/>
  <c r="T199" i="10"/>
  <c r="T197" i="10"/>
  <c r="T195" i="10"/>
  <c r="T193" i="10"/>
  <c r="T191" i="10"/>
  <c r="T189" i="10"/>
  <c r="T187" i="10"/>
  <c r="X184" i="10"/>
  <c r="V182" i="10"/>
  <c r="V170" i="10"/>
  <c r="X174" i="10"/>
  <c r="V185" i="10"/>
  <c r="V173" i="10"/>
  <c r="T184" i="10"/>
  <c r="X181" i="10"/>
  <c r="T172" i="10"/>
  <c r="X169" i="10"/>
  <c r="T160" i="10"/>
  <c r="T185" i="10"/>
  <c r="V175" i="10"/>
  <c r="T173" i="10"/>
  <c r="T161" i="10"/>
  <c r="V154" i="10"/>
  <c r="V146" i="10"/>
  <c r="V138" i="10"/>
  <c r="V130" i="10"/>
  <c r="V122" i="10"/>
  <c r="V114" i="10"/>
  <c r="V106" i="10"/>
  <c r="V98" i="10"/>
  <c r="V90" i="10"/>
  <c r="V82" i="10"/>
  <c r="V74" i="10"/>
  <c r="V177" i="10"/>
  <c r="T175" i="10"/>
  <c r="V165" i="10"/>
  <c r="T163" i="10"/>
  <c r="X157" i="10"/>
  <c r="X149" i="10"/>
  <c r="X141" i="10"/>
  <c r="X133" i="10"/>
  <c r="X125" i="10"/>
  <c r="X117" i="10"/>
  <c r="X109" i="10"/>
  <c r="X101" i="10"/>
  <c r="X93" i="10"/>
  <c r="X85" i="10"/>
  <c r="X77" i="10"/>
  <c r="X69" i="10"/>
  <c r="T155" i="10"/>
  <c r="T147" i="10"/>
  <c r="T139" i="10"/>
  <c r="T131" i="10"/>
  <c r="T123" i="10"/>
  <c r="T115" i="10"/>
  <c r="T107" i="10"/>
  <c r="T99" i="10"/>
  <c r="T91" i="10"/>
  <c r="T83" i="10"/>
  <c r="T75" i="10"/>
  <c r="V179" i="10"/>
  <c r="T177" i="10"/>
  <c r="V167" i="10"/>
  <c r="T165" i="10"/>
  <c r="V157" i="10"/>
  <c r="V149" i="10"/>
  <c r="V141" i="10"/>
  <c r="V133" i="10"/>
  <c r="V125" i="10"/>
  <c r="V117" i="10"/>
  <c r="V109" i="10"/>
  <c r="V101" i="10"/>
  <c r="V93" i="10"/>
  <c r="V85" i="10"/>
  <c r="V77" i="10"/>
  <c r="V69" i="10"/>
  <c r="V18" i="10"/>
  <c r="T18" i="10"/>
  <c r="X19" i="10"/>
  <c r="V19" i="10"/>
  <c r="AC20" i="10"/>
  <c r="AC17" i="10"/>
  <c r="J77" i="9"/>
  <c r="H77" i="9"/>
  <c r="J76" i="9"/>
  <c r="H76" i="9"/>
  <c r="J75" i="9"/>
  <c r="H75" i="9"/>
  <c r="J74" i="9"/>
  <c r="H74" i="9"/>
  <c r="J73" i="9"/>
  <c r="H73" i="9"/>
  <c r="J72" i="9"/>
  <c r="H72" i="9"/>
  <c r="J71" i="9"/>
  <c r="H71" i="9"/>
  <c r="J70" i="9"/>
  <c r="H70" i="9"/>
  <c r="J69" i="9"/>
  <c r="H69" i="9"/>
  <c r="J68" i="9"/>
  <c r="H68" i="9"/>
  <c r="J67" i="9"/>
  <c r="H67" i="9"/>
  <c r="J66" i="9"/>
  <c r="H66" i="9"/>
  <c r="J65" i="9"/>
  <c r="H65" i="9"/>
  <c r="J64" i="9"/>
  <c r="H64" i="9"/>
  <c r="J63" i="9"/>
  <c r="H63" i="9"/>
  <c r="J62" i="9"/>
  <c r="H62" i="9"/>
  <c r="J61" i="9"/>
  <c r="H61" i="9"/>
  <c r="J60" i="9"/>
  <c r="H60" i="9"/>
  <c r="J59" i="9"/>
  <c r="H59" i="9"/>
  <c r="J58" i="9"/>
  <c r="H58" i="9"/>
  <c r="J57" i="9"/>
  <c r="H57" i="9"/>
  <c r="J56" i="9"/>
  <c r="H56" i="9"/>
  <c r="J55" i="9"/>
  <c r="H55" i="9"/>
  <c r="J54" i="9"/>
  <c r="H54" i="9"/>
  <c r="J53" i="9"/>
  <c r="H53" i="9"/>
  <c r="J52" i="9"/>
  <c r="H52" i="9"/>
  <c r="J51" i="9"/>
  <c r="H51" i="9"/>
  <c r="J50" i="9"/>
  <c r="H50" i="9"/>
  <c r="J49" i="9"/>
  <c r="H49" i="9"/>
  <c r="J48" i="9"/>
  <c r="H48" i="9"/>
  <c r="J47" i="9"/>
  <c r="H47" i="9"/>
  <c r="J46" i="9"/>
  <c r="H46" i="9"/>
  <c r="J45" i="9"/>
  <c r="H45" i="9"/>
  <c r="J44" i="9"/>
  <c r="H44" i="9"/>
  <c r="J43" i="9"/>
  <c r="H43" i="9"/>
  <c r="J42" i="9"/>
  <c r="H42" i="9"/>
  <c r="J41" i="9"/>
  <c r="H41" i="9"/>
  <c r="J40" i="9"/>
  <c r="H40" i="9"/>
  <c r="J39" i="9"/>
  <c r="H39" i="9"/>
  <c r="J38" i="9"/>
  <c r="H38" i="9"/>
  <c r="J37" i="9"/>
  <c r="H37" i="9"/>
  <c r="J36" i="9"/>
  <c r="H36" i="9"/>
  <c r="J35" i="9"/>
  <c r="H35" i="9"/>
  <c r="J34" i="9"/>
  <c r="H34" i="9"/>
  <c r="J33" i="9"/>
  <c r="H33" i="9"/>
  <c r="J32" i="9"/>
  <c r="H32" i="9"/>
  <c r="J31" i="9"/>
  <c r="H31" i="9"/>
  <c r="J30" i="9"/>
  <c r="H30" i="9"/>
  <c r="J29" i="9"/>
  <c r="H29" i="9"/>
  <c r="J28" i="9"/>
  <c r="H28" i="9"/>
  <c r="J27" i="9"/>
  <c r="H27" i="9"/>
  <c r="J26" i="9"/>
  <c r="H26" i="9"/>
  <c r="J25" i="9"/>
  <c r="H25" i="9"/>
  <c r="J24" i="9"/>
  <c r="H24" i="9"/>
  <c r="J23" i="9"/>
  <c r="H23" i="9"/>
  <c r="J22" i="9"/>
  <c r="H22" i="9"/>
  <c r="J21" i="9"/>
  <c r="H21" i="9"/>
  <c r="J20" i="9"/>
  <c r="H20" i="9"/>
  <c r="J19" i="9"/>
  <c r="H19" i="9"/>
  <c r="J18" i="9"/>
  <c r="H18" i="9"/>
  <c r="J17" i="9"/>
  <c r="H17" i="9"/>
  <c r="J16" i="9"/>
  <c r="H16" i="9"/>
  <c r="J15" i="9"/>
  <c r="H15" i="9"/>
  <c r="J14" i="9"/>
  <c r="H14" i="9"/>
  <c r="J13" i="9"/>
  <c r="H13" i="9"/>
  <c r="J12" i="9"/>
  <c r="H12" i="9"/>
  <c r="J11" i="9"/>
  <c r="H11" i="9"/>
  <c r="J10" i="9"/>
  <c r="H10" i="9"/>
  <c r="J9" i="9"/>
  <c r="H9" i="9"/>
  <c r="J8" i="9"/>
  <c r="H8" i="9"/>
  <c r="J7" i="9"/>
  <c r="H7" i="9"/>
  <c r="J6" i="9"/>
  <c r="H6" i="9"/>
  <c r="J5" i="9"/>
  <c r="H5" i="9"/>
  <c r="J4" i="9"/>
  <c r="H4" i="9"/>
  <c r="J3" i="9"/>
  <c r="H3" i="9"/>
  <c r="BO8" i="1" l="1"/>
  <c r="BO6" i="1"/>
  <c r="BO72" i="1" s="1"/>
  <c r="BO7" i="1"/>
  <c r="BO9" i="1"/>
  <c r="BO10" i="1"/>
  <c r="BO11" i="1"/>
  <c r="BO12" i="1"/>
  <c r="BO13" i="1"/>
  <c r="BO14" i="1"/>
  <c r="BO15" i="1"/>
  <c r="BO73" i="1" s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1" i="1"/>
  <c r="BO62" i="1"/>
  <c r="BO63" i="1"/>
  <c r="BO64" i="1"/>
  <c r="BO65" i="1"/>
  <c r="BO66" i="1"/>
  <c r="BO67" i="1"/>
  <c r="BO68" i="1"/>
  <c r="BO69" i="1"/>
  <c r="BN8" i="1"/>
  <c r="BN72" i="1"/>
  <c r="BN7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40" i="1"/>
  <c r="BN41" i="1"/>
  <c r="BN42" i="1"/>
  <c r="BN43" i="1"/>
  <c r="BN44" i="1"/>
  <c r="BN46" i="1"/>
  <c r="BN47" i="1"/>
  <c r="BN48" i="1"/>
  <c r="BN49" i="1"/>
  <c r="BN50" i="1"/>
  <c r="BN52" i="1"/>
  <c r="BN53" i="1"/>
  <c r="BN54" i="1"/>
  <c r="BN55" i="1"/>
  <c r="BN56" i="1"/>
  <c r="BN57" i="1"/>
  <c r="BN58" i="1"/>
  <c r="BN60" i="1"/>
  <c r="BN61" i="1"/>
  <c r="BN62" i="1"/>
  <c r="BN73" i="1" s="1"/>
  <c r="BN63" i="1"/>
  <c r="BN64" i="1"/>
  <c r="BN65" i="1"/>
  <c r="BN66" i="1"/>
  <c r="BN67" i="1"/>
  <c r="BN68" i="1"/>
  <c r="BN69" i="1"/>
  <c r="BN71" i="1"/>
  <c r="BM6" i="1"/>
  <c r="BM7" i="1"/>
  <c r="BM8" i="1"/>
  <c r="BM73" i="1" s="1"/>
  <c r="BM9" i="1"/>
  <c r="BM10" i="1"/>
  <c r="BM11" i="1"/>
  <c r="BM12" i="1"/>
  <c r="BM13" i="1"/>
  <c r="BM14" i="1"/>
  <c r="BM15" i="1"/>
  <c r="BM16" i="1"/>
  <c r="BM17" i="1"/>
  <c r="BM18" i="1"/>
  <c r="BM19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3" i="4"/>
  <c r="J109" i="4"/>
  <c r="J108" i="4"/>
  <c r="J107" i="4"/>
  <c r="J106" i="4"/>
  <c r="J105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5" i="4"/>
  <c r="J14" i="4"/>
  <c r="J13" i="4"/>
  <c r="J12" i="4"/>
  <c r="J11" i="4"/>
  <c r="J10" i="4"/>
  <c r="J9" i="4"/>
  <c r="J8" i="4"/>
  <c r="J7" i="4"/>
  <c r="J6" i="4"/>
  <c r="J5" i="4"/>
  <c r="J4" i="4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6" i="1"/>
  <c r="CD67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6" i="1"/>
  <c r="AR6" i="1"/>
  <c r="AL6" i="1" s="1"/>
  <c r="BA6" i="1"/>
  <c r="BB6" i="1"/>
  <c r="BJ6" i="1"/>
  <c r="BK6" i="1"/>
  <c r="AR7" i="1"/>
  <c r="AL7" i="1" s="1"/>
  <c r="BA7" i="1"/>
  <c r="BB7" i="1"/>
  <c r="BJ7" i="1"/>
  <c r="BK7" i="1"/>
  <c r="AR8" i="1"/>
  <c r="AL8" i="1" s="1"/>
  <c r="BA8" i="1"/>
  <c r="BB8" i="1"/>
  <c r="BJ8" i="1"/>
  <c r="BK8" i="1"/>
  <c r="AR9" i="1"/>
  <c r="AL9" i="1" s="1"/>
  <c r="BA9" i="1"/>
  <c r="BB9" i="1"/>
  <c r="BJ9" i="1"/>
  <c r="BK9" i="1"/>
  <c r="AR10" i="1"/>
  <c r="AL10" i="1" s="1"/>
  <c r="BA10" i="1"/>
  <c r="BB10" i="1"/>
  <c r="BJ10" i="1"/>
  <c r="BK10" i="1"/>
  <c r="AR11" i="1"/>
  <c r="AL11" i="1" s="1"/>
  <c r="BA11" i="1"/>
  <c r="BB11" i="1"/>
  <c r="BJ11" i="1"/>
  <c r="BK11" i="1"/>
  <c r="AR12" i="1"/>
  <c r="AL12" i="1" s="1"/>
  <c r="BA12" i="1"/>
  <c r="BB12" i="1"/>
  <c r="BJ12" i="1"/>
  <c r="BK12" i="1"/>
  <c r="AR13" i="1"/>
  <c r="AL13" i="1" s="1"/>
  <c r="BA13" i="1"/>
  <c r="BB13" i="1"/>
  <c r="BJ13" i="1"/>
  <c r="BK13" i="1"/>
  <c r="AR14" i="1"/>
  <c r="AL14" i="1" s="1"/>
  <c r="BA14" i="1"/>
  <c r="BB14" i="1"/>
  <c r="BJ14" i="1"/>
  <c r="BK14" i="1"/>
  <c r="AR15" i="1"/>
  <c r="AL15" i="1" s="1"/>
  <c r="BA15" i="1"/>
  <c r="BB15" i="1"/>
  <c r="BJ15" i="1"/>
  <c r="BK15" i="1"/>
  <c r="AR16" i="1"/>
  <c r="AL16" i="1" s="1"/>
  <c r="BA16" i="1"/>
  <c r="BB16" i="1"/>
  <c r="BJ16" i="1"/>
  <c r="BK16" i="1"/>
  <c r="AR17" i="1"/>
  <c r="AL17" i="1" s="1"/>
  <c r="BA17" i="1"/>
  <c r="BB17" i="1"/>
  <c r="BJ17" i="1"/>
  <c r="BK17" i="1"/>
  <c r="AR18" i="1"/>
  <c r="AL18" i="1" s="1"/>
  <c r="BA18" i="1"/>
  <c r="BB18" i="1"/>
  <c r="BJ18" i="1"/>
  <c r="BK18" i="1"/>
  <c r="AR19" i="1"/>
  <c r="AL19" i="1" s="1"/>
  <c r="BA19" i="1"/>
  <c r="BB19" i="1"/>
  <c r="BJ19" i="1"/>
  <c r="BK19" i="1"/>
  <c r="AL20" i="1"/>
  <c r="BA20" i="1"/>
  <c r="BB20" i="1"/>
  <c r="BJ20" i="1"/>
  <c r="BK20" i="1"/>
  <c r="AR21" i="1"/>
  <c r="AL21" i="1" s="1"/>
  <c r="BA21" i="1"/>
  <c r="BB21" i="1"/>
  <c r="BJ21" i="1"/>
  <c r="BK21" i="1"/>
  <c r="AR22" i="1"/>
  <c r="AL22" i="1" s="1"/>
  <c r="BA22" i="1"/>
  <c r="BB22" i="1"/>
  <c r="BJ22" i="1"/>
  <c r="BK22" i="1"/>
  <c r="AR23" i="1"/>
  <c r="AL23" i="1" s="1"/>
  <c r="BA23" i="1"/>
  <c r="BB23" i="1"/>
  <c r="BJ23" i="1"/>
  <c r="BK23" i="1"/>
  <c r="AR24" i="1"/>
  <c r="AL24" i="1" s="1"/>
  <c r="BA24" i="1"/>
  <c r="BB24" i="1"/>
  <c r="BJ24" i="1"/>
  <c r="BK24" i="1"/>
  <c r="AR25" i="1"/>
  <c r="AL25" i="1" s="1"/>
  <c r="BA25" i="1"/>
  <c r="BB25" i="1"/>
  <c r="BJ25" i="1"/>
  <c r="BK25" i="1"/>
  <c r="AR26" i="1"/>
  <c r="AL26" i="1" s="1"/>
  <c r="BA26" i="1"/>
  <c r="BB26" i="1"/>
  <c r="BJ26" i="1"/>
  <c r="BK26" i="1"/>
  <c r="AR27" i="1"/>
  <c r="AL27" i="1" s="1"/>
  <c r="BA27" i="1"/>
  <c r="BB27" i="1"/>
  <c r="BJ27" i="1"/>
  <c r="BK27" i="1"/>
  <c r="AR28" i="1"/>
  <c r="AL28" i="1" s="1"/>
  <c r="BA28" i="1"/>
  <c r="BB28" i="1"/>
  <c r="BJ28" i="1"/>
  <c r="BK28" i="1"/>
  <c r="AR29" i="1"/>
  <c r="AL29" i="1" s="1"/>
  <c r="BA29" i="1"/>
  <c r="BB29" i="1"/>
  <c r="BJ29" i="1"/>
  <c r="BK29" i="1"/>
  <c r="AR30" i="1"/>
  <c r="AL30" i="1" s="1"/>
  <c r="BA30" i="1"/>
  <c r="BB30" i="1"/>
  <c r="BJ30" i="1"/>
  <c r="BK30" i="1"/>
  <c r="AR31" i="1"/>
  <c r="AL31" i="1" s="1"/>
  <c r="BA31" i="1"/>
  <c r="BB31" i="1"/>
  <c r="BJ31" i="1"/>
  <c r="BK31" i="1"/>
  <c r="AR32" i="1"/>
  <c r="AL32" i="1" s="1"/>
  <c r="BA32" i="1"/>
  <c r="BB32" i="1"/>
  <c r="BJ32" i="1"/>
  <c r="BK32" i="1"/>
  <c r="AR33" i="1"/>
  <c r="AL33" i="1" s="1"/>
  <c r="BA33" i="1"/>
  <c r="BB33" i="1"/>
  <c r="BJ33" i="1"/>
  <c r="BK33" i="1"/>
  <c r="AR34" i="1"/>
  <c r="AL34" i="1" s="1"/>
  <c r="BA34" i="1"/>
  <c r="BB34" i="1"/>
  <c r="BJ34" i="1"/>
  <c r="BK34" i="1"/>
  <c r="AR35" i="1"/>
  <c r="AL35" i="1" s="1"/>
  <c r="BA35" i="1"/>
  <c r="BB35" i="1"/>
  <c r="BJ35" i="1"/>
  <c r="BK35" i="1"/>
  <c r="AR36" i="1"/>
  <c r="AL36" i="1" s="1"/>
  <c r="BA36" i="1"/>
  <c r="BB36" i="1"/>
  <c r="BJ36" i="1"/>
  <c r="BK36" i="1"/>
  <c r="AR37" i="1"/>
  <c r="AL37" i="1" s="1"/>
  <c r="BA37" i="1"/>
  <c r="BB37" i="1"/>
  <c r="BJ37" i="1"/>
  <c r="BK37" i="1"/>
  <c r="AR38" i="1"/>
  <c r="AL38" i="1" s="1"/>
  <c r="BA38" i="1"/>
  <c r="BB38" i="1"/>
  <c r="BJ38" i="1"/>
  <c r="BK38" i="1"/>
  <c r="AR39" i="1"/>
  <c r="AL39" i="1" s="1"/>
  <c r="BA39" i="1"/>
  <c r="BB39" i="1"/>
  <c r="BJ39" i="1"/>
  <c r="BK39" i="1"/>
  <c r="AR40" i="1"/>
  <c r="AL40" i="1" s="1"/>
  <c r="BA40" i="1"/>
  <c r="BB40" i="1"/>
  <c r="BJ40" i="1"/>
  <c r="BK40" i="1"/>
  <c r="AR41" i="1"/>
  <c r="AL41" i="1" s="1"/>
  <c r="BA41" i="1"/>
  <c r="BB41" i="1"/>
  <c r="BJ41" i="1"/>
  <c r="BK41" i="1"/>
  <c r="AR42" i="1"/>
  <c r="AL42" i="1" s="1"/>
  <c r="BA42" i="1"/>
  <c r="BB42" i="1"/>
  <c r="BJ42" i="1"/>
  <c r="BK42" i="1"/>
  <c r="AR43" i="1"/>
  <c r="AL43" i="1" s="1"/>
  <c r="BA43" i="1"/>
  <c r="BB43" i="1"/>
  <c r="BJ43" i="1"/>
  <c r="BK43" i="1"/>
  <c r="AR44" i="1"/>
  <c r="AL44" i="1" s="1"/>
  <c r="BA44" i="1"/>
  <c r="BB44" i="1"/>
  <c r="BJ44" i="1"/>
  <c r="BK44" i="1"/>
  <c r="AL45" i="1"/>
  <c r="BA45" i="1"/>
  <c r="BB45" i="1"/>
  <c r="BJ45" i="1"/>
  <c r="BK45" i="1"/>
  <c r="AR46" i="1"/>
  <c r="AL46" i="1" s="1"/>
  <c r="BA46" i="1"/>
  <c r="BB46" i="1"/>
  <c r="BJ46" i="1"/>
  <c r="BK46" i="1"/>
  <c r="AR47" i="1"/>
  <c r="AL47" i="1" s="1"/>
  <c r="BA47" i="1"/>
  <c r="BB47" i="1"/>
  <c r="BJ47" i="1"/>
  <c r="BK47" i="1"/>
  <c r="AR48" i="1"/>
  <c r="AL48" i="1" s="1"/>
  <c r="BA48" i="1"/>
  <c r="BB48" i="1"/>
  <c r="BJ48" i="1"/>
  <c r="BK48" i="1"/>
  <c r="AR49" i="1"/>
  <c r="AL49" i="1" s="1"/>
  <c r="BA49" i="1"/>
  <c r="BB49" i="1"/>
  <c r="BJ49" i="1"/>
  <c r="BK49" i="1"/>
  <c r="AR50" i="1"/>
  <c r="AL50" i="1" s="1"/>
  <c r="BA50" i="1"/>
  <c r="BB50" i="1"/>
  <c r="BJ50" i="1"/>
  <c r="BK50" i="1"/>
  <c r="AR51" i="1"/>
  <c r="AL51" i="1" s="1"/>
  <c r="BA51" i="1"/>
  <c r="BB51" i="1"/>
  <c r="BJ51" i="1"/>
  <c r="BK51" i="1"/>
  <c r="AR52" i="1"/>
  <c r="AL52" i="1" s="1"/>
  <c r="BA52" i="1"/>
  <c r="BB52" i="1"/>
  <c r="BJ52" i="1"/>
  <c r="BK52" i="1"/>
  <c r="AR53" i="1"/>
  <c r="AL53" i="1" s="1"/>
  <c r="BA53" i="1"/>
  <c r="BB53" i="1"/>
  <c r="BJ53" i="1"/>
  <c r="BK53" i="1"/>
  <c r="AR54" i="1"/>
  <c r="AL54" i="1" s="1"/>
  <c r="BA54" i="1"/>
  <c r="BB54" i="1"/>
  <c r="BJ54" i="1"/>
  <c r="BK54" i="1"/>
  <c r="AR55" i="1"/>
  <c r="AL55" i="1" s="1"/>
  <c r="BA55" i="1"/>
  <c r="BB55" i="1"/>
  <c r="BJ55" i="1"/>
  <c r="BK55" i="1"/>
  <c r="AR56" i="1"/>
  <c r="AL56" i="1" s="1"/>
  <c r="BA56" i="1"/>
  <c r="BB56" i="1"/>
  <c r="BJ56" i="1"/>
  <c r="BK56" i="1"/>
  <c r="AR57" i="1"/>
  <c r="AL57" i="1" s="1"/>
  <c r="BA57" i="1"/>
  <c r="BB57" i="1"/>
  <c r="BJ57" i="1"/>
  <c r="BK57" i="1"/>
  <c r="AR58" i="1"/>
  <c r="AL58" i="1" s="1"/>
  <c r="BA58" i="1"/>
  <c r="BB58" i="1"/>
  <c r="BJ58" i="1"/>
  <c r="BK58" i="1"/>
  <c r="AR59" i="1"/>
  <c r="AL59" i="1" s="1"/>
  <c r="BA59" i="1"/>
  <c r="BB59" i="1"/>
  <c r="BJ59" i="1"/>
  <c r="BK59" i="1"/>
  <c r="AR60" i="1"/>
  <c r="AL60" i="1" s="1"/>
  <c r="BA60" i="1"/>
  <c r="BB60" i="1"/>
  <c r="BJ60" i="1"/>
  <c r="BK60" i="1"/>
  <c r="AR61" i="1"/>
  <c r="AL61" i="1" s="1"/>
  <c r="BA61" i="1"/>
  <c r="BB61" i="1"/>
  <c r="BJ61" i="1"/>
  <c r="BK61" i="1"/>
  <c r="AR62" i="1"/>
  <c r="AL62" i="1" s="1"/>
  <c r="BA62" i="1"/>
  <c r="BB62" i="1"/>
  <c r="BJ62" i="1"/>
  <c r="BK62" i="1"/>
  <c r="AR63" i="1"/>
  <c r="AL63" i="1" s="1"/>
  <c r="BA63" i="1"/>
  <c r="BB63" i="1"/>
  <c r="BJ63" i="1"/>
  <c r="BK63" i="1"/>
  <c r="AR64" i="1"/>
  <c r="AL64" i="1" s="1"/>
  <c r="BA64" i="1"/>
  <c r="BB64" i="1"/>
  <c r="BJ64" i="1"/>
  <c r="BK64" i="1"/>
  <c r="AR65" i="1"/>
  <c r="AL65" i="1" s="1"/>
  <c r="BA65" i="1"/>
  <c r="BB65" i="1"/>
  <c r="BJ65" i="1"/>
  <c r="BK65" i="1"/>
  <c r="AR66" i="1"/>
  <c r="AL66" i="1" s="1"/>
  <c r="BA66" i="1"/>
  <c r="BB66" i="1"/>
  <c r="BJ66" i="1"/>
  <c r="BK66" i="1"/>
  <c r="AR67" i="1"/>
  <c r="AL67" i="1" s="1"/>
  <c r="BA67" i="1"/>
  <c r="BB67" i="1"/>
  <c r="BJ67" i="1"/>
  <c r="BK67" i="1"/>
  <c r="AR68" i="1"/>
  <c r="AL68" i="1" s="1"/>
  <c r="BA68" i="1"/>
  <c r="BB68" i="1"/>
  <c r="BJ68" i="1"/>
  <c r="BK68" i="1"/>
  <c r="AR69" i="1"/>
  <c r="AL69" i="1" s="1"/>
  <c r="BA69" i="1"/>
  <c r="BB69" i="1"/>
  <c r="BJ69" i="1"/>
  <c r="BK69" i="1"/>
  <c r="BA70" i="1"/>
  <c r="BB70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BA71" i="1" s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BB71" i="1"/>
  <c r="BF71" i="1"/>
  <c r="BG71" i="1"/>
  <c r="BH71" i="1"/>
  <c r="BI71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BA72" i="1" s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BB72" i="1"/>
  <c r="BF72" i="1"/>
  <c r="BG72" i="1"/>
  <c r="BH72" i="1"/>
  <c r="BI72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BA73" i="1" s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BB73" i="1"/>
  <c r="BF73" i="1"/>
  <c r="BG73" i="1"/>
  <c r="BH73" i="1"/>
  <c r="BI73" i="1"/>
  <c r="BA74" i="1"/>
  <c r="BB74" i="1"/>
  <c r="BA75" i="1"/>
  <c r="BB75" i="1"/>
  <c r="BA76" i="1"/>
  <c r="BB76" i="1"/>
  <c r="BA77" i="1"/>
  <c r="BB77" i="1"/>
  <c r="BA78" i="1"/>
  <c r="BB78" i="1"/>
  <c r="BA79" i="1"/>
  <c r="BB79" i="1"/>
  <c r="BA80" i="1"/>
  <c r="BB80" i="1"/>
  <c r="BA81" i="1"/>
  <c r="BB81" i="1"/>
  <c r="BA82" i="1"/>
  <c r="BB82" i="1"/>
  <c r="BA83" i="1"/>
  <c r="BB83" i="1"/>
  <c r="BA84" i="1"/>
  <c r="BB84" i="1"/>
  <c r="BA85" i="1"/>
  <c r="BB85" i="1"/>
  <c r="BA86" i="1"/>
  <c r="BB86" i="1"/>
  <c r="BA87" i="1"/>
  <c r="BB87" i="1"/>
  <c r="BA88" i="1"/>
  <c r="BB88" i="1"/>
  <c r="BA89" i="1"/>
  <c r="BB89" i="1"/>
  <c r="BA90" i="1"/>
  <c r="BB90" i="1"/>
  <c r="BA91" i="1"/>
  <c r="BB91" i="1"/>
  <c r="BA92" i="1"/>
  <c r="BB92" i="1"/>
  <c r="BA93" i="1"/>
  <c r="BB93" i="1"/>
  <c r="BA94" i="1"/>
  <c r="BB94" i="1"/>
  <c r="BA95" i="1"/>
  <c r="BB95" i="1"/>
  <c r="BA96" i="1"/>
  <c r="BB96" i="1"/>
  <c r="BA97" i="1"/>
  <c r="BB97" i="1"/>
  <c r="BA98" i="1"/>
  <c r="BB98" i="1"/>
  <c r="BA99" i="1"/>
  <c r="BB99" i="1"/>
  <c r="BA100" i="1"/>
  <c r="BB100" i="1"/>
  <c r="BA101" i="1"/>
  <c r="BB101" i="1"/>
  <c r="BA102" i="1"/>
  <c r="BB102" i="1"/>
  <c r="BA103" i="1"/>
  <c r="BB103" i="1"/>
  <c r="BA104" i="1"/>
  <c r="BB104" i="1"/>
  <c r="BA105" i="1"/>
  <c r="BB105" i="1"/>
  <c r="BA106" i="1"/>
  <c r="BB106" i="1"/>
  <c r="BA107" i="1"/>
  <c r="BB107" i="1"/>
  <c r="BA108" i="1"/>
  <c r="BB108" i="1"/>
  <c r="BA109" i="1"/>
  <c r="BB109" i="1"/>
  <c r="BA110" i="1"/>
  <c r="BB110" i="1"/>
  <c r="BA111" i="1"/>
  <c r="BB111" i="1"/>
  <c r="BA112" i="1"/>
  <c r="BB112" i="1"/>
  <c r="BA113" i="1"/>
  <c r="BB113" i="1"/>
  <c r="BA114" i="1"/>
  <c r="BB114" i="1"/>
  <c r="BA115" i="1"/>
  <c r="BB115" i="1"/>
  <c r="BA116" i="1"/>
  <c r="BB116" i="1"/>
  <c r="BA117" i="1"/>
  <c r="BB117" i="1"/>
  <c r="BA118" i="1"/>
  <c r="BB118" i="1"/>
  <c r="BA119" i="1"/>
  <c r="BB119" i="1"/>
  <c r="BA120" i="1"/>
  <c r="BB120" i="1"/>
  <c r="BA121" i="1"/>
  <c r="BB121" i="1"/>
  <c r="BA122" i="1"/>
  <c r="BB122" i="1"/>
  <c r="BA123" i="1"/>
  <c r="BB123" i="1"/>
  <c r="BA124" i="1"/>
  <c r="BB124" i="1"/>
  <c r="BA125" i="1"/>
  <c r="BB125" i="1"/>
  <c r="BA126" i="1"/>
  <c r="BB126" i="1"/>
  <c r="BA127" i="1"/>
  <c r="BB127" i="1"/>
  <c r="BA128" i="1"/>
  <c r="BB128" i="1"/>
  <c r="BA129" i="1"/>
  <c r="BB129" i="1"/>
  <c r="BA130" i="1"/>
  <c r="BB130" i="1"/>
  <c r="BA131" i="1"/>
  <c r="BB131" i="1"/>
  <c r="BA132" i="1"/>
  <c r="BB132" i="1"/>
  <c r="BA133" i="1"/>
  <c r="BB133" i="1"/>
  <c r="BA134" i="1"/>
  <c r="BB134" i="1"/>
  <c r="BA135" i="1"/>
  <c r="BB135" i="1"/>
  <c r="BA136" i="1"/>
  <c r="BB136" i="1"/>
  <c r="BA137" i="1"/>
  <c r="BB137" i="1"/>
  <c r="BA138" i="1"/>
  <c r="BB138" i="1"/>
  <c r="BA139" i="1"/>
  <c r="BB139" i="1"/>
  <c r="BA140" i="1"/>
  <c r="BB140" i="1"/>
  <c r="BA141" i="1"/>
  <c r="BB141" i="1"/>
  <c r="BA142" i="1"/>
  <c r="BB142" i="1"/>
  <c r="BA143" i="1"/>
  <c r="BB143" i="1"/>
  <c r="BA144" i="1"/>
  <c r="BB144" i="1"/>
  <c r="BA145" i="1"/>
  <c r="BB145" i="1"/>
  <c r="BA146" i="1"/>
  <c r="BB146" i="1"/>
  <c r="BA147" i="1"/>
  <c r="BB147" i="1"/>
  <c r="BA148" i="1"/>
  <c r="BB148" i="1"/>
  <c r="BA149" i="1"/>
  <c r="BB149" i="1"/>
  <c r="BA150" i="1"/>
  <c r="BB150" i="1"/>
  <c r="BA151" i="1"/>
  <c r="BB151" i="1"/>
  <c r="BA152" i="1"/>
  <c r="BB152" i="1"/>
  <c r="BA153" i="1"/>
  <c r="BB153" i="1"/>
  <c r="BA154" i="1"/>
  <c r="BB154" i="1"/>
  <c r="BA155" i="1"/>
  <c r="BB155" i="1"/>
  <c r="BA156" i="1"/>
  <c r="BB156" i="1"/>
  <c r="BA157" i="1"/>
  <c r="BB157" i="1"/>
  <c r="BA158" i="1"/>
  <c r="BB158" i="1"/>
  <c r="BA159" i="1"/>
  <c r="BB159" i="1"/>
  <c r="BA160" i="1"/>
  <c r="BB160" i="1"/>
  <c r="BA161" i="1"/>
  <c r="BB161" i="1"/>
  <c r="BA162" i="1"/>
  <c r="BB162" i="1"/>
  <c r="BA163" i="1"/>
  <c r="BB163" i="1"/>
  <c r="BA164" i="1"/>
  <c r="BB164" i="1"/>
  <c r="BA165" i="1"/>
  <c r="BB165" i="1"/>
  <c r="BA166" i="1"/>
  <c r="BB166" i="1"/>
  <c r="BA167" i="1"/>
  <c r="BB167" i="1"/>
  <c r="BA168" i="1"/>
  <c r="BB168" i="1"/>
  <c r="BA169" i="1"/>
  <c r="BB169" i="1"/>
  <c r="BA170" i="1"/>
  <c r="BB170" i="1"/>
  <c r="BA171" i="1"/>
  <c r="BB171" i="1"/>
  <c r="BA172" i="1"/>
  <c r="BB172" i="1"/>
  <c r="BA173" i="1"/>
  <c r="BB173" i="1"/>
  <c r="BA174" i="1"/>
  <c r="BB174" i="1"/>
  <c r="BA175" i="1"/>
  <c r="BB175" i="1"/>
  <c r="BA176" i="1"/>
  <c r="BB176" i="1"/>
  <c r="BA177" i="1"/>
  <c r="BB177" i="1"/>
  <c r="BA178" i="1"/>
  <c r="BB178" i="1"/>
  <c r="BA179" i="1"/>
  <c r="BB179" i="1"/>
  <c r="BA180" i="1"/>
  <c r="BB180" i="1"/>
  <c r="BA181" i="1"/>
  <c r="BB181" i="1"/>
  <c r="BA182" i="1"/>
  <c r="BB182" i="1"/>
  <c r="BA183" i="1"/>
  <c r="BB183" i="1"/>
  <c r="BA184" i="1"/>
  <c r="BB184" i="1"/>
  <c r="BA185" i="1"/>
  <c r="BB185" i="1"/>
  <c r="BA186" i="1"/>
  <c r="BB186" i="1"/>
  <c r="BA187" i="1"/>
  <c r="BB187" i="1"/>
  <c r="BA188" i="1"/>
  <c r="BB188" i="1"/>
  <c r="BA189" i="1"/>
  <c r="BB189" i="1"/>
  <c r="BA190" i="1"/>
  <c r="BB190" i="1"/>
  <c r="BA191" i="1"/>
  <c r="BB191" i="1"/>
  <c r="BA192" i="1"/>
  <c r="BB192" i="1"/>
  <c r="BA193" i="1"/>
  <c r="BB193" i="1"/>
  <c r="BA194" i="1"/>
  <c r="BB194" i="1"/>
  <c r="BM71" i="1" l="1"/>
  <c r="BM72" i="1"/>
  <c r="BO7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tc={98F5BDF5-A928-5A4B-922E-F6736830A34D}</author>
  </authors>
  <commentList>
    <comment ref="O1" authorId="0" shapeId="0" xr:uid="{98F5BDF5-A928-5A4B-922E-F6736830A34D}">
      <text>
        <t>[Threaded comment]
Your version of Excel allows you to read this threaded comment; however, any edits to it will get removed if the file is opened in a newer version of Excel. Learn more: https://go.microsoft.com/fwlink/?linkid=870924
Comment:
    =SUM(LOG(i2/j2))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tc={0DD88513-98E6-4AD1-936D-A6A3D09BCCF1}</author>
  </authors>
  <commentList>
    <comment ref="O1" authorId="0" shapeId="0" xr:uid="{0DD88513-98E6-4AD1-936D-A6A3D09BCCF1}">
      <text>
        <t>[Threaded comment]
Your version of Excel allows you to read this threaded comment; however, any edits to it will get removed if the file is opened in a newer version of Excel. Learn more: https://go.microsoft.com/fwlink/?linkid=870924
Comment:
    =SUM(LOG(i2/j2))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tc={5F054C36-FE08-CB4A-BDCB-D10810553EAB}</author>
  </authors>
  <commentList>
    <comment ref="B35" authorId="0" shapeId="0" xr:uid="{5F054C36-FE08-CB4A-BDCB-D10810553EAB}">
      <text>
        <t>[Threaded comment]
Your version of Excel allows you to read this threaded comment; however, any edits to it will get removed if the file is opened in a newer version of Excel. Learn more: https://go.microsoft.com/fwlink/?linkid=870924
Comment:
    + los potje met 250-300 µm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Els Ufkes</author>
  </authors>
  <commentList>
    <comment ref="D75" authorId="0" shapeId="0" xr:uid="{F941A5F5-AA7C-FD4A-8F3E-41A6CB5FC356}">
      <text>
        <r>
          <rPr>
            <b/>
            <sz val="9"/>
            <color indexed="81"/>
            <rFont val="Calibri"/>
            <family val="2"/>
          </rPr>
          <t>Els Ufkes:</t>
        </r>
        <r>
          <rPr>
            <sz val="9"/>
            <color indexed="81"/>
            <rFont val="Calibri"/>
            <family val="2"/>
          </rPr>
          <t xml:space="preserve">
https://www.statstodo.com/CombineMeansSDs_Pgm.php</t>
        </r>
      </text>
    </comment>
    <comment ref="A91" authorId="0" shapeId="0" xr:uid="{A5234F76-935F-C248-ADE3-6F098A1B71E7}">
      <text>
        <r>
          <rPr>
            <b/>
            <sz val="9"/>
            <color indexed="81"/>
            <rFont val="Calibri"/>
            <family val="2"/>
          </rPr>
          <t>Els Ufkes:</t>
        </r>
        <r>
          <rPr>
            <sz val="9"/>
            <color indexed="81"/>
            <rFont val="Calibri"/>
            <family val="2"/>
          </rPr>
          <t xml:space="preserve">
https://www.statstodo.com/CombineMeansSDs_Pgm.php</t>
        </r>
      </text>
    </comment>
    <comment ref="D93" authorId="0" shapeId="0" xr:uid="{4FC28768-2F79-1042-B7E3-F2613735AF71}">
      <text>
        <r>
          <rPr>
            <b/>
            <sz val="9"/>
            <color indexed="81"/>
            <rFont val="Calibri"/>
            <family val="2"/>
          </rPr>
          <t>Els Ufkes:</t>
        </r>
        <r>
          <rPr>
            <sz val="9"/>
            <color indexed="81"/>
            <rFont val="Calibri"/>
            <family val="2"/>
          </rPr>
          <t xml:space="preserve">
https://www.statstodo.com/CombineMeansSDs_Pgm.php</t>
        </r>
      </text>
    </comment>
  </commentList>
</comments>
</file>

<file path=xl/sharedStrings.xml><?xml version="1.0" encoding="utf-8"?>
<sst xmlns="http://schemas.openxmlformats.org/spreadsheetml/2006/main" count="1292" uniqueCount="707">
  <si>
    <t>t89-16 percentages 150-600µ</t>
  </si>
  <si>
    <t xml:space="preserve">let op : nieuwe neogloboquadrina </t>
  </si>
  <si>
    <t>data in kolom ba/bb/bc/bd</t>
  </si>
  <si>
    <t>bull/gram</t>
  </si>
  <si>
    <t>p/p+b</t>
  </si>
  <si>
    <t>section</t>
  </si>
  <si>
    <t>cmbs</t>
  </si>
  <si>
    <t>ruber w</t>
  </si>
  <si>
    <t>ruber r</t>
  </si>
  <si>
    <t>congl</t>
  </si>
  <si>
    <t>sacc</t>
  </si>
  <si>
    <t>rub</t>
  </si>
  <si>
    <t>Orb</t>
  </si>
  <si>
    <t>Biorb</t>
  </si>
  <si>
    <t>ten</t>
  </si>
  <si>
    <t>bull</t>
  </si>
  <si>
    <t>falc</t>
  </si>
  <si>
    <t>glut</t>
  </si>
  <si>
    <t>nitida</t>
  </si>
  <si>
    <t>infl</t>
  </si>
  <si>
    <t>scit</t>
  </si>
  <si>
    <t>hirs</t>
  </si>
  <si>
    <t xml:space="preserve"> they</t>
  </si>
  <si>
    <t>men</t>
  </si>
  <si>
    <t>tum</t>
  </si>
  <si>
    <t>trun</t>
  </si>
  <si>
    <t>cav</t>
  </si>
  <si>
    <t>cras</t>
  </si>
  <si>
    <t>obliq</t>
  </si>
  <si>
    <t>quinq</t>
  </si>
  <si>
    <t xml:space="preserve"> pach</t>
  </si>
  <si>
    <t>dut</t>
  </si>
  <si>
    <t>hex</t>
  </si>
  <si>
    <t>siph</t>
  </si>
  <si>
    <t>cal</t>
  </si>
  <si>
    <t>G. digit</t>
  </si>
  <si>
    <t>x1</t>
  </si>
  <si>
    <t>indet</t>
  </si>
  <si>
    <t>tot</t>
  </si>
  <si>
    <t>Indet</t>
  </si>
  <si>
    <t>Totaal</t>
  </si>
  <si>
    <t>gram</t>
  </si>
  <si>
    <t>split</t>
  </si>
  <si>
    <t>150-250</t>
  </si>
  <si>
    <t>250-600</t>
  </si>
  <si>
    <t>s/s+d pach</t>
  </si>
  <si>
    <t>s/s+d dut</t>
  </si>
  <si>
    <t>grof %</t>
  </si>
  <si>
    <t>r/r+w ruber</t>
  </si>
  <si>
    <t>estimated age</t>
  </si>
  <si>
    <t>dutertrei  new</t>
  </si>
  <si>
    <t>pachd new</t>
  </si>
  <si>
    <t>pachs new</t>
  </si>
  <si>
    <t>s/s+d pach new</t>
  </si>
  <si>
    <t>m+t</t>
  </si>
  <si>
    <t>(bi)orb</t>
  </si>
  <si>
    <t>10-055</t>
  </si>
  <si>
    <t>10-037</t>
  </si>
  <si>
    <t>10-015</t>
  </si>
  <si>
    <t>10-005</t>
  </si>
  <si>
    <t>9-140</t>
  </si>
  <si>
    <t>9-120</t>
  </si>
  <si>
    <t>9-105</t>
  </si>
  <si>
    <t>9-090</t>
  </si>
  <si>
    <t>9-080</t>
  </si>
  <si>
    <t>9-065</t>
  </si>
  <si>
    <t>9-055</t>
  </si>
  <si>
    <t>9-040</t>
  </si>
  <si>
    <t>9-030</t>
  </si>
  <si>
    <t>9-015</t>
  </si>
  <si>
    <t>8-145</t>
  </si>
  <si>
    <t>8-130</t>
  </si>
  <si>
    <t>8-110</t>
  </si>
  <si>
    <t>8-095</t>
  </si>
  <si>
    <t>8-075</t>
  </si>
  <si>
    <t>8-060</t>
  </si>
  <si>
    <t>8-040</t>
  </si>
  <si>
    <t>8-020</t>
  </si>
  <si>
    <t>8-010</t>
  </si>
  <si>
    <t>7-145</t>
  </si>
  <si>
    <t>7-125</t>
  </si>
  <si>
    <t>7-110</t>
  </si>
  <si>
    <t>7-100</t>
  </si>
  <si>
    <t>7-085</t>
  </si>
  <si>
    <t>7-065</t>
  </si>
  <si>
    <t>7-050</t>
  </si>
  <si>
    <t>7-040</t>
  </si>
  <si>
    <t>7-025</t>
  </si>
  <si>
    <t>7-005</t>
  </si>
  <si>
    <t>6a-075</t>
  </si>
  <si>
    <t>6a-057</t>
  </si>
  <si>
    <t>6a-040</t>
  </si>
  <si>
    <t>6a-025</t>
  </si>
  <si>
    <t>6a-010</t>
  </si>
  <si>
    <t>6-145</t>
  </si>
  <si>
    <t>6-125</t>
  </si>
  <si>
    <t>6-110</t>
  </si>
  <si>
    <t>6-090</t>
  </si>
  <si>
    <t>6-070</t>
  </si>
  <si>
    <t>6-049</t>
  </si>
  <si>
    <t>6-030</t>
  </si>
  <si>
    <t>6-020</t>
  </si>
  <si>
    <t>6-005</t>
  </si>
  <si>
    <t>5-050</t>
  </si>
  <si>
    <t>5-030</t>
  </si>
  <si>
    <t>5-010</t>
  </si>
  <si>
    <t>4-060</t>
  </si>
  <si>
    <t>4-040</t>
  </si>
  <si>
    <t>4-022</t>
  </si>
  <si>
    <t>4-005</t>
  </si>
  <si>
    <t>3-070</t>
  </si>
  <si>
    <t>3-057</t>
  </si>
  <si>
    <t>3-040</t>
  </si>
  <si>
    <t>3-031</t>
  </si>
  <si>
    <t>3-015</t>
  </si>
  <si>
    <t>3-005</t>
  </si>
  <si>
    <t>2-063</t>
  </si>
  <si>
    <t>2-045</t>
  </si>
  <si>
    <t>2-025</t>
  </si>
  <si>
    <t>2-005</t>
  </si>
  <si>
    <t>average</t>
  </si>
  <si>
    <t>min</t>
  </si>
  <si>
    <t>max</t>
  </si>
  <si>
    <t>bull+pachd</t>
  </si>
  <si>
    <t>rw+rr+dut</t>
  </si>
  <si>
    <t>bull+pachd+pachs</t>
  </si>
  <si>
    <t>age</t>
  </si>
  <si>
    <t>rr+dut</t>
  </si>
  <si>
    <t>coastal upwelling</t>
  </si>
  <si>
    <t>river induced upwelling</t>
  </si>
  <si>
    <t>old</t>
  </si>
  <si>
    <t>berekend door Bryan Lougheed, zie mail 23 mrt 2018 voor referenties</t>
  </si>
  <si>
    <t>IntCal13, Reservoir age = 540 +/- 70, increasing towards glacial</t>
  </si>
  <si>
    <t>Depth (m)</t>
  </si>
  <si>
    <t xml:space="preserve"> Median Cal years R540+/-70</t>
  </si>
  <si>
    <t>depth cmbs</t>
  </si>
  <si>
    <t>AgeScale rescaling of T89-16-ruber r using Median Cal years R540+/-70 for pointers</t>
  </si>
  <si>
    <t>Median Cal years R540+/-70 (ref)</t>
  </si>
  <si>
    <t>T89-16-ruber r</t>
  </si>
  <si>
    <t xml:space="preserve"> Median Cal years R540+/-70 adj</t>
  </si>
  <si>
    <t>AgeScale rescaling of T89-16-ruber r using Median Cal years R540+/-70 adj for pointers</t>
  </si>
  <si>
    <t>Median Cal years R540+/-70 adj (ref)</t>
  </si>
  <si>
    <t xml:space="preserve">Median Cal years R540+/-70 adj </t>
  </si>
  <si>
    <t>AgeScale rescaling of fictief using Median Cal years R540+/-70 adj for pointers</t>
  </si>
  <si>
    <t>fictief cmbs</t>
  </si>
  <si>
    <t>(calender years)</t>
  </si>
  <si>
    <t>∑plf/gram</t>
  </si>
  <si>
    <t>marker</t>
  </si>
  <si>
    <t>rw</t>
  </si>
  <si>
    <t>Median R396+/-50 (ref)</t>
  </si>
  <si>
    <t>Age R540</t>
  </si>
  <si>
    <t>Age R396</t>
  </si>
  <si>
    <t>pachs+pachd</t>
  </si>
  <si>
    <t>T89-16 200-250u Globigerinoides ruber (red)</t>
  </si>
  <si>
    <t>Section</t>
  </si>
  <si>
    <t>Sample</t>
  </si>
  <si>
    <t>Tot.G.ruber</t>
  </si>
  <si>
    <t xml:space="preserve">Depth </t>
  </si>
  <si>
    <t>Age (ka)- oud</t>
  </si>
  <si>
    <t xml:space="preserve"> O-18 </t>
  </si>
  <si>
    <t xml:space="preserve"> C-13 </t>
  </si>
  <si>
    <t xml:space="preserve"> ± 140</t>
  </si>
  <si>
    <t>20-30</t>
  </si>
  <si>
    <t>126-130</t>
  </si>
  <si>
    <t>69-73</t>
  </si>
  <si>
    <t>44-48</t>
  </si>
  <si>
    <t>35-38</t>
  </si>
  <si>
    <t>10-12</t>
  </si>
  <si>
    <t>97-99</t>
  </si>
  <si>
    <t>73-77</t>
  </si>
  <si>
    <t>60-62</t>
  </si>
  <si>
    <t xml:space="preserve"> ± 90</t>
  </si>
  <si>
    <t>9-11</t>
  </si>
  <si>
    <t>144-146</t>
  </si>
  <si>
    <t>134-136</t>
  </si>
  <si>
    <t>121-125</t>
  </si>
  <si>
    <t>114-116</t>
  </si>
  <si>
    <t>109-111</t>
  </si>
  <si>
    <t>99-101</t>
  </si>
  <si>
    <t>83-87</t>
  </si>
  <si>
    <t>64-66</t>
  </si>
  <si>
    <t>54-56</t>
  </si>
  <si>
    <t>49-51</t>
  </si>
  <si>
    <t>39-41</t>
  </si>
  <si>
    <t>18-20</t>
  </si>
  <si>
    <t>8-10</t>
  </si>
  <si>
    <t>6a</t>
  </si>
  <si>
    <t>69-71</t>
  </si>
  <si>
    <t>48-50</t>
  </si>
  <si>
    <t>32-34</t>
  </si>
  <si>
    <t>27-28</t>
  </si>
  <si>
    <t>23-27</t>
  </si>
  <si>
    <t>12-14</t>
  </si>
  <si>
    <t>8-12</t>
  </si>
  <si>
    <t>4-6</t>
  </si>
  <si>
    <t>2-3</t>
  </si>
  <si>
    <t>146-148</t>
  </si>
  <si>
    <t>139-141</t>
  </si>
  <si>
    <t>137-138</t>
  </si>
  <si>
    <t>132-134</t>
  </si>
  <si>
    <t>129-131</t>
  </si>
  <si>
    <t>126-127</t>
  </si>
  <si>
    <t>122-123</t>
  </si>
  <si>
    <t>119-121</t>
  </si>
  <si>
    <t>117-118</t>
  </si>
  <si>
    <t>112-113</t>
  </si>
  <si>
    <t>107-108</t>
  </si>
  <si>
    <t>104-106</t>
  </si>
  <si>
    <t>102-103</t>
  </si>
  <si>
    <t>96.5-98.5</t>
  </si>
  <si>
    <t>94-96</t>
  </si>
  <si>
    <t>92-93</t>
  </si>
  <si>
    <t>87-88</t>
  </si>
  <si>
    <t>85-86</t>
  </si>
  <si>
    <t>82-83</t>
  </si>
  <si>
    <t>76.5-78.5</t>
  </si>
  <si>
    <t>74-76</t>
  </si>
  <si>
    <t>72-73</t>
  </si>
  <si>
    <t>67-68</t>
  </si>
  <si>
    <t>64-65</t>
  </si>
  <si>
    <t>62-63</t>
  </si>
  <si>
    <t xml:space="preserve"> ± 300</t>
  </si>
  <si>
    <t xml:space="preserve"> ± 500</t>
  </si>
  <si>
    <t>nog niet uitgepikt</t>
  </si>
  <si>
    <t>9-005</t>
  </si>
  <si>
    <t>9-130</t>
  </si>
  <si>
    <t>10-028</t>
  </si>
  <si>
    <t>10-045</t>
  </si>
  <si>
    <t>AgeScale rescaling of Tot.G.ruber using T89-16 pointer Median R396+_-50 for pointers</t>
  </si>
  <si>
    <t>Age R396 (ka)</t>
  </si>
  <si>
    <t>notes tellijst</t>
  </si>
  <si>
    <t># Pteropoda</t>
  </si>
  <si>
    <t>p</t>
  </si>
  <si>
    <t>pp</t>
  </si>
  <si>
    <t>p?</t>
  </si>
  <si>
    <t>other</t>
  </si>
  <si>
    <t>miliolids</t>
  </si>
  <si>
    <t>Bolivina</t>
  </si>
  <si>
    <t>Bolivina, Uvi</t>
  </si>
  <si>
    <t>Q</t>
  </si>
  <si>
    <t>ppp</t>
  </si>
  <si>
    <t>run1</t>
  </si>
  <si>
    <t>VivianvanBremen</t>
  </si>
  <si>
    <t>Date</t>
  </si>
  <si>
    <t>Analysis</t>
  </si>
  <si>
    <t>Identifier 1</t>
  </si>
  <si>
    <t>archive depth cmbs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</si>
  <si>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Calibri"/>
        <family val="2"/>
        <scheme val="minor"/>
      </rPr>
      <t>13</t>
    </r>
    <r>
      <rPr>
        <sz val="10"/>
        <rFont val="Geneva"/>
        <family val="2"/>
      </rPr>
      <t>C (‰ vs VPDB)</t>
    </r>
  </si>
  <si>
    <t>SD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</si>
  <si>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Calibri"/>
        <family val="2"/>
        <scheme val="minor"/>
      </rPr>
      <t>18</t>
    </r>
    <r>
      <rPr>
        <sz val="10"/>
        <rFont val="Geneva"/>
        <family val="2"/>
      </rPr>
      <t>O (‰ vs VPDB)</t>
    </r>
  </si>
  <si>
    <t>Ampl  44</t>
  </si>
  <si>
    <t>04/17/20</t>
  </si>
  <si>
    <t>19351</t>
  </si>
  <si>
    <t>T89-16-#7-5-502</t>
  </si>
  <si>
    <t>19352</t>
  </si>
  <si>
    <t>T89-16-#6-60(1)-706</t>
  </si>
  <si>
    <t>04/16/20</t>
  </si>
  <si>
    <t>19353</t>
  </si>
  <si>
    <t>T89-16-#6-60(2)-706</t>
  </si>
  <si>
    <t>19354</t>
  </si>
  <si>
    <t>T89-16-#6-60(3)-706</t>
  </si>
  <si>
    <t>19355</t>
  </si>
  <si>
    <t>T89-16-#4-22(1)-870</t>
  </si>
  <si>
    <t>19356</t>
  </si>
  <si>
    <t>T89-16-#4-22(2)-870</t>
  </si>
  <si>
    <t>19359</t>
  </si>
  <si>
    <t>T89-16-#4-22(3)-870</t>
  </si>
  <si>
    <t>19360</t>
  </si>
  <si>
    <t>T89-16-#6-92-93(1)-674</t>
  </si>
  <si>
    <t>19361</t>
  </si>
  <si>
    <t>T89-16-#6-92-93(2)-674</t>
  </si>
  <si>
    <t>19362</t>
  </si>
  <si>
    <t>T89-16-#6-92-93(3)-674</t>
  </si>
  <si>
    <t>19363</t>
  </si>
  <si>
    <t>T89-16-#4-40(1)-853</t>
  </si>
  <si>
    <t>19364</t>
  </si>
  <si>
    <t>T89-16-#4-40(2)-853</t>
  </si>
  <si>
    <t>19367</t>
  </si>
  <si>
    <t>T89-16-#4-40(3)-853</t>
  </si>
  <si>
    <t>19368</t>
  </si>
  <si>
    <t>T89-16-#2-5(1)-1041</t>
  </si>
  <si>
    <t>19369</t>
  </si>
  <si>
    <t>T89-16-#2-5(2)-1041</t>
  </si>
  <si>
    <t>19370</t>
  </si>
  <si>
    <t>T89-16-#2-5(3)-1041</t>
  </si>
  <si>
    <t>19371</t>
  </si>
  <si>
    <t>T89-16-#3-15(1)-956</t>
  </si>
  <si>
    <t>19372</t>
  </si>
  <si>
    <t>T89-16-#3-15(2)-956</t>
  </si>
  <si>
    <t>19375</t>
  </si>
  <si>
    <t>T89-16-#3-15(3)-956</t>
  </si>
  <si>
    <t>19376</t>
  </si>
  <si>
    <t>T89-16-#6-30(1)-736</t>
  </si>
  <si>
    <t>19377</t>
  </si>
  <si>
    <t>T89-16-#6-30(2)-736</t>
  </si>
  <si>
    <t>19378</t>
  </si>
  <si>
    <t>T89-16-#6-30(3)-736</t>
  </si>
  <si>
    <t>19379</t>
  </si>
  <si>
    <t>T89-16-#3-5(1)-966</t>
  </si>
  <si>
    <t>19380</t>
  </si>
  <si>
    <t>T89-16-#3-5(2)-966</t>
  </si>
  <si>
    <t>19383</t>
  </si>
  <si>
    <t>T89-16-#3-5(3)-966</t>
  </si>
  <si>
    <t>19384</t>
  </si>
  <si>
    <t>T89-16-#2-45(1)-1001</t>
  </si>
  <si>
    <t>19385</t>
  </si>
  <si>
    <t>T89-16-#2-45(2)-1001</t>
  </si>
  <si>
    <t>19386</t>
  </si>
  <si>
    <t>T89-16-#2-45(3)-1001</t>
  </si>
  <si>
    <t>19387</t>
  </si>
  <si>
    <t>T89-16-#6a-23-27(1)-592</t>
  </si>
  <si>
    <t>19388</t>
  </si>
  <si>
    <t>T89-16-#6a-23-27(2)-592</t>
  </si>
  <si>
    <t>19391</t>
  </si>
  <si>
    <t>T89-16-#6a-23-27(3)-592</t>
  </si>
  <si>
    <t>19392</t>
  </si>
  <si>
    <t>T89-16-#6a-075(1)-542</t>
  </si>
  <si>
    <t>19393</t>
  </si>
  <si>
    <t>T89-16-#6a-075(2)-542</t>
  </si>
  <si>
    <t>19394</t>
  </si>
  <si>
    <t>T89-16-#6a-075(3)-542</t>
  </si>
  <si>
    <t>19395</t>
  </si>
  <si>
    <t>T89-16-#5-42(1)-787</t>
  </si>
  <si>
    <t>19396</t>
  </si>
  <si>
    <t>T89-16-#5-42(2)-787</t>
  </si>
  <si>
    <t>19399</t>
  </si>
  <si>
    <t>T89-16-#5-42(3)-787</t>
  </si>
  <si>
    <t>19400</t>
  </si>
  <si>
    <t>T89-16-#4-5(1)-879</t>
  </si>
  <si>
    <t>19401</t>
  </si>
  <si>
    <t>T89-16-#4-5(2)-879</t>
  </si>
  <si>
    <t>19402</t>
  </si>
  <si>
    <t>T89-16-#4-5(3)-879</t>
  </si>
  <si>
    <t>19403</t>
  </si>
  <si>
    <t>T89-16-#6-132-134(1)-633</t>
  </si>
  <si>
    <t>19404</t>
  </si>
  <si>
    <t>T89-16-#6-132-134(2)-633</t>
  </si>
  <si>
    <t>19407</t>
  </si>
  <si>
    <t>T89-16-#6-132-134(3)-633</t>
  </si>
  <si>
    <t>19408</t>
  </si>
  <si>
    <t>T89-16-#7-144-146(1)-362</t>
  </si>
  <si>
    <t>19409</t>
  </si>
  <si>
    <t>T89-16-#7-144-146(2)-362</t>
  </si>
  <si>
    <t>19410</t>
  </si>
  <si>
    <t>T89-16-#7-144-146(3)-362</t>
  </si>
  <si>
    <t>19411</t>
  </si>
  <si>
    <t>T89-16-#4-60(1)-833</t>
  </si>
  <si>
    <t>19412</t>
  </si>
  <si>
    <t>T89-16-#4-60(2)-833</t>
  </si>
  <si>
    <t>19415</t>
  </si>
  <si>
    <t>T89-16-#4-60(3)-833</t>
  </si>
  <si>
    <t>19416</t>
  </si>
  <si>
    <t>T89-16-#3-57(1)-914</t>
  </si>
  <si>
    <t>19417</t>
  </si>
  <si>
    <t>T89-16-#3-57(2)-914</t>
  </si>
  <si>
    <t>19418</t>
  </si>
  <si>
    <t>T89-16-#3-57(3)-914</t>
  </si>
  <si>
    <t>19419</t>
  </si>
  <si>
    <t>T89-16-#6-102-103(1)-663.5</t>
  </si>
  <si>
    <t>19420</t>
  </si>
  <si>
    <t>T89-16-#6-102-103(2)-663.5</t>
  </si>
  <si>
    <t>19423</t>
  </si>
  <si>
    <t>T89-16-#6-102-103(3)-663.5</t>
  </si>
  <si>
    <t>19424</t>
  </si>
  <si>
    <t>T89-16-#6-5(1)-761</t>
  </si>
  <si>
    <t>19425</t>
  </si>
  <si>
    <t>T89-16-#6-5(2)-761</t>
  </si>
  <si>
    <t>19426</t>
  </si>
  <si>
    <t>T89-16-#6-5(3)-761</t>
  </si>
  <si>
    <t>19427</t>
  </si>
  <si>
    <t>T89-16-#6a-45(1)-572</t>
  </si>
  <si>
    <t>19428</t>
  </si>
  <si>
    <t>T89-16-#6a-45(2)-572</t>
  </si>
  <si>
    <t>19431</t>
  </si>
  <si>
    <t>T89-16-#6a-45(3)-572</t>
  </si>
  <si>
    <t>19432</t>
  </si>
  <si>
    <t>T89-16-#6-117-118(1)-649</t>
  </si>
  <si>
    <t>19433</t>
  </si>
  <si>
    <t>T89-16-#6-117-118(2)-649</t>
  </si>
  <si>
    <t>19434</t>
  </si>
  <si>
    <t>T89-16-#6-117-118(3)-649</t>
  </si>
  <si>
    <t>19435</t>
  </si>
  <si>
    <t>T89-16-#6a-8-12(1)-607</t>
  </si>
  <si>
    <t>19436</t>
  </si>
  <si>
    <t>T89-16-#6a-8-12(2)-607</t>
  </si>
  <si>
    <t>19439</t>
  </si>
  <si>
    <t>T89-16-#6a-8-12(3)-607</t>
  </si>
  <si>
    <t>19440</t>
  </si>
  <si>
    <t>T89-16-#6-139-141(1)-626</t>
  </si>
  <si>
    <t>19441</t>
  </si>
  <si>
    <t>T89-16-#6-139-141(2)-626</t>
  </si>
  <si>
    <t>19442</t>
  </si>
  <si>
    <t>T89-16-#7-25(1)-482</t>
  </si>
  <si>
    <t>19443</t>
  </si>
  <si>
    <t>T89-16-#7-25(2)-482</t>
  </si>
  <si>
    <t>19444</t>
  </si>
  <si>
    <t>T89-16-#7-25(3)-482</t>
  </si>
  <si>
    <t>run2</t>
  </si>
  <si>
    <t>19463</t>
  </si>
  <si>
    <t>T89-16-#6-76.5-78.5(1)-688.5</t>
  </si>
  <si>
    <t>19464</t>
  </si>
  <si>
    <t>T89-16-#6-76.5-78.5(2)-688.5</t>
  </si>
  <si>
    <t>19465</t>
  </si>
  <si>
    <t>T89-16-#6-76.5-78.5(3)-688.5</t>
  </si>
  <si>
    <t>19474</t>
  </si>
  <si>
    <t>T89-16-#6a-2-3(1)-614</t>
  </si>
  <si>
    <t>19475</t>
  </si>
  <si>
    <t>T89-16-#6a-2-3(2)-614</t>
  </si>
  <si>
    <t>19471</t>
  </si>
  <si>
    <t>T89-16-#6a-57(1)-650</t>
  </si>
  <si>
    <t>19473</t>
  </si>
  <si>
    <t>T89-16-#6a-57(3)-650</t>
  </si>
  <si>
    <t>19466</t>
  </si>
  <si>
    <t>T89-16-#8-40(1)-316</t>
  </si>
  <si>
    <t>19467</t>
  </si>
  <si>
    <t>T89-16-#8-40(2)-316</t>
  </si>
  <si>
    <t>19468</t>
  </si>
  <si>
    <t>T89-16-#8-40(3)-316</t>
  </si>
  <si>
    <t>Average</t>
  </si>
  <si>
    <t>data Tirza</t>
  </si>
  <si>
    <t>6-69 min</t>
  </si>
  <si>
    <t>6-69 max</t>
  </si>
  <si>
    <t>6-70 min</t>
  </si>
  <si>
    <t>6-70 max</t>
  </si>
  <si>
    <t>LGM min</t>
  </si>
  <si>
    <t>LGM max</t>
  </si>
  <si>
    <t>7-4951 min</t>
  </si>
  <si>
    <t>7-4951 max</t>
  </si>
  <si>
    <t>7-50 min</t>
  </si>
  <si>
    <t>7-50 max</t>
  </si>
  <si>
    <t>7-5456</t>
  </si>
  <si>
    <t>7-55 min - low voltage</t>
  </si>
  <si>
    <t>7-55 min</t>
  </si>
  <si>
    <t>7-55  max</t>
  </si>
  <si>
    <t>HTM min - low voltage</t>
  </si>
  <si>
    <t>HTM min</t>
  </si>
  <si>
    <t>HTM max</t>
  </si>
  <si>
    <t>res.age 396y</t>
  </si>
  <si>
    <t>age (ka)</t>
  </si>
  <si>
    <t xml:space="preserve"> </t>
  </si>
  <si>
    <t>Labnumber</t>
  </si>
  <si>
    <t>Age (ka) - Median R396+/-50</t>
  </si>
  <si>
    <t>Initial Mass</t>
  </si>
  <si>
    <t>Moisture</t>
  </si>
  <si>
    <t>LOI330</t>
  </si>
  <si>
    <t>LOI550</t>
  </si>
  <si>
    <t>LOI550-330</t>
  </si>
  <si>
    <t>CaCO3tot</t>
  </si>
  <si>
    <t>Total productivity</t>
  </si>
  <si>
    <t>#10-23</t>
  </si>
  <si>
    <t>#10-39</t>
  </si>
  <si>
    <t>#9-58</t>
  </si>
  <si>
    <t>#9-66</t>
  </si>
  <si>
    <t>#9-74</t>
  </si>
  <si>
    <t>#9-94</t>
  </si>
  <si>
    <t>#9-116</t>
  </si>
  <si>
    <t>#9-131</t>
  </si>
  <si>
    <t>#9-141</t>
  </si>
  <si>
    <t>#9-157</t>
  </si>
  <si>
    <t>#9-203</t>
  </si>
  <si>
    <t>#8-209</t>
  </si>
  <si>
    <t>#8-255</t>
  </si>
  <si>
    <t>#8-277</t>
  </si>
  <si>
    <t>#8-287</t>
  </si>
  <si>
    <t>#8-298</t>
  </si>
  <si>
    <t>#8-317</t>
  </si>
  <si>
    <t>#8-350</t>
  </si>
  <si>
    <t>#7-399</t>
  </si>
  <si>
    <t>#7-498</t>
  </si>
  <si>
    <t>#7-504</t>
  </si>
  <si>
    <t>#6a-537</t>
  </si>
  <si>
    <t>#6a-542</t>
  </si>
  <si>
    <t>#6a-552</t>
  </si>
  <si>
    <t>#6a-560</t>
  </si>
  <si>
    <t>#6a-565</t>
  </si>
  <si>
    <t>#6a-572</t>
  </si>
  <si>
    <t>#6a-586</t>
  </si>
  <si>
    <t>#6a-597</t>
  </si>
  <si>
    <t>#6a-606</t>
  </si>
  <si>
    <t>#6a-614</t>
  </si>
  <si>
    <t>#6-619</t>
  </si>
  <si>
    <t>#6-626</t>
  </si>
  <si>
    <t>#6-641</t>
  </si>
  <si>
    <t>#6-644</t>
  </si>
  <si>
    <t>#6-646</t>
  </si>
  <si>
    <t>#6-656</t>
  </si>
  <si>
    <t>#6-663</t>
  </si>
  <si>
    <t>#6-669</t>
  </si>
  <si>
    <t>#6-678</t>
  </si>
  <si>
    <t>#6-681</t>
  </si>
  <si>
    <t>#6-702</t>
  </si>
  <si>
    <t>#6-715</t>
  </si>
  <si>
    <t>#6-728</t>
  </si>
  <si>
    <t>#6-738</t>
  </si>
  <si>
    <t>#6-746</t>
  </si>
  <si>
    <t>#6-751</t>
  </si>
  <si>
    <t>#5-766</t>
  </si>
  <si>
    <t>#5-769</t>
  </si>
  <si>
    <t>#5-776</t>
  </si>
  <si>
    <t>#5-783</t>
  </si>
  <si>
    <t>#5-811</t>
  </si>
  <si>
    <t>#5-822</t>
  </si>
  <si>
    <t>#4-833</t>
  </si>
  <si>
    <t>#4-841</t>
  </si>
  <si>
    <t>#4-848</t>
  </si>
  <si>
    <t>#4-853</t>
  </si>
  <si>
    <t>#4-859</t>
  </si>
  <si>
    <t>#4-870</t>
  </si>
  <si>
    <t>#4-875</t>
  </si>
  <si>
    <t>#4-880</t>
  </si>
  <si>
    <t>#3-894</t>
  </si>
  <si>
    <t>#3-901</t>
  </si>
  <si>
    <t>#3-909</t>
  </si>
  <si>
    <t>#3-917</t>
  </si>
  <si>
    <t>#3-926</t>
  </si>
  <si>
    <t>#3-945</t>
  </si>
  <si>
    <t>#2-983</t>
  </si>
  <si>
    <t>#2-993</t>
  </si>
  <si>
    <t>#2-1001</t>
  </si>
  <si>
    <t>#2-1008</t>
  </si>
  <si>
    <t>#2-1015</t>
  </si>
  <si>
    <t>#2-1026</t>
  </si>
  <si>
    <t>#2-1041</t>
  </si>
  <si>
    <t>#1-1051</t>
  </si>
  <si>
    <t>R396+/-50</t>
  </si>
  <si>
    <t>C/N (tin-non-acid)</t>
  </si>
  <si>
    <t>C/N (silver-acid)</t>
  </si>
  <si>
    <t>C(acid)/N(nonacid)</t>
  </si>
  <si>
    <t>N-ellen: alleen run 1</t>
  </si>
  <si>
    <t>N-ellen run 2</t>
  </si>
  <si>
    <t>(met N-ellen run 1)</t>
  </si>
  <si>
    <t>(met N-ellen run 2)</t>
  </si>
  <si>
    <t>Initial Mass (mg)</t>
  </si>
  <si>
    <t>N (gew. %)</t>
  </si>
  <si>
    <t>C (gew. %)</t>
  </si>
  <si>
    <t>ratio C/N</t>
  </si>
  <si>
    <t>Median Cal ka R540y adj (ref)</t>
  </si>
  <si>
    <t>Depth (cmbs)</t>
  </si>
  <si>
    <t>total cnts 10kV</t>
  </si>
  <si>
    <t>total cnts 30kV</t>
  </si>
  <si>
    <t xml:space="preserve">Al_Area </t>
  </si>
  <si>
    <t xml:space="preserve">K_Area </t>
  </si>
  <si>
    <t xml:space="preserve">Ca_Area </t>
  </si>
  <si>
    <t xml:space="preserve">Ti_Area </t>
  </si>
  <si>
    <t xml:space="preserve"> Depth (cmbs)</t>
  </si>
  <si>
    <t xml:space="preserve">Mn_Area </t>
  </si>
  <si>
    <t xml:space="preserve">Fe_Area </t>
  </si>
  <si>
    <t xml:space="preserve">Br_Area </t>
  </si>
  <si>
    <t>log(Ca/Ti)</t>
  </si>
  <si>
    <t>log(Fe/K)</t>
  </si>
  <si>
    <t>log(Al/K)</t>
  </si>
  <si>
    <t>log(K/Al)</t>
  </si>
  <si>
    <t>Laboratory number</t>
  </si>
  <si>
    <t>Field Code</t>
  </si>
  <si>
    <t>Age (ka)</t>
  </si>
  <si>
    <t>%Clay</t>
  </si>
  <si>
    <t>%Silt</t>
  </si>
  <si>
    <t>%Very Fine Silt</t>
  </si>
  <si>
    <t>%Fine Silt</t>
  </si>
  <si>
    <t>%Medium Silt</t>
  </si>
  <si>
    <t>%Coarse Silt</t>
  </si>
  <si>
    <t>%Sand</t>
  </si>
  <si>
    <t>%Very Fine Sand</t>
  </si>
  <si>
    <t>%Fine Sand</t>
  </si>
  <si>
    <t>%Medium Sand</t>
  </si>
  <si>
    <t>%Coarse Sand</t>
  </si>
  <si>
    <t>%Very Coarse Sand</t>
  </si>
  <si>
    <t>T89-16/3</t>
  </si>
  <si>
    <t>T89-16/52</t>
  </si>
  <si>
    <t>T89-16/66</t>
  </si>
  <si>
    <t>T89-16/116</t>
  </si>
  <si>
    <t>T89-16/185</t>
  </si>
  <si>
    <t>T89-16/336</t>
  </si>
  <si>
    <t>T89-16/504</t>
  </si>
  <si>
    <t>T89-16/543</t>
  </si>
  <si>
    <t>T89-16/580</t>
  </si>
  <si>
    <t>T89-16/582</t>
  </si>
  <si>
    <t>T89-16/600</t>
  </si>
  <si>
    <t>T89-16/637</t>
  </si>
  <si>
    <t>T89-16/656</t>
  </si>
  <si>
    <t>T89-16/708</t>
  </si>
  <si>
    <t>T89-16/717</t>
  </si>
  <si>
    <t>T89-16/728</t>
  </si>
  <si>
    <t>T89-16/763</t>
  </si>
  <si>
    <t>T89-16/773</t>
  </si>
  <si>
    <t>T89-16/779</t>
  </si>
  <si>
    <t>T89-16/793</t>
  </si>
  <si>
    <t>T89-16/811</t>
  </si>
  <si>
    <t>T89-16/827</t>
  </si>
  <si>
    <t>T89-16/845</t>
  </si>
  <si>
    <t>T89-16/857</t>
  </si>
  <si>
    <t>T89-16/886</t>
  </si>
  <si>
    <t>T89-16/951</t>
  </si>
  <si>
    <t>T89-16/1002</t>
  </si>
  <si>
    <t>T89-16/1031</t>
  </si>
  <si>
    <t>T89-16/1054</t>
  </si>
  <si>
    <t>caroline goossens</t>
  </si>
  <si>
    <t>Br counts/s</t>
  </si>
  <si>
    <t>ln Ti/Ca</t>
  </si>
  <si>
    <t>ln Ti/Ca 3pma</t>
  </si>
  <si>
    <t>ln(Fe/K)</t>
  </si>
  <si>
    <t>ln Fe/K 3pma</t>
  </si>
  <si>
    <t>ln Ti/Al</t>
  </si>
  <si>
    <t>ln Ti/Al 3pma</t>
  </si>
  <si>
    <t>ln Br</t>
  </si>
  <si>
    <t>ln Br 3pma</t>
  </si>
  <si>
    <t>rr</t>
  </si>
  <si>
    <t>subtropical</t>
  </si>
  <si>
    <t>sample</t>
  </si>
  <si>
    <t>rest</t>
  </si>
  <si>
    <t>Br counts/s 3pma</t>
  </si>
  <si>
    <t>?</t>
  </si>
  <si>
    <t>06-060</t>
  </si>
  <si>
    <t>05-042</t>
  </si>
  <si>
    <t>bf</t>
  </si>
  <si>
    <t>150-600</t>
  </si>
  <si>
    <t>1 Planulina</t>
  </si>
  <si>
    <t>2 Planulina</t>
  </si>
  <si>
    <t>isotopes</t>
  </si>
  <si>
    <t>4 wuell; 1 Plan.</t>
  </si>
  <si>
    <t>4 wuell, 6 Plan.</t>
  </si>
  <si>
    <t>5 Plan.</t>
  </si>
  <si>
    <t>Bolivina; gips XX</t>
  </si>
  <si>
    <t>Gijs</t>
  </si>
  <si>
    <t>x</t>
  </si>
  <si>
    <t>1 wuell.</t>
  </si>
  <si>
    <t>vergeten pl.f.</t>
  </si>
  <si>
    <t>wel Cib.</t>
  </si>
  <si>
    <t>3 Planulina</t>
  </si>
  <si>
    <t>6a-45</t>
  </si>
  <si>
    <t>slechte kwaliteit</t>
  </si>
  <si>
    <t>3 Cib. Wuell???</t>
  </si>
  <si>
    <t>of toch Cib. Lobatulus</t>
  </si>
  <si>
    <t>q</t>
  </si>
  <si>
    <t>Grain size</t>
  </si>
  <si>
    <t>Phi</t>
  </si>
  <si>
    <t>Data</t>
  </si>
  <si>
    <t>Total Fit</t>
  </si>
  <si>
    <t>EM 1</t>
  </si>
  <si>
    <t>EM 2</t>
  </si>
  <si>
    <t>EM 3</t>
  </si>
  <si>
    <t>R^2</t>
  </si>
  <si>
    <t>Theta</t>
  </si>
  <si>
    <t>EM1</t>
  </si>
  <si>
    <t>EM2</t>
  </si>
  <si>
    <t>EM3</t>
  </si>
  <si>
    <t>1 Planulina, 3 Cib. lobatulus</t>
  </si>
  <si>
    <t>&gt;600</t>
  </si>
  <si>
    <t>1 wuell</t>
  </si>
  <si>
    <t>&gt;;1 ptero, 1 gastro</t>
  </si>
  <si>
    <t>&gt;; 2 ptero</t>
  </si>
  <si>
    <t>&gt;; 0 ptero</t>
  </si>
  <si>
    <t xml:space="preserve">250-600: 1 tril.; </t>
  </si>
  <si>
    <t>&gt;; 4 ptero</t>
  </si>
  <si>
    <t>8-65: Q</t>
  </si>
  <si>
    <t>&gt;; 1 gastro</t>
  </si>
  <si>
    <t>ptero, 1 gastro</t>
  </si>
  <si>
    <t>&gt;; gips!</t>
  </si>
  <si>
    <t>5-34: &gt; gastros, gips</t>
  </si>
  <si>
    <t>5-20:&gt; gips</t>
  </si>
  <si>
    <t>&gt;; gips!, bivalven (kokkels)</t>
  </si>
  <si>
    <t>&gt;; gips!, bivalven (kokkels); zo ook 4-30&gt;</t>
  </si>
  <si>
    <t>&gt;; gips!, gastropoda, bivalven (kokkels); zo ook 4-10&gt;</t>
  </si>
  <si>
    <t>10 50-57: Q, organic remains, brokstukken (sodaliet)blauw, (malachiet)groen, (jaspis) rood</t>
  </si>
  <si>
    <t>3-35&gt;: + bivalven, gastro</t>
  </si>
  <si>
    <t xml:space="preserve">&gt;; gips!, bivalven </t>
  </si>
  <si>
    <t>xs</t>
  </si>
  <si>
    <t>X-tweelingen</t>
  </si>
  <si>
    <t xml:space="preserve">&gt;; gips!, bivalven; zo ook 2-55&gt; </t>
  </si>
  <si>
    <t>&gt;; gips!, gastropoda, bivalven; zo ook 2-35&gt;</t>
  </si>
  <si>
    <t>&gt;; gips!, bivalven, gastro, scaphopoda; zo ook 2-15&gt;</t>
  </si>
  <si>
    <t>geen gips</t>
  </si>
  <si>
    <t>geen gips, bivalven; zo ook 6-40&gt;</t>
  </si>
  <si>
    <t>Afwezig</t>
  </si>
  <si>
    <t>bivalven met parelmoer</t>
  </si>
  <si>
    <t>vezelige structuren</t>
  </si>
  <si>
    <t xml:space="preserve">T89-16 </t>
  </si>
  <si>
    <t>&gt;63µm</t>
  </si>
  <si>
    <t>.</t>
  </si>
  <si>
    <t>50-57</t>
  </si>
  <si>
    <t>40-46</t>
  </si>
  <si>
    <t>29-33</t>
  </si>
  <si>
    <t>20-25</t>
  </si>
  <si>
    <t>10-18</t>
  </si>
  <si>
    <t>0-6</t>
  </si>
  <si>
    <t>144-148</t>
  </si>
  <si>
    <t>134-138</t>
  </si>
  <si>
    <t>116-120</t>
  </si>
  <si>
    <t>110-114</t>
  </si>
  <si>
    <t>101-105</t>
  </si>
  <si>
    <t>94-98</t>
  </si>
  <si>
    <t>86-90</t>
  </si>
  <si>
    <t>76-80</t>
  </si>
  <si>
    <t>61-65</t>
  </si>
  <si>
    <t>51-55</t>
  </si>
  <si>
    <t>26-30</t>
  </si>
  <si>
    <t>146-147</t>
  </si>
  <si>
    <t>113-114</t>
  </si>
  <si>
    <t>58-62</t>
  </si>
  <si>
    <t>84-86</t>
  </si>
  <si>
    <t>141-142</t>
  </si>
  <si>
    <t>132-133</t>
  </si>
  <si>
    <t>16-32</t>
  </si>
  <si>
    <t>org. Mat. Ter plekke</t>
  </si>
  <si>
    <t xml:space="preserve">al het org mat </t>
  </si>
  <si>
    <t>Age R396 x 1000</t>
  </si>
  <si>
    <t>Interpolated LOI330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</si>
</sst>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0">
    <font>
      <sz val="10"/>
      <name val="Geneva"/>
    </font>
    <font>
      <b/>
      <sz val="10"/>
      <color rgb="FFFF0000"/>
      <name val="Geneva"/>
      <family val="2"/>
    </font>
    <font>
      <sz val="10"/>
      <color rgb="FFFF0000"/>
      <name val="Geneva"/>
      <family val="2"/>
    </font>
    <font>
      <sz val="10"/>
      <color rgb="FF008000"/>
      <name val="Geneva"/>
      <family val="2"/>
    </font>
    <font>
      <u/>
      <sz val="10"/>
      <color theme="10"/>
      <name val="Geneva"/>
      <family val="2"/>
    </font>
    <font>
      <u/>
      <sz val="10"/>
      <color theme="11"/>
      <name val="Geneva"/>
      <family val="2"/>
    </font>
    <font>
      <sz val="12"/>
      <color rgb="FF000000"/>
      <name val="Calibri"/>
      <family val="2"/>
    </font>
    <font>
      <b/>
      <sz val="10"/>
      <name val="Arial"/>
      <family val="2"/>
    </font>
    <font>
      <sz val="8"/>
      <name val="Geneva"/>
      <family val="2"/>
    </font>
    <font>
      <sz val="12"/>
      <color theme="1"/>
      <name val="Symbol"/>
      <charset val="2"/>
    </font>
    <font>
      <vertAlign val="superscript"/>
      <sz val="12"/>
      <color theme="1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9"/>
      <color indexed="81"/>
      <name val="Calibri"/>
      <family val="2"/>
    </font>
    <font>
      <sz val="9"/>
      <color indexed="81"/>
      <name val="Calibri"/>
      <family val="2"/>
    </font>
    <font>
      <sz val="10"/>
      <name val="Geneva"/>
      <family val="2"/>
    </font>
    <font>
      <sz val="10"/>
      <name val="Arial"/>
      <family val="2"/>
    </font>
    <font>
      <b/>
      <sz val="11"/>
      <name val="Arial"/>
      <family val="2"/>
    </font>
    <font>
      <sz val="8"/>
      <color theme="4" tint="-0.249977111117893"/>
      <name val="Arial"/>
      <family val="2"/>
    </font>
    <font>
      <sz val="8"/>
      <color theme="4" tint="-0.249977111117893"/>
      <name val="Calibri"/>
      <family val="2"/>
      <scheme val="minor"/>
    </font>
    <font>
      <b/>
      <sz val="8"/>
      <color theme="4" tint="-0.249977111117893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Geneva"/>
      <family val="2"/>
    </font>
    <font>
      <sz val="10"/>
      <color rgb="FF00B050"/>
      <name val="Geneva"/>
      <family val="2"/>
    </font>
  </fonts>
  <fills count="1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666666"/>
      </bottom>
      <diagonal/>
    </border>
    <border>
      <left/>
      <right style="medium">
        <color rgb="FF666666"/>
      </right>
      <top/>
      <bottom style="medium">
        <color rgb="FF666666"/>
      </bottom>
      <diagonal/>
    </border>
    <border>
      <left/>
      <right style="thick">
        <color indexed="64"/>
      </right>
      <top/>
      <bottom style="medium">
        <color rgb="FF666666"/>
      </bottom>
      <diagonal/>
    </border>
    <border>
      <left/>
      <right/>
      <top/>
      <bottom style="medium">
        <color rgb="FF666666"/>
      </bottom>
      <diagonal/>
    </border>
  </borders>
  <cellStyleXfs count="34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5" fillId="0" borderId="0"/>
    <xf numFmtId="0" fontId="15" fillId="0" borderId="0"/>
    <xf numFmtId="0" fontId="21" fillId="0" borderId="0"/>
  </cellStyleXfs>
  <cellXfs count="151">
    <xf numFmtId="0" fontId="0" fillId="0" borderId="0" xfId="0"/>
    <xf numFmtId="10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" fontId="0" fillId="0" borderId="0" xfId="0" applyNumberFormat="1"/>
    <xf numFmtId="1" fontId="0" fillId="0" borderId="1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2" xfId="0" applyNumberFormat="1" applyBorder="1"/>
    <xf numFmtId="17" fontId="0" fillId="0" borderId="0" xfId="0" applyNumberFormat="1"/>
    <xf numFmtId="0" fontId="0" fillId="0" borderId="0" xfId="0" applyAlignment="1">
      <alignment horizontal="right"/>
    </xf>
    <xf numFmtId="2" fontId="0" fillId="0" borderId="4" xfId="0" applyNumberFormat="1" applyBorder="1"/>
    <xf numFmtId="1" fontId="0" fillId="0" borderId="5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0" fontId="0" fillId="0" borderId="0" xfId="0" applyNumberFormat="1" applyAlignment="1">
      <alignment horizontal="righ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10" fontId="3" fillId="0" borderId="0" xfId="0" applyNumberFormat="1" applyFont="1"/>
    <xf numFmtId="0" fontId="3" fillId="0" borderId="0" xfId="0" applyFont="1"/>
    <xf numFmtId="1" fontId="3" fillId="0" borderId="0" xfId="0" applyNumberFormat="1" applyFont="1"/>
    <xf numFmtId="1" fontId="3" fillId="0" borderId="0" xfId="0" applyNumberFormat="1" applyFont="1" applyAlignment="1">
      <alignment horizontal="center"/>
    </xf>
    <xf numFmtId="0" fontId="0" fillId="2" borderId="0" xfId="0" applyFill="1"/>
    <xf numFmtId="1" fontId="0" fillId="2" borderId="0" xfId="0" applyNumberFormat="1" applyFill="1"/>
    <xf numFmtId="2" fontId="0" fillId="2" borderId="0" xfId="0" applyNumberFormat="1" applyFill="1"/>
    <xf numFmtId="1" fontId="0" fillId="2" borderId="0" xfId="0" applyNumberFormat="1" applyFill="1" applyAlignment="1">
      <alignment horizontal="center"/>
    </xf>
    <xf numFmtId="1" fontId="0" fillId="2" borderId="5" xfId="0" applyNumberFormat="1" applyFill="1" applyBorder="1" applyAlignment="1">
      <alignment horizontal="center"/>
    </xf>
    <xf numFmtId="2" fontId="0" fillId="2" borderId="4" xfId="0" applyNumberFormat="1" applyFill="1" applyBorder="1"/>
    <xf numFmtId="10" fontId="0" fillId="3" borderId="0" xfId="0" applyNumberFormat="1" applyFill="1"/>
    <xf numFmtId="0" fontId="0" fillId="3" borderId="0" xfId="0" applyFill="1"/>
    <xf numFmtId="1" fontId="0" fillId="3" borderId="0" xfId="0" applyNumberFormat="1" applyFill="1"/>
    <xf numFmtId="2" fontId="0" fillId="3" borderId="0" xfId="0" applyNumberFormat="1" applyFill="1"/>
    <xf numFmtId="2" fontId="0" fillId="3" borderId="0" xfId="0" applyNumberFormat="1" applyFill="1" applyAlignment="1">
      <alignment horizontal="right"/>
    </xf>
    <xf numFmtId="1" fontId="0" fillId="3" borderId="2" xfId="0" applyNumberForma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3" borderId="5" xfId="0" applyNumberFormat="1" applyFill="1" applyBorder="1" applyAlignment="1">
      <alignment horizontal="center"/>
    </xf>
    <xf numFmtId="2" fontId="0" fillId="3" borderId="4" xfId="0" applyNumberFormat="1" applyFill="1" applyBorder="1"/>
    <xf numFmtId="1" fontId="0" fillId="3" borderId="2" xfId="0" applyNumberFormat="1" applyFill="1" applyBorder="1"/>
    <xf numFmtId="0" fontId="6" fillId="0" borderId="0" xfId="0" applyFont="1"/>
    <xf numFmtId="0" fontId="7" fillId="0" borderId="0" xfId="0" applyFont="1"/>
    <xf numFmtId="164" fontId="0" fillId="0" borderId="0" xfId="0" applyNumberFormat="1" applyAlignment="1">
      <alignment horizontal="right"/>
    </xf>
    <xf numFmtId="164" fontId="0" fillId="0" borderId="0" xfId="0" applyNumberFormat="1"/>
    <xf numFmtId="49" fontId="0" fillId="0" borderId="0" xfId="0" applyNumberFormat="1" applyAlignment="1">
      <alignment horizontal="right"/>
    </xf>
    <xf numFmtId="16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1" fontId="2" fillId="0" borderId="0" xfId="0" applyNumberFormat="1" applyFont="1"/>
    <xf numFmtId="1" fontId="1" fillId="0" borderId="0" xfId="0" applyNumberFormat="1" applyFont="1"/>
    <xf numFmtId="2" fontId="0" fillId="0" borderId="0" xfId="0" applyNumberFormat="1" applyAlignment="1">
      <alignment vertical="center" wrapText="1"/>
    </xf>
    <xf numFmtId="0" fontId="11" fillId="0" borderId="0" xfId="0" applyFont="1"/>
    <xf numFmtId="2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49" fontId="0" fillId="0" borderId="0" xfId="0" applyNumberFormat="1"/>
    <xf numFmtId="0" fontId="0" fillId="0" borderId="0" xfId="0" applyAlignment="1">
      <alignment vertical="center" wrapText="1"/>
    </xf>
    <xf numFmtId="1" fontId="14" fillId="0" borderId="0" xfId="0" applyNumberFormat="1" applyFont="1" applyAlignment="1">
      <alignment horizont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right" vertical="center"/>
    </xf>
    <xf numFmtId="2" fontId="15" fillId="0" borderId="0" xfId="0" applyNumberFormat="1" applyFont="1"/>
    <xf numFmtId="0" fontId="16" fillId="0" borderId="0" xfId="31" applyFont="1"/>
    <xf numFmtId="0" fontId="17" fillId="0" borderId="0" xfId="31" applyFont="1"/>
    <xf numFmtId="0" fontId="18" fillId="0" borderId="0" xfId="0" applyFont="1"/>
    <xf numFmtId="0" fontId="19" fillId="0" borderId="0" xfId="31" applyFont="1"/>
    <xf numFmtId="0" fontId="16" fillId="0" borderId="6" xfId="31" applyFont="1" applyBorder="1"/>
    <xf numFmtId="0" fontId="20" fillId="0" borderId="6" xfId="31" applyFont="1" applyBorder="1"/>
    <xf numFmtId="0" fontId="15" fillId="4" borderId="0" xfId="31" applyFill="1"/>
    <xf numFmtId="0" fontId="15" fillId="4" borderId="0" xfId="32" applyFill="1"/>
    <xf numFmtId="165" fontId="15" fillId="4" borderId="0" xfId="33" applyNumberFormat="1" applyFont="1" applyFill="1" applyAlignment="1">
      <alignment vertical="top"/>
    </xf>
    <xf numFmtId="165" fontId="15" fillId="5" borderId="0" xfId="33" applyNumberFormat="1" applyFont="1" applyFill="1" applyAlignment="1">
      <alignment vertical="top"/>
    </xf>
    <xf numFmtId="164" fontId="15" fillId="4" borderId="0" xfId="32" applyNumberFormat="1" applyFill="1"/>
    <xf numFmtId="0" fontId="15" fillId="0" borderId="0" xfId="32"/>
    <xf numFmtId="165" fontId="15" fillId="4" borderId="0" xfId="32" applyNumberFormat="1" applyFill="1"/>
    <xf numFmtId="0" fontId="15" fillId="0" borderId="0" xfId="31"/>
    <xf numFmtId="0" fontId="15" fillId="0" borderId="0" xfId="31" applyAlignment="1">
      <alignment horizontal="right" vertical="center"/>
    </xf>
    <xf numFmtId="2" fontId="15" fillId="0" borderId="0" xfId="31" applyNumberFormat="1"/>
    <xf numFmtId="0" fontId="15" fillId="0" borderId="0" xfId="31" applyAlignment="1">
      <alignment vertical="top"/>
    </xf>
    <xf numFmtId="164" fontId="15" fillId="0" borderId="0" xfId="31" applyNumberFormat="1" applyAlignment="1">
      <alignment vertical="top"/>
    </xf>
    <xf numFmtId="0" fontId="15" fillId="6" borderId="0" xfId="31" applyFill="1"/>
    <xf numFmtId="0" fontId="0" fillId="6" borderId="0" xfId="0" applyFill="1"/>
    <xf numFmtId="0" fontId="22" fillId="0" borderId="0" xfId="31" applyFont="1"/>
    <xf numFmtId="0" fontId="22" fillId="4" borderId="0" xfId="31" applyFont="1" applyFill="1"/>
    <xf numFmtId="0" fontId="22" fillId="4" borderId="0" xfId="32" applyFont="1" applyFill="1"/>
    <xf numFmtId="165" fontId="22" fillId="4" borderId="0" xfId="33" applyNumberFormat="1" applyFont="1" applyFill="1" applyAlignment="1">
      <alignment vertical="top"/>
    </xf>
    <xf numFmtId="165" fontId="22" fillId="5" borderId="0" xfId="33" applyNumberFormat="1" applyFont="1" applyFill="1" applyAlignment="1">
      <alignment vertical="top"/>
    </xf>
    <xf numFmtId="164" fontId="22" fillId="4" borderId="0" xfId="32" applyNumberFormat="1" applyFont="1" applyFill="1"/>
    <xf numFmtId="165" fontId="22" fillId="4" borderId="0" xfId="32" applyNumberFormat="1" applyFont="1" applyFill="1"/>
    <xf numFmtId="0" fontId="22" fillId="0" borderId="0" xfId="31" applyFont="1" applyAlignment="1">
      <alignment horizontal="right" vertical="center"/>
    </xf>
    <xf numFmtId="2" fontId="22" fillId="0" borderId="0" xfId="31" applyNumberFormat="1" applyFont="1"/>
    <xf numFmtId="0" fontId="22" fillId="0" borderId="0" xfId="31" applyFont="1" applyAlignment="1">
      <alignment vertical="top"/>
    </xf>
    <xf numFmtId="164" fontId="22" fillId="0" borderId="0" xfId="31" applyNumberFormat="1" applyFont="1" applyAlignment="1">
      <alignment vertical="top"/>
    </xf>
    <xf numFmtId="3" fontId="0" fillId="0" borderId="0" xfId="0" applyNumberFormat="1"/>
    <xf numFmtId="0" fontId="23" fillId="7" borderId="7" xfId="0" applyFont="1" applyFill="1" applyBorder="1" applyAlignment="1">
      <alignment vertical="center" wrapText="1"/>
    </xf>
    <xf numFmtId="0" fontId="23" fillId="7" borderId="7" xfId="0" applyFont="1" applyFill="1" applyBorder="1" applyAlignment="1">
      <alignment vertical="center"/>
    </xf>
    <xf numFmtId="0" fontId="24" fillId="7" borderId="7" xfId="0" applyFont="1" applyFill="1" applyBorder="1" applyAlignment="1">
      <alignment vertical="center" wrapText="1"/>
    </xf>
    <xf numFmtId="0" fontId="25" fillId="8" borderId="8" xfId="0" applyFont="1" applyFill="1" applyBorder="1" applyAlignment="1">
      <alignment horizontal="right" vertical="center" wrapText="1"/>
    </xf>
    <xf numFmtId="0" fontId="25" fillId="8" borderId="9" xfId="0" applyFont="1" applyFill="1" applyBorder="1" applyAlignment="1">
      <alignment horizontal="right" vertical="center" wrapText="1"/>
    </xf>
    <xf numFmtId="0" fontId="25" fillId="8" borderId="8" xfId="0" applyFont="1" applyFill="1" applyBorder="1" applyAlignment="1">
      <alignment horizontal="right" vertical="center"/>
    </xf>
    <xf numFmtId="0" fontId="25" fillId="8" borderId="10" xfId="0" applyFont="1" applyFill="1" applyBorder="1" applyAlignment="1">
      <alignment horizontal="right" vertical="center"/>
    </xf>
    <xf numFmtId="0" fontId="25" fillId="0" borderId="8" xfId="0" applyFont="1" applyBorder="1" applyAlignment="1">
      <alignment horizontal="right" vertical="center" wrapText="1"/>
    </xf>
    <xf numFmtId="0" fontId="25" fillId="0" borderId="9" xfId="0" applyFont="1" applyBorder="1" applyAlignment="1">
      <alignment horizontal="right" vertical="center" wrapText="1"/>
    </xf>
    <xf numFmtId="0" fontId="25" fillId="0" borderId="8" xfId="0" applyFont="1" applyBorder="1" applyAlignment="1">
      <alignment horizontal="right" vertical="center"/>
    </xf>
    <xf numFmtId="0" fontId="25" fillId="0" borderId="10" xfId="0" applyFont="1" applyBorder="1" applyAlignment="1">
      <alignment horizontal="right" vertical="center"/>
    </xf>
    <xf numFmtId="2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right"/>
    </xf>
    <xf numFmtId="10" fontId="0" fillId="9" borderId="0" xfId="0" applyNumberFormat="1" applyFill="1"/>
    <xf numFmtId="0" fontId="0" fillId="9" borderId="0" xfId="0" applyFill="1"/>
    <xf numFmtId="2" fontId="0" fillId="9" borderId="0" xfId="0" applyNumberFormat="1" applyFill="1"/>
    <xf numFmtId="10" fontId="14" fillId="0" borderId="0" xfId="0" applyNumberFormat="1" applyFont="1"/>
    <xf numFmtId="0" fontId="26" fillId="7" borderId="7" xfId="0" applyFont="1" applyFill="1" applyBorder="1" applyAlignment="1">
      <alignment vertical="center"/>
    </xf>
    <xf numFmtId="0" fontId="25" fillId="8" borderId="8" xfId="0" applyFont="1" applyFill="1" applyBorder="1" applyAlignment="1">
      <alignment vertical="center"/>
    </xf>
    <xf numFmtId="0" fontId="25" fillId="8" borderId="10" xfId="0" applyFont="1" applyFill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27" fillId="0" borderId="8" xfId="0" applyFont="1" applyBorder="1" applyAlignment="1">
      <alignment vertical="center"/>
    </xf>
    <xf numFmtId="0" fontId="27" fillId="0" borderId="10" xfId="0" applyFont="1" applyBorder="1" applyAlignment="1">
      <alignment vertical="center"/>
    </xf>
    <xf numFmtId="0" fontId="25" fillId="8" borderId="8" xfId="0" applyFont="1" applyFill="1" applyBorder="1" applyAlignment="1">
      <alignment vertical="center" wrapText="1"/>
    </xf>
    <xf numFmtId="0" fontId="25" fillId="8" borderId="10" xfId="0" applyFont="1" applyFill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49" fontId="14" fillId="0" borderId="0" xfId="0" applyNumberFormat="1" applyFont="1" applyAlignment="1">
      <alignment horizontal="right"/>
    </xf>
    <xf numFmtId="0" fontId="28" fillId="0" borderId="0" xfId="0" applyFont="1" applyAlignment="1">
      <alignment horizontal="right"/>
    </xf>
    <xf numFmtId="1" fontId="29" fillId="0" borderId="0" xfId="0" applyNumberFormat="1" applyFont="1"/>
    <xf numFmtId="10" fontId="0" fillId="10" borderId="0" xfId="0" applyNumberFormat="1" applyFill="1"/>
    <xf numFmtId="0" fontId="0" fillId="10" borderId="0" xfId="0" applyFill="1"/>
    <xf numFmtId="0" fontId="0" fillId="11" borderId="0" xfId="0" applyFill="1"/>
    <xf numFmtId="10" fontId="0" fillId="11" borderId="0" xfId="0" applyNumberFormat="1" applyFill="1"/>
    <xf numFmtId="2" fontId="0" fillId="11" borderId="0" xfId="0" applyNumberFormat="1" applyFont="1" applyFill="1"/>
    <xf numFmtId="2" fontId="0" fillId="11" borderId="0" xfId="0" applyNumberFormat="1" applyFill="1"/>
    <xf numFmtId="2" fontId="0" fillId="12" borderId="0" xfId="0" applyNumberFormat="1" applyFill="1"/>
    <xf numFmtId="0" fontId="6" fillId="13" borderId="0" xfId="0" applyFont="1" applyFill="1"/>
    <xf numFmtId="0" fontId="0" fillId="13" borderId="0" xfId="0" applyFill="1"/>
    <xf numFmtId="0" fontId="0" fillId="13" borderId="0" xfId="0" applyFill="1" applyAlignment="1">
      <alignment horizontal="right"/>
    </xf>
    <xf numFmtId="0" fontId="14" fillId="13" borderId="0" xfId="0" applyFont="1" applyFill="1"/>
    <xf numFmtId="0" fontId="6" fillId="0" borderId="0" xfId="0" applyFont="1" applyFill="1"/>
    <xf numFmtId="0" fontId="0" fillId="0" borderId="0" xfId="0" applyFill="1"/>
    <xf numFmtId="0" fontId="0" fillId="0" borderId="0" xfId="0" applyFill="1" applyAlignment="1">
      <alignment horizontal="right"/>
    </xf>
    <xf numFmtId="0" fontId="14" fillId="0" borderId="0" xfId="0" applyFont="1" applyFill="1"/>
    <xf numFmtId="1" fontId="0" fillId="10" borderId="0" xfId="0" applyNumberFormat="1" applyFill="1"/>
    <xf numFmtId="2" fontId="0" fillId="10" borderId="0" xfId="0" applyNumberFormat="1" applyFill="1"/>
    <xf numFmtId="0" fontId="6" fillId="10" borderId="0" xfId="0" applyFont="1" applyFill="1"/>
    <xf numFmtId="2" fontId="0" fillId="10" borderId="0" xfId="0" applyNumberFormat="1" applyFill="1" applyAlignment="1">
      <alignment horizontal="right"/>
    </xf>
    <xf numFmtId="1" fontId="0" fillId="10" borderId="2" xfId="0" applyNumberFormat="1" applyFill="1" applyBorder="1" applyAlignment="1">
      <alignment horizontal="center"/>
    </xf>
    <xf numFmtId="1" fontId="0" fillId="10" borderId="0" xfId="0" applyNumberFormat="1" applyFill="1" applyAlignment="1">
      <alignment horizontal="center"/>
    </xf>
    <xf numFmtId="1" fontId="3" fillId="10" borderId="0" xfId="0" applyNumberFormat="1" applyFont="1" applyFill="1" applyAlignment="1">
      <alignment horizontal="center"/>
    </xf>
    <xf numFmtId="1" fontId="0" fillId="10" borderId="5" xfId="0" applyNumberFormat="1" applyFill="1" applyBorder="1" applyAlignment="1">
      <alignment horizontal="center"/>
    </xf>
    <xf numFmtId="2" fontId="0" fillId="10" borderId="4" xfId="0" applyNumberFormat="1" applyFill="1" applyBorder="1"/>
    <xf numFmtId="1" fontId="0" fillId="10" borderId="3" xfId="0" applyNumberFormat="1" applyFill="1" applyBorder="1"/>
    <xf numFmtId="1" fontId="0" fillId="10" borderId="6" xfId="0" applyNumberFormat="1" applyFill="1" applyBorder="1" applyAlignment="1">
      <alignment horizontal="center"/>
    </xf>
    <xf numFmtId="0" fontId="14" fillId="11" borderId="0" xfId="0" applyFont="1" applyFill="1"/>
    <xf numFmtId="0" fontId="6" fillId="11" borderId="0" xfId="0" applyFont="1" applyFill="1"/>
    <xf numFmtId="0" fontId="15" fillId="11" borderId="0" xfId="0" applyFont="1" applyFill="1"/>
  </cellXfs>
  <cellStyles count="34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Normal" xfId="0" builtinId="0"/>
    <cellStyle name="Standaard 10" xfId="32" xr:uid="{D986EDC9-F923-1740-9A00-7D04FE6291C3}"/>
    <cellStyle name="Standaard 11" xfId="31" xr:uid="{6169D696-8C9E-074E-87E6-7233407FCEC0}"/>
    <cellStyle name="Standaard 2" xfId="33" xr:uid="{0F9006B9-7B49-3E42-AB27-7BB4FC38332C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03333669705956"/>
          <c:y val="6.6239350794266003E-2"/>
          <c:w val="0.68333555773293497"/>
          <c:h val="0.89529961234830502"/>
        </c:manualLayout>
      </c:layout>
      <c:scatterChart>
        <c:scatterStyle val="lineMarker"/>
        <c:varyColors val="0"/>
        <c:ser>
          <c:idx val="0"/>
          <c:order val="0"/>
          <c:tx>
            <c:v>bull+pachs+pachd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'T89-16t'!$BM$6:$BM$69</c:f>
              <c:numCache>
                <c:formatCode>0</c:formatCode>
                <c:ptCount val="64"/>
                <c:pt idx="0">
                  <c:v>39.805825242718448</c:v>
                </c:pt>
                <c:pt idx="1">
                  <c:v>39.393939393939391</c:v>
                </c:pt>
                <c:pt idx="2">
                  <c:v>29.10662824207493</c:v>
                </c:pt>
                <c:pt idx="3">
                  <c:v>30.769230769230774</c:v>
                </c:pt>
                <c:pt idx="4">
                  <c:v>28.409090909090907</c:v>
                </c:pt>
                <c:pt idx="5">
                  <c:v>35.059760956175296</c:v>
                </c:pt>
                <c:pt idx="6">
                  <c:v>26.771653543307085</c:v>
                </c:pt>
                <c:pt idx="7">
                  <c:v>32.142857142857139</c:v>
                </c:pt>
                <c:pt idx="8">
                  <c:v>35.978835978835981</c:v>
                </c:pt>
                <c:pt idx="9">
                  <c:v>34.513274336283189</c:v>
                </c:pt>
                <c:pt idx="10">
                  <c:v>22.279792746113987</c:v>
                </c:pt>
                <c:pt idx="11">
                  <c:v>30.987544483985765</c:v>
                </c:pt>
                <c:pt idx="12">
                  <c:v>23.660714285714288</c:v>
                </c:pt>
                <c:pt idx="13">
                  <c:v>34.814814814814817</c:v>
                </c:pt>
                <c:pt idx="14">
                  <c:v>29.42942942942943</c:v>
                </c:pt>
                <c:pt idx="15">
                  <c:v>29.209621993127147</c:v>
                </c:pt>
                <c:pt idx="16">
                  <c:v>43.53518821603928</c:v>
                </c:pt>
                <c:pt idx="17">
                  <c:v>39.344262295081968</c:v>
                </c:pt>
                <c:pt idx="18">
                  <c:v>41.255605381165921</c:v>
                </c:pt>
                <c:pt idx="19">
                  <c:v>39.432989690721655</c:v>
                </c:pt>
                <c:pt idx="20">
                  <c:v>48.259860788863108</c:v>
                </c:pt>
                <c:pt idx="21">
                  <c:v>47.285067873303163</c:v>
                </c:pt>
                <c:pt idx="22">
                  <c:v>51.091703056768559</c:v>
                </c:pt>
                <c:pt idx="23">
                  <c:v>46.982758620689658</c:v>
                </c:pt>
                <c:pt idx="24">
                  <c:v>47.441860465116278</c:v>
                </c:pt>
                <c:pt idx="25">
                  <c:v>49.137931034482762</c:v>
                </c:pt>
                <c:pt idx="26">
                  <c:v>47.229551451187334</c:v>
                </c:pt>
                <c:pt idx="27">
                  <c:v>51.918158567774938</c:v>
                </c:pt>
                <c:pt idx="28">
                  <c:v>50.323974082073434</c:v>
                </c:pt>
                <c:pt idx="29">
                  <c:v>57.294429708222808</c:v>
                </c:pt>
                <c:pt idx="30">
                  <c:v>59.872611464968152</c:v>
                </c:pt>
                <c:pt idx="31">
                  <c:v>56.934306569343065</c:v>
                </c:pt>
                <c:pt idx="32">
                  <c:v>46.808510638297875</c:v>
                </c:pt>
                <c:pt idx="33">
                  <c:v>56.798245614035089</c:v>
                </c:pt>
                <c:pt idx="34">
                  <c:v>61.420345489443378</c:v>
                </c:pt>
                <c:pt idx="35">
                  <c:v>61.202185792349724</c:v>
                </c:pt>
                <c:pt idx="36">
                  <c:v>49.291784702549577</c:v>
                </c:pt>
                <c:pt idx="37">
                  <c:v>51.785714285714285</c:v>
                </c:pt>
                <c:pt idx="38">
                  <c:v>65</c:v>
                </c:pt>
                <c:pt idx="39">
                  <c:v>69.426751592356695</c:v>
                </c:pt>
                <c:pt idx="40">
                  <c:v>61.712846347607055</c:v>
                </c:pt>
                <c:pt idx="41">
                  <c:v>61.933534743202415</c:v>
                </c:pt>
                <c:pt idx="42">
                  <c:v>63.768115942028984</c:v>
                </c:pt>
                <c:pt idx="43">
                  <c:v>60.298507462686572</c:v>
                </c:pt>
                <c:pt idx="44">
                  <c:v>67.302452316076298</c:v>
                </c:pt>
                <c:pt idx="45">
                  <c:v>59.641255605381161</c:v>
                </c:pt>
                <c:pt idx="46">
                  <c:v>29.337539432176655</c:v>
                </c:pt>
                <c:pt idx="47">
                  <c:v>64.238410596026483</c:v>
                </c:pt>
                <c:pt idx="48">
                  <c:v>59.620596205962066</c:v>
                </c:pt>
                <c:pt idx="49">
                  <c:v>63.723150357995216</c:v>
                </c:pt>
                <c:pt idx="50">
                  <c:v>58.373205741626791</c:v>
                </c:pt>
                <c:pt idx="51">
                  <c:v>55.090311986863711</c:v>
                </c:pt>
                <c:pt idx="52">
                  <c:v>53.225806451612904</c:v>
                </c:pt>
                <c:pt idx="53">
                  <c:v>56.779661016949156</c:v>
                </c:pt>
                <c:pt idx="54">
                  <c:v>65.298507462686572</c:v>
                </c:pt>
                <c:pt idx="55">
                  <c:v>67.771084337349407</c:v>
                </c:pt>
                <c:pt idx="56">
                  <c:v>64.39169139465875</c:v>
                </c:pt>
                <c:pt idx="57">
                  <c:v>71.080139372822302</c:v>
                </c:pt>
                <c:pt idx="58">
                  <c:v>67.156862745098039</c:v>
                </c:pt>
                <c:pt idx="59">
                  <c:v>65.78947368421052</c:v>
                </c:pt>
                <c:pt idx="60">
                  <c:v>63.815789473684212</c:v>
                </c:pt>
                <c:pt idx="61">
                  <c:v>66.268656716417908</c:v>
                </c:pt>
                <c:pt idx="62">
                  <c:v>72.987012987012989</c:v>
                </c:pt>
                <c:pt idx="63">
                  <c:v>68.281938325991192</c:v>
                </c:pt>
              </c:numCache>
            </c:numRef>
          </c:xVal>
          <c:yVal>
            <c:numRef>
              <c:f>'T89-16t'!$BD$6:$BD$69</c:f>
              <c:numCache>
                <c:formatCode>0</c:formatCode>
                <c:ptCount val="64"/>
                <c:pt idx="0">
                  <c:v>8466.3684209999992</c:v>
                </c:pt>
                <c:pt idx="1">
                  <c:v>8744.2631579999997</c:v>
                </c:pt>
                <c:pt idx="2">
                  <c:v>9083.9122810000008</c:v>
                </c:pt>
                <c:pt idx="3">
                  <c:v>9238.2982460000003</c:v>
                </c:pt>
                <c:pt idx="4">
                  <c:v>9469.8771930000003</c:v>
                </c:pt>
                <c:pt idx="5">
                  <c:v>9778.6491229999992</c:v>
                </c:pt>
                <c:pt idx="6">
                  <c:v>10010.228069999999</c:v>
                </c:pt>
                <c:pt idx="7">
                  <c:v>10241.80702</c:v>
                </c:pt>
                <c:pt idx="8">
                  <c:v>10396.19298</c:v>
                </c:pt>
                <c:pt idx="9">
                  <c:v>10627.771930000001</c:v>
                </c:pt>
                <c:pt idx="10">
                  <c:v>10782.15789</c:v>
                </c:pt>
                <c:pt idx="11">
                  <c:v>11013.73684</c:v>
                </c:pt>
                <c:pt idx="12">
                  <c:v>11168.122810000001</c:v>
                </c:pt>
                <c:pt idx="13">
                  <c:v>11431.737859999999</c:v>
                </c:pt>
                <c:pt idx="14">
                  <c:v>11789.796120000001</c:v>
                </c:pt>
                <c:pt idx="15">
                  <c:v>12058.339809999999</c:v>
                </c:pt>
                <c:pt idx="16">
                  <c:v>12210.937819999999</c:v>
                </c:pt>
                <c:pt idx="17">
                  <c:v>12292.699479999999</c:v>
                </c:pt>
                <c:pt idx="18">
                  <c:v>12401.715029999999</c:v>
                </c:pt>
                <c:pt idx="19">
                  <c:v>12483.47668</c:v>
                </c:pt>
                <c:pt idx="20">
                  <c:v>12592.49223</c:v>
                </c:pt>
                <c:pt idx="21">
                  <c:v>12692.17007</c:v>
                </c:pt>
                <c:pt idx="22">
                  <c:v>12737.34014</c:v>
                </c:pt>
                <c:pt idx="23">
                  <c:v>12809.61224</c:v>
                </c:pt>
                <c:pt idx="24">
                  <c:v>12899.952380000001</c:v>
                </c:pt>
                <c:pt idx="25">
                  <c:v>12967.707479999999</c:v>
                </c:pt>
                <c:pt idx="26">
                  <c:v>12990.1</c:v>
                </c:pt>
                <c:pt idx="27">
                  <c:v>13012.3</c:v>
                </c:pt>
                <c:pt idx="28">
                  <c:v>13041.9</c:v>
                </c:pt>
                <c:pt idx="29">
                  <c:v>13069.016949999999</c:v>
                </c:pt>
                <c:pt idx="30">
                  <c:v>13090.372880000001</c:v>
                </c:pt>
                <c:pt idx="31">
                  <c:v>13171.5</c:v>
                </c:pt>
                <c:pt idx="32">
                  <c:v>13541.5</c:v>
                </c:pt>
                <c:pt idx="33">
                  <c:v>14908.14545</c:v>
                </c:pt>
                <c:pt idx="34">
                  <c:v>15546</c:v>
                </c:pt>
                <c:pt idx="35">
                  <c:v>16361.666670000001</c:v>
                </c:pt>
                <c:pt idx="36">
                  <c:v>16949.43333</c:v>
                </c:pt>
                <c:pt idx="37">
                  <c:v>17489.93333</c:v>
                </c:pt>
                <c:pt idx="38">
                  <c:v>18310.70103</c:v>
                </c:pt>
                <c:pt idx="39">
                  <c:v>19558.536080000002</c:v>
                </c:pt>
                <c:pt idx="40">
                  <c:v>20494.412369999998</c:v>
                </c:pt>
                <c:pt idx="41">
                  <c:v>21742.24742</c:v>
                </c:pt>
                <c:pt idx="42">
                  <c:v>22990.082470000001</c:v>
                </c:pt>
                <c:pt idx="43">
                  <c:v>24199.96154</c:v>
                </c:pt>
                <c:pt idx="44">
                  <c:v>25212.07692</c:v>
                </c:pt>
                <c:pt idx="45">
                  <c:v>25744.769230000002</c:v>
                </c:pt>
                <c:pt idx="46">
                  <c:v>26543.807690000001</c:v>
                </c:pt>
                <c:pt idx="47">
                  <c:v>27502.653849999999</c:v>
                </c:pt>
                <c:pt idx="48">
                  <c:v>28184.531910000002</c:v>
                </c:pt>
                <c:pt idx="49">
                  <c:v>28738.57447</c:v>
                </c:pt>
                <c:pt idx="50">
                  <c:v>29126.404259999999</c:v>
                </c:pt>
                <c:pt idx="51">
                  <c:v>29680.446810000001</c:v>
                </c:pt>
                <c:pt idx="52">
                  <c:v>30179.08511</c:v>
                </c:pt>
                <c:pt idx="53">
                  <c:v>30492.904760000001</c:v>
                </c:pt>
                <c:pt idx="54">
                  <c:v>30648.78095</c:v>
                </c:pt>
                <c:pt idx="55">
                  <c:v>30804.657139999999</c:v>
                </c:pt>
                <c:pt idx="56">
                  <c:v>31008.49524</c:v>
                </c:pt>
                <c:pt idx="57">
                  <c:v>31116.409520000001</c:v>
                </c:pt>
                <c:pt idx="58">
                  <c:v>31308.257140000002</c:v>
                </c:pt>
                <c:pt idx="59">
                  <c:v>31428.161899999999</c:v>
                </c:pt>
                <c:pt idx="60">
                  <c:v>31632</c:v>
                </c:pt>
                <c:pt idx="61">
                  <c:v>32141.56364</c:v>
                </c:pt>
                <c:pt idx="62">
                  <c:v>32707.745449999999</c:v>
                </c:pt>
                <c:pt idx="63">
                  <c:v>33273.92727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9B-A242-BB31-DE554B735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5486632"/>
        <c:axId val="2105487896"/>
      </c:scatterChart>
      <c:valAx>
        <c:axId val="2105486632"/>
        <c:scaling>
          <c:orientation val="minMax"/>
        </c:scaling>
        <c:delete val="0"/>
        <c:axPos val="t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NL"/>
          </a:p>
        </c:txPr>
        <c:crossAx val="2105487896"/>
        <c:crosses val="autoZero"/>
        <c:crossBetween val="midCat"/>
      </c:valAx>
      <c:valAx>
        <c:axId val="2105487896"/>
        <c:scaling>
          <c:orientation val="maxMin"/>
          <c:max val="35000"/>
          <c:min val="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cross"/>
        <c:minorTickMark val="out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NL"/>
          </a:p>
        </c:txPr>
        <c:crossAx val="2105486632"/>
        <c:crosses val="autoZero"/>
        <c:crossBetween val="midCat"/>
        <c:majorUnit val="5000"/>
        <c:minorUnit val="1000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3000052493438299"/>
          <c:y val="0.854701359445454"/>
          <c:w val="0.33333438320210002"/>
          <c:h val="9.615384615384610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NL"/>
    </a:p>
  </c:txPr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990074990135"/>
          <c:y val="6.6239350794266003E-2"/>
          <c:w val="0.68438565961186504"/>
          <c:h val="0.89529961234830502"/>
        </c:manualLayout>
      </c:layout>
      <c:scatterChart>
        <c:scatterStyle val="lineMarker"/>
        <c:varyColors val="0"/>
        <c:ser>
          <c:idx val="0"/>
          <c:order val="0"/>
          <c:tx>
            <c:v>ruber (white+pink)+ dutertrei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'T89-16t'!$BO$6:$BO$69</c:f>
              <c:numCache>
                <c:formatCode>0.00</c:formatCode>
                <c:ptCount val="64"/>
                <c:pt idx="0">
                  <c:v>26.699029126213592</c:v>
                </c:pt>
                <c:pt idx="1">
                  <c:v>24.242424242424242</c:v>
                </c:pt>
                <c:pt idx="2">
                  <c:v>37.752161383285269</c:v>
                </c:pt>
                <c:pt idx="3">
                  <c:v>39.743589743589745</c:v>
                </c:pt>
                <c:pt idx="4">
                  <c:v>40.340909090909086</c:v>
                </c:pt>
                <c:pt idx="5">
                  <c:v>31.872509960159363</c:v>
                </c:pt>
                <c:pt idx="6">
                  <c:v>36.220472440944881</c:v>
                </c:pt>
                <c:pt idx="7">
                  <c:v>33.163265306122447</c:v>
                </c:pt>
                <c:pt idx="8">
                  <c:v>35.449735449735449</c:v>
                </c:pt>
                <c:pt idx="9">
                  <c:v>37.610619469026545</c:v>
                </c:pt>
                <c:pt idx="10">
                  <c:v>38.860103626943001</c:v>
                </c:pt>
                <c:pt idx="11">
                  <c:v>42.037366548042705</c:v>
                </c:pt>
                <c:pt idx="12">
                  <c:v>43.75</c:v>
                </c:pt>
                <c:pt idx="13">
                  <c:v>37.283950617283949</c:v>
                </c:pt>
                <c:pt idx="14">
                  <c:v>35.735735735735737</c:v>
                </c:pt>
                <c:pt idx="15">
                  <c:v>47.766323024054984</c:v>
                </c:pt>
                <c:pt idx="16">
                  <c:v>30.114566284779052</c:v>
                </c:pt>
                <c:pt idx="17">
                  <c:v>34.894613583138174</c:v>
                </c:pt>
                <c:pt idx="18">
                  <c:v>31.838565022421523</c:v>
                </c:pt>
                <c:pt idx="19">
                  <c:v>29.381443298969074</c:v>
                </c:pt>
                <c:pt idx="20">
                  <c:v>22.505800464037122</c:v>
                </c:pt>
                <c:pt idx="21">
                  <c:v>24.20814479638009</c:v>
                </c:pt>
                <c:pt idx="22">
                  <c:v>19.432314410480352</c:v>
                </c:pt>
                <c:pt idx="23">
                  <c:v>20.689655172413794</c:v>
                </c:pt>
                <c:pt idx="24">
                  <c:v>23.255813953488371</c:v>
                </c:pt>
                <c:pt idx="25">
                  <c:v>21.982758620689655</c:v>
                </c:pt>
                <c:pt idx="26">
                  <c:v>19.788918205804752</c:v>
                </c:pt>
                <c:pt idx="27">
                  <c:v>15.345268542199488</c:v>
                </c:pt>
                <c:pt idx="28">
                  <c:v>14.038876889848812</c:v>
                </c:pt>
                <c:pt idx="29">
                  <c:v>10.344827586206897</c:v>
                </c:pt>
                <c:pt idx="30">
                  <c:v>14.331210191082803</c:v>
                </c:pt>
                <c:pt idx="31">
                  <c:v>18.734793187347933</c:v>
                </c:pt>
                <c:pt idx="32">
                  <c:v>21.276595744680854</c:v>
                </c:pt>
                <c:pt idx="33">
                  <c:v>18.859649122807021</c:v>
                </c:pt>
                <c:pt idx="34">
                  <c:v>15.738963531669867</c:v>
                </c:pt>
                <c:pt idx="35">
                  <c:v>16.939890710382514</c:v>
                </c:pt>
                <c:pt idx="36">
                  <c:v>23.229461756373937</c:v>
                </c:pt>
                <c:pt idx="37">
                  <c:v>15.625</c:v>
                </c:pt>
                <c:pt idx="38">
                  <c:v>3.9024390243902438</c:v>
                </c:pt>
                <c:pt idx="39">
                  <c:v>4.1401273885350323</c:v>
                </c:pt>
                <c:pt idx="40">
                  <c:v>8.3123425692695214</c:v>
                </c:pt>
                <c:pt idx="41">
                  <c:v>3.9274924471299095</c:v>
                </c:pt>
                <c:pt idx="42">
                  <c:v>4.63768115942029</c:v>
                </c:pt>
                <c:pt idx="43">
                  <c:v>1.4925373134328357</c:v>
                </c:pt>
                <c:pt idx="44">
                  <c:v>5.9945504087193457</c:v>
                </c:pt>
                <c:pt idx="45">
                  <c:v>10.762331838565023</c:v>
                </c:pt>
                <c:pt idx="46">
                  <c:v>29.968454258675081</c:v>
                </c:pt>
                <c:pt idx="47">
                  <c:v>6.2913907284768218</c:v>
                </c:pt>
                <c:pt idx="48">
                  <c:v>5.4200542005420056</c:v>
                </c:pt>
                <c:pt idx="49">
                  <c:v>5.9665871121718377</c:v>
                </c:pt>
                <c:pt idx="50">
                  <c:v>7.4162679425837315</c:v>
                </c:pt>
                <c:pt idx="51">
                  <c:v>9.0640394088669947</c:v>
                </c:pt>
                <c:pt idx="52">
                  <c:v>11.29032258064516</c:v>
                </c:pt>
                <c:pt idx="53">
                  <c:v>9.6045197740112993</c:v>
                </c:pt>
                <c:pt idx="54">
                  <c:v>5.9701492537313428</c:v>
                </c:pt>
                <c:pt idx="55">
                  <c:v>6.3253012048192776</c:v>
                </c:pt>
                <c:pt idx="56">
                  <c:v>4.4510385756676554</c:v>
                </c:pt>
                <c:pt idx="57">
                  <c:v>2.0905923344947737</c:v>
                </c:pt>
                <c:pt idx="58">
                  <c:v>4.4117647058823533</c:v>
                </c:pt>
                <c:pt idx="59">
                  <c:v>5.2631578947368425</c:v>
                </c:pt>
                <c:pt idx="60">
                  <c:v>10.855263157894736</c:v>
                </c:pt>
                <c:pt idx="61">
                  <c:v>3.8805970149253728</c:v>
                </c:pt>
                <c:pt idx="62">
                  <c:v>3.3766233766233764</c:v>
                </c:pt>
                <c:pt idx="63">
                  <c:v>6.3876651982378858</c:v>
                </c:pt>
              </c:numCache>
            </c:numRef>
          </c:xVal>
          <c:yVal>
            <c:numRef>
              <c:f>'T89-16t'!$BD$6:$BD$69</c:f>
              <c:numCache>
                <c:formatCode>0</c:formatCode>
                <c:ptCount val="64"/>
                <c:pt idx="0">
                  <c:v>8466.3684209999992</c:v>
                </c:pt>
                <c:pt idx="1">
                  <c:v>8744.2631579999997</c:v>
                </c:pt>
                <c:pt idx="2">
                  <c:v>9083.9122810000008</c:v>
                </c:pt>
                <c:pt idx="3">
                  <c:v>9238.2982460000003</c:v>
                </c:pt>
                <c:pt idx="4">
                  <c:v>9469.8771930000003</c:v>
                </c:pt>
                <c:pt idx="5">
                  <c:v>9778.6491229999992</c:v>
                </c:pt>
                <c:pt idx="6">
                  <c:v>10010.228069999999</c:v>
                </c:pt>
                <c:pt idx="7">
                  <c:v>10241.80702</c:v>
                </c:pt>
                <c:pt idx="8">
                  <c:v>10396.19298</c:v>
                </c:pt>
                <c:pt idx="9">
                  <c:v>10627.771930000001</c:v>
                </c:pt>
                <c:pt idx="10">
                  <c:v>10782.15789</c:v>
                </c:pt>
                <c:pt idx="11">
                  <c:v>11013.73684</c:v>
                </c:pt>
                <c:pt idx="12">
                  <c:v>11168.122810000001</c:v>
                </c:pt>
                <c:pt idx="13">
                  <c:v>11431.737859999999</c:v>
                </c:pt>
                <c:pt idx="14">
                  <c:v>11789.796120000001</c:v>
                </c:pt>
                <c:pt idx="15">
                  <c:v>12058.339809999999</c:v>
                </c:pt>
                <c:pt idx="16">
                  <c:v>12210.937819999999</c:v>
                </c:pt>
                <c:pt idx="17">
                  <c:v>12292.699479999999</c:v>
                </c:pt>
                <c:pt idx="18">
                  <c:v>12401.715029999999</c:v>
                </c:pt>
                <c:pt idx="19">
                  <c:v>12483.47668</c:v>
                </c:pt>
                <c:pt idx="20">
                  <c:v>12592.49223</c:v>
                </c:pt>
                <c:pt idx="21">
                  <c:v>12692.17007</c:v>
                </c:pt>
                <c:pt idx="22">
                  <c:v>12737.34014</c:v>
                </c:pt>
                <c:pt idx="23">
                  <c:v>12809.61224</c:v>
                </c:pt>
                <c:pt idx="24">
                  <c:v>12899.952380000001</c:v>
                </c:pt>
                <c:pt idx="25">
                  <c:v>12967.707479999999</c:v>
                </c:pt>
                <c:pt idx="26">
                  <c:v>12990.1</c:v>
                </c:pt>
                <c:pt idx="27">
                  <c:v>13012.3</c:v>
                </c:pt>
                <c:pt idx="28">
                  <c:v>13041.9</c:v>
                </c:pt>
                <c:pt idx="29">
                  <c:v>13069.016949999999</c:v>
                </c:pt>
                <c:pt idx="30">
                  <c:v>13090.372880000001</c:v>
                </c:pt>
                <c:pt idx="31">
                  <c:v>13171.5</c:v>
                </c:pt>
                <c:pt idx="32">
                  <c:v>13541.5</c:v>
                </c:pt>
                <c:pt idx="33">
                  <c:v>14908.14545</c:v>
                </c:pt>
                <c:pt idx="34">
                  <c:v>15546</c:v>
                </c:pt>
                <c:pt idx="35">
                  <c:v>16361.666670000001</c:v>
                </c:pt>
                <c:pt idx="36">
                  <c:v>16949.43333</c:v>
                </c:pt>
                <c:pt idx="37">
                  <c:v>17489.93333</c:v>
                </c:pt>
                <c:pt idx="38">
                  <c:v>18310.70103</c:v>
                </c:pt>
                <c:pt idx="39">
                  <c:v>19558.536080000002</c:v>
                </c:pt>
                <c:pt idx="40">
                  <c:v>20494.412369999998</c:v>
                </c:pt>
                <c:pt idx="41">
                  <c:v>21742.24742</c:v>
                </c:pt>
                <c:pt idx="42">
                  <c:v>22990.082470000001</c:v>
                </c:pt>
                <c:pt idx="43">
                  <c:v>24199.96154</c:v>
                </c:pt>
                <c:pt idx="44">
                  <c:v>25212.07692</c:v>
                </c:pt>
                <c:pt idx="45">
                  <c:v>25744.769230000002</c:v>
                </c:pt>
                <c:pt idx="46">
                  <c:v>26543.807690000001</c:v>
                </c:pt>
                <c:pt idx="47">
                  <c:v>27502.653849999999</c:v>
                </c:pt>
                <c:pt idx="48">
                  <c:v>28184.531910000002</c:v>
                </c:pt>
                <c:pt idx="49">
                  <c:v>28738.57447</c:v>
                </c:pt>
                <c:pt idx="50">
                  <c:v>29126.404259999999</c:v>
                </c:pt>
                <c:pt idx="51">
                  <c:v>29680.446810000001</c:v>
                </c:pt>
                <c:pt idx="52">
                  <c:v>30179.08511</c:v>
                </c:pt>
                <c:pt idx="53">
                  <c:v>30492.904760000001</c:v>
                </c:pt>
                <c:pt idx="54">
                  <c:v>30648.78095</c:v>
                </c:pt>
                <c:pt idx="55">
                  <c:v>30804.657139999999</c:v>
                </c:pt>
                <c:pt idx="56">
                  <c:v>31008.49524</c:v>
                </c:pt>
                <c:pt idx="57">
                  <c:v>31116.409520000001</c:v>
                </c:pt>
                <c:pt idx="58">
                  <c:v>31308.257140000002</c:v>
                </c:pt>
                <c:pt idx="59">
                  <c:v>31428.161899999999</c:v>
                </c:pt>
                <c:pt idx="60">
                  <c:v>31632</c:v>
                </c:pt>
                <c:pt idx="61">
                  <c:v>32141.56364</c:v>
                </c:pt>
                <c:pt idx="62">
                  <c:v>32707.745449999999</c:v>
                </c:pt>
                <c:pt idx="63">
                  <c:v>33273.92727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DA-0345-AA88-580D4A0354E7}"/>
            </c:ext>
          </c:extLst>
        </c:ser>
        <c:ser>
          <c:idx val="1"/>
          <c:order val="1"/>
          <c:tx>
            <c:v>ruber pink + dutertrei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'T89-16t'!$BN$6:$BN$69</c:f>
              <c:numCache>
                <c:formatCode>0</c:formatCode>
                <c:ptCount val="64"/>
                <c:pt idx="0">
                  <c:v>13.592233009708737</c:v>
                </c:pt>
                <c:pt idx="1">
                  <c:v>18.181818181818183</c:v>
                </c:pt>
                <c:pt idx="2">
                  <c:v>32.853025936599394</c:v>
                </c:pt>
                <c:pt idx="3">
                  <c:v>33.333333333333336</c:v>
                </c:pt>
                <c:pt idx="4">
                  <c:v>39.772727272727273</c:v>
                </c:pt>
                <c:pt idx="5">
                  <c:v>31.474103585657371</c:v>
                </c:pt>
                <c:pt idx="6">
                  <c:v>35.433070866141733</c:v>
                </c:pt>
                <c:pt idx="7">
                  <c:v>30.612244897959183</c:v>
                </c:pt>
                <c:pt idx="8">
                  <c:v>33.862433862433861</c:v>
                </c:pt>
                <c:pt idx="9">
                  <c:v>34.955752212389378</c:v>
                </c:pt>
                <c:pt idx="10">
                  <c:v>36.269430051813472</c:v>
                </c:pt>
                <c:pt idx="11">
                  <c:v>40.258007117437721</c:v>
                </c:pt>
                <c:pt idx="12">
                  <c:v>40.625</c:v>
                </c:pt>
                <c:pt idx="13">
                  <c:v>34.814814814814817</c:v>
                </c:pt>
                <c:pt idx="14">
                  <c:v>28.828828828828829</c:v>
                </c:pt>
                <c:pt idx="15">
                  <c:v>40.893470790378004</c:v>
                </c:pt>
                <c:pt idx="16">
                  <c:v>25.695581014729953</c:v>
                </c:pt>
                <c:pt idx="17">
                  <c:v>27.634660421545668</c:v>
                </c:pt>
                <c:pt idx="18">
                  <c:v>24.215246636771301</c:v>
                </c:pt>
                <c:pt idx="19">
                  <c:v>18.298969072164951</c:v>
                </c:pt>
                <c:pt idx="20">
                  <c:v>16.705336426914155</c:v>
                </c:pt>
                <c:pt idx="21">
                  <c:v>15.384615384615383</c:v>
                </c:pt>
                <c:pt idx="22">
                  <c:v>14.410480349344978</c:v>
                </c:pt>
                <c:pt idx="23">
                  <c:v>15.086206896551724</c:v>
                </c:pt>
                <c:pt idx="24">
                  <c:v>15.813953488372093</c:v>
                </c:pt>
                <c:pt idx="25">
                  <c:v>15.517241379310345</c:v>
                </c:pt>
                <c:pt idx="26">
                  <c:v>14.248021108179419</c:v>
                </c:pt>
                <c:pt idx="27">
                  <c:v>10.997442455242966</c:v>
                </c:pt>
                <c:pt idx="28">
                  <c:v>9.0712742980561565</c:v>
                </c:pt>
                <c:pt idx="29">
                  <c:v>6.6312997347480112</c:v>
                </c:pt>
                <c:pt idx="30">
                  <c:v>9.8726114649681538</c:v>
                </c:pt>
                <c:pt idx="31">
                  <c:v>14.111922141119221</c:v>
                </c:pt>
                <c:pt idx="32">
                  <c:v>14.042553191489361</c:v>
                </c:pt>
                <c:pt idx="33">
                  <c:v>6.5789473684210531</c:v>
                </c:pt>
                <c:pt idx="34">
                  <c:v>9.5969289827255295</c:v>
                </c:pt>
                <c:pt idx="35">
                  <c:v>9.8360655737704921</c:v>
                </c:pt>
                <c:pt idx="36">
                  <c:v>12.747875354107649</c:v>
                </c:pt>
                <c:pt idx="37">
                  <c:v>8.9285714285714288</c:v>
                </c:pt>
                <c:pt idx="38">
                  <c:v>3.9024390243902438</c:v>
                </c:pt>
                <c:pt idx="39">
                  <c:v>3.1847133757961785</c:v>
                </c:pt>
                <c:pt idx="40">
                  <c:v>4.7858942065491181</c:v>
                </c:pt>
                <c:pt idx="41">
                  <c:v>2.7190332326283988</c:v>
                </c:pt>
                <c:pt idx="42">
                  <c:v>2.6086956521739131</c:v>
                </c:pt>
                <c:pt idx="43">
                  <c:v>1.1940298507462686</c:v>
                </c:pt>
                <c:pt idx="44">
                  <c:v>3.2697547683923704</c:v>
                </c:pt>
                <c:pt idx="45">
                  <c:v>8.071748878923767</c:v>
                </c:pt>
                <c:pt idx="46">
                  <c:v>13.564668769716089</c:v>
                </c:pt>
                <c:pt idx="47">
                  <c:v>4.9668874172185431</c:v>
                </c:pt>
                <c:pt idx="48">
                  <c:v>4.0650406504065044</c:v>
                </c:pt>
                <c:pt idx="49">
                  <c:v>4.0572792362768499</c:v>
                </c:pt>
                <c:pt idx="50">
                  <c:v>4.545454545454545</c:v>
                </c:pt>
                <c:pt idx="51">
                  <c:v>7.6354679802955667</c:v>
                </c:pt>
                <c:pt idx="52">
                  <c:v>9.2741935483870961</c:v>
                </c:pt>
                <c:pt idx="53">
                  <c:v>8.1920903954802249</c:v>
                </c:pt>
                <c:pt idx="54">
                  <c:v>4.1044776119402986</c:v>
                </c:pt>
                <c:pt idx="55">
                  <c:v>5.4216867469879526</c:v>
                </c:pt>
                <c:pt idx="56">
                  <c:v>3.2640949554896141</c:v>
                </c:pt>
                <c:pt idx="57">
                  <c:v>1.0452961672473868</c:v>
                </c:pt>
                <c:pt idx="58">
                  <c:v>3.4313725490196081</c:v>
                </c:pt>
                <c:pt idx="59">
                  <c:v>3.5087719298245617</c:v>
                </c:pt>
                <c:pt idx="60">
                  <c:v>9.8684210526315788</c:v>
                </c:pt>
                <c:pt idx="61">
                  <c:v>3.2835820895522385</c:v>
                </c:pt>
                <c:pt idx="62">
                  <c:v>3.1168831168831166</c:v>
                </c:pt>
                <c:pt idx="63">
                  <c:v>3.9647577092511015</c:v>
                </c:pt>
              </c:numCache>
            </c:numRef>
          </c:xVal>
          <c:yVal>
            <c:numRef>
              <c:f>'T89-16t'!$BD$6:$BD$69</c:f>
              <c:numCache>
                <c:formatCode>0</c:formatCode>
                <c:ptCount val="64"/>
                <c:pt idx="0">
                  <c:v>8466.3684209999992</c:v>
                </c:pt>
                <c:pt idx="1">
                  <c:v>8744.2631579999997</c:v>
                </c:pt>
                <c:pt idx="2">
                  <c:v>9083.9122810000008</c:v>
                </c:pt>
                <c:pt idx="3">
                  <c:v>9238.2982460000003</c:v>
                </c:pt>
                <c:pt idx="4">
                  <c:v>9469.8771930000003</c:v>
                </c:pt>
                <c:pt idx="5">
                  <c:v>9778.6491229999992</c:v>
                </c:pt>
                <c:pt idx="6">
                  <c:v>10010.228069999999</c:v>
                </c:pt>
                <c:pt idx="7">
                  <c:v>10241.80702</c:v>
                </c:pt>
                <c:pt idx="8">
                  <c:v>10396.19298</c:v>
                </c:pt>
                <c:pt idx="9">
                  <c:v>10627.771930000001</c:v>
                </c:pt>
                <c:pt idx="10">
                  <c:v>10782.15789</c:v>
                </c:pt>
                <c:pt idx="11">
                  <c:v>11013.73684</c:v>
                </c:pt>
                <c:pt idx="12">
                  <c:v>11168.122810000001</c:v>
                </c:pt>
                <c:pt idx="13">
                  <c:v>11431.737859999999</c:v>
                </c:pt>
                <c:pt idx="14">
                  <c:v>11789.796120000001</c:v>
                </c:pt>
                <c:pt idx="15">
                  <c:v>12058.339809999999</c:v>
                </c:pt>
                <c:pt idx="16">
                  <c:v>12210.937819999999</c:v>
                </c:pt>
                <c:pt idx="17">
                  <c:v>12292.699479999999</c:v>
                </c:pt>
                <c:pt idx="18">
                  <c:v>12401.715029999999</c:v>
                </c:pt>
                <c:pt idx="19">
                  <c:v>12483.47668</c:v>
                </c:pt>
                <c:pt idx="20">
                  <c:v>12592.49223</c:v>
                </c:pt>
                <c:pt idx="21">
                  <c:v>12692.17007</c:v>
                </c:pt>
                <c:pt idx="22">
                  <c:v>12737.34014</c:v>
                </c:pt>
                <c:pt idx="23">
                  <c:v>12809.61224</c:v>
                </c:pt>
                <c:pt idx="24">
                  <c:v>12899.952380000001</c:v>
                </c:pt>
                <c:pt idx="25">
                  <c:v>12967.707479999999</c:v>
                </c:pt>
                <c:pt idx="26">
                  <c:v>12990.1</c:v>
                </c:pt>
                <c:pt idx="27">
                  <c:v>13012.3</c:v>
                </c:pt>
                <c:pt idx="28">
                  <c:v>13041.9</c:v>
                </c:pt>
                <c:pt idx="29">
                  <c:v>13069.016949999999</c:v>
                </c:pt>
                <c:pt idx="30">
                  <c:v>13090.372880000001</c:v>
                </c:pt>
                <c:pt idx="31">
                  <c:v>13171.5</c:v>
                </c:pt>
                <c:pt idx="32">
                  <c:v>13541.5</c:v>
                </c:pt>
                <c:pt idx="33">
                  <c:v>14908.14545</c:v>
                </c:pt>
                <c:pt idx="34">
                  <c:v>15546</c:v>
                </c:pt>
                <c:pt idx="35">
                  <c:v>16361.666670000001</c:v>
                </c:pt>
                <c:pt idx="36">
                  <c:v>16949.43333</c:v>
                </c:pt>
                <c:pt idx="37">
                  <c:v>17489.93333</c:v>
                </c:pt>
                <c:pt idx="38">
                  <c:v>18310.70103</c:v>
                </c:pt>
                <c:pt idx="39">
                  <c:v>19558.536080000002</c:v>
                </c:pt>
                <c:pt idx="40">
                  <c:v>20494.412369999998</c:v>
                </c:pt>
                <c:pt idx="41">
                  <c:v>21742.24742</c:v>
                </c:pt>
                <c:pt idx="42">
                  <c:v>22990.082470000001</c:v>
                </c:pt>
                <c:pt idx="43">
                  <c:v>24199.96154</c:v>
                </c:pt>
                <c:pt idx="44">
                  <c:v>25212.07692</c:v>
                </c:pt>
                <c:pt idx="45">
                  <c:v>25744.769230000002</c:v>
                </c:pt>
                <c:pt idx="46">
                  <c:v>26543.807690000001</c:v>
                </c:pt>
                <c:pt idx="47">
                  <c:v>27502.653849999999</c:v>
                </c:pt>
                <c:pt idx="48">
                  <c:v>28184.531910000002</c:v>
                </c:pt>
                <c:pt idx="49">
                  <c:v>28738.57447</c:v>
                </c:pt>
                <c:pt idx="50">
                  <c:v>29126.404259999999</c:v>
                </c:pt>
                <c:pt idx="51">
                  <c:v>29680.446810000001</c:v>
                </c:pt>
                <c:pt idx="52">
                  <c:v>30179.08511</c:v>
                </c:pt>
                <c:pt idx="53">
                  <c:v>30492.904760000001</c:v>
                </c:pt>
                <c:pt idx="54">
                  <c:v>30648.78095</c:v>
                </c:pt>
                <c:pt idx="55">
                  <c:v>30804.657139999999</c:v>
                </c:pt>
                <c:pt idx="56">
                  <c:v>31008.49524</c:v>
                </c:pt>
                <c:pt idx="57">
                  <c:v>31116.409520000001</c:v>
                </c:pt>
                <c:pt idx="58">
                  <c:v>31308.257140000002</c:v>
                </c:pt>
                <c:pt idx="59">
                  <c:v>31428.161899999999</c:v>
                </c:pt>
                <c:pt idx="60">
                  <c:v>31632</c:v>
                </c:pt>
                <c:pt idx="61">
                  <c:v>32141.56364</c:v>
                </c:pt>
                <c:pt idx="62">
                  <c:v>32707.745449999999</c:v>
                </c:pt>
                <c:pt idx="63">
                  <c:v>33273.92727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DA-0345-AA88-580D4A035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1514920"/>
        <c:axId val="2131520456"/>
      </c:scatterChart>
      <c:valAx>
        <c:axId val="2131514920"/>
        <c:scaling>
          <c:orientation val="minMax"/>
        </c:scaling>
        <c:delete val="0"/>
        <c:axPos val="t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NL"/>
          </a:p>
        </c:txPr>
        <c:crossAx val="2131520456"/>
        <c:crosses val="autoZero"/>
        <c:crossBetween val="midCat"/>
      </c:valAx>
      <c:valAx>
        <c:axId val="2131520456"/>
        <c:scaling>
          <c:orientation val="maxMin"/>
          <c:max val="35000"/>
          <c:min val="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cross"/>
        <c:minorTickMark val="out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NL"/>
          </a:p>
        </c:txPr>
        <c:crossAx val="2131514920"/>
        <c:crosses val="autoZero"/>
        <c:crossBetween val="midCat"/>
        <c:majorUnit val="5000"/>
        <c:minorUnit val="1000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72093284851021"/>
          <c:y val="0.82265007739417195"/>
          <c:w val="0.282392026578073"/>
          <c:h val="0.1388888888888890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NL"/>
    </a:p>
  </c:txPr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990074990135"/>
          <c:y val="6.6239350794266003E-2"/>
          <c:w val="0.68438565961186504"/>
          <c:h val="0.89529961234830502"/>
        </c:manualLayout>
      </c:layout>
      <c:scatterChart>
        <c:scatterStyle val="lineMarker"/>
        <c:varyColors val="0"/>
        <c:ser>
          <c:idx val="0"/>
          <c:order val="0"/>
          <c:tx>
            <c:v>dutertrei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'T89-16t'!$BF$6:$BF$69</c:f>
              <c:numCache>
                <c:formatCode>0</c:formatCode>
                <c:ptCount val="64"/>
                <c:pt idx="0">
                  <c:v>4.8543689320388346</c:v>
                </c:pt>
                <c:pt idx="1">
                  <c:v>9.0909090909090917</c:v>
                </c:pt>
                <c:pt idx="2">
                  <c:v>11.527377521613801</c:v>
                </c:pt>
                <c:pt idx="3">
                  <c:v>15.384615384615385</c:v>
                </c:pt>
                <c:pt idx="4">
                  <c:v>14.204545454545455</c:v>
                </c:pt>
                <c:pt idx="5">
                  <c:v>11.952191235059761</c:v>
                </c:pt>
                <c:pt idx="6">
                  <c:v>14.173228346456693</c:v>
                </c:pt>
                <c:pt idx="7">
                  <c:v>11.73469387755102</c:v>
                </c:pt>
                <c:pt idx="8">
                  <c:v>12.698412698412698</c:v>
                </c:pt>
                <c:pt idx="9">
                  <c:v>11.504424778761061</c:v>
                </c:pt>
                <c:pt idx="10">
                  <c:v>12.435233160621761</c:v>
                </c:pt>
                <c:pt idx="11">
                  <c:v>12.5</c:v>
                </c:pt>
                <c:pt idx="12">
                  <c:v>16.071428571428573</c:v>
                </c:pt>
                <c:pt idx="13">
                  <c:v>9.8765432098765427</c:v>
                </c:pt>
                <c:pt idx="14">
                  <c:v>11.411411411411411</c:v>
                </c:pt>
                <c:pt idx="15">
                  <c:v>13.058419243986254</c:v>
                </c:pt>
                <c:pt idx="16">
                  <c:v>9.3289689034369889</c:v>
                </c:pt>
                <c:pt idx="17">
                  <c:v>8.6651053864168617</c:v>
                </c:pt>
                <c:pt idx="18">
                  <c:v>8.071748878923767</c:v>
                </c:pt>
                <c:pt idx="19">
                  <c:v>6.9587628865979383</c:v>
                </c:pt>
                <c:pt idx="20">
                  <c:v>6.7285382830626448</c:v>
                </c:pt>
                <c:pt idx="21">
                  <c:v>5.6561085972850682</c:v>
                </c:pt>
                <c:pt idx="22">
                  <c:v>5.4585152838427948</c:v>
                </c:pt>
                <c:pt idx="23">
                  <c:v>3.0172413793103448</c:v>
                </c:pt>
                <c:pt idx="24">
                  <c:v>6.0465116279069768</c:v>
                </c:pt>
                <c:pt idx="25">
                  <c:v>3.0172413793103448</c:v>
                </c:pt>
                <c:pt idx="26">
                  <c:v>3.9577836411609497</c:v>
                </c:pt>
                <c:pt idx="27">
                  <c:v>3.3248081841432224</c:v>
                </c:pt>
                <c:pt idx="28">
                  <c:v>2.8077753779697625</c:v>
                </c:pt>
                <c:pt idx="29">
                  <c:v>1.856763925729443</c:v>
                </c:pt>
                <c:pt idx="30">
                  <c:v>3.5031847133757963</c:v>
                </c:pt>
                <c:pt idx="31">
                  <c:v>7.2992700729927007</c:v>
                </c:pt>
                <c:pt idx="32">
                  <c:v>6.3829787234042552</c:v>
                </c:pt>
                <c:pt idx="33">
                  <c:v>1.3157894736842106</c:v>
                </c:pt>
                <c:pt idx="34">
                  <c:v>1.3435700575815739</c:v>
                </c:pt>
                <c:pt idx="35">
                  <c:v>1.3661202185792349</c:v>
                </c:pt>
                <c:pt idx="36">
                  <c:v>1.9830028328611897</c:v>
                </c:pt>
                <c:pt idx="37">
                  <c:v>0.8928571428571429</c:v>
                </c:pt>
                <c:pt idx="38">
                  <c:v>0.48780487804878048</c:v>
                </c:pt>
                <c:pt idx="39">
                  <c:v>0</c:v>
                </c:pt>
                <c:pt idx="40">
                  <c:v>1.2594458438287153</c:v>
                </c:pt>
                <c:pt idx="41">
                  <c:v>0.60422960725075525</c:v>
                </c:pt>
                <c:pt idx="42">
                  <c:v>1.1594202898550725</c:v>
                </c:pt>
                <c:pt idx="43">
                  <c:v>0</c:v>
                </c:pt>
                <c:pt idx="44">
                  <c:v>0</c:v>
                </c:pt>
                <c:pt idx="45">
                  <c:v>0.89686098654708524</c:v>
                </c:pt>
                <c:pt idx="46">
                  <c:v>2.8391167192429023</c:v>
                </c:pt>
                <c:pt idx="47">
                  <c:v>0</c:v>
                </c:pt>
                <c:pt idx="48">
                  <c:v>0.54200542005420049</c:v>
                </c:pt>
                <c:pt idx="49">
                  <c:v>0.71599045346062051</c:v>
                </c:pt>
                <c:pt idx="50">
                  <c:v>1.4354066985645932</c:v>
                </c:pt>
                <c:pt idx="51">
                  <c:v>0.49261083743842365</c:v>
                </c:pt>
                <c:pt idx="52">
                  <c:v>0.40322580645161288</c:v>
                </c:pt>
                <c:pt idx="53">
                  <c:v>1.6949152542372881</c:v>
                </c:pt>
                <c:pt idx="54">
                  <c:v>1.1194029850746268</c:v>
                </c:pt>
                <c:pt idx="55">
                  <c:v>0.60240963855421692</c:v>
                </c:pt>
                <c:pt idx="56">
                  <c:v>0.29673590504451036</c:v>
                </c:pt>
                <c:pt idx="57">
                  <c:v>0.34843205574912894</c:v>
                </c:pt>
                <c:pt idx="58">
                  <c:v>0.98039215686274506</c:v>
                </c:pt>
                <c:pt idx="59">
                  <c:v>0.8771929824561403</c:v>
                </c:pt>
                <c:pt idx="60">
                  <c:v>7.2368421052631575</c:v>
                </c:pt>
                <c:pt idx="61">
                  <c:v>0.89552238805970152</c:v>
                </c:pt>
                <c:pt idx="62">
                  <c:v>1.0389610389610389</c:v>
                </c:pt>
                <c:pt idx="63">
                  <c:v>1.5418502202643172</c:v>
                </c:pt>
              </c:numCache>
            </c:numRef>
          </c:xVal>
          <c:yVal>
            <c:numRef>
              <c:f>'T89-16t'!$F$6:$F$69</c:f>
              <c:numCache>
                <c:formatCode>0.00</c:formatCode>
                <c:ptCount val="64"/>
                <c:pt idx="0">
                  <c:v>8.7033157889999995</c:v>
                </c:pt>
                <c:pt idx="1">
                  <c:v>9.0541578949999995</c:v>
                </c:pt>
                <c:pt idx="2">
                  <c:v>9.3412105260000011</c:v>
                </c:pt>
                <c:pt idx="3">
                  <c:v>9.5006842109999994</c:v>
                </c:pt>
                <c:pt idx="4">
                  <c:v>9.7398947370000002</c:v>
                </c:pt>
                <c:pt idx="5">
                  <c:v>10.058842109999999</c:v>
                </c:pt>
                <c:pt idx="6">
                  <c:v>10.298052630000001</c:v>
                </c:pt>
                <c:pt idx="7">
                  <c:v>10.53726316</c:v>
                </c:pt>
                <c:pt idx="8">
                  <c:v>10.69673684</c:v>
                </c:pt>
                <c:pt idx="9">
                  <c:v>10.935947369999999</c:v>
                </c:pt>
                <c:pt idx="10">
                  <c:v>11.095421050000001</c:v>
                </c:pt>
                <c:pt idx="11">
                  <c:v>11.33463158</c:v>
                </c:pt>
                <c:pt idx="12">
                  <c:v>11.49410526</c:v>
                </c:pt>
                <c:pt idx="13">
                  <c:v>11.76807767</c:v>
                </c:pt>
                <c:pt idx="14">
                  <c:v>12.140504849999999</c:v>
                </c:pt>
                <c:pt idx="15">
                  <c:v>12.41982524</c:v>
                </c:pt>
                <c:pt idx="16">
                  <c:v>12.54809326</c:v>
                </c:pt>
                <c:pt idx="17">
                  <c:v>12.60545078</c:v>
                </c:pt>
                <c:pt idx="18">
                  <c:v>12.681927460000001</c:v>
                </c:pt>
                <c:pt idx="19">
                  <c:v>12.73928497</c:v>
                </c:pt>
                <c:pt idx="20">
                  <c:v>12.81576166</c:v>
                </c:pt>
                <c:pt idx="21">
                  <c:v>12.90434014</c:v>
                </c:pt>
                <c:pt idx="22">
                  <c:v>12.954680270000001</c:v>
                </c:pt>
                <c:pt idx="23">
                  <c:v>13.035224490000001</c:v>
                </c:pt>
                <c:pt idx="24">
                  <c:v>13.135904759999999</c:v>
                </c:pt>
                <c:pt idx="25">
                  <c:v>13.21141497</c:v>
                </c:pt>
                <c:pt idx="26">
                  <c:v>13.234950000000001</c:v>
                </c:pt>
                <c:pt idx="27">
                  <c:v>13.25685</c:v>
                </c:pt>
                <c:pt idx="28">
                  <c:v>13.286049999999999</c:v>
                </c:pt>
                <c:pt idx="29">
                  <c:v>13.310474579999999</c:v>
                </c:pt>
                <c:pt idx="30">
                  <c:v>13.32844068</c:v>
                </c:pt>
                <c:pt idx="31">
                  <c:v>13.4115</c:v>
                </c:pt>
                <c:pt idx="32">
                  <c:v>13.8215</c:v>
                </c:pt>
                <c:pt idx="33">
                  <c:v>15.297745450000001</c:v>
                </c:pt>
                <c:pt idx="34">
                  <c:v>15.986000000000001</c:v>
                </c:pt>
                <c:pt idx="35">
                  <c:v>16.84677778</c:v>
                </c:pt>
                <c:pt idx="36">
                  <c:v>17.287833330000002</c:v>
                </c:pt>
                <c:pt idx="37">
                  <c:v>17.630333330000003</c:v>
                </c:pt>
                <c:pt idx="38">
                  <c:v>18.46874227</c:v>
                </c:pt>
                <c:pt idx="39">
                  <c:v>19.789979380000002</c:v>
                </c:pt>
                <c:pt idx="40">
                  <c:v>20.78090722</c:v>
                </c:pt>
                <c:pt idx="41">
                  <c:v>22.102144329999998</c:v>
                </c:pt>
                <c:pt idx="42">
                  <c:v>23.42338144</c:v>
                </c:pt>
                <c:pt idx="43">
                  <c:v>24.65007692</c:v>
                </c:pt>
                <c:pt idx="44">
                  <c:v>25.62784615</c:v>
                </c:pt>
                <c:pt idx="45">
                  <c:v>26.142461539999999</c:v>
                </c:pt>
                <c:pt idx="46">
                  <c:v>26.91438462</c:v>
                </c:pt>
                <c:pt idx="47">
                  <c:v>27.840692309999998</c:v>
                </c:pt>
                <c:pt idx="48">
                  <c:v>28.519914889999999</c:v>
                </c:pt>
                <c:pt idx="49">
                  <c:v>29.082468089999999</c:v>
                </c:pt>
                <c:pt idx="50">
                  <c:v>29.47625532</c:v>
                </c:pt>
                <c:pt idx="51">
                  <c:v>30.038808509999999</c:v>
                </c:pt>
                <c:pt idx="52">
                  <c:v>30.54510638</c:v>
                </c:pt>
                <c:pt idx="53">
                  <c:v>30.86361905</c:v>
                </c:pt>
                <c:pt idx="54">
                  <c:v>31.021723810000001</c:v>
                </c:pt>
                <c:pt idx="55">
                  <c:v>31.179828570000002</c:v>
                </c:pt>
                <c:pt idx="56">
                  <c:v>31.386580949999999</c:v>
                </c:pt>
                <c:pt idx="57">
                  <c:v>31.4960381</c:v>
                </c:pt>
                <c:pt idx="58">
                  <c:v>31.690628570000001</c:v>
                </c:pt>
                <c:pt idx="59">
                  <c:v>31.812247619999997</c:v>
                </c:pt>
                <c:pt idx="60">
                  <c:v>32.018999999999998</c:v>
                </c:pt>
                <c:pt idx="61">
                  <c:v>32.540999999999997</c:v>
                </c:pt>
                <c:pt idx="62">
                  <c:v>33.121000000000002</c:v>
                </c:pt>
                <c:pt idx="63">
                  <c:v>33.701000000000001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B0-A949-961F-81BB9B4DC1B4}"/>
            </c:ext>
          </c:extLst>
        </c:ser>
        <c:ser>
          <c:idx val="1"/>
          <c:order val="1"/>
          <c:tx>
            <c:v>ruber pink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'T89-16t'!$H$6:$H$69</c:f>
              <c:numCache>
                <c:formatCode>0.00</c:formatCode>
                <c:ptCount val="64"/>
                <c:pt idx="0">
                  <c:v>8.7378640776699026</c:v>
                </c:pt>
                <c:pt idx="1">
                  <c:v>9.0909090909090917</c:v>
                </c:pt>
                <c:pt idx="2">
                  <c:v>21.32564841498559</c:v>
                </c:pt>
                <c:pt idx="3">
                  <c:v>17.948717948717949</c:v>
                </c:pt>
                <c:pt idx="4">
                  <c:v>25.568181818181817</c:v>
                </c:pt>
                <c:pt idx="5">
                  <c:v>19.52191235059761</c:v>
                </c:pt>
                <c:pt idx="6">
                  <c:v>21.259842519685041</c:v>
                </c:pt>
                <c:pt idx="7">
                  <c:v>18.877551020408163</c:v>
                </c:pt>
                <c:pt idx="8">
                  <c:v>21.164021164021165</c:v>
                </c:pt>
                <c:pt idx="9">
                  <c:v>23.451327433628318</c:v>
                </c:pt>
                <c:pt idx="10">
                  <c:v>23.834196891191709</c:v>
                </c:pt>
                <c:pt idx="11">
                  <c:v>27.758007117437721</c:v>
                </c:pt>
                <c:pt idx="12">
                  <c:v>24.553571428571427</c:v>
                </c:pt>
                <c:pt idx="13">
                  <c:v>24.938271604938272</c:v>
                </c:pt>
                <c:pt idx="14">
                  <c:v>17.417417417417418</c:v>
                </c:pt>
                <c:pt idx="15">
                  <c:v>27.835051546391753</c:v>
                </c:pt>
                <c:pt idx="16">
                  <c:v>16.366612111292962</c:v>
                </c:pt>
                <c:pt idx="17">
                  <c:v>18.969555035128806</c:v>
                </c:pt>
                <c:pt idx="18">
                  <c:v>16.143497757847534</c:v>
                </c:pt>
                <c:pt idx="19">
                  <c:v>11.340206185567011</c:v>
                </c:pt>
                <c:pt idx="20">
                  <c:v>9.976798143851509</c:v>
                </c:pt>
                <c:pt idx="21">
                  <c:v>9.7285067873303159</c:v>
                </c:pt>
                <c:pt idx="22">
                  <c:v>8.9519650655021827</c:v>
                </c:pt>
                <c:pt idx="23">
                  <c:v>12.068965517241379</c:v>
                </c:pt>
                <c:pt idx="24">
                  <c:v>9.7674418604651159</c:v>
                </c:pt>
                <c:pt idx="25">
                  <c:v>12.5</c:v>
                </c:pt>
                <c:pt idx="26">
                  <c:v>10.29023746701847</c:v>
                </c:pt>
                <c:pt idx="27">
                  <c:v>7.6726342710997439</c:v>
                </c:pt>
                <c:pt idx="28">
                  <c:v>6.2634989200863931</c:v>
                </c:pt>
                <c:pt idx="29">
                  <c:v>4.7745358090185679</c:v>
                </c:pt>
                <c:pt idx="30">
                  <c:v>6.369426751592357</c:v>
                </c:pt>
                <c:pt idx="31">
                  <c:v>6.8126520681265204</c:v>
                </c:pt>
                <c:pt idx="32">
                  <c:v>7.6595744680851068</c:v>
                </c:pt>
                <c:pt idx="33">
                  <c:v>5.2631578947368425</c:v>
                </c:pt>
                <c:pt idx="34">
                  <c:v>8.2533589251439547</c:v>
                </c:pt>
                <c:pt idx="35">
                  <c:v>8.4699453551912569</c:v>
                </c:pt>
                <c:pt idx="36">
                  <c:v>10.76487252124646</c:v>
                </c:pt>
                <c:pt idx="37">
                  <c:v>8.0357142857142865</c:v>
                </c:pt>
                <c:pt idx="38">
                  <c:v>3.4146341463414633</c:v>
                </c:pt>
                <c:pt idx="39">
                  <c:v>3.1847133757961785</c:v>
                </c:pt>
                <c:pt idx="40">
                  <c:v>3.5264483627204029</c:v>
                </c:pt>
                <c:pt idx="41">
                  <c:v>2.1148036253776437</c:v>
                </c:pt>
                <c:pt idx="42">
                  <c:v>1.4492753623188406</c:v>
                </c:pt>
                <c:pt idx="43">
                  <c:v>1.1940298507462686</c:v>
                </c:pt>
                <c:pt idx="44">
                  <c:v>3.2697547683923704</c:v>
                </c:pt>
                <c:pt idx="45">
                  <c:v>7.1748878923766819</c:v>
                </c:pt>
                <c:pt idx="46">
                  <c:v>10.725552050473187</c:v>
                </c:pt>
                <c:pt idx="47">
                  <c:v>4.9668874172185431</c:v>
                </c:pt>
                <c:pt idx="48">
                  <c:v>3.5230352303523036</c:v>
                </c:pt>
                <c:pt idx="49">
                  <c:v>3.3412887828162292</c:v>
                </c:pt>
                <c:pt idx="50">
                  <c:v>3.1100478468899522</c:v>
                </c:pt>
                <c:pt idx="51">
                  <c:v>7.1428571428571432</c:v>
                </c:pt>
                <c:pt idx="52">
                  <c:v>8.870967741935484</c:v>
                </c:pt>
                <c:pt idx="53">
                  <c:v>6.4971751412429377</c:v>
                </c:pt>
                <c:pt idx="54">
                  <c:v>2.9850746268656718</c:v>
                </c:pt>
                <c:pt idx="55">
                  <c:v>4.8192771084337354</c:v>
                </c:pt>
                <c:pt idx="56">
                  <c:v>2.9673590504451037</c:v>
                </c:pt>
                <c:pt idx="57">
                  <c:v>0.69686411149825789</c:v>
                </c:pt>
                <c:pt idx="58">
                  <c:v>2.4509803921568629</c:v>
                </c:pt>
                <c:pt idx="59">
                  <c:v>2.6315789473684212</c:v>
                </c:pt>
                <c:pt idx="60">
                  <c:v>2.6315789473684212</c:v>
                </c:pt>
                <c:pt idx="61">
                  <c:v>2.3880597014925371</c:v>
                </c:pt>
                <c:pt idx="62">
                  <c:v>2.0779220779220777</c:v>
                </c:pt>
                <c:pt idx="63">
                  <c:v>2.4229074889867843</c:v>
                </c:pt>
              </c:numCache>
            </c:numRef>
          </c:xVal>
          <c:yVal>
            <c:numRef>
              <c:f>'T89-16t'!$F$6:$F$69</c:f>
              <c:numCache>
                <c:formatCode>0.00</c:formatCode>
                <c:ptCount val="64"/>
                <c:pt idx="0">
                  <c:v>8.7033157889999995</c:v>
                </c:pt>
                <c:pt idx="1">
                  <c:v>9.0541578949999995</c:v>
                </c:pt>
                <c:pt idx="2">
                  <c:v>9.3412105260000011</c:v>
                </c:pt>
                <c:pt idx="3">
                  <c:v>9.5006842109999994</c:v>
                </c:pt>
                <c:pt idx="4">
                  <c:v>9.7398947370000002</c:v>
                </c:pt>
                <c:pt idx="5">
                  <c:v>10.058842109999999</c:v>
                </c:pt>
                <c:pt idx="6">
                  <c:v>10.298052630000001</c:v>
                </c:pt>
                <c:pt idx="7">
                  <c:v>10.53726316</c:v>
                </c:pt>
                <c:pt idx="8">
                  <c:v>10.69673684</c:v>
                </c:pt>
                <c:pt idx="9">
                  <c:v>10.935947369999999</c:v>
                </c:pt>
                <c:pt idx="10">
                  <c:v>11.095421050000001</c:v>
                </c:pt>
                <c:pt idx="11">
                  <c:v>11.33463158</c:v>
                </c:pt>
                <c:pt idx="12">
                  <c:v>11.49410526</c:v>
                </c:pt>
                <c:pt idx="13">
                  <c:v>11.76807767</c:v>
                </c:pt>
                <c:pt idx="14">
                  <c:v>12.140504849999999</c:v>
                </c:pt>
                <c:pt idx="15">
                  <c:v>12.41982524</c:v>
                </c:pt>
                <c:pt idx="16">
                  <c:v>12.54809326</c:v>
                </c:pt>
                <c:pt idx="17">
                  <c:v>12.60545078</c:v>
                </c:pt>
                <c:pt idx="18">
                  <c:v>12.681927460000001</c:v>
                </c:pt>
                <c:pt idx="19">
                  <c:v>12.73928497</c:v>
                </c:pt>
                <c:pt idx="20">
                  <c:v>12.81576166</c:v>
                </c:pt>
                <c:pt idx="21">
                  <c:v>12.90434014</c:v>
                </c:pt>
                <c:pt idx="22">
                  <c:v>12.954680270000001</c:v>
                </c:pt>
                <c:pt idx="23">
                  <c:v>13.035224490000001</c:v>
                </c:pt>
                <c:pt idx="24">
                  <c:v>13.135904759999999</c:v>
                </c:pt>
                <c:pt idx="25">
                  <c:v>13.21141497</c:v>
                </c:pt>
                <c:pt idx="26">
                  <c:v>13.234950000000001</c:v>
                </c:pt>
                <c:pt idx="27">
                  <c:v>13.25685</c:v>
                </c:pt>
                <c:pt idx="28">
                  <c:v>13.286049999999999</c:v>
                </c:pt>
                <c:pt idx="29">
                  <c:v>13.310474579999999</c:v>
                </c:pt>
                <c:pt idx="30">
                  <c:v>13.32844068</c:v>
                </c:pt>
                <c:pt idx="31">
                  <c:v>13.4115</c:v>
                </c:pt>
                <c:pt idx="32">
                  <c:v>13.8215</c:v>
                </c:pt>
                <c:pt idx="33">
                  <c:v>15.297745450000001</c:v>
                </c:pt>
                <c:pt idx="34">
                  <c:v>15.986000000000001</c:v>
                </c:pt>
                <c:pt idx="35">
                  <c:v>16.84677778</c:v>
                </c:pt>
                <c:pt idx="36">
                  <c:v>17.287833330000002</c:v>
                </c:pt>
                <c:pt idx="37">
                  <c:v>17.630333330000003</c:v>
                </c:pt>
                <c:pt idx="38">
                  <c:v>18.46874227</c:v>
                </c:pt>
                <c:pt idx="39">
                  <c:v>19.789979380000002</c:v>
                </c:pt>
                <c:pt idx="40">
                  <c:v>20.78090722</c:v>
                </c:pt>
                <c:pt idx="41">
                  <c:v>22.102144329999998</c:v>
                </c:pt>
                <c:pt idx="42">
                  <c:v>23.42338144</c:v>
                </c:pt>
                <c:pt idx="43">
                  <c:v>24.65007692</c:v>
                </c:pt>
                <c:pt idx="44">
                  <c:v>25.62784615</c:v>
                </c:pt>
                <c:pt idx="45">
                  <c:v>26.142461539999999</c:v>
                </c:pt>
                <c:pt idx="46">
                  <c:v>26.91438462</c:v>
                </c:pt>
                <c:pt idx="47">
                  <c:v>27.840692309999998</c:v>
                </c:pt>
                <c:pt idx="48">
                  <c:v>28.519914889999999</c:v>
                </c:pt>
                <c:pt idx="49">
                  <c:v>29.082468089999999</c:v>
                </c:pt>
                <c:pt idx="50">
                  <c:v>29.47625532</c:v>
                </c:pt>
                <c:pt idx="51">
                  <c:v>30.038808509999999</c:v>
                </c:pt>
                <c:pt idx="52">
                  <c:v>30.54510638</c:v>
                </c:pt>
                <c:pt idx="53">
                  <c:v>30.86361905</c:v>
                </c:pt>
                <c:pt idx="54">
                  <c:v>31.021723810000001</c:v>
                </c:pt>
                <c:pt idx="55">
                  <c:v>31.179828570000002</c:v>
                </c:pt>
                <c:pt idx="56">
                  <c:v>31.386580949999999</c:v>
                </c:pt>
                <c:pt idx="57">
                  <c:v>31.4960381</c:v>
                </c:pt>
                <c:pt idx="58">
                  <c:v>31.690628570000001</c:v>
                </c:pt>
                <c:pt idx="59">
                  <c:v>31.812247619999997</c:v>
                </c:pt>
                <c:pt idx="60">
                  <c:v>32.018999999999998</c:v>
                </c:pt>
                <c:pt idx="61">
                  <c:v>32.540999999999997</c:v>
                </c:pt>
                <c:pt idx="62">
                  <c:v>33.121000000000002</c:v>
                </c:pt>
                <c:pt idx="63">
                  <c:v>33.701000000000001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B0-A949-961F-81BB9B4DC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1553864"/>
        <c:axId val="2131559384"/>
      </c:scatterChart>
      <c:valAx>
        <c:axId val="2131553864"/>
        <c:scaling>
          <c:orientation val="minMax"/>
        </c:scaling>
        <c:delete val="0"/>
        <c:axPos val="t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NL"/>
          </a:p>
        </c:txPr>
        <c:crossAx val="2131559384"/>
        <c:crosses val="autoZero"/>
        <c:crossBetween val="midCat"/>
      </c:valAx>
      <c:valAx>
        <c:axId val="2131559384"/>
        <c:scaling>
          <c:orientation val="maxMin"/>
          <c:max val="35"/>
          <c:min val="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cross"/>
        <c:minorTickMark val="out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NL"/>
          </a:p>
        </c:txPr>
        <c:crossAx val="2131553864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72093284851021"/>
          <c:y val="0.82265007739417195"/>
          <c:w val="0.282392026578073"/>
          <c:h val="0.1388888888888890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NL"/>
    </a:p>
  </c:txPr>
  <c:printSettings>
    <c:headerFooter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930561790817306E-3"/>
          <c:y val="0.115385021685163"/>
          <c:w val="0.98142193813202605"/>
          <c:h val="0.778848896374851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strRef>
              <c:f>'T89-16t'!$BD$5:$BD$201</c:f>
              <c:strCache>
                <c:ptCount val="65"/>
                <c:pt idx="0">
                  <c:v>Median Cal years R540+/-70 adj </c:v>
                </c:pt>
                <c:pt idx="1">
                  <c:v>8466</c:v>
                </c:pt>
                <c:pt idx="2">
                  <c:v>8744</c:v>
                </c:pt>
                <c:pt idx="3">
                  <c:v>9084</c:v>
                </c:pt>
                <c:pt idx="4">
                  <c:v>9238</c:v>
                </c:pt>
                <c:pt idx="5">
                  <c:v>9470</c:v>
                </c:pt>
                <c:pt idx="6">
                  <c:v>9779</c:v>
                </c:pt>
                <c:pt idx="7">
                  <c:v>10010</c:v>
                </c:pt>
                <c:pt idx="8">
                  <c:v>10242</c:v>
                </c:pt>
                <c:pt idx="9">
                  <c:v>10396</c:v>
                </c:pt>
                <c:pt idx="10">
                  <c:v>10628</c:v>
                </c:pt>
                <c:pt idx="11">
                  <c:v>10782</c:v>
                </c:pt>
                <c:pt idx="12">
                  <c:v>11014</c:v>
                </c:pt>
                <c:pt idx="13">
                  <c:v>11168</c:v>
                </c:pt>
                <c:pt idx="14">
                  <c:v>11432</c:v>
                </c:pt>
                <c:pt idx="15">
                  <c:v>11790</c:v>
                </c:pt>
                <c:pt idx="16">
                  <c:v>12058</c:v>
                </c:pt>
                <c:pt idx="17">
                  <c:v>12211</c:v>
                </c:pt>
                <c:pt idx="18">
                  <c:v>12293</c:v>
                </c:pt>
                <c:pt idx="19">
                  <c:v>12402</c:v>
                </c:pt>
                <c:pt idx="20">
                  <c:v>12483</c:v>
                </c:pt>
                <c:pt idx="21">
                  <c:v>12592</c:v>
                </c:pt>
                <c:pt idx="22">
                  <c:v>12692</c:v>
                </c:pt>
                <c:pt idx="23">
                  <c:v>12737</c:v>
                </c:pt>
                <c:pt idx="24">
                  <c:v>12810</c:v>
                </c:pt>
                <c:pt idx="25">
                  <c:v>12900</c:v>
                </c:pt>
                <c:pt idx="26">
                  <c:v>12968</c:v>
                </c:pt>
                <c:pt idx="27">
                  <c:v>12990</c:v>
                </c:pt>
                <c:pt idx="28">
                  <c:v>13012</c:v>
                </c:pt>
                <c:pt idx="29">
                  <c:v>13042</c:v>
                </c:pt>
                <c:pt idx="30">
                  <c:v>13069</c:v>
                </c:pt>
                <c:pt idx="31">
                  <c:v>13090</c:v>
                </c:pt>
                <c:pt idx="32">
                  <c:v>13172</c:v>
                </c:pt>
                <c:pt idx="33">
                  <c:v>13542</c:v>
                </c:pt>
                <c:pt idx="34">
                  <c:v>14908</c:v>
                </c:pt>
                <c:pt idx="35">
                  <c:v>15546</c:v>
                </c:pt>
                <c:pt idx="36">
                  <c:v>16362</c:v>
                </c:pt>
                <c:pt idx="37">
                  <c:v>16949</c:v>
                </c:pt>
                <c:pt idx="38">
                  <c:v>17490</c:v>
                </c:pt>
                <c:pt idx="39">
                  <c:v>18311</c:v>
                </c:pt>
                <c:pt idx="40">
                  <c:v>19559</c:v>
                </c:pt>
                <c:pt idx="41">
                  <c:v>20494</c:v>
                </c:pt>
                <c:pt idx="42">
                  <c:v>21742</c:v>
                </c:pt>
                <c:pt idx="43">
                  <c:v>22990</c:v>
                </c:pt>
                <c:pt idx="44">
                  <c:v>24200</c:v>
                </c:pt>
                <c:pt idx="45">
                  <c:v>25212</c:v>
                </c:pt>
                <c:pt idx="46">
                  <c:v>25745</c:v>
                </c:pt>
                <c:pt idx="47">
                  <c:v>26544</c:v>
                </c:pt>
                <c:pt idx="48">
                  <c:v>27503</c:v>
                </c:pt>
                <c:pt idx="49">
                  <c:v>28185</c:v>
                </c:pt>
                <c:pt idx="50">
                  <c:v>28739</c:v>
                </c:pt>
                <c:pt idx="51">
                  <c:v>29126</c:v>
                </c:pt>
                <c:pt idx="52">
                  <c:v>29680</c:v>
                </c:pt>
                <c:pt idx="53">
                  <c:v>30179</c:v>
                </c:pt>
                <c:pt idx="54">
                  <c:v>30493</c:v>
                </c:pt>
                <c:pt idx="55">
                  <c:v>30649</c:v>
                </c:pt>
                <c:pt idx="56">
                  <c:v>30805</c:v>
                </c:pt>
                <c:pt idx="57">
                  <c:v>31008</c:v>
                </c:pt>
                <c:pt idx="58">
                  <c:v>31116</c:v>
                </c:pt>
                <c:pt idx="59">
                  <c:v>31308</c:v>
                </c:pt>
                <c:pt idx="60">
                  <c:v>31428</c:v>
                </c:pt>
                <c:pt idx="61">
                  <c:v>31632</c:v>
                </c:pt>
                <c:pt idx="62">
                  <c:v>32142</c:v>
                </c:pt>
                <c:pt idx="63">
                  <c:v>32708</c:v>
                </c:pt>
                <c:pt idx="64">
                  <c:v>33274</c:v>
                </c:pt>
              </c:strCache>
            </c:strRef>
          </c:xVal>
          <c:yVal>
            <c:numRef>
              <c:f>'T89-16t'!$L$5:$L$201</c:f>
              <c:numCache>
                <c:formatCode>0.00</c:formatCode>
                <c:ptCount val="197"/>
                <c:pt idx="1">
                  <c:v>0.4854368932038835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1.1363636363636365</c:v>
                </c:pt>
                <c:pt idx="6">
                  <c:v>0.79681274900398402</c:v>
                </c:pt>
                <c:pt idx="7">
                  <c:v>0.78740157480314965</c:v>
                </c:pt>
                <c:pt idx="8">
                  <c:v>2.0408163265306123</c:v>
                </c:pt>
                <c:pt idx="9">
                  <c:v>1.5873015873015872</c:v>
                </c:pt>
                <c:pt idx="10">
                  <c:v>2.2123893805309733</c:v>
                </c:pt>
                <c:pt idx="11">
                  <c:v>0</c:v>
                </c:pt>
                <c:pt idx="12">
                  <c:v>1.4234875444839858</c:v>
                </c:pt>
                <c:pt idx="13">
                  <c:v>2.6785714285714284</c:v>
                </c:pt>
                <c:pt idx="14">
                  <c:v>0.98765432098765427</c:v>
                </c:pt>
                <c:pt idx="15">
                  <c:v>1.8018018018018018</c:v>
                </c:pt>
                <c:pt idx="16">
                  <c:v>0</c:v>
                </c:pt>
                <c:pt idx="17">
                  <c:v>1.6366612111292962</c:v>
                </c:pt>
                <c:pt idx="18">
                  <c:v>0.70257611241217799</c:v>
                </c:pt>
                <c:pt idx="19">
                  <c:v>0.44843049327354262</c:v>
                </c:pt>
                <c:pt idx="20">
                  <c:v>1.0309278350515463</c:v>
                </c:pt>
                <c:pt idx="21">
                  <c:v>2.0881670533642693</c:v>
                </c:pt>
                <c:pt idx="22">
                  <c:v>0.90497737556561086</c:v>
                </c:pt>
                <c:pt idx="23">
                  <c:v>1.3100436681222707</c:v>
                </c:pt>
                <c:pt idx="24">
                  <c:v>1.2931034482758621</c:v>
                </c:pt>
                <c:pt idx="25">
                  <c:v>2.7906976744186047</c:v>
                </c:pt>
                <c:pt idx="26">
                  <c:v>3.0172413793103448</c:v>
                </c:pt>
                <c:pt idx="27">
                  <c:v>2.1108179419525066</c:v>
                </c:pt>
                <c:pt idx="28">
                  <c:v>3.5805626598465472</c:v>
                </c:pt>
                <c:pt idx="29">
                  <c:v>4.319654427645788</c:v>
                </c:pt>
                <c:pt idx="30">
                  <c:v>3.183023872679045</c:v>
                </c:pt>
                <c:pt idx="31">
                  <c:v>0.63694267515923564</c:v>
                </c:pt>
                <c:pt idx="32">
                  <c:v>2.4330900243309004</c:v>
                </c:pt>
                <c:pt idx="33">
                  <c:v>2.1276595744680851</c:v>
                </c:pt>
                <c:pt idx="34">
                  <c:v>1.0964912280701755</c:v>
                </c:pt>
                <c:pt idx="35">
                  <c:v>1.3435700575815739</c:v>
                </c:pt>
                <c:pt idx="36">
                  <c:v>1.639344262295082</c:v>
                </c:pt>
                <c:pt idx="37">
                  <c:v>1.6997167138810199</c:v>
                </c:pt>
                <c:pt idx="38">
                  <c:v>2.2321428571428572</c:v>
                </c:pt>
                <c:pt idx="39">
                  <c:v>1.7073170731707317</c:v>
                </c:pt>
                <c:pt idx="40">
                  <c:v>0.63694267515923564</c:v>
                </c:pt>
                <c:pt idx="41">
                  <c:v>2.5188916876574305</c:v>
                </c:pt>
                <c:pt idx="42">
                  <c:v>3.3232628398791539</c:v>
                </c:pt>
                <c:pt idx="43">
                  <c:v>4.3478260869565215</c:v>
                </c:pt>
                <c:pt idx="44">
                  <c:v>3.5820895522388061</c:v>
                </c:pt>
                <c:pt idx="45">
                  <c:v>1.3623978201634876</c:v>
                </c:pt>
                <c:pt idx="46">
                  <c:v>1.7937219730941705</c:v>
                </c:pt>
                <c:pt idx="47">
                  <c:v>3.1545741324921135</c:v>
                </c:pt>
                <c:pt idx="48">
                  <c:v>1.9867549668874172</c:v>
                </c:pt>
                <c:pt idx="49">
                  <c:v>3.5230352303523036</c:v>
                </c:pt>
                <c:pt idx="50">
                  <c:v>1.6706443914081146</c:v>
                </c:pt>
                <c:pt idx="51">
                  <c:v>2.3923444976076556</c:v>
                </c:pt>
                <c:pt idx="52">
                  <c:v>5.7142857142857144</c:v>
                </c:pt>
                <c:pt idx="53">
                  <c:v>6.4516129032258061</c:v>
                </c:pt>
                <c:pt idx="54">
                  <c:v>4.2372881355932206</c:v>
                </c:pt>
                <c:pt idx="55">
                  <c:v>1.8656716417910448</c:v>
                </c:pt>
                <c:pt idx="56">
                  <c:v>2.1084337349397591</c:v>
                </c:pt>
                <c:pt idx="57">
                  <c:v>3.5608308605341246</c:v>
                </c:pt>
                <c:pt idx="58">
                  <c:v>3.8327526132404182</c:v>
                </c:pt>
                <c:pt idx="59">
                  <c:v>2.4509803921568629</c:v>
                </c:pt>
                <c:pt idx="60">
                  <c:v>3.5087719298245612</c:v>
                </c:pt>
                <c:pt idx="61">
                  <c:v>2.6315789473684212</c:v>
                </c:pt>
                <c:pt idx="62">
                  <c:v>2.9850746268656718</c:v>
                </c:pt>
                <c:pt idx="63">
                  <c:v>2.5974025974025974</c:v>
                </c:pt>
                <c:pt idx="64">
                  <c:v>4.1850220264317182</c:v>
                </c:pt>
                <c:pt idx="66">
                  <c:v>2.1202092006294704</c:v>
                </c:pt>
                <c:pt idx="67">
                  <c:v>0</c:v>
                </c:pt>
                <c:pt idx="68">
                  <c:v>6.4516129032258061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3B-0D4F-8BBD-6720ECEA2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4596296"/>
        <c:axId val="2104592712"/>
      </c:scatterChart>
      <c:valAx>
        <c:axId val="2104596296"/>
        <c:scaling>
          <c:orientation val="minMax"/>
          <c:max val="30"/>
          <c:min val="8"/>
        </c:scaling>
        <c:delete val="0"/>
        <c:axPos val="b"/>
        <c:majorTickMark val="cross"/>
        <c:minorTickMark val="out"/>
        <c:tickLblPos val="none"/>
        <c:spPr>
          <a:ln w="12700">
            <a:solidFill>
              <a:srgbClr val="000000"/>
            </a:solidFill>
            <a:prstDash val="solid"/>
          </a:ln>
        </c:spPr>
        <c:crossAx val="2104592712"/>
        <c:crosses val="autoZero"/>
        <c:crossBetween val="midCat"/>
        <c:majorUnit val="1"/>
        <c:minorUnit val="0.1"/>
      </c:valAx>
      <c:valAx>
        <c:axId val="2104592712"/>
        <c:scaling>
          <c:orientation val="minMax"/>
          <c:max val="10"/>
        </c:scaling>
        <c:delete val="0"/>
        <c:axPos val="l"/>
        <c:numFmt formatCode="0.00" sourceLinked="1"/>
        <c:majorTickMark val="cross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104596296"/>
        <c:crosses val="autoZero"/>
        <c:crossBetween val="midCat"/>
        <c:majorUnit val="10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NL"/>
    </a:p>
  </c:txPr>
  <c:printSettings>
    <c:headerFooter>
      <c:oddHeader>&amp;f</c:oddHeader>
      <c:oddFooter>Page &amp;p</c:oddFooter>
    </c:headerFooter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930561790817306E-3"/>
          <c:y val="0.115385021685163"/>
          <c:w val="0.98142193813202605"/>
          <c:h val="0.778848896374851"/>
        </c:manualLayout>
      </c:layout>
      <c:scatterChart>
        <c:scatterStyle val="lineMarker"/>
        <c:varyColors val="0"/>
        <c:ser>
          <c:idx val="0"/>
          <c:order val="0"/>
          <c:tx>
            <c:v>ruber pink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strRef>
              <c:f>'T89-16t'!$BD$5:$BD$201</c:f>
              <c:strCache>
                <c:ptCount val="65"/>
                <c:pt idx="0">
                  <c:v>Median Cal years R540+/-70 adj </c:v>
                </c:pt>
                <c:pt idx="1">
                  <c:v>8466</c:v>
                </c:pt>
                <c:pt idx="2">
                  <c:v>8744</c:v>
                </c:pt>
                <c:pt idx="3">
                  <c:v>9084</c:v>
                </c:pt>
                <c:pt idx="4">
                  <c:v>9238</c:v>
                </c:pt>
                <c:pt idx="5">
                  <c:v>9470</c:v>
                </c:pt>
                <c:pt idx="6">
                  <c:v>9779</c:v>
                </c:pt>
                <c:pt idx="7">
                  <c:v>10010</c:v>
                </c:pt>
                <c:pt idx="8">
                  <c:v>10242</c:v>
                </c:pt>
                <c:pt idx="9">
                  <c:v>10396</c:v>
                </c:pt>
                <c:pt idx="10">
                  <c:v>10628</c:v>
                </c:pt>
                <c:pt idx="11">
                  <c:v>10782</c:v>
                </c:pt>
                <c:pt idx="12">
                  <c:v>11014</c:v>
                </c:pt>
                <c:pt idx="13">
                  <c:v>11168</c:v>
                </c:pt>
                <c:pt idx="14">
                  <c:v>11432</c:v>
                </c:pt>
                <c:pt idx="15">
                  <c:v>11790</c:v>
                </c:pt>
                <c:pt idx="16">
                  <c:v>12058</c:v>
                </c:pt>
                <c:pt idx="17">
                  <c:v>12211</c:v>
                </c:pt>
                <c:pt idx="18">
                  <c:v>12293</c:v>
                </c:pt>
                <c:pt idx="19">
                  <c:v>12402</c:v>
                </c:pt>
                <c:pt idx="20">
                  <c:v>12483</c:v>
                </c:pt>
                <c:pt idx="21">
                  <c:v>12592</c:v>
                </c:pt>
                <c:pt idx="22">
                  <c:v>12692</c:v>
                </c:pt>
                <c:pt idx="23">
                  <c:v>12737</c:v>
                </c:pt>
                <c:pt idx="24">
                  <c:v>12810</c:v>
                </c:pt>
                <c:pt idx="25">
                  <c:v>12900</c:v>
                </c:pt>
                <c:pt idx="26">
                  <c:v>12968</c:v>
                </c:pt>
                <c:pt idx="27">
                  <c:v>12990</c:v>
                </c:pt>
                <c:pt idx="28">
                  <c:v>13012</c:v>
                </c:pt>
                <c:pt idx="29">
                  <c:v>13042</c:v>
                </c:pt>
                <c:pt idx="30">
                  <c:v>13069</c:v>
                </c:pt>
                <c:pt idx="31">
                  <c:v>13090</c:v>
                </c:pt>
                <c:pt idx="32">
                  <c:v>13172</c:v>
                </c:pt>
                <c:pt idx="33">
                  <c:v>13542</c:v>
                </c:pt>
                <c:pt idx="34">
                  <c:v>14908</c:v>
                </c:pt>
                <c:pt idx="35">
                  <c:v>15546</c:v>
                </c:pt>
                <c:pt idx="36">
                  <c:v>16362</c:v>
                </c:pt>
                <c:pt idx="37">
                  <c:v>16949</c:v>
                </c:pt>
                <c:pt idx="38">
                  <c:v>17490</c:v>
                </c:pt>
                <c:pt idx="39">
                  <c:v>18311</c:v>
                </c:pt>
                <c:pt idx="40">
                  <c:v>19559</c:v>
                </c:pt>
                <c:pt idx="41">
                  <c:v>20494</c:v>
                </c:pt>
                <c:pt idx="42">
                  <c:v>21742</c:v>
                </c:pt>
                <c:pt idx="43">
                  <c:v>22990</c:v>
                </c:pt>
                <c:pt idx="44">
                  <c:v>24200</c:v>
                </c:pt>
                <c:pt idx="45">
                  <c:v>25212</c:v>
                </c:pt>
                <c:pt idx="46">
                  <c:v>25745</c:v>
                </c:pt>
                <c:pt idx="47">
                  <c:v>26544</c:v>
                </c:pt>
                <c:pt idx="48">
                  <c:v>27503</c:v>
                </c:pt>
                <c:pt idx="49">
                  <c:v>28185</c:v>
                </c:pt>
                <c:pt idx="50">
                  <c:v>28739</c:v>
                </c:pt>
                <c:pt idx="51">
                  <c:v>29126</c:v>
                </c:pt>
                <c:pt idx="52">
                  <c:v>29680</c:v>
                </c:pt>
                <c:pt idx="53">
                  <c:v>30179</c:v>
                </c:pt>
                <c:pt idx="54">
                  <c:v>30493</c:v>
                </c:pt>
                <c:pt idx="55">
                  <c:v>30649</c:v>
                </c:pt>
                <c:pt idx="56">
                  <c:v>30805</c:v>
                </c:pt>
                <c:pt idx="57">
                  <c:v>31008</c:v>
                </c:pt>
                <c:pt idx="58">
                  <c:v>31116</c:v>
                </c:pt>
                <c:pt idx="59">
                  <c:v>31308</c:v>
                </c:pt>
                <c:pt idx="60">
                  <c:v>31428</c:v>
                </c:pt>
                <c:pt idx="61">
                  <c:v>31632</c:v>
                </c:pt>
                <c:pt idx="62">
                  <c:v>32142</c:v>
                </c:pt>
                <c:pt idx="63">
                  <c:v>32708</c:v>
                </c:pt>
                <c:pt idx="64">
                  <c:v>33274</c:v>
                </c:pt>
              </c:strCache>
            </c:strRef>
          </c:xVal>
          <c:yVal>
            <c:numRef>
              <c:f>'T89-16t'!$H$5:$H$201</c:f>
              <c:numCache>
                <c:formatCode>0.00</c:formatCode>
                <c:ptCount val="197"/>
                <c:pt idx="0">
                  <c:v>0</c:v>
                </c:pt>
                <c:pt idx="1">
                  <c:v>8.7378640776699026</c:v>
                </c:pt>
                <c:pt idx="2">
                  <c:v>9.0909090909090917</c:v>
                </c:pt>
                <c:pt idx="3">
                  <c:v>21.32564841498559</c:v>
                </c:pt>
                <c:pt idx="4">
                  <c:v>17.948717948717949</c:v>
                </c:pt>
                <c:pt idx="5">
                  <c:v>25.568181818181817</c:v>
                </c:pt>
                <c:pt idx="6">
                  <c:v>19.52191235059761</c:v>
                </c:pt>
                <c:pt idx="7">
                  <c:v>21.259842519685041</c:v>
                </c:pt>
                <c:pt idx="8">
                  <c:v>18.877551020408163</c:v>
                </c:pt>
                <c:pt idx="9">
                  <c:v>21.164021164021165</c:v>
                </c:pt>
                <c:pt idx="10">
                  <c:v>23.451327433628318</c:v>
                </c:pt>
                <c:pt idx="11">
                  <c:v>23.834196891191709</c:v>
                </c:pt>
                <c:pt idx="12">
                  <c:v>27.758007117437721</c:v>
                </c:pt>
                <c:pt idx="13">
                  <c:v>24.553571428571427</c:v>
                </c:pt>
                <c:pt idx="14">
                  <c:v>24.938271604938272</c:v>
                </c:pt>
                <c:pt idx="15">
                  <c:v>17.417417417417418</c:v>
                </c:pt>
                <c:pt idx="16">
                  <c:v>27.835051546391753</c:v>
                </c:pt>
                <c:pt idx="17">
                  <c:v>16.366612111292962</c:v>
                </c:pt>
                <c:pt idx="18">
                  <c:v>18.969555035128806</c:v>
                </c:pt>
                <c:pt idx="19">
                  <c:v>16.143497757847534</c:v>
                </c:pt>
                <c:pt idx="20">
                  <c:v>11.340206185567011</c:v>
                </c:pt>
                <c:pt idx="21">
                  <c:v>9.976798143851509</c:v>
                </c:pt>
                <c:pt idx="22">
                  <c:v>9.7285067873303159</c:v>
                </c:pt>
                <c:pt idx="23">
                  <c:v>8.9519650655021827</c:v>
                </c:pt>
                <c:pt idx="24">
                  <c:v>12.068965517241379</c:v>
                </c:pt>
                <c:pt idx="25">
                  <c:v>9.7674418604651159</c:v>
                </c:pt>
                <c:pt idx="26">
                  <c:v>12.5</c:v>
                </c:pt>
                <c:pt idx="27">
                  <c:v>10.29023746701847</c:v>
                </c:pt>
                <c:pt idx="28">
                  <c:v>7.6726342710997439</c:v>
                </c:pt>
                <c:pt idx="29">
                  <c:v>6.2634989200863931</c:v>
                </c:pt>
                <c:pt idx="30">
                  <c:v>4.7745358090185679</c:v>
                </c:pt>
                <c:pt idx="31">
                  <c:v>6.369426751592357</c:v>
                </c:pt>
                <c:pt idx="32">
                  <c:v>6.8126520681265204</c:v>
                </c:pt>
                <c:pt idx="33">
                  <c:v>7.6595744680851068</c:v>
                </c:pt>
                <c:pt idx="34">
                  <c:v>5.2631578947368425</c:v>
                </c:pt>
                <c:pt idx="35">
                  <c:v>8.2533589251439547</c:v>
                </c:pt>
                <c:pt idx="36">
                  <c:v>8.4699453551912569</c:v>
                </c:pt>
                <c:pt idx="37">
                  <c:v>10.76487252124646</c:v>
                </c:pt>
                <c:pt idx="38">
                  <c:v>8.0357142857142865</c:v>
                </c:pt>
                <c:pt idx="39">
                  <c:v>3.4146341463414633</c:v>
                </c:pt>
                <c:pt idx="40">
                  <c:v>3.1847133757961785</c:v>
                </c:pt>
                <c:pt idx="41">
                  <c:v>3.5264483627204029</c:v>
                </c:pt>
                <c:pt idx="42">
                  <c:v>2.1148036253776437</c:v>
                </c:pt>
                <c:pt idx="43">
                  <c:v>1.4492753623188406</c:v>
                </c:pt>
                <c:pt idx="44">
                  <c:v>1.1940298507462686</c:v>
                </c:pt>
                <c:pt idx="45">
                  <c:v>3.2697547683923704</c:v>
                </c:pt>
                <c:pt idx="46">
                  <c:v>7.1748878923766819</c:v>
                </c:pt>
                <c:pt idx="47">
                  <c:v>10.725552050473187</c:v>
                </c:pt>
                <c:pt idx="48">
                  <c:v>4.9668874172185431</c:v>
                </c:pt>
                <c:pt idx="49">
                  <c:v>3.5230352303523036</c:v>
                </c:pt>
                <c:pt idx="50">
                  <c:v>3.3412887828162292</c:v>
                </c:pt>
                <c:pt idx="51">
                  <c:v>3.1100478468899522</c:v>
                </c:pt>
                <c:pt idx="52">
                  <c:v>7.1428571428571432</c:v>
                </c:pt>
                <c:pt idx="53">
                  <c:v>8.870967741935484</c:v>
                </c:pt>
                <c:pt idx="54">
                  <c:v>6.4971751412429377</c:v>
                </c:pt>
                <c:pt idx="55">
                  <c:v>2.9850746268656718</c:v>
                </c:pt>
                <c:pt idx="56">
                  <c:v>4.8192771084337354</c:v>
                </c:pt>
                <c:pt idx="57">
                  <c:v>2.9673590504451037</c:v>
                </c:pt>
                <c:pt idx="58">
                  <c:v>0.69686411149825789</c:v>
                </c:pt>
                <c:pt idx="59">
                  <c:v>2.4509803921568629</c:v>
                </c:pt>
                <c:pt idx="60">
                  <c:v>2.6315789473684212</c:v>
                </c:pt>
                <c:pt idx="61">
                  <c:v>2.6315789473684212</c:v>
                </c:pt>
                <c:pt idx="62">
                  <c:v>2.3880597014925371</c:v>
                </c:pt>
                <c:pt idx="63">
                  <c:v>2.0779220779220777</c:v>
                </c:pt>
                <c:pt idx="64">
                  <c:v>2.4229074889867843</c:v>
                </c:pt>
                <c:pt idx="66">
                  <c:v>10.145368909944271</c:v>
                </c:pt>
                <c:pt idx="67">
                  <c:v>0.69686411149825789</c:v>
                </c:pt>
                <c:pt idx="68">
                  <c:v>27.835051546391753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99-7D42-A55E-BB539CE4D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0214216"/>
        <c:axId val="2100217592"/>
      </c:scatterChart>
      <c:valAx>
        <c:axId val="2100214216"/>
        <c:scaling>
          <c:orientation val="minMax"/>
          <c:max val="30"/>
          <c:min val="8"/>
        </c:scaling>
        <c:delete val="0"/>
        <c:axPos val="b"/>
        <c:majorTickMark val="cross"/>
        <c:minorTickMark val="out"/>
        <c:tickLblPos val="none"/>
        <c:spPr>
          <a:ln w="12700">
            <a:solidFill>
              <a:srgbClr val="000000"/>
            </a:solidFill>
            <a:prstDash val="solid"/>
          </a:ln>
        </c:spPr>
        <c:crossAx val="2100217592"/>
        <c:crosses val="autoZero"/>
        <c:crossBetween val="midCat"/>
        <c:majorUnit val="1"/>
        <c:minorUnit val="0.1"/>
      </c:valAx>
      <c:valAx>
        <c:axId val="2100217592"/>
        <c:scaling>
          <c:orientation val="minMax"/>
          <c:max val="30"/>
        </c:scaling>
        <c:delete val="0"/>
        <c:axPos val="l"/>
        <c:numFmt formatCode="0.00" sourceLinked="1"/>
        <c:majorTickMark val="cross"/>
        <c:minorTickMark val="in"/>
        <c:tickLblPos val="none"/>
        <c:spPr>
          <a:ln w="12700">
            <a:solidFill>
              <a:srgbClr val="000000"/>
            </a:solidFill>
            <a:prstDash val="solid"/>
          </a:ln>
        </c:spPr>
        <c:crossAx val="2100214216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NL"/>
    </a:p>
  </c:txPr>
  <c:printSettings>
    <c:headerFooter>
      <c:oddHeader>&amp;f</c:oddHeader>
      <c:oddFooter>Page &amp;p</c:oddFooter>
    </c:headerFooter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930561790817306E-3"/>
          <c:y val="0.115385021685163"/>
          <c:w val="0.98142193813202605"/>
          <c:h val="0.778848896374851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strRef>
              <c:f>'T89-16t'!$BD$5:$BD$201</c:f>
              <c:strCache>
                <c:ptCount val="65"/>
                <c:pt idx="0">
                  <c:v>Median Cal years R540+/-70 adj </c:v>
                </c:pt>
                <c:pt idx="1">
                  <c:v>8466</c:v>
                </c:pt>
                <c:pt idx="2">
                  <c:v>8744</c:v>
                </c:pt>
                <c:pt idx="3">
                  <c:v>9084</c:v>
                </c:pt>
                <c:pt idx="4">
                  <c:v>9238</c:v>
                </c:pt>
                <c:pt idx="5">
                  <c:v>9470</c:v>
                </c:pt>
                <c:pt idx="6">
                  <c:v>9779</c:v>
                </c:pt>
                <c:pt idx="7">
                  <c:v>10010</c:v>
                </c:pt>
                <c:pt idx="8">
                  <c:v>10242</c:v>
                </c:pt>
                <c:pt idx="9">
                  <c:v>10396</c:v>
                </c:pt>
                <c:pt idx="10">
                  <c:v>10628</c:v>
                </c:pt>
                <c:pt idx="11">
                  <c:v>10782</c:v>
                </c:pt>
                <c:pt idx="12">
                  <c:v>11014</c:v>
                </c:pt>
                <c:pt idx="13">
                  <c:v>11168</c:v>
                </c:pt>
                <c:pt idx="14">
                  <c:v>11432</c:v>
                </c:pt>
                <c:pt idx="15">
                  <c:v>11790</c:v>
                </c:pt>
                <c:pt idx="16">
                  <c:v>12058</c:v>
                </c:pt>
                <c:pt idx="17">
                  <c:v>12211</c:v>
                </c:pt>
                <c:pt idx="18">
                  <c:v>12293</c:v>
                </c:pt>
                <c:pt idx="19">
                  <c:v>12402</c:v>
                </c:pt>
                <c:pt idx="20">
                  <c:v>12483</c:v>
                </c:pt>
                <c:pt idx="21">
                  <c:v>12592</c:v>
                </c:pt>
                <c:pt idx="22">
                  <c:v>12692</c:v>
                </c:pt>
                <c:pt idx="23">
                  <c:v>12737</c:v>
                </c:pt>
                <c:pt idx="24">
                  <c:v>12810</c:v>
                </c:pt>
                <c:pt idx="25">
                  <c:v>12900</c:v>
                </c:pt>
                <c:pt idx="26">
                  <c:v>12968</c:v>
                </c:pt>
                <c:pt idx="27">
                  <c:v>12990</c:v>
                </c:pt>
                <c:pt idx="28">
                  <c:v>13012</c:v>
                </c:pt>
                <c:pt idx="29">
                  <c:v>13042</c:v>
                </c:pt>
                <c:pt idx="30">
                  <c:v>13069</c:v>
                </c:pt>
                <c:pt idx="31">
                  <c:v>13090</c:v>
                </c:pt>
                <c:pt idx="32">
                  <c:v>13172</c:v>
                </c:pt>
                <c:pt idx="33">
                  <c:v>13542</c:v>
                </c:pt>
                <c:pt idx="34">
                  <c:v>14908</c:v>
                </c:pt>
                <c:pt idx="35">
                  <c:v>15546</c:v>
                </c:pt>
                <c:pt idx="36">
                  <c:v>16362</c:v>
                </c:pt>
                <c:pt idx="37">
                  <c:v>16949</c:v>
                </c:pt>
                <c:pt idx="38">
                  <c:v>17490</c:v>
                </c:pt>
                <c:pt idx="39">
                  <c:v>18311</c:v>
                </c:pt>
                <c:pt idx="40">
                  <c:v>19559</c:v>
                </c:pt>
                <c:pt idx="41">
                  <c:v>20494</c:v>
                </c:pt>
                <c:pt idx="42">
                  <c:v>21742</c:v>
                </c:pt>
                <c:pt idx="43">
                  <c:v>22990</c:v>
                </c:pt>
                <c:pt idx="44">
                  <c:v>24200</c:v>
                </c:pt>
                <c:pt idx="45">
                  <c:v>25212</c:v>
                </c:pt>
                <c:pt idx="46">
                  <c:v>25745</c:v>
                </c:pt>
                <c:pt idx="47">
                  <c:v>26544</c:v>
                </c:pt>
                <c:pt idx="48">
                  <c:v>27503</c:v>
                </c:pt>
                <c:pt idx="49">
                  <c:v>28185</c:v>
                </c:pt>
                <c:pt idx="50">
                  <c:v>28739</c:v>
                </c:pt>
                <c:pt idx="51">
                  <c:v>29126</c:v>
                </c:pt>
                <c:pt idx="52">
                  <c:v>29680</c:v>
                </c:pt>
                <c:pt idx="53">
                  <c:v>30179</c:v>
                </c:pt>
                <c:pt idx="54">
                  <c:v>30493</c:v>
                </c:pt>
                <c:pt idx="55">
                  <c:v>30649</c:v>
                </c:pt>
                <c:pt idx="56">
                  <c:v>30805</c:v>
                </c:pt>
                <c:pt idx="57">
                  <c:v>31008</c:v>
                </c:pt>
                <c:pt idx="58">
                  <c:v>31116</c:v>
                </c:pt>
                <c:pt idx="59">
                  <c:v>31308</c:v>
                </c:pt>
                <c:pt idx="60">
                  <c:v>31428</c:v>
                </c:pt>
                <c:pt idx="61">
                  <c:v>31632</c:v>
                </c:pt>
                <c:pt idx="62">
                  <c:v>32142</c:v>
                </c:pt>
                <c:pt idx="63">
                  <c:v>32708</c:v>
                </c:pt>
                <c:pt idx="64">
                  <c:v>33274</c:v>
                </c:pt>
              </c:strCache>
            </c:strRef>
          </c:xVal>
          <c:yVal>
            <c:numRef>
              <c:f>'T89-16t'!$G$5:$G$201</c:f>
              <c:numCache>
                <c:formatCode>0.00</c:formatCode>
                <c:ptCount val="197"/>
                <c:pt idx="0">
                  <c:v>0</c:v>
                </c:pt>
                <c:pt idx="1">
                  <c:v>13.106796116504855</c:v>
                </c:pt>
                <c:pt idx="2">
                  <c:v>6.0606060606060606</c:v>
                </c:pt>
                <c:pt idx="3">
                  <c:v>4.8991354466858787</c:v>
                </c:pt>
                <c:pt idx="4">
                  <c:v>6.4102564102564106</c:v>
                </c:pt>
                <c:pt idx="5">
                  <c:v>0.56818181818181823</c:v>
                </c:pt>
                <c:pt idx="6">
                  <c:v>0.39840637450199201</c:v>
                </c:pt>
                <c:pt idx="7">
                  <c:v>0.78740157480314965</c:v>
                </c:pt>
                <c:pt idx="8">
                  <c:v>2.5510204081632653</c:v>
                </c:pt>
                <c:pt idx="9">
                  <c:v>1.5873015873015872</c:v>
                </c:pt>
                <c:pt idx="10">
                  <c:v>2.6548672566371683</c:v>
                </c:pt>
                <c:pt idx="11">
                  <c:v>2.5906735751295336</c:v>
                </c:pt>
                <c:pt idx="12">
                  <c:v>1.7793594306049823</c:v>
                </c:pt>
                <c:pt idx="13">
                  <c:v>3.125</c:v>
                </c:pt>
                <c:pt idx="14">
                  <c:v>2.4691358024691357</c:v>
                </c:pt>
                <c:pt idx="15">
                  <c:v>6.9069069069069071</c:v>
                </c:pt>
                <c:pt idx="16">
                  <c:v>6.8728522336769755</c:v>
                </c:pt>
                <c:pt idx="17">
                  <c:v>4.4189852700490997</c:v>
                </c:pt>
                <c:pt idx="18">
                  <c:v>7.2599531615925059</c:v>
                </c:pt>
                <c:pt idx="19">
                  <c:v>7.623318385650224</c:v>
                </c:pt>
                <c:pt idx="20">
                  <c:v>11.082474226804123</c:v>
                </c:pt>
                <c:pt idx="21">
                  <c:v>5.8004640371229694</c:v>
                </c:pt>
                <c:pt idx="22">
                  <c:v>8.8235294117647065</c:v>
                </c:pt>
                <c:pt idx="23">
                  <c:v>5.0218340611353716</c:v>
                </c:pt>
                <c:pt idx="24">
                  <c:v>5.6034482758620694</c:v>
                </c:pt>
                <c:pt idx="25">
                  <c:v>7.441860465116279</c:v>
                </c:pt>
                <c:pt idx="26">
                  <c:v>6.4655172413793105</c:v>
                </c:pt>
                <c:pt idx="27">
                  <c:v>5.5408970976253302</c:v>
                </c:pt>
                <c:pt idx="28">
                  <c:v>4.3478260869565215</c:v>
                </c:pt>
                <c:pt idx="29">
                  <c:v>4.967602591792657</c:v>
                </c:pt>
                <c:pt idx="30">
                  <c:v>3.7135278514588861</c:v>
                </c:pt>
                <c:pt idx="31">
                  <c:v>4.4585987261146496</c:v>
                </c:pt>
                <c:pt idx="32">
                  <c:v>4.6228710462287106</c:v>
                </c:pt>
                <c:pt idx="33">
                  <c:v>7.2340425531914896</c:v>
                </c:pt>
                <c:pt idx="34">
                  <c:v>12.280701754385966</c:v>
                </c:pt>
                <c:pt idx="35">
                  <c:v>6.1420345489443378</c:v>
                </c:pt>
                <c:pt idx="36">
                  <c:v>7.1038251366120218</c:v>
                </c:pt>
                <c:pt idx="37">
                  <c:v>10.48158640226629</c:v>
                </c:pt>
                <c:pt idx="38">
                  <c:v>6.6964285714285712</c:v>
                </c:pt>
                <c:pt idx="39">
                  <c:v>0</c:v>
                </c:pt>
                <c:pt idx="40">
                  <c:v>0.95541401273885351</c:v>
                </c:pt>
                <c:pt idx="41">
                  <c:v>3.5264483627204029</c:v>
                </c:pt>
                <c:pt idx="42">
                  <c:v>1.2084592145015105</c:v>
                </c:pt>
                <c:pt idx="43">
                  <c:v>2.0289855072463769</c:v>
                </c:pt>
                <c:pt idx="44">
                  <c:v>0.29850746268656714</c:v>
                </c:pt>
                <c:pt idx="45">
                  <c:v>2.7247956403269753</c:v>
                </c:pt>
                <c:pt idx="46">
                  <c:v>2.6905829596412558</c:v>
                </c:pt>
                <c:pt idx="47">
                  <c:v>16.403785488958992</c:v>
                </c:pt>
                <c:pt idx="48">
                  <c:v>1.3245033112582782</c:v>
                </c:pt>
                <c:pt idx="49">
                  <c:v>1.3550135501355014</c:v>
                </c:pt>
                <c:pt idx="50">
                  <c:v>1.909307875894988</c:v>
                </c:pt>
                <c:pt idx="51">
                  <c:v>2.8708133971291865</c:v>
                </c:pt>
                <c:pt idx="52">
                  <c:v>1.4285714285714286</c:v>
                </c:pt>
                <c:pt idx="53">
                  <c:v>2.0161290322580645</c:v>
                </c:pt>
                <c:pt idx="54">
                  <c:v>1.4124293785310735</c:v>
                </c:pt>
                <c:pt idx="55">
                  <c:v>1.8656716417910448</c:v>
                </c:pt>
                <c:pt idx="56">
                  <c:v>0.90361445783132532</c:v>
                </c:pt>
                <c:pt idx="57">
                  <c:v>1.1869436201780414</c:v>
                </c:pt>
                <c:pt idx="58">
                  <c:v>1.0452961672473868</c:v>
                </c:pt>
                <c:pt idx="59">
                  <c:v>0.98039215686274506</c:v>
                </c:pt>
                <c:pt idx="60">
                  <c:v>1.7543859649122806</c:v>
                </c:pt>
                <c:pt idx="61">
                  <c:v>0.98684210526315785</c:v>
                </c:pt>
                <c:pt idx="62">
                  <c:v>0.59701492537313428</c:v>
                </c:pt>
                <c:pt idx="63">
                  <c:v>0.25974025974025972</c:v>
                </c:pt>
                <c:pt idx="64">
                  <c:v>2.4229074889867843</c:v>
                </c:pt>
                <c:pt idx="66">
                  <c:v>4.1258716143233976</c:v>
                </c:pt>
                <c:pt idx="67">
                  <c:v>0</c:v>
                </c:pt>
                <c:pt idx="68">
                  <c:v>16.403785488958992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61-AC44-8C93-879255660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0245032"/>
        <c:axId val="2100248408"/>
      </c:scatterChart>
      <c:valAx>
        <c:axId val="2100245032"/>
        <c:scaling>
          <c:orientation val="minMax"/>
          <c:max val="30"/>
          <c:min val="8"/>
        </c:scaling>
        <c:delete val="0"/>
        <c:axPos val="b"/>
        <c:majorTickMark val="cross"/>
        <c:minorTickMark val="out"/>
        <c:tickLblPos val="none"/>
        <c:spPr>
          <a:ln w="12700">
            <a:solidFill>
              <a:srgbClr val="000000"/>
            </a:solidFill>
            <a:prstDash val="solid"/>
          </a:ln>
        </c:spPr>
        <c:crossAx val="2100248408"/>
        <c:crosses val="autoZero"/>
        <c:crossBetween val="midCat"/>
        <c:majorUnit val="1"/>
        <c:minorUnit val="0.1"/>
      </c:valAx>
      <c:valAx>
        <c:axId val="2100248408"/>
        <c:scaling>
          <c:orientation val="minMax"/>
          <c:max val="30"/>
        </c:scaling>
        <c:delete val="0"/>
        <c:axPos val="l"/>
        <c:numFmt formatCode="0.00" sourceLinked="1"/>
        <c:majorTickMark val="cross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100245032"/>
        <c:crosses val="autoZero"/>
        <c:crossBetween val="midCat"/>
        <c:majorUnit val="10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NL"/>
    </a:p>
  </c:txPr>
  <c:printSettings>
    <c:headerFooter>
      <c:oddHeader>&amp;f</c:oddHeader>
      <c:oddFooter>Page &amp;p</c:oddFooter>
    </c:headerFooter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930561790817306E-3"/>
          <c:y val="0.115385021685163"/>
          <c:w val="0.98142193813202605"/>
          <c:h val="0.778848896374851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strRef>
              <c:f>'T89-16t'!$BD$5:$BD$201</c:f>
              <c:strCache>
                <c:ptCount val="65"/>
                <c:pt idx="0">
                  <c:v>Median Cal years R540+/-70 adj </c:v>
                </c:pt>
                <c:pt idx="1">
                  <c:v>8466</c:v>
                </c:pt>
                <c:pt idx="2">
                  <c:v>8744</c:v>
                </c:pt>
                <c:pt idx="3">
                  <c:v>9084</c:v>
                </c:pt>
                <c:pt idx="4">
                  <c:v>9238</c:v>
                </c:pt>
                <c:pt idx="5">
                  <c:v>9470</c:v>
                </c:pt>
                <c:pt idx="6">
                  <c:v>9779</c:v>
                </c:pt>
                <c:pt idx="7">
                  <c:v>10010</c:v>
                </c:pt>
                <c:pt idx="8">
                  <c:v>10242</c:v>
                </c:pt>
                <c:pt idx="9">
                  <c:v>10396</c:v>
                </c:pt>
                <c:pt idx="10">
                  <c:v>10628</c:v>
                </c:pt>
                <c:pt idx="11">
                  <c:v>10782</c:v>
                </c:pt>
                <c:pt idx="12">
                  <c:v>11014</c:v>
                </c:pt>
                <c:pt idx="13">
                  <c:v>11168</c:v>
                </c:pt>
                <c:pt idx="14">
                  <c:v>11432</c:v>
                </c:pt>
                <c:pt idx="15">
                  <c:v>11790</c:v>
                </c:pt>
                <c:pt idx="16">
                  <c:v>12058</c:v>
                </c:pt>
                <c:pt idx="17">
                  <c:v>12211</c:v>
                </c:pt>
                <c:pt idx="18">
                  <c:v>12293</c:v>
                </c:pt>
                <c:pt idx="19">
                  <c:v>12402</c:v>
                </c:pt>
                <c:pt idx="20">
                  <c:v>12483</c:v>
                </c:pt>
                <c:pt idx="21">
                  <c:v>12592</c:v>
                </c:pt>
                <c:pt idx="22">
                  <c:v>12692</c:v>
                </c:pt>
                <c:pt idx="23">
                  <c:v>12737</c:v>
                </c:pt>
                <c:pt idx="24">
                  <c:v>12810</c:v>
                </c:pt>
                <c:pt idx="25">
                  <c:v>12900</c:v>
                </c:pt>
                <c:pt idx="26">
                  <c:v>12968</c:v>
                </c:pt>
                <c:pt idx="27">
                  <c:v>12990</c:v>
                </c:pt>
                <c:pt idx="28">
                  <c:v>13012</c:v>
                </c:pt>
                <c:pt idx="29">
                  <c:v>13042</c:v>
                </c:pt>
                <c:pt idx="30">
                  <c:v>13069</c:v>
                </c:pt>
                <c:pt idx="31">
                  <c:v>13090</c:v>
                </c:pt>
                <c:pt idx="32">
                  <c:v>13172</c:v>
                </c:pt>
                <c:pt idx="33">
                  <c:v>13542</c:v>
                </c:pt>
                <c:pt idx="34">
                  <c:v>14908</c:v>
                </c:pt>
                <c:pt idx="35">
                  <c:v>15546</c:v>
                </c:pt>
                <c:pt idx="36">
                  <c:v>16362</c:v>
                </c:pt>
                <c:pt idx="37">
                  <c:v>16949</c:v>
                </c:pt>
                <c:pt idx="38">
                  <c:v>17490</c:v>
                </c:pt>
                <c:pt idx="39">
                  <c:v>18311</c:v>
                </c:pt>
                <c:pt idx="40">
                  <c:v>19559</c:v>
                </c:pt>
                <c:pt idx="41">
                  <c:v>20494</c:v>
                </c:pt>
                <c:pt idx="42">
                  <c:v>21742</c:v>
                </c:pt>
                <c:pt idx="43">
                  <c:v>22990</c:v>
                </c:pt>
                <c:pt idx="44">
                  <c:v>24200</c:v>
                </c:pt>
                <c:pt idx="45">
                  <c:v>25212</c:v>
                </c:pt>
                <c:pt idx="46">
                  <c:v>25745</c:v>
                </c:pt>
                <c:pt idx="47">
                  <c:v>26544</c:v>
                </c:pt>
                <c:pt idx="48">
                  <c:v>27503</c:v>
                </c:pt>
                <c:pt idx="49">
                  <c:v>28185</c:v>
                </c:pt>
                <c:pt idx="50">
                  <c:v>28739</c:v>
                </c:pt>
                <c:pt idx="51">
                  <c:v>29126</c:v>
                </c:pt>
                <c:pt idx="52">
                  <c:v>29680</c:v>
                </c:pt>
                <c:pt idx="53">
                  <c:v>30179</c:v>
                </c:pt>
                <c:pt idx="54">
                  <c:v>30493</c:v>
                </c:pt>
                <c:pt idx="55">
                  <c:v>30649</c:v>
                </c:pt>
                <c:pt idx="56">
                  <c:v>30805</c:v>
                </c:pt>
                <c:pt idx="57">
                  <c:v>31008</c:v>
                </c:pt>
                <c:pt idx="58">
                  <c:v>31116</c:v>
                </c:pt>
                <c:pt idx="59">
                  <c:v>31308</c:v>
                </c:pt>
                <c:pt idx="60">
                  <c:v>31428</c:v>
                </c:pt>
                <c:pt idx="61">
                  <c:v>31632</c:v>
                </c:pt>
                <c:pt idx="62">
                  <c:v>32142</c:v>
                </c:pt>
                <c:pt idx="63">
                  <c:v>32708</c:v>
                </c:pt>
                <c:pt idx="64">
                  <c:v>33274</c:v>
                </c:pt>
              </c:strCache>
            </c:strRef>
          </c:xVal>
          <c:yVal>
            <c:numRef>
              <c:f>'T89-16t'!$J$5:$J$201</c:f>
              <c:numCache>
                <c:formatCode>0.00</c:formatCode>
                <c:ptCount val="197"/>
                <c:pt idx="1">
                  <c:v>2.4271844660194173</c:v>
                </c:pt>
                <c:pt idx="2">
                  <c:v>3.0303030303030303</c:v>
                </c:pt>
                <c:pt idx="3">
                  <c:v>6.3400576368876083</c:v>
                </c:pt>
                <c:pt idx="4">
                  <c:v>7.0512820512820511</c:v>
                </c:pt>
                <c:pt idx="5">
                  <c:v>8.5227272727272734</c:v>
                </c:pt>
                <c:pt idx="6">
                  <c:v>7.9681274900398407</c:v>
                </c:pt>
                <c:pt idx="7">
                  <c:v>11.023622047244094</c:v>
                </c:pt>
                <c:pt idx="8">
                  <c:v>9.6938775510204085</c:v>
                </c:pt>
                <c:pt idx="9">
                  <c:v>6.8783068783068781</c:v>
                </c:pt>
                <c:pt idx="10">
                  <c:v>4.8672566371681416</c:v>
                </c:pt>
                <c:pt idx="11">
                  <c:v>20.725388601036268</c:v>
                </c:pt>
                <c:pt idx="12">
                  <c:v>7.117437722419929</c:v>
                </c:pt>
                <c:pt idx="13">
                  <c:v>7.5892857142857144</c:v>
                </c:pt>
                <c:pt idx="14">
                  <c:v>6.666666666666667</c:v>
                </c:pt>
                <c:pt idx="15">
                  <c:v>15.615615615615615</c:v>
                </c:pt>
                <c:pt idx="16">
                  <c:v>5.1546391752577323</c:v>
                </c:pt>
                <c:pt idx="17">
                  <c:v>4.7463175122749588</c:v>
                </c:pt>
                <c:pt idx="18">
                  <c:v>8.899297423887587</c:v>
                </c:pt>
                <c:pt idx="19">
                  <c:v>9.4170403587443943</c:v>
                </c:pt>
                <c:pt idx="20">
                  <c:v>7.9896907216494846</c:v>
                </c:pt>
                <c:pt idx="21">
                  <c:v>6.9605568445475638</c:v>
                </c:pt>
                <c:pt idx="22">
                  <c:v>9.0497737556561084</c:v>
                </c:pt>
                <c:pt idx="23">
                  <c:v>5.8951965065502181</c:v>
                </c:pt>
                <c:pt idx="24">
                  <c:v>6.8965517241379306</c:v>
                </c:pt>
                <c:pt idx="25">
                  <c:v>1.8604651162790697</c:v>
                </c:pt>
                <c:pt idx="26">
                  <c:v>5.6034482758620694</c:v>
                </c:pt>
                <c:pt idx="27">
                  <c:v>8.7071240105540895</c:v>
                </c:pt>
                <c:pt idx="28">
                  <c:v>6.3938618925831205</c:v>
                </c:pt>
                <c:pt idx="29">
                  <c:v>7.7753779697624186</c:v>
                </c:pt>
                <c:pt idx="30">
                  <c:v>5.8355437665782492</c:v>
                </c:pt>
                <c:pt idx="31">
                  <c:v>4.7770700636942678</c:v>
                </c:pt>
                <c:pt idx="32">
                  <c:v>3.4063260340632602</c:v>
                </c:pt>
                <c:pt idx="33">
                  <c:v>5.5319148936170217</c:v>
                </c:pt>
                <c:pt idx="34">
                  <c:v>6.3596491228070171</c:v>
                </c:pt>
                <c:pt idx="35">
                  <c:v>4.4145873320537428</c:v>
                </c:pt>
                <c:pt idx="36">
                  <c:v>5.7377049180327866</c:v>
                </c:pt>
                <c:pt idx="37">
                  <c:v>7.0821529745042495</c:v>
                </c:pt>
                <c:pt idx="38">
                  <c:v>6.25</c:v>
                </c:pt>
                <c:pt idx="39">
                  <c:v>0.12195121951219512</c:v>
                </c:pt>
                <c:pt idx="40">
                  <c:v>0</c:v>
                </c:pt>
                <c:pt idx="41">
                  <c:v>0.25188916876574308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3.8147138964577656</c:v>
                </c:pt>
                <c:pt idx="46">
                  <c:v>8.071748878923767</c:v>
                </c:pt>
                <c:pt idx="47">
                  <c:v>10.725552050473187</c:v>
                </c:pt>
                <c:pt idx="48">
                  <c:v>0.33112582781456956</c:v>
                </c:pt>
                <c:pt idx="49">
                  <c:v>0.54200542005420049</c:v>
                </c:pt>
                <c:pt idx="50">
                  <c:v>0.2386634844868735</c:v>
                </c:pt>
                <c:pt idx="51">
                  <c:v>0.71770334928229662</c:v>
                </c:pt>
                <c:pt idx="52">
                  <c:v>3.3333333333333335</c:v>
                </c:pt>
                <c:pt idx="53">
                  <c:v>0.40322580645161288</c:v>
                </c:pt>
                <c:pt idx="54">
                  <c:v>0.56497175141242939</c:v>
                </c:pt>
                <c:pt idx="55">
                  <c:v>0.37313432835820898</c:v>
                </c:pt>
                <c:pt idx="56">
                  <c:v>0.30120481927710846</c:v>
                </c:pt>
                <c:pt idx="57">
                  <c:v>0.59347181008902072</c:v>
                </c:pt>
                <c:pt idx="58">
                  <c:v>0.34843205574912894</c:v>
                </c:pt>
                <c:pt idx="59">
                  <c:v>1.9607843137254901</c:v>
                </c:pt>
                <c:pt idx="60">
                  <c:v>0.43859649122807015</c:v>
                </c:pt>
                <c:pt idx="61">
                  <c:v>0.65789473684210531</c:v>
                </c:pt>
                <c:pt idx="62">
                  <c:v>1.4925373134328359</c:v>
                </c:pt>
                <c:pt idx="63">
                  <c:v>1.0389610389610389</c:v>
                </c:pt>
                <c:pt idx="64">
                  <c:v>0.44052863436123346</c:v>
                </c:pt>
                <c:pt idx="66">
                  <c:v>4.7972478047361298</c:v>
                </c:pt>
                <c:pt idx="67">
                  <c:v>0</c:v>
                </c:pt>
                <c:pt idx="68">
                  <c:v>20.725388601036268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A5-1A4C-9A12-E7B230C76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0276152"/>
        <c:axId val="2100279528"/>
      </c:scatterChart>
      <c:valAx>
        <c:axId val="2100276152"/>
        <c:scaling>
          <c:orientation val="minMax"/>
          <c:max val="30"/>
          <c:min val="8"/>
        </c:scaling>
        <c:delete val="0"/>
        <c:axPos val="b"/>
        <c:majorTickMark val="cross"/>
        <c:minorTickMark val="out"/>
        <c:tickLblPos val="none"/>
        <c:spPr>
          <a:ln w="12700">
            <a:solidFill>
              <a:srgbClr val="000000"/>
            </a:solidFill>
            <a:prstDash val="solid"/>
          </a:ln>
        </c:spPr>
        <c:crossAx val="2100279528"/>
        <c:crosses val="autoZero"/>
        <c:crossBetween val="midCat"/>
        <c:majorUnit val="1"/>
        <c:minorUnit val="0.1"/>
      </c:valAx>
      <c:valAx>
        <c:axId val="2100279528"/>
        <c:scaling>
          <c:orientation val="minMax"/>
          <c:max val="20"/>
        </c:scaling>
        <c:delete val="0"/>
        <c:axPos val="l"/>
        <c:numFmt formatCode="0.00" sourceLinked="1"/>
        <c:majorTickMark val="cross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100276152"/>
        <c:crosses val="autoZero"/>
        <c:crossBetween val="midCat"/>
        <c:majorUnit val="10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NL"/>
    </a:p>
  </c:txPr>
  <c:printSettings>
    <c:headerFooter>
      <c:oddHeader>&amp;f</c:oddHeader>
      <c:oddFooter>Page &amp;p</c:oddFooter>
    </c:headerFooter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930561790817306E-3"/>
          <c:y val="0.115385021685163"/>
          <c:w val="0.98142193813202605"/>
          <c:h val="0.778848896374851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strRef>
              <c:f>'T89-16t'!$BD$5:$BD$201</c:f>
              <c:strCache>
                <c:ptCount val="65"/>
                <c:pt idx="0">
                  <c:v>Median Cal years R540+/-70 adj </c:v>
                </c:pt>
                <c:pt idx="1">
                  <c:v>8466</c:v>
                </c:pt>
                <c:pt idx="2">
                  <c:v>8744</c:v>
                </c:pt>
                <c:pt idx="3">
                  <c:v>9084</c:v>
                </c:pt>
                <c:pt idx="4">
                  <c:v>9238</c:v>
                </c:pt>
                <c:pt idx="5">
                  <c:v>9470</c:v>
                </c:pt>
                <c:pt idx="6">
                  <c:v>9779</c:v>
                </c:pt>
                <c:pt idx="7">
                  <c:v>10010</c:v>
                </c:pt>
                <c:pt idx="8">
                  <c:v>10242</c:v>
                </c:pt>
                <c:pt idx="9">
                  <c:v>10396</c:v>
                </c:pt>
                <c:pt idx="10">
                  <c:v>10628</c:v>
                </c:pt>
                <c:pt idx="11">
                  <c:v>10782</c:v>
                </c:pt>
                <c:pt idx="12">
                  <c:v>11014</c:v>
                </c:pt>
                <c:pt idx="13">
                  <c:v>11168</c:v>
                </c:pt>
                <c:pt idx="14">
                  <c:v>11432</c:v>
                </c:pt>
                <c:pt idx="15">
                  <c:v>11790</c:v>
                </c:pt>
                <c:pt idx="16">
                  <c:v>12058</c:v>
                </c:pt>
                <c:pt idx="17">
                  <c:v>12211</c:v>
                </c:pt>
                <c:pt idx="18">
                  <c:v>12293</c:v>
                </c:pt>
                <c:pt idx="19">
                  <c:v>12402</c:v>
                </c:pt>
                <c:pt idx="20">
                  <c:v>12483</c:v>
                </c:pt>
                <c:pt idx="21">
                  <c:v>12592</c:v>
                </c:pt>
                <c:pt idx="22">
                  <c:v>12692</c:v>
                </c:pt>
                <c:pt idx="23">
                  <c:v>12737</c:v>
                </c:pt>
                <c:pt idx="24">
                  <c:v>12810</c:v>
                </c:pt>
                <c:pt idx="25">
                  <c:v>12900</c:v>
                </c:pt>
                <c:pt idx="26">
                  <c:v>12968</c:v>
                </c:pt>
                <c:pt idx="27">
                  <c:v>12990</c:v>
                </c:pt>
                <c:pt idx="28">
                  <c:v>13012</c:v>
                </c:pt>
                <c:pt idx="29">
                  <c:v>13042</c:v>
                </c:pt>
                <c:pt idx="30">
                  <c:v>13069</c:v>
                </c:pt>
                <c:pt idx="31">
                  <c:v>13090</c:v>
                </c:pt>
                <c:pt idx="32">
                  <c:v>13172</c:v>
                </c:pt>
                <c:pt idx="33">
                  <c:v>13542</c:v>
                </c:pt>
                <c:pt idx="34">
                  <c:v>14908</c:v>
                </c:pt>
                <c:pt idx="35">
                  <c:v>15546</c:v>
                </c:pt>
                <c:pt idx="36">
                  <c:v>16362</c:v>
                </c:pt>
                <c:pt idx="37">
                  <c:v>16949</c:v>
                </c:pt>
                <c:pt idx="38">
                  <c:v>17490</c:v>
                </c:pt>
                <c:pt idx="39">
                  <c:v>18311</c:v>
                </c:pt>
                <c:pt idx="40">
                  <c:v>19559</c:v>
                </c:pt>
                <c:pt idx="41">
                  <c:v>20494</c:v>
                </c:pt>
                <c:pt idx="42">
                  <c:v>21742</c:v>
                </c:pt>
                <c:pt idx="43">
                  <c:v>22990</c:v>
                </c:pt>
                <c:pt idx="44">
                  <c:v>24200</c:v>
                </c:pt>
                <c:pt idx="45">
                  <c:v>25212</c:v>
                </c:pt>
                <c:pt idx="46">
                  <c:v>25745</c:v>
                </c:pt>
                <c:pt idx="47">
                  <c:v>26544</c:v>
                </c:pt>
                <c:pt idx="48">
                  <c:v>27503</c:v>
                </c:pt>
                <c:pt idx="49">
                  <c:v>28185</c:v>
                </c:pt>
                <c:pt idx="50">
                  <c:v>28739</c:v>
                </c:pt>
                <c:pt idx="51">
                  <c:v>29126</c:v>
                </c:pt>
                <c:pt idx="52">
                  <c:v>29680</c:v>
                </c:pt>
                <c:pt idx="53">
                  <c:v>30179</c:v>
                </c:pt>
                <c:pt idx="54">
                  <c:v>30493</c:v>
                </c:pt>
                <c:pt idx="55">
                  <c:v>30649</c:v>
                </c:pt>
                <c:pt idx="56">
                  <c:v>30805</c:v>
                </c:pt>
                <c:pt idx="57">
                  <c:v>31008</c:v>
                </c:pt>
                <c:pt idx="58">
                  <c:v>31116</c:v>
                </c:pt>
                <c:pt idx="59">
                  <c:v>31308</c:v>
                </c:pt>
                <c:pt idx="60">
                  <c:v>31428</c:v>
                </c:pt>
                <c:pt idx="61">
                  <c:v>31632</c:v>
                </c:pt>
                <c:pt idx="62">
                  <c:v>32142</c:v>
                </c:pt>
                <c:pt idx="63">
                  <c:v>32708</c:v>
                </c:pt>
                <c:pt idx="64">
                  <c:v>33274</c:v>
                </c:pt>
              </c:strCache>
            </c:strRef>
          </c:xVal>
          <c:yVal>
            <c:numRef>
              <c:f>'T89-16t'!$O$5:$O$201</c:f>
              <c:numCache>
                <c:formatCode>0.00</c:formatCode>
                <c:ptCount val="197"/>
                <c:pt idx="1">
                  <c:v>9.2233009708737868</c:v>
                </c:pt>
                <c:pt idx="2">
                  <c:v>12.121212121212121</c:v>
                </c:pt>
                <c:pt idx="3">
                  <c:v>20.749279538904901</c:v>
                </c:pt>
                <c:pt idx="4">
                  <c:v>16.346153846153847</c:v>
                </c:pt>
                <c:pt idx="5">
                  <c:v>18.75</c:v>
                </c:pt>
                <c:pt idx="6">
                  <c:v>25.89641434262948</c:v>
                </c:pt>
                <c:pt idx="7">
                  <c:v>20.472440944881889</c:v>
                </c:pt>
                <c:pt idx="8">
                  <c:v>26.020408163265305</c:v>
                </c:pt>
                <c:pt idx="9">
                  <c:v>30.158730158730158</c:v>
                </c:pt>
                <c:pt idx="10">
                  <c:v>25.663716814159294</c:v>
                </c:pt>
                <c:pt idx="11">
                  <c:v>18.652849740932641</c:v>
                </c:pt>
                <c:pt idx="12">
                  <c:v>23.487544483985765</c:v>
                </c:pt>
                <c:pt idx="13">
                  <c:v>16.071428571428573</c:v>
                </c:pt>
                <c:pt idx="14">
                  <c:v>27.407407407407408</c:v>
                </c:pt>
                <c:pt idx="15">
                  <c:v>22.522522522522522</c:v>
                </c:pt>
                <c:pt idx="16">
                  <c:v>21.305841924398624</c:v>
                </c:pt>
                <c:pt idx="17">
                  <c:v>32.405891980360067</c:v>
                </c:pt>
                <c:pt idx="18">
                  <c:v>28.805620608899297</c:v>
                </c:pt>
                <c:pt idx="19">
                  <c:v>33.183856502242151</c:v>
                </c:pt>
                <c:pt idx="20">
                  <c:v>33.505154639175259</c:v>
                </c:pt>
                <c:pt idx="21">
                  <c:v>45.011600928074245</c:v>
                </c:pt>
                <c:pt idx="22">
                  <c:v>40.723981900452486</c:v>
                </c:pt>
                <c:pt idx="23">
                  <c:v>43.449781659388648</c:v>
                </c:pt>
                <c:pt idx="24">
                  <c:v>31.896551724137932</c:v>
                </c:pt>
                <c:pt idx="25">
                  <c:v>32.558139534883722</c:v>
                </c:pt>
                <c:pt idx="26">
                  <c:v>31.46551724137931</c:v>
                </c:pt>
                <c:pt idx="27">
                  <c:v>28.759894459102902</c:v>
                </c:pt>
                <c:pt idx="28">
                  <c:v>36.0613810741688</c:v>
                </c:pt>
                <c:pt idx="29">
                  <c:v>40.388768898488124</c:v>
                </c:pt>
                <c:pt idx="30">
                  <c:v>47.214854111405835</c:v>
                </c:pt>
                <c:pt idx="31">
                  <c:v>50.636942675159233</c:v>
                </c:pt>
                <c:pt idx="32">
                  <c:v>48.661800486618006</c:v>
                </c:pt>
                <c:pt idx="33">
                  <c:v>42.553191489361701</c:v>
                </c:pt>
                <c:pt idx="34">
                  <c:v>53.508771929824562</c:v>
                </c:pt>
                <c:pt idx="35">
                  <c:v>57.197696737044147</c:v>
                </c:pt>
                <c:pt idx="36">
                  <c:v>53.825136612021858</c:v>
                </c:pt>
                <c:pt idx="37">
                  <c:v>28.328611898016998</c:v>
                </c:pt>
                <c:pt idx="38">
                  <c:v>33.928571428571431</c:v>
                </c:pt>
                <c:pt idx="39">
                  <c:v>55.731707317073173</c:v>
                </c:pt>
                <c:pt idx="40">
                  <c:v>59.235668789808919</c:v>
                </c:pt>
                <c:pt idx="41">
                  <c:v>46.851385390428213</c:v>
                </c:pt>
                <c:pt idx="42">
                  <c:v>49.546827794561935</c:v>
                </c:pt>
                <c:pt idx="43">
                  <c:v>52.463768115942031</c:v>
                </c:pt>
                <c:pt idx="44">
                  <c:v>47.761194029850749</c:v>
                </c:pt>
                <c:pt idx="45">
                  <c:v>53.133514986376021</c:v>
                </c:pt>
                <c:pt idx="46">
                  <c:v>45.739910313901348</c:v>
                </c:pt>
                <c:pt idx="47">
                  <c:v>19.558359621451103</c:v>
                </c:pt>
                <c:pt idx="48">
                  <c:v>52.980132450331126</c:v>
                </c:pt>
                <c:pt idx="49">
                  <c:v>42.818428184281842</c:v>
                </c:pt>
                <c:pt idx="50">
                  <c:v>48.687350835322192</c:v>
                </c:pt>
                <c:pt idx="51">
                  <c:v>45.215311004784688</c:v>
                </c:pt>
                <c:pt idx="52">
                  <c:v>45.238095238095241</c:v>
                </c:pt>
                <c:pt idx="53">
                  <c:v>45.161290322580648</c:v>
                </c:pt>
                <c:pt idx="54">
                  <c:v>44.632768361581924</c:v>
                </c:pt>
                <c:pt idx="55">
                  <c:v>55.597014925373138</c:v>
                </c:pt>
                <c:pt idx="56">
                  <c:v>59.036144578313255</c:v>
                </c:pt>
                <c:pt idx="57">
                  <c:v>50.445103857566764</c:v>
                </c:pt>
                <c:pt idx="58">
                  <c:v>62.020905923344948</c:v>
                </c:pt>
                <c:pt idx="59">
                  <c:v>62.254901960784316</c:v>
                </c:pt>
                <c:pt idx="60">
                  <c:v>57.456140350877192</c:v>
                </c:pt>
                <c:pt idx="61">
                  <c:v>58.881578947368418</c:v>
                </c:pt>
                <c:pt idx="62">
                  <c:v>59.104477611940297</c:v>
                </c:pt>
                <c:pt idx="63">
                  <c:v>65.194805194805198</c:v>
                </c:pt>
                <c:pt idx="64">
                  <c:v>60.352422907488986</c:v>
                </c:pt>
                <c:pt idx="66">
                  <c:v>39.906565298195261</c:v>
                </c:pt>
                <c:pt idx="67">
                  <c:v>9.2233009708737868</c:v>
                </c:pt>
                <c:pt idx="68">
                  <c:v>65.194805194805198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5C-0347-89F1-1524BDB56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9332536"/>
        <c:axId val="2099329112"/>
      </c:scatterChart>
      <c:valAx>
        <c:axId val="2099332536"/>
        <c:scaling>
          <c:orientation val="minMax"/>
          <c:max val="30"/>
          <c:min val="8"/>
        </c:scaling>
        <c:delete val="0"/>
        <c:axPos val="b"/>
        <c:majorTickMark val="cross"/>
        <c:minorTickMark val="out"/>
        <c:tickLblPos val="none"/>
        <c:spPr>
          <a:ln w="12700">
            <a:solidFill>
              <a:srgbClr val="000000"/>
            </a:solidFill>
            <a:prstDash val="solid"/>
          </a:ln>
        </c:spPr>
        <c:crossAx val="2099329112"/>
        <c:crosses val="autoZero"/>
        <c:crossBetween val="midCat"/>
        <c:majorUnit val="1"/>
        <c:minorUnit val="0.1"/>
      </c:valAx>
      <c:valAx>
        <c:axId val="2099329112"/>
        <c:scaling>
          <c:orientation val="minMax"/>
          <c:max val="70"/>
        </c:scaling>
        <c:delete val="0"/>
        <c:axPos val="l"/>
        <c:numFmt formatCode="0.00" sourceLinked="1"/>
        <c:majorTickMark val="cross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99332536"/>
        <c:crosses val="autoZero"/>
        <c:crossBetween val="midCat"/>
        <c:majorUnit val="10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NL"/>
    </a:p>
  </c:txPr>
  <c:printSettings>
    <c:headerFooter>
      <c:oddHeader>&amp;f</c:oddHeader>
      <c:oddFooter>Page &amp;p</c:oddFooter>
    </c:headerFooter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930561790817306E-3"/>
          <c:y val="0.115385021685163"/>
          <c:w val="0.98142193813202605"/>
          <c:h val="0.778848896374851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strRef>
              <c:f>'T89-16t'!$BD$5:$BD$201</c:f>
              <c:strCache>
                <c:ptCount val="65"/>
                <c:pt idx="0">
                  <c:v>Median Cal years R540+/-70 adj </c:v>
                </c:pt>
                <c:pt idx="1">
                  <c:v>8466</c:v>
                </c:pt>
                <c:pt idx="2">
                  <c:v>8744</c:v>
                </c:pt>
                <c:pt idx="3">
                  <c:v>9084</c:v>
                </c:pt>
                <c:pt idx="4">
                  <c:v>9238</c:v>
                </c:pt>
                <c:pt idx="5">
                  <c:v>9470</c:v>
                </c:pt>
                <c:pt idx="6">
                  <c:v>9779</c:v>
                </c:pt>
                <c:pt idx="7">
                  <c:v>10010</c:v>
                </c:pt>
                <c:pt idx="8">
                  <c:v>10242</c:v>
                </c:pt>
                <c:pt idx="9">
                  <c:v>10396</c:v>
                </c:pt>
                <c:pt idx="10">
                  <c:v>10628</c:v>
                </c:pt>
                <c:pt idx="11">
                  <c:v>10782</c:v>
                </c:pt>
                <c:pt idx="12">
                  <c:v>11014</c:v>
                </c:pt>
                <c:pt idx="13">
                  <c:v>11168</c:v>
                </c:pt>
                <c:pt idx="14">
                  <c:v>11432</c:v>
                </c:pt>
                <c:pt idx="15">
                  <c:v>11790</c:v>
                </c:pt>
                <c:pt idx="16">
                  <c:v>12058</c:v>
                </c:pt>
                <c:pt idx="17">
                  <c:v>12211</c:v>
                </c:pt>
                <c:pt idx="18">
                  <c:v>12293</c:v>
                </c:pt>
                <c:pt idx="19">
                  <c:v>12402</c:v>
                </c:pt>
                <c:pt idx="20">
                  <c:v>12483</c:v>
                </c:pt>
                <c:pt idx="21">
                  <c:v>12592</c:v>
                </c:pt>
                <c:pt idx="22">
                  <c:v>12692</c:v>
                </c:pt>
                <c:pt idx="23">
                  <c:v>12737</c:v>
                </c:pt>
                <c:pt idx="24">
                  <c:v>12810</c:v>
                </c:pt>
                <c:pt idx="25">
                  <c:v>12900</c:v>
                </c:pt>
                <c:pt idx="26">
                  <c:v>12968</c:v>
                </c:pt>
                <c:pt idx="27">
                  <c:v>12990</c:v>
                </c:pt>
                <c:pt idx="28">
                  <c:v>13012</c:v>
                </c:pt>
                <c:pt idx="29">
                  <c:v>13042</c:v>
                </c:pt>
                <c:pt idx="30">
                  <c:v>13069</c:v>
                </c:pt>
                <c:pt idx="31">
                  <c:v>13090</c:v>
                </c:pt>
                <c:pt idx="32">
                  <c:v>13172</c:v>
                </c:pt>
                <c:pt idx="33">
                  <c:v>13542</c:v>
                </c:pt>
                <c:pt idx="34">
                  <c:v>14908</c:v>
                </c:pt>
                <c:pt idx="35">
                  <c:v>15546</c:v>
                </c:pt>
                <c:pt idx="36">
                  <c:v>16362</c:v>
                </c:pt>
                <c:pt idx="37">
                  <c:v>16949</c:v>
                </c:pt>
                <c:pt idx="38">
                  <c:v>17490</c:v>
                </c:pt>
                <c:pt idx="39">
                  <c:v>18311</c:v>
                </c:pt>
                <c:pt idx="40">
                  <c:v>19559</c:v>
                </c:pt>
                <c:pt idx="41">
                  <c:v>20494</c:v>
                </c:pt>
                <c:pt idx="42">
                  <c:v>21742</c:v>
                </c:pt>
                <c:pt idx="43">
                  <c:v>22990</c:v>
                </c:pt>
                <c:pt idx="44">
                  <c:v>24200</c:v>
                </c:pt>
                <c:pt idx="45">
                  <c:v>25212</c:v>
                </c:pt>
                <c:pt idx="46">
                  <c:v>25745</c:v>
                </c:pt>
                <c:pt idx="47">
                  <c:v>26544</c:v>
                </c:pt>
                <c:pt idx="48">
                  <c:v>27503</c:v>
                </c:pt>
                <c:pt idx="49">
                  <c:v>28185</c:v>
                </c:pt>
                <c:pt idx="50">
                  <c:v>28739</c:v>
                </c:pt>
                <c:pt idx="51">
                  <c:v>29126</c:v>
                </c:pt>
                <c:pt idx="52">
                  <c:v>29680</c:v>
                </c:pt>
                <c:pt idx="53">
                  <c:v>30179</c:v>
                </c:pt>
                <c:pt idx="54">
                  <c:v>30493</c:v>
                </c:pt>
                <c:pt idx="55">
                  <c:v>30649</c:v>
                </c:pt>
                <c:pt idx="56">
                  <c:v>30805</c:v>
                </c:pt>
                <c:pt idx="57">
                  <c:v>31008</c:v>
                </c:pt>
                <c:pt idx="58">
                  <c:v>31116</c:v>
                </c:pt>
                <c:pt idx="59">
                  <c:v>31308</c:v>
                </c:pt>
                <c:pt idx="60">
                  <c:v>31428</c:v>
                </c:pt>
                <c:pt idx="61">
                  <c:v>31632</c:v>
                </c:pt>
                <c:pt idx="62">
                  <c:v>32142</c:v>
                </c:pt>
                <c:pt idx="63">
                  <c:v>32708</c:v>
                </c:pt>
                <c:pt idx="64">
                  <c:v>33274</c:v>
                </c:pt>
              </c:strCache>
            </c:strRef>
          </c:xVal>
          <c:yVal>
            <c:numRef>
              <c:f>'T89-16t'!$T$5:$T$201</c:f>
              <c:numCache>
                <c:formatCode>0.00</c:formatCode>
                <c:ptCount val="197"/>
                <c:pt idx="1">
                  <c:v>0.970873786407767</c:v>
                </c:pt>
                <c:pt idx="2">
                  <c:v>0</c:v>
                </c:pt>
                <c:pt idx="3">
                  <c:v>0.86455331412103742</c:v>
                </c:pt>
                <c:pt idx="4">
                  <c:v>0.32051282051282054</c:v>
                </c:pt>
                <c:pt idx="5">
                  <c:v>0.56818181818181823</c:v>
                </c:pt>
                <c:pt idx="6">
                  <c:v>0.39840637450199201</c:v>
                </c:pt>
                <c:pt idx="7">
                  <c:v>0.78740157480314965</c:v>
                </c:pt>
                <c:pt idx="8">
                  <c:v>0.51020408163265307</c:v>
                </c:pt>
                <c:pt idx="9">
                  <c:v>1.0582010582010581</c:v>
                </c:pt>
                <c:pt idx="10">
                  <c:v>0.44247787610619471</c:v>
                </c:pt>
                <c:pt idx="11">
                  <c:v>0</c:v>
                </c:pt>
                <c:pt idx="12">
                  <c:v>0.35587188612099646</c:v>
                </c:pt>
                <c:pt idx="13">
                  <c:v>0.8928571428571429</c:v>
                </c:pt>
                <c:pt idx="14">
                  <c:v>0</c:v>
                </c:pt>
                <c:pt idx="15">
                  <c:v>0.3003003003003003</c:v>
                </c:pt>
                <c:pt idx="16">
                  <c:v>0.3436426116838488</c:v>
                </c:pt>
                <c:pt idx="17">
                  <c:v>0.49099836333878888</c:v>
                </c:pt>
                <c:pt idx="18">
                  <c:v>1.1709601873536299</c:v>
                </c:pt>
                <c:pt idx="19">
                  <c:v>0.89686098654708524</c:v>
                </c:pt>
                <c:pt idx="20">
                  <c:v>2.0618556701030926</c:v>
                </c:pt>
                <c:pt idx="21">
                  <c:v>2.3201856148491879</c:v>
                </c:pt>
                <c:pt idx="22">
                  <c:v>1.5837104072398189</c:v>
                </c:pt>
                <c:pt idx="23">
                  <c:v>1.0917030567685591</c:v>
                </c:pt>
                <c:pt idx="24">
                  <c:v>0</c:v>
                </c:pt>
                <c:pt idx="25">
                  <c:v>0.93023255813953487</c:v>
                </c:pt>
                <c:pt idx="26">
                  <c:v>0.86206896551724133</c:v>
                </c:pt>
                <c:pt idx="27">
                  <c:v>0.26385224274406333</c:v>
                </c:pt>
                <c:pt idx="28">
                  <c:v>0.76726342710997442</c:v>
                </c:pt>
                <c:pt idx="29">
                  <c:v>1.079913606911447</c:v>
                </c:pt>
                <c:pt idx="30">
                  <c:v>2.3872679045092839</c:v>
                </c:pt>
                <c:pt idx="31">
                  <c:v>0.63694267515923564</c:v>
                </c:pt>
                <c:pt idx="32">
                  <c:v>2.1897810218978102</c:v>
                </c:pt>
                <c:pt idx="33">
                  <c:v>1.2765957446808511</c:v>
                </c:pt>
                <c:pt idx="34">
                  <c:v>2.192982456140351</c:v>
                </c:pt>
                <c:pt idx="35">
                  <c:v>2.3032629558541267</c:v>
                </c:pt>
                <c:pt idx="36">
                  <c:v>1.3661202185792349</c:v>
                </c:pt>
                <c:pt idx="37">
                  <c:v>1.4164305949008498</c:v>
                </c:pt>
                <c:pt idx="38">
                  <c:v>3.125</c:v>
                </c:pt>
                <c:pt idx="39">
                  <c:v>3.4146341463414633</c:v>
                </c:pt>
                <c:pt idx="40">
                  <c:v>1.5923566878980893</c:v>
                </c:pt>
                <c:pt idx="41">
                  <c:v>2.2670025188916876</c:v>
                </c:pt>
                <c:pt idx="42">
                  <c:v>4.2296072507552873</c:v>
                </c:pt>
                <c:pt idx="43">
                  <c:v>2.6086956521739131</c:v>
                </c:pt>
                <c:pt idx="44">
                  <c:v>3.5820895522388061</c:v>
                </c:pt>
                <c:pt idx="45">
                  <c:v>1.9073569482288828</c:v>
                </c:pt>
                <c:pt idx="46">
                  <c:v>1.7937219730941705</c:v>
                </c:pt>
                <c:pt idx="47">
                  <c:v>3.4700315457413251</c:v>
                </c:pt>
                <c:pt idx="48">
                  <c:v>0.99337748344370858</c:v>
                </c:pt>
                <c:pt idx="49">
                  <c:v>1.084010840108401</c:v>
                </c:pt>
                <c:pt idx="50">
                  <c:v>2.3866348448687349</c:v>
                </c:pt>
                <c:pt idx="51">
                  <c:v>2.1531100478468899</c:v>
                </c:pt>
                <c:pt idx="52">
                  <c:v>0</c:v>
                </c:pt>
                <c:pt idx="53">
                  <c:v>0.40322580645161288</c:v>
                </c:pt>
                <c:pt idx="54">
                  <c:v>1.6949152542372881</c:v>
                </c:pt>
                <c:pt idx="55">
                  <c:v>1.1194029850746268</c:v>
                </c:pt>
                <c:pt idx="56">
                  <c:v>0.90361445783132532</c:v>
                </c:pt>
                <c:pt idx="57">
                  <c:v>0.29673590504451036</c:v>
                </c:pt>
                <c:pt idx="58">
                  <c:v>0.69686411149825789</c:v>
                </c:pt>
                <c:pt idx="59">
                  <c:v>0.49019607843137253</c:v>
                </c:pt>
                <c:pt idx="60">
                  <c:v>1.7543859649122806</c:v>
                </c:pt>
                <c:pt idx="61">
                  <c:v>0.65789473684210531</c:v>
                </c:pt>
                <c:pt idx="62">
                  <c:v>2.9850746268656718</c:v>
                </c:pt>
                <c:pt idx="63">
                  <c:v>2.5974025974025974</c:v>
                </c:pt>
                <c:pt idx="64">
                  <c:v>0.22026431718061673</c:v>
                </c:pt>
                <c:pt idx="66">
                  <c:v>1.3051574943309154</c:v>
                </c:pt>
                <c:pt idx="67">
                  <c:v>0</c:v>
                </c:pt>
                <c:pt idx="68">
                  <c:v>4.2296072507552873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7D-8242-9331-9E0D43C43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9301464"/>
        <c:axId val="2099298040"/>
      </c:scatterChart>
      <c:valAx>
        <c:axId val="2099301464"/>
        <c:scaling>
          <c:orientation val="minMax"/>
          <c:max val="30"/>
          <c:min val="8"/>
        </c:scaling>
        <c:delete val="0"/>
        <c:axPos val="b"/>
        <c:majorTickMark val="cross"/>
        <c:minorTickMark val="out"/>
        <c:tickLblPos val="none"/>
        <c:spPr>
          <a:ln w="12700">
            <a:solidFill>
              <a:srgbClr val="000000"/>
            </a:solidFill>
            <a:prstDash val="solid"/>
          </a:ln>
        </c:spPr>
        <c:crossAx val="2099298040"/>
        <c:crosses val="autoZero"/>
        <c:crossBetween val="midCat"/>
        <c:majorUnit val="1"/>
        <c:minorUnit val="0.1"/>
      </c:valAx>
      <c:valAx>
        <c:axId val="2099298040"/>
        <c:scaling>
          <c:orientation val="minMax"/>
          <c:max val="10"/>
        </c:scaling>
        <c:delete val="0"/>
        <c:axPos val="l"/>
        <c:numFmt formatCode="0.00" sourceLinked="1"/>
        <c:majorTickMark val="cross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99301464"/>
        <c:crosses val="autoZero"/>
        <c:crossBetween val="midCat"/>
        <c:majorUnit val="10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NL"/>
    </a:p>
  </c:txPr>
  <c:printSettings>
    <c:headerFooter>
      <c:oddHeader>&amp;f</c:oddHeader>
      <c:oddFooter>Page &amp;p</c:oddFooter>
    </c:headerFooter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930561790817306E-3"/>
          <c:y val="0.115385021685163"/>
          <c:w val="0.98142193813202605"/>
          <c:h val="0.778848896374851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strRef>
              <c:f>'T89-16t'!$BD$5:$BD$201</c:f>
              <c:strCache>
                <c:ptCount val="65"/>
                <c:pt idx="0">
                  <c:v>Median Cal years R540+/-70 adj </c:v>
                </c:pt>
                <c:pt idx="1">
                  <c:v>8466</c:v>
                </c:pt>
                <c:pt idx="2">
                  <c:v>8744</c:v>
                </c:pt>
                <c:pt idx="3">
                  <c:v>9084</c:v>
                </c:pt>
                <c:pt idx="4">
                  <c:v>9238</c:v>
                </c:pt>
                <c:pt idx="5">
                  <c:v>9470</c:v>
                </c:pt>
                <c:pt idx="6">
                  <c:v>9779</c:v>
                </c:pt>
                <c:pt idx="7">
                  <c:v>10010</c:v>
                </c:pt>
                <c:pt idx="8">
                  <c:v>10242</c:v>
                </c:pt>
                <c:pt idx="9">
                  <c:v>10396</c:v>
                </c:pt>
                <c:pt idx="10">
                  <c:v>10628</c:v>
                </c:pt>
                <c:pt idx="11">
                  <c:v>10782</c:v>
                </c:pt>
                <c:pt idx="12">
                  <c:v>11014</c:v>
                </c:pt>
                <c:pt idx="13">
                  <c:v>11168</c:v>
                </c:pt>
                <c:pt idx="14">
                  <c:v>11432</c:v>
                </c:pt>
                <c:pt idx="15">
                  <c:v>11790</c:v>
                </c:pt>
                <c:pt idx="16">
                  <c:v>12058</c:v>
                </c:pt>
                <c:pt idx="17">
                  <c:v>12211</c:v>
                </c:pt>
                <c:pt idx="18">
                  <c:v>12293</c:v>
                </c:pt>
                <c:pt idx="19">
                  <c:v>12402</c:v>
                </c:pt>
                <c:pt idx="20">
                  <c:v>12483</c:v>
                </c:pt>
                <c:pt idx="21">
                  <c:v>12592</c:v>
                </c:pt>
                <c:pt idx="22">
                  <c:v>12692</c:v>
                </c:pt>
                <c:pt idx="23">
                  <c:v>12737</c:v>
                </c:pt>
                <c:pt idx="24">
                  <c:v>12810</c:v>
                </c:pt>
                <c:pt idx="25">
                  <c:v>12900</c:v>
                </c:pt>
                <c:pt idx="26">
                  <c:v>12968</c:v>
                </c:pt>
                <c:pt idx="27">
                  <c:v>12990</c:v>
                </c:pt>
                <c:pt idx="28">
                  <c:v>13012</c:v>
                </c:pt>
                <c:pt idx="29">
                  <c:v>13042</c:v>
                </c:pt>
                <c:pt idx="30">
                  <c:v>13069</c:v>
                </c:pt>
                <c:pt idx="31">
                  <c:v>13090</c:v>
                </c:pt>
                <c:pt idx="32">
                  <c:v>13172</c:v>
                </c:pt>
                <c:pt idx="33">
                  <c:v>13542</c:v>
                </c:pt>
                <c:pt idx="34">
                  <c:v>14908</c:v>
                </c:pt>
                <c:pt idx="35">
                  <c:v>15546</c:v>
                </c:pt>
                <c:pt idx="36">
                  <c:v>16362</c:v>
                </c:pt>
                <c:pt idx="37">
                  <c:v>16949</c:v>
                </c:pt>
                <c:pt idx="38">
                  <c:v>17490</c:v>
                </c:pt>
                <c:pt idx="39">
                  <c:v>18311</c:v>
                </c:pt>
                <c:pt idx="40">
                  <c:v>19559</c:v>
                </c:pt>
                <c:pt idx="41">
                  <c:v>20494</c:v>
                </c:pt>
                <c:pt idx="42">
                  <c:v>21742</c:v>
                </c:pt>
                <c:pt idx="43">
                  <c:v>22990</c:v>
                </c:pt>
                <c:pt idx="44">
                  <c:v>24200</c:v>
                </c:pt>
                <c:pt idx="45">
                  <c:v>25212</c:v>
                </c:pt>
                <c:pt idx="46">
                  <c:v>25745</c:v>
                </c:pt>
                <c:pt idx="47">
                  <c:v>26544</c:v>
                </c:pt>
                <c:pt idx="48">
                  <c:v>27503</c:v>
                </c:pt>
                <c:pt idx="49">
                  <c:v>28185</c:v>
                </c:pt>
                <c:pt idx="50">
                  <c:v>28739</c:v>
                </c:pt>
                <c:pt idx="51">
                  <c:v>29126</c:v>
                </c:pt>
                <c:pt idx="52">
                  <c:v>29680</c:v>
                </c:pt>
                <c:pt idx="53">
                  <c:v>30179</c:v>
                </c:pt>
                <c:pt idx="54">
                  <c:v>30493</c:v>
                </c:pt>
                <c:pt idx="55">
                  <c:v>30649</c:v>
                </c:pt>
                <c:pt idx="56">
                  <c:v>30805</c:v>
                </c:pt>
                <c:pt idx="57">
                  <c:v>31008</c:v>
                </c:pt>
                <c:pt idx="58">
                  <c:v>31116</c:v>
                </c:pt>
                <c:pt idx="59">
                  <c:v>31308</c:v>
                </c:pt>
                <c:pt idx="60">
                  <c:v>31428</c:v>
                </c:pt>
                <c:pt idx="61">
                  <c:v>31632</c:v>
                </c:pt>
                <c:pt idx="62">
                  <c:v>32142</c:v>
                </c:pt>
                <c:pt idx="63">
                  <c:v>32708</c:v>
                </c:pt>
                <c:pt idx="64">
                  <c:v>33274</c:v>
                </c:pt>
              </c:strCache>
            </c:strRef>
          </c:xVal>
          <c:yVal>
            <c:numRef>
              <c:f>'T89-16t'!$Q$5:$Q$201</c:f>
              <c:numCache>
                <c:formatCode>0.00</c:formatCode>
                <c:ptCount val="197"/>
                <c:pt idx="1">
                  <c:v>9.2233009708737868</c:v>
                </c:pt>
                <c:pt idx="2">
                  <c:v>3.0303030303030303</c:v>
                </c:pt>
                <c:pt idx="3">
                  <c:v>3.4582132564841497</c:v>
                </c:pt>
                <c:pt idx="4">
                  <c:v>1.6025641025641026</c:v>
                </c:pt>
                <c:pt idx="5">
                  <c:v>0</c:v>
                </c:pt>
                <c:pt idx="6">
                  <c:v>1.9920318725099602</c:v>
                </c:pt>
                <c:pt idx="7">
                  <c:v>0</c:v>
                </c:pt>
                <c:pt idx="8">
                  <c:v>5.1020408163265305</c:v>
                </c:pt>
                <c:pt idx="9">
                  <c:v>0.52910052910052907</c:v>
                </c:pt>
                <c:pt idx="10">
                  <c:v>0.44247787610619471</c:v>
                </c:pt>
                <c:pt idx="11">
                  <c:v>0</c:v>
                </c:pt>
                <c:pt idx="12">
                  <c:v>2.4911032028469751</c:v>
                </c:pt>
                <c:pt idx="13">
                  <c:v>0.8928571428571429</c:v>
                </c:pt>
                <c:pt idx="14">
                  <c:v>0.7407407407407407</c:v>
                </c:pt>
                <c:pt idx="15">
                  <c:v>3.0030030030030028</c:v>
                </c:pt>
                <c:pt idx="16">
                  <c:v>1.7182130584192439</c:v>
                </c:pt>
                <c:pt idx="17">
                  <c:v>1.9639934533551555</c:v>
                </c:pt>
                <c:pt idx="18">
                  <c:v>2.3419203747072599</c:v>
                </c:pt>
                <c:pt idx="19">
                  <c:v>2.6905829596412558</c:v>
                </c:pt>
                <c:pt idx="20">
                  <c:v>2.3195876288659796</c:v>
                </c:pt>
                <c:pt idx="21">
                  <c:v>2.7842227378190256</c:v>
                </c:pt>
                <c:pt idx="22">
                  <c:v>1.8099547511312217</c:v>
                </c:pt>
                <c:pt idx="23">
                  <c:v>3.0567685589519651</c:v>
                </c:pt>
                <c:pt idx="24">
                  <c:v>1.7241379310344827</c:v>
                </c:pt>
                <c:pt idx="25">
                  <c:v>2.3255813953488373</c:v>
                </c:pt>
                <c:pt idx="26">
                  <c:v>1.2931034482758621</c:v>
                </c:pt>
                <c:pt idx="27">
                  <c:v>1.8469656992084433</c:v>
                </c:pt>
                <c:pt idx="28">
                  <c:v>2.5575447570332481</c:v>
                </c:pt>
                <c:pt idx="29">
                  <c:v>4.1036717062634986</c:v>
                </c:pt>
                <c:pt idx="30">
                  <c:v>2.9177718832891246</c:v>
                </c:pt>
                <c:pt idx="31">
                  <c:v>4.4585987261146496</c:v>
                </c:pt>
                <c:pt idx="32">
                  <c:v>3.4063260340632602</c:v>
                </c:pt>
                <c:pt idx="33">
                  <c:v>3.4042553191489362</c:v>
                </c:pt>
                <c:pt idx="34">
                  <c:v>1.3157894736842106</c:v>
                </c:pt>
                <c:pt idx="35">
                  <c:v>1.3435700575815739</c:v>
                </c:pt>
                <c:pt idx="36">
                  <c:v>2.7322404371584699</c:v>
                </c:pt>
                <c:pt idx="37">
                  <c:v>2.2662889518413598</c:v>
                </c:pt>
                <c:pt idx="38">
                  <c:v>0.8928571428571429</c:v>
                </c:pt>
                <c:pt idx="39">
                  <c:v>0.24390243902439024</c:v>
                </c:pt>
                <c:pt idx="40">
                  <c:v>1.2738853503184713</c:v>
                </c:pt>
                <c:pt idx="41">
                  <c:v>1.2594458438287153</c:v>
                </c:pt>
                <c:pt idx="42">
                  <c:v>1.2084592145015105</c:v>
                </c:pt>
                <c:pt idx="43">
                  <c:v>1.1594202898550725</c:v>
                </c:pt>
                <c:pt idx="44">
                  <c:v>0.59701492537313428</c:v>
                </c:pt>
                <c:pt idx="45">
                  <c:v>1.6348773841961852</c:v>
                </c:pt>
                <c:pt idx="46">
                  <c:v>1.3452914798206279</c:v>
                </c:pt>
                <c:pt idx="47">
                  <c:v>1.2618296529968454</c:v>
                </c:pt>
                <c:pt idx="48">
                  <c:v>0.99337748344370858</c:v>
                </c:pt>
                <c:pt idx="49">
                  <c:v>0.81300813008130079</c:v>
                </c:pt>
                <c:pt idx="50">
                  <c:v>0.95465393794749398</c:v>
                </c:pt>
                <c:pt idx="51">
                  <c:v>0.4784688995215311</c:v>
                </c:pt>
                <c:pt idx="52">
                  <c:v>0.47619047619047616</c:v>
                </c:pt>
                <c:pt idx="53">
                  <c:v>1.2096774193548387</c:v>
                </c:pt>
                <c:pt idx="54">
                  <c:v>0.2824858757062147</c:v>
                </c:pt>
                <c:pt idx="55">
                  <c:v>0.74626865671641796</c:v>
                </c:pt>
                <c:pt idx="56">
                  <c:v>0</c:v>
                </c:pt>
                <c:pt idx="57">
                  <c:v>0.29673590504451036</c:v>
                </c:pt>
                <c:pt idx="58">
                  <c:v>0.34843205574912894</c:v>
                </c:pt>
                <c:pt idx="59">
                  <c:v>0</c:v>
                </c:pt>
                <c:pt idx="60">
                  <c:v>0</c:v>
                </c:pt>
                <c:pt idx="61">
                  <c:v>0.32894736842105265</c:v>
                </c:pt>
                <c:pt idx="62">
                  <c:v>0.29850746268656714</c:v>
                </c:pt>
                <c:pt idx="63">
                  <c:v>0.51948051948051943</c:v>
                </c:pt>
                <c:pt idx="64">
                  <c:v>0.88105726872246692</c:v>
                </c:pt>
                <c:pt idx="66">
                  <c:v>1.6623922041951806</c:v>
                </c:pt>
                <c:pt idx="67">
                  <c:v>0</c:v>
                </c:pt>
                <c:pt idx="68">
                  <c:v>9.2233009708737868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7A-BC44-976F-682A71EF9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1577400"/>
        <c:axId val="2131580824"/>
      </c:scatterChart>
      <c:valAx>
        <c:axId val="2131577400"/>
        <c:scaling>
          <c:orientation val="minMax"/>
          <c:max val="30"/>
          <c:min val="8"/>
        </c:scaling>
        <c:delete val="0"/>
        <c:axPos val="b"/>
        <c:majorTickMark val="cross"/>
        <c:minorTickMark val="out"/>
        <c:tickLblPos val="none"/>
        <c:spPr>
          <a:ln w="12700">
            <a:solidFill>
              <a:srgbClr val="000000"/>
            </a:solidFill>
            <a:prstDash val="solid"/>
          </a:ln>
        </c:spPr>
        <c:crossAx val="2131580824"/>
        <c:crosses val="autoZero"/>
        <c:crossBetween val="midCat"/>
        <c:majorUnit val="1"/>
        <c:minorUnit val="0.1"/>
      </c:valAx>
      <c:valAx>
        <c:axId val="2131580824"/>
        <c:scaling>
          <c:orientation val="minMax"/>
          <c:max val="20"/>
        </c:scaling>
        <c:delete val="0"/>
        <c:axPos val="l"/>
        <c:numFmt formatCode="0.00" sourceLinked="1"/>
        <c:majorTickMark val="cross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131577400"/>
        <c:crosses val="autoZero"/>
        <c:crossBetween val="midCat"/>
        <c:majorUnit val="10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NL"/>
    </a:p>
  </c:txPr>
  <c:printSettings>
    <c:headerFooter>
      <c:oddHeader>&amp;f</c:oddHeader>
      <c:oddFooter>Page &amp;p</c:oddFooter>
    </c:headerFooter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930561790817306E-3"/>
          <c:y val="0.115385021685163"/>
          <c:w val="0.98142193813202605"/>
          <c:h val="0.778848896374851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strRef>
              <c:f>'T89-16t'!$BD$5:$BD$201</c:f>
              <c:strCache>
                <c:ptCount val="65"/>
                <c:pt idx="0">
                  <c:v>Median Cal years R540+/-70 adj </c:v>
                </c:pt>
                <c:pt idx="1">
                  <c:v>8466</c:v>
                </c:pt>
                <c:pt idx="2">
                  <c:v>8744</c:v>
                </c:pt>
                <c:pt idx="3">
                  <c:v>9084</c:v>
                </c:pt>
                <c:pt idx="4">
                  <c:v>9238</c:v>
                </c:pt>
                <c:pt idx="5">
                  <c:v>9470</c:v>
                </c:pt>
                <c:pt idx="6">
                  <c:v>9779</c:v>
                </c:pt>
                <c:pt idx="7">
                  <c:v>10010</c:v>
                </c:pt>
                <c:pt idx="8">
                  <c:v>10242</c:v>
                </c:pt>
                <c:pt idx="9">
                  <c:v>10396</c:v>
                </c:pt>
                <c:pt idx="10">
                  <c:v>10628</c:v>
                </c:pt>
                <c:pt idx="11">
                  <c:v>10782</c:v>
                </c:pt>
                <c:pt idx="12">
                  <c:v>11014</c:v>
                </c:pt>
                <c:pt idx="13">
                  <c:v>11168</c:v>
                </c:pt>
                <c:pt idx="14">
                  <c:v>11432</c:v>
                </c:pt>
                <c:pt idx="15">
                  <c:v>11790</c:v>
                </c:pt>
                <c:pt idx="16">
                  <c:v>12058</c:v>
                </c:pt>
                <c:pt idx="17">
                  <c:v>12211</c:v>
                </c:pt>
                <c:pt idx="18">
                  <c:v>12293</c:v>
                </c:pt>
                <c:pt idx="19">
                  <c:v>12402</c:v>
                </c:pt>
                <c:pt idx="20">
                  <c:v>12483</c:v>
                </c:pt>
                <c:pt idx="21">
                  <c:v>12592</c:v>
                </c:pt>
                <c:pt idx="22">
                  <c:v>12692</c:v>
                </c:pt>
                <c:pt idx="23">
                  <c:v>12737</c:v>
                </c:pt>
                <c:pt idx="24">
                  <c:v>12810</c:v>
                </c:pt>
                <c:pt idx="25">
                  <c:v>12900</c:v>
                </c:pt>
                <c:pt idx="26">
                  <c:v>12968</c:v>
                </c:pt>
                <c:pt idx="27">
                  <c:v>12990</c:v>
                </c:pt>
                <c:pt idx="28">
                  <c:v>13012</c:v>
                </c:pt>
                <c:pt idx="29">
                  <c:v>13042</c:v>
                </c:pt>
                <c:pt idx="30">
                  <c:v>13069</c:v>
                </c:pt>
                <c:pt idx="31">
                  <c:v>13090</c:v>
                </c:pt>
                <c:pt idx="32">
                  <c:v>13172</c:v>
                </c:pt>
                <c:pt idx="33">
                  <c:v>13542</c:v>
                </c:pt>
                <c:pt idx="34">
                  <c:v>14908</c:v>
                </c:pt>
                <c:pt idx="35">
                  <c:v>15546</c:v>
                </c:pt>
                <c:pt idx="36">
                  <c:v>16362</c:v>
                </c:pt>
                <c:pt idx="37">
                  <c:v>16949</c:v>
                </c:pt>
                <c:pt idx="38">
                  <c:v>17490</c:v>
                </c:pt>
                <c:pt idx="39">
                  <c:v>18311</c:v>
                </c:pt>
                <c:pt idx="40">
                  <c:v>19559</c:v>
                </c:pt>
                <c:pt idx="41">
                  <c:v>20494</c:v>
                </c:pt>
                <c:pt idx="42">
                  <c:v>21742</c:v>
                </c:pt>
                <c:pt idx="43">
                  <c:v>22990</c:v>
                </c:pt>
                <c:pt idx="44">
                  <c:v>24200</c:v>
                </c:pt>
                <c:pt idx="45">
                  <c:v>25212</c:v>
                </c:pt>
                <c:pt idx="46">
                  <c:v>25745</c:v>
                </c:pt>
                <c:pt idx="47">
                  <c:v>26544</c:v>
                </c:pt>
                <c:pt idx="48">
                  <c:v>27503</c:v>
                </c:pt>
                <c:pt idx="49">
                  <c:v>28185</c:v>
                </c:pt>
                <c:pt idx="50">
                  <c:v>28739</c:v>
                </c:pt>
                <c:pt idx="51">
                  <c:v>29126</c:v>
                </c:pt>
                <c:pt idx="52">
                  <c:v>29680</c:v>
                </c:pt>
                <c:pt idx="53">
                  <c:v>30179</c:v>
                </c:pt>
                <c:pt idx="54">
                  <c:v>30493</c:v>
                </c:pt>
                <c:pt idx="55">
                  <c:v>30649</c:v>
                </c:pt>
                <c:pt idx="56">
                  <c:v>30805</c:v>
                </c:pt>
                <c:pt idx="57">
                  <c:v>31008</c:v>
                </c:pt>
                <c:pt idx="58">
                  <c:v>31116</c:v>
                </c:pt>
                <c:pt idx="59">
                  <c:v>31308</c:v>
                </c:pt>
                <c:pt idx="60">
                  <c:v>31428</c:v>
                </c:pt>
                <c:pt idx="61">
                  <c:v>31632</c:v>
                </c:pt>
                <c:pt idx="62">
                  <c:v>32142</c:v>
                </c:pt>
                <c:pt idx="63">
                  <c:v>32708</c:v>
                </c:pt>
                <c:pt idx="64">
                  <c:v>33274</c:v>
                </c:pt>
              </c:strCache>
            </c:strRef>
          </c:xVal>
          <c:yVal>
            <c:numRef>
              <c:f>'T89-16t'!$S$5:$S$201</c:f>
              <c:numCache>
                <c:formatCode>0.00</c:formatCode>
                <c:ptCount val="197"/>
                <c:pt idx="1">
                  <c:v>7.766990291262136</c:v>
                </c:pt>
                <c:pt idx="2">
                  <c:v>15.151515151515152</c:v>
                </c:pt>
                <c:pt idx="3">
                  <c:v>3.1700288184438041</c:v>
                </c:pt>
                <c:pt idx="4">
                  <c:v>2.8846153846153846</c:v>
                </c:pt>
                <c:pt idx="5">
                  <c:v>2.2727272727272729</c:v>
                </c:pt>
                <c:pt idx="6">
                  <c:v>8.3665338645418323</c:v>
                </c:pt>
                <c:pt idx="7">
                  <c:v>0.78740157480314965</c:v>
                </c:pt>
                <c:pt idx="8">
                  <c:v>2.0408163265306123</c:v>
                </c:pt>
                <c:pt idx="9">
                  <c:v>3.7037037037037037</c:v>
                </c:pt>
                <c:pt idx="10">
                  <c:v>0.88495575221238942</c:v>
                </c:pt>
                <c:pt idx="11">
                  <c:v>2.0725388601036268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1.2012012012012012</c:v>
                </c:pt>
                <c:pt idx="16">
                  <c:v>0</c:v>
                </c:pt>
                <c:pt idx="17">
                  <c:v>5.5646481178396074</c:v>
                </c:pt>
                <c:pt idx="18">
                  <c:v>0.23419203747072601</c:v>
                </c:pt>
                <c:pt idx="19">
                  <c:v>0</c:v>
                </c:pt>
                <c:pt idx="20">
                  <c:v>1.2886597938144331</c:v>
                </c:pt>
                <c:pt idx="21">
                  <c:v>0</c:v>
                </c:pt>
                <c:pt idx="22">
                  <c:v>0</c:v>
                </c:pt>
                <c:pt idx="23">
                  <c:v>0.2183406113537118</c:v>
                </c:pt>
                <c:pt idx="24">
                  <c:v>4.3103448275862073</c:v>
                </c:pt>
                <c:pt idx="25">
                  <c:v>4.6511627906976747</c:v>
                </c:pt>
                <c:pt idx="26">
                  <c:v>3.8793103448275863</c:v>
                </c:pt>
                <c:pt idx="27">
                  <c:v>4.2216358839050132</c:v>
                </c:pt>
                <c:pt idx="28">
                  <c:v>3.5805626598465472</c:v>
                </c:pt>
                <c:pt idx="29">
                  <c:v>0.64794816414686829</c:v>
                </c:pt>
                <c:pt idx="30">
                  <c:v>0</c:v>
                </c:pt>
                <c:pt idx="31">
                  <c:v>0.95541401273885351</c:v>
                </c:pt>
                <c:pt idx="32">
                  <c:v>0</c:v>
                </c:pt>
                <c:pt idx="33">
                  <c:v>0.85106382978723405</c:v>
                </c:pt>
                <c:pt idx="34">
                  <c:v>0.21929824561403508</c:v>
                </c:pt>
                <c:pt idx="35">
                  <c:v>0.57581573896353166</c:v>
                </c:pt>
                <c:pt idx="36">
                  <c:v>0</c:v>
                </c:pt>
                <c:pt idx="37">
                  <c:v>1.1331444759206799</c:v>
                </c:pt>
                <c:pt idx="38">
                  <c:v>1.7857142857142858</c:v>
                </c:pt>
                <c:pt idx="39">
                  <c:v>16.707317073170731</c:v>
                </c:pt>
                <c:pt idx="40">
                  <c:v>7.3248407643312099</c:v>
                </c:pt>
                <c:pt idx="41">
                  <c:v>10.831234256926953</c:v>
                </c:pt>
                <c:pt idx="42">
                  <c:v>16.61631419939577</c:v>
                </c:pt>
                <c:pt idx="43">
                  <c:v>13.913043478260869</c:v>
                </c:pt>
                <c:pt idx="44">
                  <c:v>20</c:v>
                </c:pt>
                <c:pt idx="45">
                  <c:v>8.9918256130790191</c:v>
                </c:pt>
                <c:pt idx="46">
                  <c:v>4.4843049327354256</c:v>
                </c:pt>
                <c:pt idx="47">
                  <c:v>2.8391167192429023</c:v>
                </c:pt>
                <c:pt idx="48">
                  <c:v>16.887417218543046</c:v>
                </c:pt>
                <c:pt idx="49">
                  <c:v>21.951219512195124</c:v>
                </c:pt>
                <c:pt idx="50">
                  <c:v>20.047732696897373</c:v>
                </c:pt>
                <c:pt idx="51">
                  <c:v>16.507177033492823</c:v>
                </c:pt>
                <c:pt idx="52">
                  <c:v>9.5238095238095237</c:v>
                </c:pt>
                <c:pt idx="53">
                  <c:v>13.709677419354838</c:v>
                </c:pt>
                <c:pt idx="54">
                  <c:v>17.796610169491526</c:v>
                </c:pt>
                <c:pt idx="55">
                  <c:v>13.805970149253731</c:v>
                </c:pt>
                <c:pt idx="56">
                  <c:v>14.457831325301205</c:v>
                </c:pt>
                <c:pt idx="57">
                  <c:v>14.540059347181009</c:v>
                </c:pt>
                <c:pt idx="58">
                  <c:v>13.588850174216027</c:v>
                </c:pt>
                <c:pt idx="59">
                  <c:v>12.745098039215685</c:v>
                </c:pt>
                <c:pt idx="60">
                  <c:v>11.842105263157896</c:v>
                </c:pt>
                <c:pt idx="61">
                  <c:v>13.157894736842104</c:v>
                </c:pt>
                <c:pt idx="62">
                  <c:v>15.522388059701493</c:v>
                </c:pt>
                <c:pt idx="63">
                  <c:v>10.909090909090908</c:v>
                </c:pt>
                <c:pt idx="64">
                  <c:v>11.013215859030836</c:v>
                </c:pt>
                <c:pt idx="66">
                  <c:v>6.7833504452469562</c:v>
                </c:pt>
                <c:pt idx="67">
                  <c:v>0</c:v>
                </c:pt>
                <c:pt idx="68">
                  <c:v>21.951219512195124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E4-6A47-B06D-9097A7ED6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4552168"/>
        <c:axId val="2104548744"/>
      </c:scatterChart>
      <c:valAx>
        <c:axId val="2104552168"/>
        <c:scaling>
          <c:orientation val="minMax"/>
          <c:max val="30"/>
          <c:min val="8"/>
        </c:scaling>
        <c:delete val="0"/>
        <c:axPos val="b"/>
        <c:majorTickMark val="cross"/>
        <c:minorTickMark val="out"/>
        <c:tickLblPos val="none"/>
        <c:spPr>
          <a:ln w="12700">
            <a:solidFill>
              <a:srgbClr val="000000"/>
            </a:solidFill>
            <a:prstDash val="solid"/>
          </a:ln>
        </c:spPr>
        <c:crossAx val="2104548744"/>
        <c:crosses val="autoZero"/>
        <c:crossBetween val="midCat"/>
        <c:majorUnit val="1"/>
        <c:minorUnit val="0.1"/>
      </c:valAx>
      <c:valAx>
        <c:axId val="2104548744"/>
        <c:scaling>
          <c:orientation val="minMax"/>
          <c:max val="30"/>
        </c:scaling>
        <c:delete val="0"/>
        <c:axPos val="l"/>
        <c:numFmt formatCode="0.00" sourceLinked="1"/>
        <c:majorTickMark val="cross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104552168"/>
        <c:crosses val="autoZero"/>
        <c:crossBetween val="midCat"/>
        <c:majorUnit val="10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NL"/>
    </a:p>
  </c:txPr>
  <c:printSettings>
    <c:headerFooter>
      <c:oddHeader>&amp;f</c:oddHeader>
      <c:oddFooter>Page &amp;p</c:oddFooter>
    </c:headerFooter>
    <c:pageMargins b="1" l="0.75" r="0.7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930561790817306E-3"/>
          <c:y val="0.115385021685163"/>
          <c:w val="0.98142193813202605"/>
          <c:h val="0.778848896374851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strRef>
              <c:f>'T89-16t'!$BD$5:$BD$201</c:f>
              <c:strCache>
                <c:ptCount val="65"/>
                <c:pt idx="0">
                  <c:v>Median Cal years R540+/-70 adj </c:v>
                </c:pt>
                <c:pt idx="1">
                  <c:v>8466</c:v>
                </c:pt>
                <c:pt idx="2">
                  <c:v>8744</c:v>
                </c:pt>
                <c:pt idx="3">
                  <c:v>9084</c:v>
                </c:pt>
                <c:pt idx="4">
                  <c:v>9238</c:v>
                </c:pt>
                <c:pt idx="5">
                  <c:v>9470</c:v>
                </c:pt>
                <c:pt idx="6">
                  <c:v>9779</c:v>
                </c:pt>
                <c:pt idx="7">
                  <c:v>10010</c:v>
                </c:pt>
                <c:pt idx="8">
                  <c:v>10242</c:v>
                </c:pt>
                <c:pt idx="9">
                  <c:v>10396</c:v>
                </c:pt>
                <c:pt idx="10">
                  <c:v>10628</c:v>
                </c:pt>
                <c:pt idx="11">
                  <c:v>10782</c:v>
                </c:pt>
                <c:pt idx="12">
                  <c:v>11014</c:v>
                </c:pt>
                <c:pt idx="13">
                  <c:v>11168</c:v>
                </c:pt>
                <c:pt idx="14">
                  <c:v>11432</c:v>
                </c:pt>
                <c:pt idx="15">
                  <c:v>11790</c:v>
                </c:pt>
                <c:pt idx="16">
                  <c:v>12058</c:v>
                </c:pt>
                <c:pt idx="17">
                  <c:v>12211</c:v>
                </c:pt>
                <c:pt idx="18">
                  <c:v>12293</c:v>
                </c:pt>
                <c:pt idx="19">
                  <c:v>12402</c:v>
                </c:pt>
                <c:pt idx="20">
                  <c:v>12483</c:v>
                </c:pt>
                <c:pt idx="21">
                  <c:v>12592</c:v>
                </c:pt>
                <c:pt idx="22">
                  <c:v>12692</c:v>
                </c:pt>
                <c:pt idx="23">
                  <c:v>12737</c:v>
                </c:pt>
                <c:pt idx="24">
                  <c:v>12810</c:v>
                </c:pt>
                <c:pt idx="25">
                  <c:v>12900</c:v>
                </c:pt>
                <c:pt idx="26">
                  <c:v>12968</c:v>
                </c:pt>
                <c:pt idx="27">
                  <c:v>12990</c:v>
                </c:pt>
                <c:pt idx="28">
                  <c:v>13012</c:v>
                </c:pt>
                <c:pt idx="29">
                  <c:v>13042</c:v>
                </c:pt>
                <c:pt idx="30">
                  <c:v>13069</c:v>
                </c:pt>
                <c:pt idx="31">
                  <c:v>13090</c:v>
                </c:pt>
                <c:pt idx="32">
                  <c:v>13172</c:v>
                </c:pt>
                <c:pt idx="33">
                  <c:v>13542</c:v>
                </c:pt>
                <c:pt idx="34">
                  <c:v>14908</c:v>
                </c:pt>
                <c:pt idx="35">
                  <c:v>15546</c:v>
                </c:pt>
                <c:pt idx="36">
                  <c:v>16362</c:v>
                </c:pt>
                <c:pt idx="37">
                  <c:v>16949</c:v>
                </c:pt>
                <c:pt idx="38">
                  <c:v>17490</c:v>
                </c:pt>
                <c:pt idx="39">
                  <c:v>18311</c:v>
                </c:pt>
                <c:pt idx="40">
                  <c:v>19559</c:v>
                </c:pt>
                <c:pt idx="41">
                  <c:v>20494</c:v>
                </c:pt>
                <c:pt idx="42">
                  <c:v>21742</c:v>
                </c:pt>
                <c:pt idx="43">
                  <c:v>22990</c:v>
                </c:pt>
                <c:pt idx="44">
                  <c:v>24200</c:v>
                </c:pt>
                <c:pt idx="45">
                  <c:v>25212</c:v>
                </c:pt>
                <c:pt idx="46">
                  <c:v>25745</c:v>
                </c:pt>
                <c:pt idx="47">
                  <c:v>26544</c:v>
                </c:pt>
                <c:pt idx="48">
                  <c:v>27503</c:v>
                </c:pt>
                <c:pt idx="49">
                  <c:v>28185</c:v>
                </c:pt>
                <c:pt idx="50">
                  <c:v>28739</c:v>
                </c:pt>
                <c:pt idx="51">
                  <c:v>29126</c:v>
                </c:pt>
                <c:pt idx="52">
                  <c:v>29680</c:v>
                </c:pt>
                <c:pt idx="53">
                  <c:v>30179</c:v>
                </c:pt>
                <c:pt idx="54">
                  <c:v>30493</c:v>
                </c:pt>
                <c:pt idx="55">
                  <c:v>30649</c:v>
                </c:pt>
                <c:pt idx="56">
                  <c:v>30805</c:v>
                </c:pt>
                <c:pt idx="57">
                  <c:v>31008</c:v>
                </c:pt>
                <c:pt idx="58">
                  <c:v>31116</c:v>
                </c:pt>
                <c:pt idx="59">
                  <c:v>31308</c:v>
                </c:pt>
                <c:pt idx="60">
                  <c:v>31428</c:v>
                </c:pt>
                <c:pt idx="61">
                  <c:v>31632</c:v>
                </c:pt>
                <c:pt idx="62">
                  <c:v>32142</c:v>
                </c:pt>
                <c:pt idx="63">
                  <c:v>32708</c:v>
                </c:pt>
                <c:pt idx="64">
                  <c:v>33274</c:v>
                </c:pt>
              </c:strCache>
            </c:strRef>
          </c:xVal>
          <c:yVal>
            <c:numRef>
              <c:f>'T89-16t'!$BA$5:$BA$201</c:f>
              <c:numCache>
                <c:formatCode>0.00</c:formatCode>
                <c:ptCount val="197"/>
                <c:pt idx="0">
                  <c:v>0</c:v>
                </c:pt>
                <c:pt idx="1">
                  <c:v>4.3689320388349513</c:v>
                </c:pt>
                <c:pt idx="2">
                  <c:v>6.0606060606060606</c:v>
                </c:pt>
                <c:pt idx="3">
                  <c:v>0.28818443804034583</c:v>
                </c:pt>
                <c:pt idx="4">
                  <c:v>0.64102564102564108</c:v>
                </c:pt>
                <c:pt idx="5">
                  <c:v>0.56818181818181823</c:v>
                </c:pt>
                <c:pt idx="6">
                  <c:v>1.1952191235059761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0.44247787610619471</c:v>
                </c:pt>
                <c:pt idx="11">
                  <c:v>0.51813471502590669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0.3003003003003003</c:v>
                </c:pt>
                <c:pt idx="16">
                  <c:v>1.0309278350515463</c:v>
                </c:pt>
                <c:pt idx="17">
                  <c:v>0.16366612111292964</c:v>
                </c:pt>
                <c:pt idx="18">
                  <c:v>0.23419203747072601</c:v>
                </c:pt>
                <c:pt idx="19">
                  <c:v>0.44843049327354262</c:v>
                </c:pt>
                <c:pt idx="20">
                  <c:v>0.25773195876288657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0.25809391339529414</c:v>
                </c:pt>
                <c:pt idx="67">
                  <c:v>0</c:v>
                </c:pt>
                <c:pt idx="68">
                  <c:v>7.2558251841120365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65-A04D-98A3-393F15416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4521176"/>
        <c:axId val="2104517752"/>
      </c:scatterChart>
      <c:valAx>
        <c:axId val="2104521176"/>
        <c:scaling>
          <c:orientation val="minMax"/>
          <c:max val="30"/>
          <c:min val="8"/>
        </c:scaling>
        <c:delete val="0"/>
        <c:axPos val="b"/>
        <c:majorTickMark val="cross"/>
        <c:minorTickMark val="out"/>
        <c:tickLblPos val="none"/>
        <c:spPr>
          <a:ln w="12700">
            <a:solidFill>
              <a:srgbClr val="000000"/>
            </a:solidFill>
            <a:prstDash val="solid"/>
          </a:ln>
        </c:spPr>
        <c:crossAx val="2104517752"/>
        <c:crosses val="autoZero"/>
        <c:crossBetween val="midCat"/>
        <c:majorUnit val="1"/>
        <c:minorUnit val="0.1"/>
      </c:valAx>
      <c:valAx>
        <c:axId val="2104517752"/>
        <c:scaling>
          <c:orientation val="minMax"/>
          <c:max val="10"/>
        </c:scaling>
        <c:delete val="0"/>
        <c:axPos val="l"/>
        <c:numFmt formatCode="0.00" sourceLinked="1"/>
        <c:majorTickMark val="cross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104521176"/>
        <c:crosses val="autoZero"/>
        <c:crossBetween val="midCat"/>
        <c:majorUnit val="10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NL"/>
    </a:p>
  </c:txPr>
  <c:printSettings>
    <c:headerFooter>
      <c:oddHeader>&amp;f</c:oddHeader>
      <c:oddFooter>Page &amp;p</c:oddFooter>
    </c:headerFooter>
    <c:pageMargins b="1" l="0.75" r="0.75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930561790817306E-3"/>
          <c:y val="0.115385021685163"/>
          <c:w val="0.98142193813202605"/>
          <c:h val="0.778848896374851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strRef>
              <c:f>'T89-16t'!$BD$5:$BD$201</c:f>
              <c:strCache>
                <c:ptCount val="65"/>
                <c:pt idx="0">
                  <c:v>Median Cal years R540+/-70 adj </c:v>
                </c:pt>
                <c:pt idx="1">
                  <c:v>8466</c:v>
                </c:pt>
                <c:pt idx="2">
                  <c:v>8744</c:v>
                </c:pt>
                <c:pt idx="3">
                  <c:v>9084</c:v>
                </c:pt>
                <c:pt idx="4">
                  <c:v>9238</c:v>
                </c:pt>
                <c:pt idx="5">
                  <c:v>9470</c:v>
                </c:pt>
                <c:pt idx="6">
                  <c:v>9779</c:v>
                </c:pt>
                <c:pt idx="7">
                  <c:v>10010</c:v>
                </c:pt>
                <c:pt idx="8">
                  <c:v>10242</c:v>
                </c:pt>
                <c:pt idx="9">
                  <c:v>10396</c:v>
                </c:pt>
                <c:pt idx="10">
                  <c:v>10628</c:v>
                </c:pt>
                <c:pt idx="11">
                  <c:v>10782</c:v>
                </c:pt>
                <c:pt idx="12">
                  <c:v>11014</c:v>
                </c:pt>
                <c:pt idx="13">
                  <c:v>11168</c:v>
                </c:pt>
                <c:pt idx="14">
                  <c:v>11432</c:v>
                </c:pt>
                <c:pt idx="15">
                  <c:v>11790</c:v>
                </c:pt>
                <c:pt idx="16">
                  <c:v>12058</c:v>
                </c:pt>
                <c:pt idx="17">
                  <c:v>12211</c:v>
                </c:pt>
                <c:pt idx="18">
                  <c:v>12293</c:v>
                </c:pt>
                <c:pt idx="19">
                  <c:v>12402</c:v>
                </c:pt>
                <c:pt idx="20">
                  <c:v>12483</c:v>
                </c:pt>
                <c:pt idx="21">
                  <c:v>12592</c:v>
                </c:pt>
                <c:pt idx="22">
                  <c:v>12692</c:v>
                </c:pt>
                <c:pt idx="23">
                  <c:v>12737</c:v>
                </c:pt>
                <c:pt idx="24">
                  <c:v>12810</c:v>
                </c:pt>
                <c:pt idx="25">
                  <c:v>12900</c:v>
                </c:pt>
                <c:pt idx="26">
                  <c:v>12968</c:v>
                </c:pt>
                <c:pt idx="27">
                  <c:v>12990</c:v>
                </c:pt>
                <c:pt idx="28">
                  <c:v>13012</c:v>
                </c:pt>
                <c:pt idx="29">
                  <c:v>13042</c:v>
                </c:pt>
                <c:pt idx="30">
                  <c:v>13069</c:v>
                </c:pt>
                <c:pt idx="31">
                  <c:v>13090</c:v>
                </c:pt>
                <c:pt idx="32">
                  <c:v>13172</c:v>
                </c:pt>
                <c:pt idx="33">
                  <c:v>13542</c:v>
                </c:pt>
                <c:pt idx="34">
                  <c:v>14908</c:v>
                </c:pt>
                <c:pt idx="35">
                  <c:v>15546</c:v>
                </c:pt>
                <c:pt idx="36">
                  <c:v>16362</c:v>
                </c:pt>
                <c:pt idx="37">
                  <c:v>16949</c:v>
                </c:pt>
                <c:pt idx="38">
                  <c:v>17490</c:v>
                </c:pt>
                <c:pt idx="39">
                  <c:v>18311</c:v>
                </c:pt>
                <c:pt idx="40">
                  <c:v>19559</c:v>
                </c:pt>
                <c:pt idx="41">
                  <c:v>20494</c:v>
                </c:pt>
                <c:pt idx="42">
                  <c:v>21742</c:v>
                </c:pt>
                <c:pt idx="43">
                  <c:v>22990</c:v>
                </c:pt>
                <c:pt idx="44">
                  <c:v>24200</c:v>
                </c:pt>
                <c:pt idx="45">
                  <c:v>25212</c:v>
                </c:pt>
                <c:pt idx="46">
                  <c:v>25745</c:v>
                </c:pt>
                <c:pt idx="47">
                  <c:v>26544</c:v>
                </c:pt>
                <c:pt idx="48">
                  <c:v>27503</c:v>
                </c:pt>
                <c:pt idx="49">
                  <c:v>28185</c:v>
                </c:pt>
                <c:pt idx="50">
                  <c:v>28739</c:v>
                </c:pt>
                <c:pt idx="51">
                  <c:v>29126</c:v>
                </c:pt>
                <c:pt idx="52">
                  <c:v>29680</c:v>
                </c:pt>
                <c:pt idx="53">
                  <c:v>30179</c:v>
                </c:pt>
                <c:pt idx="54">
                  <c:v>30493</c:v>
                </c:pt>
                <c:pt idx="55">
                  <c:v>30649</c:v>
                </c:pt>
                <c:pt idx="56">
                  <c:v>30805</c:v>
                </c:pt>
                <c:pt idx="57">
                  <c:v>31008</c:v>
                </c:pt>
                <c:pt idx="58">
                  <c:v>31116</c:v>
                </c:pt>
                <c:pt idx="59">
                  <c:v>31308</c:v>
                </c:pt>
                <c:pt idx="60">
                  <c:v>31428</c:v>
                </c:pt>
                <c:pt idx="61">
                  <c:v>31632</c:v>
                </c:pt>
                <c:pt idx="62">
                  <c:v>32142</c:v>
                </c:pt>
                <c:pt idx="63">
                  <c:v>32708</c:v>
                </c:pt>
                <c:pt idx="64">
                  <c:v>33274</c:v>
                </c:pt>
              </c:strCache>
            </c:strRef>
          </c:xVal>
          <c:yVal>
            <c:numRef>
              <c:f>'T89-16t'!$AA$5:$AA$201</c:f>
              <c:numCache>
                <c:formatCode>0.00</c:formatCode>
                <c:ptCount val="197"/>
                <c:pt idx="1">
                  <c:v>2.4271844660194173</c:v>
                </c:pt>
                <c:pt idx="2">
                  <c:v>9.0909090909090917</c:v>
                </c:pt>
                <c:pt idx="3">
                  <c:v>6.0518731988472618</c:v>
                </c:pt>
                <c:pt idx="4">
                  <c:v>5.7692307692307692</c:v>
                </c:pt>
                <c:pt idx="5">
                  <c:v>8.5227272727272734</c:v>
                </c:pt>
                <c:pt idx="6">
                  <c:v>6.7729083665338647</c:v>
                </c:pt>
                <c:pt idx="7">
                  <c:v>4.7244094488188972</c:v>
                </c:pt>
                <c:pt idx="8">
                  <c:v>7.6530612244897958</c:v>
                </c:pt>
                <c:pt idx="9">
                  <c:v>6.8783068783068781</c:v>
                </c:pt>
                <c:pt idx="10">
                  <c:v>8.4070796460176993</c:v>
                </c:pt>
                <c:pt idx="11">
                  <c:v>4.6632124352331603</c:v>
                </c:pt>
                <c:pt idx="12">
                  <c:v>4.9822064056939501</c:v>
                </c:pt>
                <c:pt idx="13">
                  <c:v>5.8035714285714288</c:v>
                </c:pt>
                <c:pt idx="14">
                  <c:v>5.6790123456790127</c:v>
                </c:pt>
                <c:pt idx="15">
                  <c:v>4.5045045045045047</c:v>
                </c:pt>
                <c:pt idx="16">
                  <c:v>7.5601374570446733</c:v>
                </c:pt>
                <c:pt idx="17">
                  <c:v>2.9459901800327333</c:v>
                </c:pt>
                <c:pt idx="18">
                  <c:v>4.6838407494145198</c:v>
                </c:pt>
                <c:pt idx="19">
                  <c:v>3.1390134529147984</c:v>
                </c:pt>
                <c:pt idx="20">
                  <c:v>3.3505154639175259</c:v>
                </c:pt>
                <c:pt idx="21">
                  <c:v>1.3921113689095128</c:v>
                </c:pt>
                <c:pt idx="22">
                  <c:v>0.67873303167420818</c:v>
                </c:pt>
                <c:pt idx="23">
                  <c:v>0.2183406113537118</c:v>
                </c:pt>
                <c:pt idx="24">
                  <c:v>4.3103448275862073</c:v>
                </c:pt>
                <c:pt idx="25">
                  <c:v>4.6511627906976747</c:v>
                </c:pt>
                <c:pt idx="26">
                  <c:v>0.86206896551724133</c:v>
                </c:pt>
                <c:pt idx="27">
                  <c:v>3.9577836411609497</c:v>
                </c:pt>
                <c:pt idx="28">
                  <c:v>2.5575447570332481</c:v>
                </c:pt>
                <c:pt idx="29">
                  <c:v>2.8077753779697625</c:v>
                </c:pt>
                <c:pt idx="30">
                  <c:v>0.5305039787798409</c:v>
                </c:pt>
                <c:pt idx="31">
                  <c:v>1.5923566878980893</c:v>
                </c:pt>
                <c:pt idx="32">
                  <c:v>0.72992700729927007</c:v>
                </c:pt>
                <c:pt idx="33">
                  <c:v>0.42553191489361702</c:v>
                </c:pt>
                <c:pt idx="34">
                  <c:v>0.8771929824561403</c:v>
                </c:pt>
                <c:pt idx="35">
                  <c:v>0.57581573896353166</c:v>
                </c:pt>
                <c:pt idx="36">
                  <c:v>1.3661202185792349</c:v>
                </c:pt>
                <c:pt idx="37">
                  <c:v>3.9660056657223794</c:v>
                </c:pt>
                <c:pt idx="38">
                  <c:v>7.5892857142857144</c:v>
                </c:pt>
                <c:pt idx="39">
                  <c:v>2.3170731707317072</c:v>
                </c:pt>
                <c:pt idx="40">
                  <c:v>7.3248407643312099</c:v>
                </c:pt>
                <c:pt idx="41">
                  <c:v>6.2972292191435768</c:v>
                </c:pt>
                <c:pt idx="42">
                  <c:v>3.9274924471299095</c:v>
                </c:pt>
                <c:pt idx="43">
                  <c:v>4.3478260869565215</c:v>
                </c:pt>
                <c:pt idx="44">
                  <c:v>5.3731343283582094</c:v>
                </c:pt>
                <c:pt idx="45">
                  <c:v>3.8147138964577656</c:v>
                </c:pt>
                <c:pt idx="46">
                  <c:v>4.0358744394618835</c:v>
                </c:pt>
                <c:pt idx="47">
                  <c:v>5.0473186119873814</c:v>
                </c:pt>
                <c:pt idx="48">
                  <c:v>3.3112582781456954</c:v>
                </c:pt>
                <c:pt idx="49">
                  <c:v>2.168021680216802</c:v>
                </c:pt>
                <c:pt idx="50">
                  <c:v>1.6706443914081146</c:v>
                </c:pt>
                <c:pt idx="51">
                  <c:v>2.6315789473684212</c:v>
                </c:pt>
                <c:pt idx="52">
                  <c:v>9.5238095238095237</c:v>
                </c:pt>
                <c:pt idx="53">
                  <c:v>3.225806451612903</c:v>
                </c:pt>
                <c:pt idx="54">
                  <c:v>3.3898305084745761</c:v>
                </c:pt>
                <c:pt idx="55">
                  <c:v>1.8656716417910448</c:v>
                </c:pt>
                <c:pt idx="56">
                  <c:v>1.5060240963855422</c:v>
                </c:pt>
                <c:pt idx="57">
                  <c:v>3.2640949554896141</c:v>
                </c:pt>
                <c:pt idx="58">
                  <c:v>0.34843205574912894</c:v>
                </c:pt>
                <c:pt idx="59">
                  <c:v>1.4705882352941178</c:v>
                </c:pt>
                <c:pt idx="60">
                  <c:v>2.192982456140351</c:v>
                </c:pt>
                <c:pt idx="61">
                  <c:v>1.9736842105263157</c:v>
                </c:pt>
                <c:pt idx="62">
                  <c:v>1.4925373134328359</c:v>
                </c:pt>
                <c:pt idx="63">
                  <c:v>0.77922077922077926</c:v>
                </c:pt>
                <c:pt idx="64">
                  <c:v>2.2026431718061672</c:v>
                </c:pt>
                <c:pt idx="66">
                  <c:v>3.7218848707362135</c:v>
                </c:pt>
                <c:pt idx="67">
                  <c:v>0.2183406113537118</c:v>
                </c:pt>
                <c:pt idx="68">
                  <c:v>9.5238095238095237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5A-5B4A-98E4-0B9867CE1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1866072"/>
        <c:axId val="2131869448"/>
      </c:scatterChart>
      <c:valAx>
        <c:axId val="2131866072"/>
        <c:scaling>
          <c:orientation val="minMax"/>
          <c:max val="30"/>
          <c:min val="8"/>
        </c:scaling>
        <c:delete val="0"/>
        <c:axPos val="b"/>
        <c:majorTickMark val="cross"/>
        <c:minorTickMark val="out"/>
        <c:tickLblPos val="none"/>
        <c:spPr>
          <a:ln w="12700">
            <a:solidFill>
              <a:srgbClr val="000000"/>
            </a:solidFill>
            <a:prstDash val="solid"/>
          </a:ln>
        </c:spPr>
        <c:crossAx val="2131869448"/>
        <c:crosses val="autoZero"/>
        <c:crossBetween val="midCat"/>
        <c:majorUnit val="1"/>
        <c:minorUnit val="0.1"/>
      </c:valAx>
      <c:valAx>
        <c:axId val="2131869448"/>
        <c:scaling>
          <c:orientation val="minMax"/>
          <c:max val="10"/>
        </c:scaling>
        <c:delete val="0"/>
        <c:axPos val="l"/>
        <c:numFmt formatCode="0.00" sourceLinked="1"/>
        <c:majorTickMark val="cross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131866072"/>
        <c:crosses val="autoZero"/>
        <c:crossBetween val="midCat"/>
        <c:majorUnit val="10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NL"/>
    </a:p>
  </c:txPr>
  <c:printSettings>
    <c:headerFooter>
      <c:oddHeader>&amp;f</c:oddHeader>
      <c:oddFooter>Page &amp;p</c:oddFooter>
    </c:headerFooter>
    <c:pageMargins b="1" l="0.75" r="0.75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930561790817306E-3"/>
          <c:y val="0.115385021685163"/>
          <c:w val="0.98142193813202605"/>
          <c:h val="0.778848896374851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strRef>
              <c:f>'T89-16t'!$BD$5:$BD$201</c:f>
              <c:strCache>
                <c:ptCount val="65"/>
                <c:pt idx="0">
                  <c:v>Median Cal years R540+/-70 adj </c:v>
                </c:pt>
                <c:pt idx="1">
                  <c:v>8466</c:v>
                </c:pt>
                <c:pt idx="2">
                  <c:v>8744</c:v>
                </c:pt>
                <c:pt idx="3">
                  <c:v>9084</c:v>
                </c:pt>
                <c:pt idx="4">
                  <c:v>9238</c:v>
                </c:pt>
                <c:pt idx="5">
                  <c:v>9470</c:v>
                </c:pt>
                <c:pt idx="6">
                  <c:v>9779</c:v>
                </c:pt>
                <c:pt idx="7">
                  <c:v>10010</c:v>
                </c:pt>
                <c:pt idx="8">
                  <c:v>10242</c:v>
                </c:pt>
                <c:pt idx="9">
                  <c:v>10396</c:v>
                </c:pt>
                <c:pt idx="10">
                  <c:v>10628</c:v>
                </c:pt>
                <c:pt idx="11">
                  <c:v>10782</c:v>
                </c:pt>
                <c:pt idx="12">
                  <c:v>11014</c:v>
                </c:pt>
                <c:pt idx="13">
                  <c:v>11168</c:v>
                </c:pt>
                <c:pt idx="14">
                  <c:v>11432</c:v>
                </c:pt>
                <c:pt idx="15">
                  <c:v>11790</c:v>
                </c:pt>
                <c:pt idx="16">
                  <c:v>12058</c:v>
                </c:pt>
                <c:pt idx="17">
                  <c:v>12211</c:v>
                </c:pt>
                <c:pt idx="18">
                  <c:v>12293</c:v>
                </c:pt>
                <c:pt idx="19">
                  <c:v>12402</c:v>
                </c:pt>
                <c:pt idx="20">
                  <c:v>12483</c:v>
                </c:pt>
                <c:pt idx="21">
                  <c:v>12592</c:v>
                </c:pt>
                <c:pt idx="22">
                  <c:v>12692</c:v>
                </c:pt>
                <c:pt idx="23">
                  <c:v>12737</c:v>
                </c:pt>
                <c:pt idx="24">
                  <c:v>12810</c:v>
                </c:pt>
                <c:pt idx="25">
                  <c:v>12900</c:v>
                </c:pt>
                <c:pt idx="26">
                  <c:v>12968</c:v>
                </c:pt>
                <c:pt idx="27">
                  <c:v>12990</c:v>
                </c:pt>
                <c:pt idx="28">
                  <c:v>13012</c:v>
                </c:pt>
                <c:pt idx="29">
                  <c:v>13042</c:v>
                </c:pt>
                <c:pt idx="30">
                  <c:v>13069</c:v>
                </c:pt>
                <c:pt idx="31">
                  <c:v>13090</c:v>
                </c:pt>
                <c:pt idx="32">
                  <c:v>13172</c:v>
                </c:pt>
                <c:pt idx="33">
                  <c:v>13542</c:v>
                </c:pt>
                <c:pt idx="34">
                  <c:v>14908</c:v>
                </c:pt>
                <c:pt idx="35">
                  <c:v>15546</c:v>
                </c:pt>
                <c:pt idx="36">
                  <c:v>16362</c:v>
                </c:pt>
                <c:pt idx="37">
                  <c:v>16949</c:v>
                </c:pt>
                <c:pt idx="38">
                  <c:v>17490</c:v>
                </c:pt>
                <c:pt idx="39">
                  <c:v>18311</c:v>
                </c:pt>
                <c:pt idx="40">
                  <c:v>19559</c:v>
                </c:pt>
                <c:pt idx="41">
                  <c:v>20494</c:v>
                </c:pt>
                <c:pt idx="42">
                  <c:v>21742</c:v>
                </c:pt>
                <c:pt idx="43">
                  <c:v>22990</c:v>
                </c:pt>
                <c:pt idx="44">
                  <c:v>24200</c:v>
                </c:pt>
                <c:pt idx="45">
                  <c:v>25212</c:v>
                </c:pt>
                <c:pt idx="46">
                  <c:v>25745</c:v>
                </c:pt>
                <c:pt idx="47">
                  <c:v>26544</c:v>
                </c:pt>
                <c:pt idx="48">
                  <c:v>27503</c:v>
                </c:pt>
                <c:pt idx="49">
                  <c:v>28185</c:v>
                </c:pt>
                <c:pt idx="50">
                  <c:v>28739</c:v>
                </c:pt>
                <c:pt idx="51">
                  <c:v>29126</c:v>
                </c:pt>
                <c:pt idx="52">
                  <c:v>29680</c:v>
                </c:pt>
                <c:pt idx="53">
                  <c:v>30179</c:v>
                </c:pt>
                <c:pt idx="54">
                  <c:v>30493</c:v>
                </c:pt>
                <c:pt idx="55">
                  <c:v>30649</c:v>
                </c:pt>
                <c:pt idx="56">
                  <c:v>30805</c:v>
                </c:pt>
                <c:pt idx="57">
                  <c:v>31008</c:v>
                </c:pt>
                <c:pt idx="58">
                  <c:v>31116</c:v>
                </c:pt>
                <c:pt idx="59">
                  <c:v>31308</c:v>
                </c:pt>
                <c:pt idx="60">
                  <c:v>31428</c:v>
                </c:pt>
                <c:pt idx="61">
                  <c:v>31632</c:v>
                </c:pt>
                <c:pt idx="62">
                  <c:v>32142</c:v>
                </c:pt>
                <c:pt idx="63">
                  <c:v>32708</c:v>
                </c:pt>
                <c:pt idx="64">
                  <c:v>33274</c:v>
                </c:pt>
              </c:strCache>
            </c:strRef>
          </c:xVal>
          <c:yVal>
            <c:numRef>
              <c:f>'T89-16t'!$BF$5:$BF$201</c:f>
              <c:numCache>
                <c:formatCode>0</c:formatCode>
                <c:ptCount val="197"/>
                <c:pt idx="1">
                  <c:v>4.8543689320388346</c:v>
                </c:pt>
                <c:pt idx="2">
                  <c:v>9.0909090909090917</c:v>
                </c:pt>
                <c:pt idx="3">
                  <c:v>11.527377521613801</c:v>
                </c:pt>
                <c:pt idx="4">
                  <c:v>15.384615384615385</c:v>
                </c:pt>
                <c:pt idx="5">
                  <c:v>14.204545454545455</c:v>
                </c:pt>
                <c:pt idx="6">
                  <c:v>11.952191235059761</c:v>
                </c:pt>
                <c:pt idx="7">
                  <c:v>14.173228346456693</c:v>
                </c:pt>
                <c:pt idx="8">
                  <c:v>11.73469387755102</c:v>
                </c:pt>
                <c:pt idx="9">
                  <c:v>12.698412698412698</c:v>
                </c:pt>
                <c:pt idx="10">
                  <c:v>11.504424778761061</c:v>
                </c:pt>
                <c:pt idx="11">
                  <c:v>12.435233160621761</c:v>
                </c:pt>
                <c:pt idx="12">
                  <c:v>12.5</c:v>
                </c:pt>
                <c:pt idx="13">
                  <c:v>16.071428571428573</c:v>
                </c:pt>
                <c:pt idx="14">
                  <c:v>9.8765432098765427</c:v>
                </c:pt>
                <c:pt idx="15">
                  <c:v>11.411411411411411</c:v>
                </c:pt>
                <c:pt idx="16">
                  <c:v>13.058419243986254</c:v>
                </c:pt>
                <c:pt idx="17">
                  <c:v>9.3289689034369889</c:v>
                </c:pt>
                <c:pt idx="18">
                  <c:v>8.6651053864168617</c:v>
                </c:pt>
                <c:pt idx="19">
                  <c:v>8.071748878923767</c:v>
                </c:pt>
                <c:pt idx="20">
                  <c:v>6.9587628865979383</c:v>
                </c:pt>
                <c:pt idx="21">
                  <c:v>6.7285382830626448</c:v>
                </c:pt>
                <c:pt idx="22">
                  <c:v>5.6561085972850682</c:v>
                </c:pt>
                <c:pt idx="23">
                  <c:v>5.4585152838427948</c:v>
                </c:pt>
                <c:pt idx="24">
                  <c:v>3.0172413793103448</c:v>
                </c:pt>
                <c:pt idx="25">
                  <c:v>6.0465116279069768</c:v>
                </c:pt>
                <c:pt idx="26">
                  <c:v>3.0172413793103448</c:v>
                </c:pt>
                <c:pt idx="27">
                  <c:v>3.9577836411609497</c:v>
                </c:pt>
                <c:pt idx="28">
                  <c:v>3.3248081841432224</c:v>
                </c:pt>
                <c:pt idx="29">
                  <c:v>2.8077753779697625</c:v>
                </c:pt>
                <c:pt idx="30">
                  <c:v>1.856763925729443</c:v>
                </c:pt>
                <c:pt idx="31">
                  <c:v>3.5031847133757963</c:v>
                </c:pt>
                <c:pt idx="32">
                  <c:v>7.2992700729927007</c:v>
                </c:pt>
                <c:pt idx="33">
                  <c:v>6.3829787234042552</c:v>
                </c:pt>
                <c:pt idx="34">
                  <c:v>1.3157894736842106</c:v>
                </c:pt>
                <c:pt idx="35">
                  <c:v>1.3435700575815739</c:v>
                </c:pt>
                <c:pt idx="36">
                  <c:v>1.3661202185792349</c:v>
                </c:pt>
                <c:pt idx="37">
                  <c:v>1.9830028328611897</c:v>
                </c:pt>
                <c:pt idx="38">
                  <c:v>0.8928571428571429</c:v>
                </c:pt>
                <c:pt idx="39">
                  <c:v>0.48780487804878048</c:v>
                </c:pt>
                <c:pt idx="40">
                  <c:v>0</c:v>
                </c:pt>
                <c:pt idx="41">
                  <c:v>1.2594458438287153</c:v>
                </c:pt>
                <c:pt idx="42">
                  <c:v>0.60422960725075525</c:v>
                </c:pt>
                <c:pt idx="43">
                  <c:v>1.1594202898550725</c:v>
                </c:pt>
                <c:pt idx="44">
                  <c:v>0</c:v>
                </c:pt>
                <c:pt idx="45">
                  <c:v>0</c:v>
                </c:pt>
                <c:pt idx="46">
                  <c:v>0.89686098654708524</c:v>
                </c:pt>
                <c:pt idx="47">
                  <c:v>2.8391167192429023</c:v>
                </c:pt>
                <c:pt idx="48">
                  <c:v>0</c:v>
                </c:pt>
                <c:pt idx="49">
                  <c:v>0.54200542005420049</c:v>
                </c:pt>
                <c:pt idx="50">
                  <c:v>0.71599045346062051</c:v>
                </c:pt>
                <c:pt idx="51">
                  <c:v>1.4354066985645932</c:v>
                </c:pt>
                <c:pt idx="52">
                  <c:v>0.49261083743842365</c:v>
                </c:pt>
                <c:pt idx="53">
                  <c:v>0.40322580645161288</c:v>
                </c:pt>
                <c:pt idx="54">
                  <c:v>1.6949152542372881</c:v>
                </c:pt>
                <c:pt idx="55">
                  <c:v>1.1194029850746268</c:v>
                </c:pt>
                <c:pt idx="56">
                  <c:v>0.60240963855421692</c:v>
                </c:pt>
                <c:pt idx="57">
                  <c:v>0.29673590504451036</c:v>
                </c:pt>
                <c:pt idx="58">
                  <c:v>0.34843205574912894</c:v>
                </c:pt>
                <c:pt idx="59">
                  <c:v>0.98039215686274506</c:v>
                </c:pt>
                <c:pt idx="60">
                  <c:v>0.8771929824561403</c:v>
                </c:pt>
                <c:pt idx="61">
                  <c:v>7.2368421052631575</c:v>
                </c:pt>
                <c:pt idx="62">
                  <c:v>0.89552238805970152</c:v>
                </c:pt>
                <c:pt idx="63">
                  <c:v>1.0389610389610389</c:v>
                </c:pt>
                <c:pt idx="64">
                  <c:v>1.5418502202643172</c:v>
                </c:pt>
                <c:pt idx="66" formatCode="0.00">
                  <c:v>4.9832691274842382</c:v>
                </c:pt>
                <c:pt idx="67" formatCode="0.00">
                  <c:v>0</c:v>
                </c:pt>
                <c:pt idx="68" formatCode="0.00">
                  <c:v>16.071428571428573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B1-E946-8AD5-4FCD7F170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1593544"/>
        <c:axId val="2131596968"/>
      </c:scatterChart>
      <c:valAx>
        <c:axId val="2131593544"/>
        <c:scaling>
          <c:orientation val="minMax"/>
          <c:max val="30"/>
          <c:min val="8"/>
        </c:scaling>
        <c:delete val="0"/>
        <c:axPos val="b"/>
        <c:majorTickMark val="cross"/>
        <c:minorTickMark val="out"/>
        <c:tickLblPos val="none"/>
        <c:spPr>
          <a:ln w="12700">
            <a:solidFill>
              <a:srgbClr val="000000"/>
            </a:solidFill>
            <a:prstDash val="solid"/>
          </a:ln>
        </c:spPr>
        <c:crossAx val="2131596968"/>
        <c:crosses val="autoZero"/>
        <c:crossBetween val="midCat"/>
        <c:majorUnit val="1"/>
        <c:minorUnit val="0.1"/>
      </c:valAx>
      <c:valAx>
        <c:axId val="2131596968"/>
        <c:scaling>
          <c:orientation val="minMax"/>
          <c:max val="20"/>
        </c:scaling>
        <c:delete val="0"/>
        <c:axPos val="l"/>
        <c:numFmt formatCode="0" sourceLinked="1"/>
        <c:majorTickMark val="cross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131593544"/>
        <c:crosses val="autoZero"/>
        <c:crossBetween val="midCat"/>
        <c:majorUnit val="10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NL"/>
    </a:p>
  </c:txPr>
  <c:printSettings>
    <c:headerFooter>
      <c:oddHeader>&amp;f</c:oddHeader>
      <c:oddFooter>Page &amp;p</c:oddFooter>
    </c:headerFooter>
    <c:pageMargins b="1" l="0.75" r="0.75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930561790817306E-3"/>
          <c:y val="0.115385021685163"/>
          <c:w val="0.98142193813202605"/>
          <c:h val="0.778848896374851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strRef>
              <c:f>'T89-16t'!$BD$5:$BD$201</c:f>
              <c:strCache>
                <c:ptCount val="65"/>
                <c:pt idx="0">
                  <c:v>Median Cal years R540+/-70 adj </c:v>
                </c:pt>
                <c:pt idx="1">
                  <c:v>8466</c:v>
                </c:pt>
                <c:pt idx="2">
                  <c:v>8744</c:v>
                </c:pt>
                <c:pt idx="3">
                  <c:v>9084</c:v>
                </c:pt>
                <c:pt idx="4">
                  <c:v>9238</c:v>
                </c:pt>
                <c:pt idx="5">
                  <c:v>9470</c:v>
                </c:pt>
                <c:pt idx="6">
                  <c:v>9779</c:v>
                </c:pt>
                <c:pt idx="7">
                  <c:v>10010</c:v>
                </c:pt>
                <c:pt idx="8">
                  <c:v>10242</c:v>
                </c:pt>
                <c:pt idx="9">
                  <c:v>10396</c:v>
                </c:pt>
                <c:pt idx="10">
                  <c:v>10628</c:v>
                </c:pt>
                <c:pt idx="11">
                  <c:v>10782</c:v>
                </c:pt>
                <c:pt idx="12">
                  <c:v>11014</c:v>
                </c:pt>
                <c:pt idx="13">
                  <c:v>11168</c:v>
                </c:pt>
                <c:pt idx="14">
                  <c:v>11432</c:v>
                </c:pt>
                <c:pt idx="15">
                  <c:v>11790</c:v>
                </c:pt>
                <c:pt idx="16">
                  <c:v>12058</c:v>
                </c:pt>
                <c:pt idx="17">
                  <c:v>12211</c:v>
                </c:pt>
                <c:pt idx="18">
                  <c:v>12293</c:v>
                </c:pt>
                <c:pt idx="19">
                  <c:v>12402</c:v>
                </c:pt>
                <c:pt idx="20">
                  <c:v>12483</c:v>
                </c:pt>
                <c:pt idx="21">
                  <c:v>12592</c:v>
                </c:pt>
                <c:pt idx="22">
                  <c:v>12692</c:v>
                </c:pt>
                <c:pt idx="23">
                  <c:v>12737</c:v>
                </c:pt>
                <c:pt idx="24">
                  <c:v>12810</c:v>
                </c:pt>
                <c:pt idx="25">
                  <c:v>12900</c:v>
                </c:pt>
                <c:pt idx="26">
                  <c:v>12968</c:v>
                </c:pt>
                <c:pt idx="27">
                  <c:v>12990</c:v>
                </c:pt>
                <c:pt idx="28">
                  <c:v>13012</c:v>
                </c:pt>
                <c:pt idx="29">
                  <c:v>13042</c:v>
                </c:pt>
                <c:pt idx="30">
                  <c:v>13069</c:v>
                </c:pt>
                <c:pt idx="31">
                  <c:v>13090</c:v>
                </c:pt>
                <c:pt idx="32">
                  <c:v>13172</c:v>
                </c:pt>
                <c:pt idx="33">
                  <c:v>13542</c:v>
                </c:pt>
                <c:pt idx="34">
                  <c:v>14908</c:v>
                </c:pt>
                <c:pt idx="35">
                  <c:v>15546</c:v>
                </c:pt>
                <c:pt idx="36">
                  <c:v>16362</c:v>
                </c:pt>
                <c:pt idx="37">
                  <c:v>16949</c:v>
                </c:pt>
                <c:pt idx="38">
                  <c:v>17490</c:v>
                </c:pt>
                <c:pt idx="39">
                  <c:v>18311</c:v>
                </c:pt>
                <c:pt idx="40">
                  <c:v>19559</c:v>
                </c:pt>
                <c:pt idx="41">
                  <c:v>20494</c:v>
                </c:pt>
                <c:pt idx="42">
                  <c:v>21742</c:v>
                </c:pt>
                <c:pt idx="43">
                  <c:v>22990</c:v>
                </c:pt>
                <c:pt idx="44">
                  <c:v>24200</c:v>
                </c:pt>
                <c:pt idx="45">
                  <c:v>25212</c:v>
                </c:pt>
                <c:pt idx="46">
                  <c:v>25745</c:v>
                </c:pt>
                <c:pt idx="47">
                  <c:v>26544</c:v>
                </c:pt>
                <c:pt idx="48">
                  <c:v>27503</c:v>
                </c:pt>
                <c:pt idx="49">
                  <c:v>28185</c:v>
                </c:pt>
                <c:pt idx="50">
                  <c:v>28739</c:v>
                </c:pt>
                <c:pt idx="51">
                  <c:v>29126</c:v>
                </c:pt>
                <c:pt idx="52">
                  <c:v>29680</c:v>
                </c:pt>
                <c:pt idx="53">
                  <c:v>30179</c:v>
                </c:pt>
                <c:pt idx="54">
                  <c:v>30493</c:v>
                </c:pt>
                <c:pt idx="55">
                  <c:v>30649</c:v>
                </c:pt>
                <c:pt idx="56">
                  <c:v>30805</c:v>
                </c:pt>
                <c:pt idx="57">
                  <c:v>31008</c:v>
                </c:pt>
                <c:pt idx="58">
                  <c:v>31116</c:v>
                </c:pt>
                <c:pt idx="59">
                  <c:v>31308</c:v>
                </c:pt>
                <c:pt idx="60">
                  <c:v>31428</c:v>
                </c:pt>
                <c:pt idx="61">
                  <c:v>31632</c:v>
                </c:pt>
                <c:pt idx="62">
                  <c:v>32142</c:v>
                </c:pt>
                <c:pt idx="63">
                  <c:v>32708</c:v>
                </c:pt>
                <c:pt idx="64">
                  <c:v>33274</c:v>
                </c:pt>
              </c:strCache>
            </c:strRef>
          </c:xVal>
          <c:yVal>
            <c:numRef>
              <c:f>'T89-16t'!$BG$5:$BG$201</c:f>
              <c:numCache>
                <c:formatCode>0</c:formatCode>
                <c:ptCount val="197"/>
                <c:pt idx="1">
                  <c:v>18.446601941747574</c:v>
                </c:pt>
                <c:pt idx="2">
                  <c:v>21.212121212121211</c:v>
                </c:pt>
                <c:pt idx="3">
                  <c:v>7.7809798270893369</c:v>
                </c:pt>
                <c:pt idx="4">
                  <c:v>13.782051282051283</c:v>
                </c:pt>
                <c:pt idx="5">
                  <c:v>9.6590909090909083</c:v>
                </c:pt>
                <c:pt idx="6">
                  <c:v>9.1633466135458175</c:v>
                </c:pt>
                <c:pt idx="7">
                  <c:v>6.2992125984251972</c:v>
                </c:pt>
                <c:pt idx="8">
                  <c:v>6.1224489795918364</c:v>
                </c:pt>
                <c:pt idx="9">
                  <c:v>5.8201058201058204</c:v>
                </c:pt>
                <c:pt idx="10">
                  <c:v>8.4070796460176993</c:v>
                </c:pt>
                <c:pt idx="11">
                  <c:v>3.6269430051813472</c:v>
                </c:pt>
                <c:pt idx="12">
                  <c:v>7.5</c:v>
                </c:pt>
                <c:pt idx="13">
                  <c:v>6.6964285714285712</c:v>
                </c:pt>
                <c:pt idx="14">
                  <c:v>7.4074074074074074</c:v>
                </c:pt>
                <c:pt idx="15">
                  <c:v>6.6066066066066069</c:v>
                </c:pt>
                <c:pt idx="16">
                  <c:v>7.9037800687285227</c:v>
                </c:pt>
                <c:pt idx="17">
                  <c:v>10.801963993453356</c:v>
                </c:pt>
                <c:pt idx="18">
                  <c:v>10.53864168618267</c:v>
                </c:pt>
                <c:pt idx="19">
                  <c:v>8.071748878923767</c:v>
                </c:pt>
                <c:pt idx="20">
                  <c:v>5.927835051546392</c:v>
                </c:pt>
                <c:pt idx="21">
                  <c:v>3.0162412993039442</c:v>
                </c:pt>
                <c:pt idx="22">
                  <c:v>6.3348416289592757</c:v>
                </c:pt>
                <c:pt idx="23">
                  <c:v>7.4235807860262009</c:v>
                </c:pt>
                <c:pt idx="24">
                  <c:v>15.086206896551724</c:v>
                </c:pt>
                <c:pt idx="25">
                  <c:v>14.883720930232558</c:v>
                </c:pt>
                <c:pt idx="26">
                  <c:v>17.241379310344829</c:v>
                </c:pt>
                <c:pt idx="27">
                  <c:v>18.469656992084431</c:v>
                </c:pt>
                <c:pt idx="28">
                  <c:v>15.856777493606138</c:v>
                </c:pt>
                <c:pt idx="29">
                  <c:v>9.7192224622030245</c:v>
                </c:pt>
                <c:pt idx="30">
                  <c:v>10.079575596816976</c:v>
                </c:pt>
                <c:pt idx="31">
                  <c:v>9.2356687898089174</c:v>
                </c:pt>
                <c:pt idx="32">
                  <c:v>8.2725060827250605</c:v>
                </c:pt>
                <c:pt idx="33">
                  <c:v>4.2553191489361701</c:v>
                </c:pt>
                <c:pt idx="34">
                  <c:v>3.2894736842105261</c:v>
                </c:pt>
                <c:pt idx="35">
                  <c:v>4.0307101727447217</c:v>
                </c:pt>
                <c:pt idx="36">
                  <c:v>7.3770491803278686</c:v>
                </c:pt>
                <c:pt idx="37">
                  <c:v>20.963172804532579</c:v>
                </c:pt>
                <c:pt idx="38">
                  <c:v>17.410714285714285</c:v>
                </c:pt>
                <c:pt idx="39">
                  <c:v>8.536585365853659</c:v>
                </c:pt>
                <c:pt idx="40">
                  <c:v>9.872611464968152</c:v>
                </c:pt>
                <c:pt idx="41">
                  <c:v>14.861460957178842</c:v>
                </c:pt>
                <c:pt idx="42">
                  <c:v>12.386706948640484</c:v>
                </c:pt>
                <c:pt idx="43">
                  <c:v>11.304347826086957</c:v>
                </c:pt>
                <c:pt idx="44">
                  <c:v>11.940298507462687</c:v>
                </c:pt>
                <c:pt idx="45">
                  <c:v>14.168937329700272</c:v>
                </c:pt>
                <c:pt idx="46">
                  <c:v>13.004484304932735</c:v>
                </c:pt>
                <c:pt idx="47">
                  <c:v>9.4637223974763405</c:v>
                </c:pt>
                <c:pt idx="48">
                  <c:v>11.258278145695364</c:v>
                </c:pt>
                <c:pt idx="49">
                  <c:v>16.260162601626018</c:v>
                </c:pt>
                <c:pt idx="50">
                  <c:v>14.081145584725537</c:v>
                </c:pt>
                <c:pt idx="51">
                  <c:v>12.679425837320574</c:v>
                </c:pt>
                <c:pt idx="52">
                  <c:v>9.8522167487684733</c:v>
                </c:pt>
                <c:pt idx="53">
                  <c:v>8.064516129032258</c:v>
                </c:pt>
                <c:pt idx="54">
                  <c:v>11.864406779661017</c:v>
                </c:pt>
                <c:pt idx="55">
                  <c:v>9.7014925373134329</c:v>
                </c:pt>
                <c:pt idx="56">
                  <c:v>8.7349397590361448</c:v>
                </c:pt>
                <c:pt idx="57">
                  <c:v>13.649851632047477</c:v>
                </c:pt>
                <c:pt idx="58">
                  <c:v>8.7108013937282234</c:v>
                </c:pt>
                <c:pt idx="59">
                  <c:v>4.9019607843137258</c:v>
                </c:pt>
                <c:pt idx="60">
                  <c:v>7.8947368421052628</c:v>
                </c:pt>
                <c:pt idx="61">
                  <c:v>4.6052631578947372</c:v>
                </c:pt>
                <c:pt idx="62">
                  <c:v>6.5671641791044779</c:v>
                </c:pt>
                <c:pt idx="63">
                  <c:v>7.7922077922077921</c:v>
                </c:pt>
                <c:pt idx="64">
                  <c:v>7.929515418502203</c:v>
                </c:pt>
                <c:pt idx="66" formatCode="0.00">
                  <c:v>10.07511643858996</c:v>
                </c:pt>
                <c:pt idx="67" formatCode="0.00">
                  <c:v>3.0162412993039442</c:v>
                </c:pt>
                <c:pt idx="68" formatCode="0.00">
                  <c:v>21.212121212121211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42-FB4F-A522-BE8199792703}"/>
            </c:ext>
          </c:extLst>
        </c:ser>
        <c:ser>
          <c:idx val="1"/>
          <c:order val="1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strRef>
              <c:f>'T89-16t'!$BD$5:$BD$191</c:f>
              <c:strCache>
                <c:ptCount val="65"/>
                <c:pt idx="0">
                  <c:v>Median Cal years R540+/-70 adj </c:v>
                </c:pt>
                <c:pt idx="1">
                  <c:v>8466</c:v>
                </c:pt>
                <c:pt idx="2">
                  <c:v>8744</c:v>
                </c:pt>
                <c:pt idx="3">
                  <c:v>9084</c:v>
                </c:pt>
                <c:pt idx="4">
                  <c:v>9238</c:v>
                </c:pt>
                <c:pt idx="5">
                  <c:v>9470</c:v>
                </c:pt>
                <c:pt idx="6">
                  <c:v>9779</c:v>
                </c:pt>
                <c:pt idx="7">
                  <c:v>10010</c:v>
                </c:pt>
                <c:pt idx="8">
                  <c:v>10242</c:v>
                </c:pt>
                <c:pt idx="9">
                  <c:v>10396</c:v>
                </c:pt>
                <c:pt idx="10">
                  <c:v>10628</c:v>
                </c:pt>
                <c:pt idx="11">
                  <c:v>10782</c:v>
                </c:pt>
                <c:pt idx="12">
                  <c:v>11014</c:v>
                </c:pt>
                <c:pt idx="13">
                  <c:v>11168</c:v>
                </c:pt>
                <c:pt idx="14">
                  <c:v>11432</c:v>
                </c:pt>
                <c:pt idx="15">
                  <c:v>11790</c:v>
                </c:pt>
                <c:pt idx="16">
                  <c:v>12058</c:v>
                </c:pt>
                <c:pt idx="17">
                  <c:v>12211</c:v>
                </c:pt>
                <c:pt idx="18">
                  <c:v>12293</c:v>
                </c:pt>
                <c:pt idx="19">
                  <c:v>12402</c:v>
                </c:pt>
                <c:pt idx="20">
                  <c:v>12483</c:v>
                </c:pt>
                <c:pt idx="21">
                  <c:v>12592</c:v>
                </c:pt>
                <c:pt idx="22">
                  <c:v>12692</c:v>
                </c:pt>
                <c:pt idx="23">
                  <c:v>12737</c:v>
                </c:pt>
                <c:pt idx="24">
                  <c:v>12810</c:v>
                </c:pt>
                <c:pt idx="25">
                  <c:v>12900</c:v>
                </c:pt>
                <c:pt idx="26">
                  <c:v>12968</c:v>
                </c:pt>
                <c:pt idx="27">
                  <c:v>12990</c:v>
                </c:pt>
                <c:pt idx="28">
                  <c:v>13012</c:v>
                </c:pt>
                <c:pt idx="29">
                  <c:v>13042</c:v>
                </c:pt>
                <c:pt idx="30">
                  <c:v>13069</c:v>
                </c:pt>
                <c:pt idx="31">
                  <c:v>13090</c:v>
                </c:pt>
                <c:pt idx="32">
                  <c:v>13172</c:v>
                </c:pt>
                <c:pt idx="33">
                  <c:v>13542</c:v>
                </c:pt>
                <c:pt idx="34">
                  <c:v>14908</c:v>
                </c:pt>
                <c:pt idx="35">
                  <c:v>15546</c:v>
                </c:pt>
                <c:pt idx="36">
                  <c:v>16362</c:v>
                </c:pt>
                <c:pt idx="37">
                  <c:v>16949</c:v>
                </c:pt>
                <c:pt idx="38">
                  <c:v>17490</c:v>
                </c:pt>
                <c:pt idx="39">
                  <c:v>18311</c:v>
                </c:pt>
                <c:pt idx="40">
                  <c:v>19559</c:v>
                </c:pt>
                <c:pt idx="41">
                  <c:v>20494</c:v>
                </c:pt>
                <c:pt idx="42">
                  <c:v>21742</c:v>
                </c:pt>
                <c:pt idx="43">
                  <c:v>22990</c:v>
                </c:pt>
                <c:pt idx="44">
                  <c:v>24200</c:v>
                </c:pt>
                <c:pt idx="45">
                  <c:v>25212</c:v>
                </c:pt>
                <c:pt idx="46">
                  <c:v>25745</c:v>
                </c:pt>
                <c:pt idx="47">
                  <c:v>26544</c:v>
                </c:pt>
                <c:pt idx="48">
                  <c:v>27503</c:v>
                </c:pt>
                <c:pt idx="49">
                  <c:v>28185</c:v>
                </c:pt>
                <c:pt idx="50">
                  <c:v>28739</c:v>
                </c:pt>
                <c:pt idx="51">
                  <c:v>29126</c:v>
                </c:pt>
                <c:pt idx="52">
                  <c:v>29680</c:v>
                </c:pt>
                <c:pt idx="53">
                  <c:v>30179</c:v>
                </c:pt>
                <c:pt idx="54">
                  <c:v>30493</c:v>
                </c:pt>
                <c:pt idx="55">
                  <c:v>30649</c:v>
                </c:pt>
                <c:pt idx="56">
                  <c:v>30805</c:v>
                </c:pt>
                <c:pt idx="57">
                  <c:v>31008</c:v>
                </c:pt>
                <c:pt idx="58">
                  <c:v>31116</c:v>
                </c:pt>
                <c:pt idx="59">
                  <c:v>31308</c:v>
                </c:pt>
                <c:pt idx="60">
                  <c:v>31428</c:v>
                </c:pt>
                <c:pt idx="61">
                  <c:v>31632</c:v>
                </c:pt>
                <c:pt idx="62">
                  <c:v>32142</c:v>
                </c:pt>
                <c:pt idx="63">
                  <c:v>32708</c:v>
                </c:pt>
                <c:pt idx="64">
                  <c:v>33274</c:v>
                </c:pt>
              </c:strCache>
            </c:strRef>
          </c:xVal>
          <c:yVal>
            <c:numRef>
              <c:f>'T89-16t'!$BH$5:$BH$191</c:f>
              <c:numCache>
                <c:formatCode>0</c:formatCode>
                <c:ptCount val="187"/>
                <c:pt idx="1">
                  <c:v>12.135922330097088</c:v>
                </c:pt>
                <c:pt idx="2">
                  <c:v>6.0606060606060606</c:v>
                </c:pt>
                <c:pt idx="3">
                  <c:v>0.57636887608069165</c:v>
                </c:pt>
                <c:pt idx="4">
                  <c:v>0.64102564102564108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0.44247787610619471</c:v>
                </c:pt>
                <c:pt idx="11">
                  <c:v>0</c:v>
                </c:pt>
                <c:pt idx="12">
                  <c:v>0</c:v>
                </c:pt>
                <c:pt idx="13">
                  <c:v>0.8928571428571429</c:v>
                </c:pt>
                <c:pt idx="14">
                  <c:v>0</c:v>
                </c:pt>
                <c:pt idx="15">
                  <c:v>0.3003003003003003</c:v>
                </c:pt>
                <c:pt idx="16">
                  <c:v>0</c:v>
                </c:pt>
                <c:pt idx="17">
                  <c:v>0.32733224222585927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0.23201856148491878</c:v>
                </c:pt>
                <c:pt idx="22">
                  <c:v>0.22624434389140272</c:v>
                </c:pt>
                <c:pt idx="23">
                  <c:v>0.2183406113537118</c:v>
                </c:pt>
                <c:pt idx="24">
                  <c:v>0</c:v>
                </c:pt>
                <c:pt idx="25">
                  <c:v>0</c:v>
                </c:pt>
                <c:pt idx="26">
                  <c:v>0.43103448275862066</c:v>
                </c:pt>
                <c:pt idx="27">
                  <c:v>0</c:v>
                </c:pt>
                <c:pt idx="28">
                  <c:v>0</c:v>
                </c:pt>
                <c:pt idx="29">
                  <c:v>0.21598272138228941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0.19193857965451055</c:v>
                </c:pt>
                <c:pt idx="36">
                  <c:v>0</c:v>
                </c:pt>
                <c:pt idx="37">
                  <c:v>0</c:v>
                </c:pt>
                <c:pt idx="38">
                  <c:v>0.44642857142857145</c:v>
                </c:pt>
                <c:pt idx="39">
                  <c:v>0.73170731707317072</c:v>
                </c:pt>
                <c:pt idx="40">
                  <c:v>0.31847133757961782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0.59701492537313428</c:v>
                </c:pt>
                <c:pt idx="45">
                  <c:v>0</c:v>
                </c:pt>
                <c:pt idx="46">
                  <c:v>0.89686098654708524</c:v>
                </c:pt>
                <c:pt idx="47">
                  <c:v>0.31545741324921134</c:v>
                </c:pt>
                <c:pt idx="48">
                  <c:v>0</c:v>
                </c:pt>
                <c:pt idx="49">
                  <c:v>0.54200542005420049</c:v>
                </c:pt>
                <c:pt idx="50">
                  <c:v>0.95465393794749398</c:v>
                </c:pt>
                <c:pt idx="51">
                  <c:v>0.4784688995215311</c:v>
                </c:pt>
                <c:pt idx="52">
                  <c:v>0</c:v>
                </c:pt>
                <c:pt idx="53">
                  <c:v>0</c:v>
                </c:pt>
                <c:pt idx="54">
                  <c:v>0.2824858757062147</c:v>
                </c:pt>
                <c:pt idx="55">
                  <c:v>0</c:v>
                </c:pt>
                <c:pt idx="56">
                  <c:v>0</c:v>
                </c:pt>
                <c:pt idx="57">
                  <c:v>0.29673590504451036</c:v>
                </c:pt>
                <c:pt idx="58">
                  <c:v>0.34843205574912894</c:v>
                </c:pt>
                <c:pt idx="59">
                  <c:v>0</c:v>
                </c:pt>
                <c:pt idx="60">
                  <c:v>0.43859649122807015</c:v>
                </c:pt>
                <c:pt idx="61">
                  <c:v>0.32894736842105265</c:v>
                </c:pt>
                <c:pt idx="62">
                  <c:v>0.59701492537313428</c:v>
                </c:pt>
                <c:pt idx="63">
                  <c:v>0</c:v>
                </c:pt>
                <c:pt idx="64">
                  <c:v>0</c:v>
                </c:pt>
                <c:pt idx="66" formatCode="0.00">
                  <c:v>0.47602705000188372</c:v>
                </c:pt>
                <c:pt idx="67" formatCode="0.00">
                  <c:v>0</c:v>
                </c:pt>
                <c:pt idx="68" formatCode="0.00">
                  <c:v>12.135922330097088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42-FB4F-A522-BE8199792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1898392"/>
        <c:axId val="2131901672"/>
      </c:scatterChart>
      <c:valAx>
        <c:axId val="2131898392"/>
        <c:scaling>
          <c:orientation val="minMax"/>
          <c:max val="30"/>
          <c:min val="8"/>
        </c:scaling>
        <c:delete val="0"/>
        <c:axPos val="b"/>
        <c:majorTickMark val="cross"/>
        <c:minorTickMark val="out"/>
        <c:tickLblPos val="none"/>
        <c:spPr>
          <a:ln w="12700">
            <a:solidFill>
              <a:srgbClr val="000000"/>
            </a:solidFill>
            <a:prstDash val="solid"/>
          </a:ln>
        </c:spPr>
        <c:crossAx val="2131901672"/>
        <c:crosses val="autoZero"/>
        <c:crossBetween val="midCat"/>
        <c:majorUnit val="1"/>
        <c:minorUnit val="0.1"/>
      </c:valAx>
      <c:valAx>
        <c:axId val="2131901672"/>
        <c:scaling>
          <c:orientation val="minMax"/>
          <c:max val="20"/>
        </c:scaling>
        <c:delete val="0"/>
        <c:axPos val="l"/>
        <c:numFmt formatCode="0" sourceLinked="1"/>
        <c:majorTickMark val="cross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131898392"/>
        <c:crosses val="autoZero"/>
        <c:crossBetween val="midCat"/>
        <c:majorUnit val="10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NL"/>
    </a:p>
  </c:txPr>
  <c:printSettings>
    <c:headerFooter>
      <c:oddHeader>&amp;f</c:oddHeader>
      <c:oddFooter>Page &amp;p</c:oddFooter>
    </c:headerFooter>
    <c:pageMargins b="1" l="0.75" r="0.75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930561790817306E-3"/>
          <c:y val="0.115385021685163"/>
          <c:w val="0.98142193813202605"/>
          <c:h val="0.778848896374851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'T89-16t'!$BC$5:$BC$201</c:f>
              <c:numCache>
                <c:formatCode>0</c:formatCode>
                <c:ptCount val="197"/>
              </c:numCache>
            </c:numRef>
          </c:xVal>
          <c:yVal>
            <c:numRef>
              <c:f>'T89-16t'!$AG$5:$AG$201</c:f>
              <c:numCache>
                <c:formatCode>0.00</c:formatCode>
                <c:ptCount val="197"/>
                <c:pt idx="1">
                  <c:v>3.3980582524271843</c:v>
                </c:pt>
                <c:pt idx="2">
                  <c:v>0</c:v>
                </c:pt>
                <c:pt idx="3">
                  <c:v>8.6455331412103753</c:v>
                </c:pt>
                <c:pt idx="4">
                  <c:v>6.7307692307692308</c:v>
                </c:pt>
                <c:pt idx="5">
                  <c:v>6.25</c:v>
                </c:pt>
                <c:pt idx="6">
                  <c:v>3.5856573705179282</c:v>
                </c:pt>
                <c:pt idx="7">
                  <c:v>14.173228346456693</c:v>
                </c:pt>
                <c:pt idx="8">
                  <c:v>4.591836734693878</c:v>
                </c:pt>
                <c:pt idx="9">
                  <c:v>3.1746031746031744</c:v>
                </c:pt>
                <c:pt idx="10">
                  <c:v>8.8495575221238933</c:v>
                </c:pt>
                <c:pt idx="11">
                  <c:v>8.8082901554404138</c:v>
                </c:pt>
                <c:pt idx="12">
                  <c:v>6.7615658362989324</c:v>
                </c:pt>
                <c:pt idx="13">
                  <c:v>10.714285714285714</c:v>
                </c:pt>
                <c:pt idx="14">
                  <c:v>8.1481481481481488</c:v>
                </c:pt>
                <c:pt idx="15">
                  <c:v>3.9039039039039038</c:v>
                </c:pt>
                <c:pt idx="16">
                  <c:v>4.4673539518900345</c:v>
                </c:pt>
                <c:pt idx="17">
                  <c:v>5.4009819967266779</c:v>
                </c:pt>
                <c:pt idx="18">
                  <c:v>4.918032786885246</c:v>
                </c:pt>
                <c:pt idx="19">
                  <c:v>6.2780269058295968</c:v>
                </c:pt>
                <c:pt idx="20">
                  <c:v>7.2164948453608249</c:v>
                </c:pt>
                <c:pt idx="21">
                  <c:v>10.904872389791183</c:v>
                </c:pt>
                <c:pt idx="22">
                  <c:v>10.859728506787331</c:v>
                </c:pt>
                <c:pt idx="23">
                  <c:v>12.445414847161572</c:v>
                </c:pt>
                <c:pt idx="24">
                  <c:v>8.6206896551724146</c:v>
                </c:pt>
                <c:pt idx="25">
                  <c:v>7.9069767441860463</c:v>
                </c:pt>
                <c:pt idx="26">
                  <c:v>7.3275862068965516</c:v>
                </c:pt>
                <c:pt idx="27">
                  <c:v>8.1794195250659634</c:v>
                </c:pt>
                <c:pt idx="28">
                  <c:v>9.9744245524296673</c:v>
                </c:pt>
                <c:pt idx="29">
                  <c:v>10.583153347732182</c:v>
                </c:pt>
                <c:pt idx="30">
                  <c:v>6.6312997347480103</c:v>
                </c:pt>
                <c:pt idx="31">
                  <c:v>9.2356687898089174</c:v>
                </c:pt>
                <c:pt idx="32">
                  <c:v>9.7323600973236015</c:v>
                </c:pt>
                <c:pt idx="33">
                  <c:v>8.9361702127659566</c:v>
                </c:pt>
                <c:pt idx="34">
                  <c:v>4.8245614035087723</c:v>
                </c:pt>
                <c:pt idx="35">
                  <c:v>6.5259117082533589</c:v>
                </c:pt>
                <c:pt idx="36">
                  <c:v>5.7377049180327866</c:v>
                </c:pt>
                <c:pt idx="37">
                  <c:v>4.8158640226628897</c:v>
                </c:pt>
                <c:pt idx="38">
                  <c:v>5.8035714285714288</c:v>
                </c:pt>
                <c:pt idx="39">
                  <c:v>1.2195121951219512</c:v>
                </c:pt>
                <c:pt idx="40">
                  <c:v>1.5923566878980893</c:v>
                </c:pt>
                <c:pt idx="41">
                  <c:v>2.770780856423174</c:v>
                </c:pt>
                <c:pt idx="42">
                  <c:v>1.8126888217522659</c:v>
                </c:pt>
                <c:pt idx="43">
                  <c:v>2.318840579710145</c:v>
                </c:pt>
                <c:pt idx="44">
                  <c:v>0.59701492537313428</c:v>
                </c:pt>
                <c:pt idx="45">
                  <c:v>1.6348773841961852</c:v>
                </c:pt>
                <c:pt idx="46">
                  <c:v>2.6905829596412558</c:v>
                </c:pt>
                <c:pt idx="47">
                  <c:v>8.517350157728707</c:v>
                </c:pt>
                <c:pt idx="48">
                  <c:v>1.9867549668874172</c:v>
                </c:pt>
                <c:pt idx="49">
                  <c:v>1.6260162601626016</c:v>
                </c:pt>
                <c:pt idx="50">
                  <c:v>1.6706443914081146</c:v>
                </c:pt>
                <c:pt idx="51">
                  <c:v>5.0239234449760763</c:v>
                </c:pt>
                <c:pt idx="52">
                  <c:v>5.2380952380952381</c:v>
                </c:pt>
                <c:pt idx="53">
                  <c:v>2.8225806451612905</c:v>
                </c:pt>
                <c:pt idx="54">
                  <c:v>3.3898305084745761</c:v>
                </c:pt>
                <c:pt idx="55">
                  <c:v>4.4776119402985071</c:v>
                </c:pt>
                <c:pt idx="56">
                  <c:v>2.4096385542168677</c:v>
                </c:pt>
                <c:pt idx="57">
                  <c:v>3.2640949554896141</c:v>
                </c:pt>
                <c:pt idx="58">
                  <c:v>2.0905923344947737</c:v>
                </c:pt>
                <c:pt idx="59">
                  <c:v>2.9411764705882355</c:v>
                </c:pt>
                <c:pt idx="60">
                  <c:v>3.5087719298245612</c:v>
                </c:pt>
                <c:pt idx="61">
                  <c:v>1.9736842105263157</c:v>
                </c:pt>
                <c:pt idx="62">
                  <c:v>1.4925373134328359</c:v>
                </c:pt>
                <c:pt idx="63">
                  <c:v>0.77922077922077926</c:v>
                </c:pt>
                <c:pt idx="64">
                  <c:v>4.1850220264317182</c:v>
                </c:pt>
                <c:pt idx="66">
                  <c:v>5.4233735413438247</c:v>
                </c:pt>
                <c:pt idx="67">
                  <c:v>0</c:v>
                </c:pt>
                <c:pt idx="68">
                  <c:v>14.173228346456693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FA-2647-8CFA-AA84BC0067F7}"/>
            </c:ext>
          </c:extLst>
        </c:ser>
        <c:ser>
          <c:idx val="1"/>
          <c:order val="1"/>
          <c:tx>
            <c:v>calida</c:v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'T89-16t'!$BC$5:$BC$201</c:f>
              <c:numCache>
                <c:formatCode>0</c:formatCode>
                <c:ptCount val="197"/>
              </c:numCache>
            </c:numRef>
          </c:xVal>
          <c:yVal>
            <c:numRef>
              <c:f>'T89-16t'!$AH$5:$AH$201</c:f>
              <c:numCache>
                <c:formatCode>0.00</c:formatCode>
                <c:ptCount val="197"/>
                <c:pt idx="1">
                  <c:v>0</c:v>
                </c:pt>
                <c:pt idx="2">
                  <c:v>0</c:v>
                </c:pt>
                <c:pt idx="3">
                  <c:v>0.86455331412103742</c:v>
                </c:pt>
                <c:pt idx="4">
                  <c:v>0.32051282051282054</c:v>
                </c:pt>
                <c:pt idx="5">
                  <c:v>0.56818181818181823</c:v>
                </c:pt>
                <c:pt idx="6">
                  <c:v>0.39840637450199201</c:v>
                </c:pt>
                <c:pt idx="7">
                  <c:v>0</c:v>
                </c:pt>
                <c:pt idx="8">
                  <c:v>1.0204081632653061</c:v>
                </c:pt>
                <c:pt idx="9">
                  <c:v>0.52910052910052907</c:v>
                </c:pt>
                <c:pt idx="10">
                  <c:v>0</c:v>
                </c:pt>
                <c:pt idx="11">
                  <c:v>0.51813471502590669</c:v>
                </c:pt>
                <c:pt idx="12">
                  <c:v>0</c:v>
                </c:pt>
                <c:pt idx="13">
                  <c:v>1.7857142857142858</c:v>
                </c:pt>
                <c:pt idx="14">
                  <c:v>0.98765432098765427</c:v>
                </c:pt>
                <c:pt idx="15">
                  <c:v>1.5015015015015014</c:v>
                </c:pt>
                <c:pt idx="16">
                  <c:v>1.0309278350515463</c:v>
                </c:pt>
                <c:pt idx="17">
                  <c:v>0</c:v>
                </c:pt>
                <c:pt idx="18">
                  <c:v>0.23419203747072601</c:v>
                </c:pt>
                <c:pt idx="19">
                  <c:v>0.89686098654708524</c:v>
                </c:pt>
                <c:pt idx="20">
                  <c:v>1.0309278350515463</c:v>
                </c:pt>
                <c:pt idx="21">
                  <c:v>0.46403712296983757</c:v>
                </c:pt>
                <c:pt idx="22">
                  <c:v>0.67873303167420818</c:v>
                </c:pt>
                <c:pt idx="23">
                  <c:v>1.7467248908296944</c:v>
                </c:pt>
                <c:pt idx="24">
                  <c:v>1.2931034482758621</c:v>
                </c:pt>
                <c:pt idx="25">
                  <c:v>0.46511627906976744</c:v>
                </c:pt>
                <c:pt idx="26">
                  <c:v>0.86206896551724133</c:v>
                </c:pt>
                <c:pt idx="27">
                  <c:v>0</c:v>
                </c:pt>
                <c:pt idx="28">
                  <c:v>0.25575447570332482</c:v>
                </c:pt>
                <c:pt idx="29">
                  <c:v>1.079913606911447</c:v>
                </c:pt>
                <c:pt idx="30">
                  <c:v>1.856763925729443</c:v>
                </c:pt>
                <c:pt idx="31">
                  <c:v>0</c:v>
                </c:pt>
                <c:pt idx="32">
                  <c:v>0</c:v>
                </c:pt>
                <c:pt idx="33">
                  <c:v>2.1276595744680851</c:v>
                </c:pt>
                <c:pt idx="34">
                  <c:v>0.8771929824561403</c:v>
                </c:pt>
                <c:pt idx="35">
                  <c:v>0.57581573896353166</c:v>
                </c:pt>
                <c:pt idx="36">
                  <c:v>0</c:v>
                </c:pt>
                <c:pt idx="37">
                  <c:v>0.28328611898016998</c:v>
                </c:pt>
                <c:pt idx="38">
                  <c:v>0</c:v>
                </c:pt>
                <c:pt idx="39">
                  <c:v>0.6097560975609756</c:v>
                </c:pt>
                <c:pt idx="40">
                  <c:v>0.31847133757961782</c:v>
                </c:pt>
                <c:pt idx="41">
                  <c:v>0.25188916876574308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1.3452914798206279</c:v>
                </c:pt>
                <c:pt idx="47">
                  <c:v>1.2618296529968454</c:v>
                </c:pt>
                <c:pt idx="48">
                  <c:v>0.33112582781456956</c:v>
                </c:pt>
                <c:pt idx="49">
                  <c:v>0.27100271002710025</c:v>
                </c:pt>
                <c:pt idx="50">
                  <c:v>0</c:v>
                </c:pt>
                <c:pt idx="51">
                  <c:v>0.4784688995215311</c:v>
                </c:pt>
                <c:pt idx="52">
                  <c:v>0</c:v>
                </c:pt>
                <c:pt idx="53">
                  <c:v>1.2096774193548387</c:v>
                </c:pt>
                <c:pt idx="54">
                  <c:v>0.56497175141242939</c:v>
                </c:pt>
                <c:pt idx="55">
                  <c:v>0.74626865671641796</c:v>
                </c:pt>
                <c:pt idx="56">
                  <c:v>0.30120481927710846</c:v>
                </c:pt>
                <c:pt idx="57">
                  <c:v>0</c:v>
                </c:pt>
                <c:pt idx="58">
                  <c:v>0</c:v>
                </c:pt>
                <c:pt idx="59">
                  <c:v>0.49019607843137253</c:v>
                </c:pt>
                <c:pt idx="60">
                  <c:v>0.43859649122807015</c:v>
                </c:pt>
                <c:pt idx="61">
                  <c:v>0</c:v>
                </c:pt>
                <c:pt idx="62">
                  <c:v>0.59701492537313428</c:v>
                </c:pt>
                <c:pt idx="63">
                  <c:v>0.51948051948051943</c:v>
                </c:pt>
                <c:pt idx="64">
                  <c:v>0</c:v>
                </c:pt>
                <c:pt idx="66">
                  <c:v>0.53107019584286552</c:v>
                </c:pt>
                <c:pt idx="67">
                  <c:v>0</c:v>
                </c:pt>
                <c:pt idx="68">
                  <c:v>2.1276595744680851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FA-2647-8CFA-AA84BC006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1968088"/>
        <c:axId val="2131971400"/>
      </c:scatterChart>
      <c:valAx>
        <c:axId val="2131968088"/>
        <c:scaling>
          <c:orientation val="minMax"/>
          <c:max val="30"/>
          <c:min val="8"/>
        </c:scaling>
        <c:delete val="0"/>
        <c:axPos val="b"/>
        <c:numFmt formatCode="0" sourceLinked="1"/>
        <c:majorTickMark val="cross"/>
        <c:minorTickMark val="out"/>
        <c:tickLblPos val="none"/>
        <c:spPr>
          <a:ln w="12700">
            <a:solidFill>
              <a:srgbClr val="000000"/>
            </a:solidFill>
            <a:prstDash val="solid"/>
          </a:ln>
        </c:spPr>
        <c:crossAx val="2131971400"/>
        <c:crosses val="autoZero"/>
        <c:crossBetween val="midCat"/>
        <c:majorUnit val="1"/>
        <c:minorUnit val="0.1"/>
      </c:valAx>
      <c:valAx>
        <c:axId val="2131971400"/>
        <c:scaling>
          <c:orientation val="minMax"/>
          <c:max val="20"/>
        </c:scaling>
        <c:delete val="0"/>
        <c:axPos val="l"/>
        <c:numFmt formatCode="0.00" sourceLinked="1"/>
        <c:majorTickMark val="cross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131968088"/>
        <c:crosses val="autoZero"/>
        <c:crossBetween val="midCat"/>
        <c:majorUnit val="10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NL"/>
    </a:p>
  </c:txPr>
  <c:printSettings>
    <c:headerFooter>
      <c:oddHeader>&amp;f</c:oddHeader>
      <c:oddFooter>Page &amp;p</c:oddFooter>
    </c:headerFooter>
    <c:pageMargins b="1" l="0.75" r="0.75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930561790817306E-3"/>
          <c:y val="0.115385021685163"/>
          <c:w val="0.98142193813202605"/>
          <c:h val="0.778848896374851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'T89-16t'!$BC$5:$BC$201</c:f>
              <c:numCache>
                <c:formatCode>0</c:formatCode>
                <c:ptCount val="197"/>
              </c:numCache>
            </c:numRef>
          </c:xVal>
          <c:yVal>
            <c:numRef>
              <c:f>'T89-16t'!$AQ$5:$AQ$201</c:f>
              <c:numCache>
                <c:formatCode>0</c:formatCode>
                <c:ptCount val="197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2</c:v>
                </c:pt>
                <c:pt idx="25">
                  <c:v>4</c:v>
                </c:pt>
                <c:pt idx="26">
                  <c:v>4</c:v>
                </c:pt>
                <c:pt idx="27">
                  <c:v>2</c:v>
                </c:pt>
                <c:pt idx="28">
                  <c:v>4</c:v>
                </c:pt>
                <c:pt idx="29">
                  <c:v>4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16</c:v>
                </c:pt>
                <c:pt idx="34">
                  <c:v>16</c:v>
                </c:pt>
                <c:pt idx="35">
                  <c:v>16</c:v>
                </c:pt>
                <c:pt idx="36">
                  <c:v>16</c:v>
                </c:pt>
                <c:pt idx="37">
                  <c:v>4</c:v>
                </c:pt>
                <c:pt idx="38">
                  <c:v>4</c:v>
                </c:pt>
                <c:pt idx="39">
                  <c:v>16</c:v>
                </c:pt>
                <c:pt idx="40">
                  <c:v>32</c:v>
                </c:pt>
                <c:pt idx="41">
                  <c:v>32</c:v>
                </c:pt>
                <c:pt idx="42">
                  <c:v>64</c:v>
                </c:pt>
                <c:pt idx="43">
                  <c:v>64</c:v>
                </c:pt>
                <c:pt idx="44">
                  <c:v>64</c:v>
                </c:pt>
                <c:pt idx="45">
                  <c:v>16</c:v>
                </c:pt>
                <c:pt idx="46">
                  <c:v>32</c:v>
                </c:pt>
                <c:pt idx="47">
                  <c:v>16</c:v>
                </c:pt>
                <c:pt idx="48">
                  <c:v>16</c:v>
                </c:pt>
                <c:pt idx="49">
                  <c:v>32</c:v>
                </c:pt>
                <c:pt idx="50">
                  <c:v>32</c:v>
                </c:pt>
                <c:pt idx="51">
                  <c:v>16</c:v>
                </c:pt>
                <c:pt idx="52">
                  <c:v>16</c:v>
                </c:pt>
                <c:pt idx="53">
                  <c:v>16</c:v>
                </c:pt>
                <c:pt idx="54">
                  <c:v>16</c:v>
                </c:pt>
                <c:pt idx="55">
                  <c:v>32</c:v>
                </c:pt>
                <c:pt idx="56">
                  <c:v>16</c:v>
                </c:pt>
                <c:pt idx="57">
                  <c:v>8</c:v>
                </c:pt>
                <c:pt idx="58">
                  <c:v>32</c:v>
                </c:pt>
                <c:pt idx="59">
                  <c:v>32</c:v>
                </c:pt>
                <c:pt idx="60">
                  <c:v>32</c:v>
                </c:pt>
                <c:pt idx="61">
                  <c:v>16</c:v>
                </c:pt>
                <c:pt idx="62">
                  <c:v>16</c:v>
                </c:pt>
                <c:pt idx="63">
                  <c:v>16</c:v>
                </c:pt>
                <c:pt idx="64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E9-BF42-A02F-712A2A050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1996312"/>
        <c:axId val="2131999656"/>
      </c:scatterChart>
      <c:valAx>
        <c:axId val="2131996312"/>
        <c:scaling>
          <c:orientation val="minMax"/>
          <c:max val="30"/>
          <c:min val="8"/>
        </c:scaling>
        <c:delete val="0"/>
        <c:axPos val="b"/>
        <c:numFmt formatCode="0" sourceLinked="1"/>
        <c:majorTickMark val="cross"/>
        <c:minorTickMark val="out"/>
        <c:tickLblPos val="none"/>
        <c:spPr>
          <a:ln w="12700">
            <a:solidFill>
              <a:srgbClr val="000000"/>
            </a:solidFill>
            <a:prstDash val="solid"/>
          </a:ln>
        </c:spPr>
        <c:crossAx val="2131999656"/>
        <c:crosses val="autoZero"/>
        <c:crossBetween val="midCat"/>
        <c:majorUnit val="1"/>
        <c:minorUnit val="0.1"/>
      </c:valAx>
      <c:valAx>
        <c:axId val="2131999656"/>
        <c:scaling>
          <c:orientation val="minMax"/>
          <c:max val="2000"/>
        </c:scaling>
        <c:delete val="0"/>
        <c:axPos val="l"/>
        <c:numFmt formatCode="0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131996312"/>
        <c:crosses val="autoZero"/>
        <c:crossBetween val="midCat"/>
        <c:majorUnit val="1000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NL"/>
    </a:p>
  </c:txPr>
  <c:printSettings>
    <c:headerFooter>
      <c:oddHeader>&amp;f</c:oddHeader>
      <c:oddFooter>Page &amp;p</c:oddFooter>
    </c:headerFooter>
    <c:pageMargins b="1" l="0.75" r="0.75" t="1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9216867469879498"/>
          <c:y val="7.8431672915414002E-2"/>
          <c:w val="0.60240963855421703"/>
          <c:h val="0.7176498071760379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DD0806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'T89-16t'!$BB$18:$BB$25</c:f>
              <c:numCache>
                <c:formatCode>0.00</c:formatCode>
                <c:ptCount val="8"/>
                <c:pt idx="0">
                  <c:v>2.6785714285714284</c:v>
                </c:pt>
                <c:pt idx="1">
                  <c:v>0.98765432098765427</c:v>
                </c:pt>
                <c:pt idx="2">
                  <c:v>1.8018018018018018</c:v>
                </c:pt>
                <c:pt idx="3">
                  <c:v>0</c:v>
                </c:pt>
                <c:pt idx="4">
                  <c:v>1.9639934533551555</c:v>
                </c:pt>
                <c:pt idx="5">
                  <c:v>0.70257611241217799</c:v>
                </c:pt>
                <c:pt idx="6">
                  <c:v>0.89686098654708524</c:v>
                </c:pt>
                <c:pt idx="7">
                  <c:v>1.0309278350515463</c:v>
                </c:pt>
              </c:numCache>
            </c:numRef>
          </c:xVal>
          <c:yVal>
            <c:numRef>
              <c:f>'T89-16t'!$BD$18:$BD$25</c:f>
              <c:numCache>
                <c:formatCode>0</c:formatCode>
                <c:ptCount val="8"/>
                <c:pt idx="0">
                  <c:v>11168.122810000001</c:v>
                </c:pt>
                <c:pt idx="1">
                  <c:v>11431.737859999999</c:v>
                </c:pt>
                <c:pt idx="2">
                  <c:v>11789.796120000001</c:v>
                </c:pt>
                <c:pt idx="3">
                  <c:v>12058.339809999999</c:v>
                </c:pt>
                <c:pt idx="4">
                  <c:v>12210.937819999999</c:v>
                </c:pt>
                <c:pt idx="5">
                  <c:v>12292.699479999999</c:v>
                </c:pt>
                <c:pt idx="6">
                  <c:v>12401.715029999999</c:v>
                </c:pt>
                <c:pt idx="7">
                  <c:v>12483.47668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CD-C84B-A661-9F8E7B9BE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918632"/>
        <c:axId val="2132925080"/>
      </c:scatterChart>
      <c:valAx>
        <c:axId val="2132918632"/>
        <c:scaling>
          <c:orientation val="minMax"/>
          <c:max val="2000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US"/>
                  <a:t>cmbs</a:t>
                </a:r>
              </a:p>
            </c:rich>
          </c:tx>
          <c:layout>
            <c:manualLayout>
              <c:xMode val="edge"/>
              <c:yMode val="edge"/>
              <c:x val="0.54819277108433695"/>
              <c:y val="0.8862779064381659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NL"/>
          </a:p>
        </c:txPr>
        <c:crossAx val="2132925080"/>
        <c:crosses val="autoZero"/>
        <c:crossBetween val="midCat"/>
        <c:majorUnit val="500"/>
        <c:minorUnit val="100"/>
      </c:valAx>
      <c:valAx>
        <c:axId val="2132925080"/>
        <c:scaling>
          <c:orientation val="minMax"/>
          <c:max val="100000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US"/>
                  <a:t>Age (yr)</a:t>
                </a:r>
              </a:p>
            </c:rich>
          </c:tx>
          <c:layout>
            <c:manualLayout>
              <c:xMode val="edge"/>
              <c:yMode val="edge"/>
              <c:x val="3.9156626506024098E-2"/>
              <c:y val="0.3450992743554109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NL"/>
          </a:p>
        </c:txPr>
        <c:crossAx val="2132918632"/>
        <c:crosses val="autoZero"/>
        <c:crossBetween val="midCat"/>
        <c:majorUnit val="20000"/>
        <c:minorUnit val="10000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NL"/>
    </a:p>
  </c:txPr>
  <c:printSettings>
    <c:headerFooter>
      <c:oddHeader>&amp;f</c:oddHeader>
    </c:headerFooter>
    <c:pageMargins b="1" l="0.75" r="0.75" t="1" header="0.5" footer="0.5"/>
    <c:pageSetup paperSize="0" orientation="landscape" horizontalDpi="0" verticalDpi="0" copies="0"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6155093631802901E-2"/>
          <c:y val="0.115385021685163"/>
          <c:w val="0.96849786322658404"/>
          <c:h val="0.54807885300452497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'T89-16t'!$BC$5:$BC$201</c:f>
              <c:numCache>
                <c:formatCode>0</c:formatCode>
                <c:ptCount val="197"/>
              </c:numCache>
            </c:numRef>
          </c:xVal>
          <c:yVal>
            <c:numRef>
              <c:f>'T89-16t'!$AS$5:$AS$201</c:f>
              <c:numCache>
                <c:formatCode>0.00%</c:formatCode>
                <c:ptCount val="19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General">
                  <c:v>0</c:v>
                </c:pt>
                <c:pt idx="28" formatCode="General">
                  <c:v>0</c:v>
                </c:pt>
                <c:pt idx="29" formatCode="General">
                  <c:v>0</c:v>
                </c:pt>
                <c:pt idx="30" formatCode="General">
                  <c:v>0</c:v>
                </c:pt>
                <c:pt idx="31" formatCode="General">
                  <c:v>0</c:v>
                </c:pt>
                <c:pt idx="32" formatCode="General">
                  <c:v>0</c:v>
                </c:pt>
                <c:pt idx="33" formatCode="General">
                  <c:v>0</c:v>
                </c:pt>
                <c:pt idx="34" formatCode="General">
                  <c:v>0</c:v>
                </c:pt>
                <c:pt idx="35" formatCode="General">
                  <c:v>0</c:v>
                </c:pt>
                <c:pt idx="36" formatCode="General">
                  <c:v>0</c:v>
                </c:pt>
                <c:pt idx="37" formatCode="General">
                  <c:v>0</c:v>
                </c:pt>
                <c:pt idx="38" formatCode="General">
                  <c:v>0</c:v>
                </c:pt>
                <c:pt idx="39" formatCode="General">
                  <c:v>0</c:v>
                </c:pt>
                <c:pt idx="40" formatCode="General">
                  <c:v>0</c:v>
                </c:pt>
                <c:pt idx="41" formatCode="General">
                  <c:v>0</c:v>
                </c:pt>
                <c:pt idx="42" formatCode="General">
                  <c:v>0</c:v>
                </c:pt>
                <c:pt idx="43" formatCode="General">
                  <c:v>0</c:v>
                </c:pt>
                <c:pt idx="44" formatCode="General">
                  <c:v>0</c:v>
                </c:pt>
                <c:pt idx="45" formatCode="General">
                  <c:v>0</c:v>
                </c:pt>
                <c:pt idx="46" formatCode="General">
                  <c:v>0</c:v>
                </c:pt>
                <c:pt idx="47" formatCode="General">
                  <c:v>0</c:v>
                </c:pt>
                <c:pt idx="48" formatCode="General">
                  <c:v>0</c:v>
                </c:pt>
                <c:pt idx="49" formatCode="General">
                  <c:v>0</c:v>
                </c:pt>
                <c:pt idx="50" formatCode="General">
                  <c:v>0</c:v>
                </c:pt>
                <c:pt idx="51" formatCode="General">
                  <c:v>0</c:v>
                </c:pt>
                <c:pt idx="52" formatCode="General">
                  <c:v>0</c:v>
                </c:pt>
                <c:pt idx="53" formatCode="General">
                  <c:v>0</c:v>
                </c:pt>
                <c:pt idx="54" formatCode="General">
                  <c:v>0</c:v>
                </c:pt>
                <c:pt idx="55" formatCode="mmm\-yy">
                  <c:v>0</c:v>
                </c:pt>
                <c:pt idx="56" formatCode="General">
                  <c:v>0</c:v>
                </c:pt>
                <c:pt idx="57" formatCode="General">
                  <c:v>0</c:v>
                </c:pt>
                <c:pt idx="58" formatCode="General">
                  <c:v>0</c:v>
                </c:pt>
                <c:pt idx="59" formatCode="General">
                  <c:v>0</c:v>
                </c:pt>
                <c:pt idx="60" formatCode="General">
                  <c:v>0</c:v>
                </c:pt>
                <c:pt idx="61" formatCode="General">
                  <c:v>0</c:v>
                </c:pt>
                <c:pt idx="62" formatCode="General">
                  <c:v>0</c:v>
                </c:pt>
                <c:pt idx="63" formatCode="General">
                  <c:v>0</c:v>
                </c:pt>
                <c:pt idx="64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F7-CD43-A00A-FE67781A0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1667272"/>
        <c:axId val="2131670632"/>
      </c:scatterChart>
      <c:valAx>
        <c:axId val="2131667272"/>
        <c:scaling>
          <c:orientation val="minMax"/>
          <c:max val="30"/>
          <c:min val="8"/>
        </c:scaling>
        <c:delete val="0"/>
        <c:axPos val="b"/>
        <c:numFmt formatCode="0" sourceLinked="1"/>
        <c:majorTickMark val="cross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NL"/>
          </a:p>
        </c:txPr>
        <c:crossAx val="2131670632"/>
        <c:crosses val="autoZero"/>
        <c:crossBetween val="midCat"/>
        <c:majorUnit val="1"/>
        <c:minorUnit val="0.1"/>
      </c:valAx>
      <c:valAx>
        <c:axId val="2131670632"/>
        <c:scaling>
          <c:orientation val="minMax"/>
          <c:max val="100"/>
          <c:min val="0"/>
        </c:scaling>
        <c:delete val="0"/>
        <c:axPos val="l"/>
        <c:numFmt formatCode="0.00%" sourceLinked="1"/>
        <c:majorTickMark val="cross"/>
        <c:minorTickMark val="out"/>
        <c:tickLblPos val="none"/>
        <c:spPr>
          <a:ln w="12700">
            <a:solidFill>
              <a:srgbClr val="000000"/>
            </a:solidFill>
            <a:prstDash val="solid"/>
          </a:ln>
        </c:spPr>
        <c:crossAx val="2131667272"/>
        <c:crosses val="autoZero"/>
        <c:crossBetween val="midCat"/>
        <c:majorUnit val="50"/>
        <c:minorUnit val="10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NL"/>
    </a:p>
  </c:txPr>
  <c:printSettings>
    <c:headerFooter>
      <c:oddHeader>&amp;f</c:oddHeader>
      <c:oddFooter>Page &amp;p</c:oddFooter>
    </c:headerFooter>
    <c:pageMargins b="1" l="0.75" r="0.75" t="1" header="0.5" footer="0.5"/>
    <c:pageSetup paperSize="0" orientation="landscape" horizontalDpi="0" verticalDpi="0" copies="0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930561790817306E-3"/>
          <c:y val="0.115385021685163"/>
          <c:w val="0.98142193813202605"/>
          <c:h val="0.778848896374851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strRef>
              <c:f>'T89-16t'!$B$5:$B$201</c:f>
              <c:strCache>
                <c:ptCount val="78"/>
                <c:pt idx="0">
                  <c:v>cmbs</c:v>
                </c:pt>
                <c:pt idx="1">
                  <c:v>1</c:v>
                </c:pt>
                <c:pt idx="2">
                  <c:v>23</c:v>
                </c:pt>
                <c:pt idx="3">
                  <c:v>41</c:v>
                </c:pt>
                <c:pt idx="4">
                  <c:v>51</c:v>
                </c:pt>
                <c:pt idx="5">
                  <c:v>66</c:v>
                </c:pt>
                <c:pt idx="6">
                  <c:v>86</c:v>
                </c:pt>
                <c:pt idx="7">
                  <c:v>101</c:v>
                </c:pt>
                <c:pt idx="8">
                  <c:v>116</c:v>
                </c:pt>
                <c:pt idx="9">
                  <c:v>126</c:v>
                </c:pt>
                <c:pt idx="10">
                  <c:v>141</c:v>
                </c:pt>
                <c:pt idx="11">
                  <c:v>151</c:v>
                </c:pt>
                <c:pt idx="12">
                  <c:v>166</c:v>
                </c:pt>
                <c:pt idx="13">
                  <c:v>176</c:v>
                </c:pt>
                <c:pt idx="14">
                  <c:v>191</c:v>
                </c:pt>
                <c:pt idx="15">
                  <c:v>211</c:v>
                </c:pt>
                <c:pt idx="16">
                  <c:v>226</c:v>
                </c:pt>
                <c:pt idx="17">
                  <c:v>246</c:v>
                </c:pt>
                <c:pt idx="18">
                  <c:v>261</c:v>
                </c:pt>
                <c:pt idx="19">
                  <c:v>281</c:v>
                </c:pt>
                <c:pt idx="20">
                  <c:v>296</c:v>
                </c:pt>
                <c:pt idx="21">
                  <c:v>316</c:v>
                </c:pt>
                <c:pt idx="22">
                  <c:v>336</c:v>
                </c:pt>
                <c:pt idx="23">
                  <c:v>346</c:v>
                </c:pt>
                <c:pt idx="24">
                  <c:v>362</c:v>
                </c:pt>
                <c:pt idx="25">
                  <c:v>382</c:v>
                </c:pt>
                <c:pt idx="26">
                  <c:v>397</c:v>
                </c:pt>
                <c:pt idx="27">
                  <c:v>407</c:v>
                </c:pt>
                <c:pt idx="28">
                  <c:v>422</c:v>
                </c:pt>
                <c:pt idx="29">
                  <c:v>442</c:v>
                </c:pt>
                <c:pt idx="30">
                  <c:v>457</c:v>
                </c:pt>
                <c:pt idx="31">
                  <c:v>467</c:v>
                </c:pt>
                <c:pt idx="32">
                  <c:v>482</c:v>
                </c:pt>
                <c:pt idx="33">
                  <c:v>502</c:v>
                </c:pt>
                <c:pt idx="34">
                  <c:v>542</c:v>
                </c:pt>
                <c:pt idx="35">
                  <c:v>560</c:v>
                </c:pt>
                <c:pt idx="36">
                  <c:v>577</c:v>
                </c:pt>
                <c:pt idx="37">
                  <c:v>592</c:v>
                </c:pt>
                <c:pt idx="38">
                  <c:v>607</c:v>
                </c:pt>
                <c:pt idx="39">
                  <c:v>621</c:v>
                </c:pt>
                <c:pt idx="40">
                  <c:v>641</c:v>
                </c:pt>
                <c:pt idx="41">
                  <c:v>656</c:v>
                </c:pt>
                <c:pt idx="42">
                  <c:v>676</c:v>
                </c:pt>
                <c:pt idx="43">
                  <c:v>696</c:v>
                </c:pt>
                <c:pt idx="44">
                  <c:v>717</c:v>
                </c:pt>
                <c:pt idx="45">
                  <c:v>736</c:v>
                </c:pt>
                <c:pt idx="46">
                  <c:v>746</c:v>
                </c:pt>
                <c:pt idx="47">
                  <c:v>761</c:v>
                </c:pt>
                <c:pt idx="48">
                  <c:v>779</c:v>
                </c:pt>
                <c:pt idx="49">
                  <c:v>799</c:v>
                </c:pt>
                <c:pt idx="50">
                  <c:v>819</c:v>
                </c:pt>
                <c:pt idx="51">
                  <c:v>833</c:v>
                </c:pt>
                <c:pt idx="52">
                  <c:v>853</c:v>
                </c:pt>
                <c:pt idx="53">
                  <c:v>871</c:v>
                </c:pt>
                <c:pt idx="54">
                  <c:v>888</c:v>
                </c:pt>
                <c:pt idx="55">
                  <c:v>901</c:v>
                </c:pt>
                <c:pt idx="56">
                  <c:v>914</c:v>
                </c:pt>
                <c:pt idx="57">
                  <c:v>931</c:v>
                </c:pt>
                <c:pt idx="58">
                  <c:v>940</c:v>
                </c:pt>
                <c:pt idx="59">
                  <c:v>956</c:v>
                </c:pt>
                <c:pt idx="60">
                  <c:v>966</c:v>
                </c:pt>
                <c:pt idx="61">
                  <c:v>983</c:v>
                </c:pt>
                <c:pt idx="62">
                  <c:v>1001</c:v>
                </c:pt>
                <c:pt idx="63">
                  <c:v>1021</c:v>
                </c:pt>
                <c:pt idx="64">
                  <c:v>1041</c:v>
                </c:pt>
                <c:pt idx="71">
                  <c:v>201</c:v>
                </c:pt>
                <c:pt idx="72">
                  <c:v>76</c:v>
                </c:pt>
                <c:pt idx="73">
                  <c:v>34</c:v>
                </c:pt>
                <c:pt idx="74">
                  <c:v>11</c:v>
                </c:pt>
                <c:pt idx="75">
                  <c:v>706</c:v>
                </c:pt>
                <c:pt idx="76">
                  <c:v> </c:v>
                </c:pt>
                <c:pt idx="77">
                  <c:v>572</c:v>
                </c:pt>
              </c:strCache>
            </c:strRef>
          </c:xVal>
          <c:yVal>
            <c:numRef>
              <c:f>'T89-16t'!$AQ$5:$AQ$201</c:f>
              <c:numCache>
                <c:formatCode>0</c:formatCode>
                <c:ptCount val="197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2</c:v>
                </c:pt>
                <c:pt idx="25">
                  <c:v>4</c:v>
                </c:pt>
                <c:pt idx="26">
                  <c:v>4</c:v>
                </c:pt>
                <c:pt idx="27">
                  <c:v>2</c:v>
                </c:pt>
                <c:pt idx="28">
                  <c:v>4</c:v>
                </c:pt>
                <c:pt idx="29">
                  <c:v>4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16</c:v>
                </c:pt>
                <c:pt idx="34">
                  <c:v>16</c:v>
                </c:pt>
                <c:pt idx="35">
                  <c:v>16</c:v>
                </c:pt>
                <c:pt idx="36">
                  <c:v>16</c:v>
                </c:pt>
                <c:pt idx="37">
                  <c:v>4</c:v>
                </c:pt>
                <c:pt idx="38">
                  <c:v>4</c:v>
                </c:pt>
                <c:pt idx="39">
                  <c:v>16</c:v>
                </c:pt>
                <c:pt idx="40">
                  <c:v>32</c:v>
                </c:pt>
                <c:pt idx="41">
                  <c:v>32</c:v>
                </c:pt>
                <c:pt idx="42">
                  <c:v>64</c:v>
                </c:pt>
                <c:pt idx="43">
                  <c:v>64</c:v>
                </c:pt>
                <c:pt idx="44">
                  <c:v>64</c:v>
                </c:pt>
                <c:pt idx="45">
                  <c:v>16</c:v>
                </c:pt>
                <c:pt idx="46">
                  <c:v>32</c:v>
                </c:pt>
                <c:pt idx="47">
                  <c:v>16</c:v>
                </c:pt>
                <c:pt idx="48">
                  <c:v>16</c:v>
                </c:pt>
                <c:pt idx="49">
                  <c:v>32</c:v>
                </c:pt>
                <c:pt idx="50">
                  <c:v>32</c:v>
                </c:pt>
                <c:pt idx="51">
                  <c:v>16</c:v>
                </c:pt>
                <c:pt idx="52">
                  <c:v>16</c:v>
                </c:pt>
                <c:pt idx="53">
                  <c:v>16</c:v>
                </c:pt>
                <c:pt idx="54">
                  <c:v>16</c:v>
                </c:pt>
                <c:pt idx="55">
                  <c:v>32</c:v>
                </c:pt>
                <c:pt idx="56">
                  <c:v>16</c:v>
                </c:pt>
                <c:pt idx="57">
                  <c:v>8</c:v>
                </c:pt>
                <c:pt idx="58">
                  <c:v>32</c:v>
                </c:pt>
                <c:pt idx="59">
                  <c:v>32</c:v>
                </c:pt>
                <c:pt idx="60">
                  <c:v>32</c:v>
                </c:pt>
                <c:pt idx="61">
                  <c:v>16</c:v>
                </c:pt>
                <c:pt idx="62">
                  <c:v>16</c:v>
                </c:pt>
                <c:pt idx="63">
                  <c:v>16</c:v>
                </c:pt>
                <c:pt idx="64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D4-7943-B074-255DB59AA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0465464"/>
        <c:axId val="2100472744"/>
      </c:scatterChart>
      <c:valAx>
        <c:axId val="2100465464"/>
        <c:scaling>
          <c:orientation val="minMax"/>
          <c:max val="1100"/>
        </c:scaling>
        <c:delete val="0"/>
        <c:axPos val="b"/>
        <c:majorTickMark val="cross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100472744"/>
        <c:crosses val="autoZero"/>
        <c:crossBetween val="midCat"/>
        <c:majorUnit val="100"/>
        <c:minorUnit val="10"/>
      </c:valAx>
      <c:valAx>
        <c:axId val="2100472744"/>
        <c:scaling>
          <c:orientation val="minMax"/>
          <c:max val="2000"/>
        </c:scaling>
        <c:delete val="0"/>
        <c:axPos val="l"/>
        <c:numFmt formatCode="0" sourceLinked="1"/>
        <c:majorTickMark val="cross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100465464"/>
        <c:crosses val="autoZero"/>
        <c:crossBetween val="midCat"/>
        <c:majorUnit val="1000"/>
        <c:minorUnit val="100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NL"/>
    </a:p>
  </c:txPr>
  <c:printSettings>
    <c:headerFooter>
      <c:oddHeader>&amp;f</c:oddHeader>
    </c:headerFooter>
    <c:pageMargins b="1" l="0.75" r="0.75" t="1" header="0.5" footer="0.5"/>
    <c:pageSetup paperSize="0" orientation="landscape" horizontalDpi="0" verticalDpi="0" copies="0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930561790817306E-3"/>
          <c:y val="0.30770001252034601"/>
          <c:w val="0.98142193813202605"/>
          <c:h val="0.8718167021409789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DD0806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'T89-16t'!$BC$5:$BC$201</c:f>
              <c:numCache>
                <c:formatCode>0</c:formatCode>
                <c:ptCount val="197"/>
              </c:numCache>
            </c:numRef>
          </c:xVal>
          <c:yVal>
            <c:numRef>
              <c:f>'T89-16t'!$BI$5:$BI$201</c:f>
              <c:numCache>
                <c:formatCode>0</c:formatCode>
                <c:ptCount val="197"/>
                <c:pt idx="1">
                  <c:v>39.682539682539684</c:v>
                </c:pt>
                <c:pt idx="2">
                  <c:v>22.222222222222221</c:v>
                </c:pt>
                <c:pt idx="3">
                  <c:v>6.8965517241379306</c:v>
                </c:pt>
                <c:pt idx="4">
                  <c:v>4.4444444444444446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11.76470588235294</c:v>
                </c:pt>
                <c:pt idx="14">
                  <c:v>0</c:v>
                </c:pt>
                <c:pt idx="15">
                  <c:v>4.3478260869565215</c:v>
                </c:pt>
                <c:pt idx="16">
                  <c:v>0</c:v>
                </c:pt>
                <c:pt idx="17">
                  <c:v>2.9411764705882351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7.1428571428571423</c:v>
                </c:pt>
                <c:pt idx="22">
                  <c:v>3.4482758620689653</c:v>
                </c:pt>
                <c:pt idx="23">
                  <c:v>2.8571428571428572</c:v>
                </c:pt>
                <c:pt idx="24">
                  <c:v>0</c:v>
                </c:pt>
                <c:pt idx="25">
                  <c:v>0</c:v>
                </c:pt>
                <c:pt idx="26">
                  <c:v>2.4390243902439024</c:v>
                </c:pt>
                <c:pt idx="27">
                  <c:v>0</c:v>
                </c:pt>
                <c:pt idx="28">
                  <c:v>0</c:v>
                </c:pt>
                <c:pt idx="29">
                  <c:v>2.1739130434782608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4.5454545454545459</c:v>
                </c:pt>
                <c:pt idx="36">
                  <c:v>0</c:v>
                </c:pt>
                <c:pt idx="37">
                  <c:v>0</c:v>
                </c:pt>
                <c:pt idx="38">
                  <c:v>2.5</c:v>
                </c:pt>
                <c:pt idx="39">
                  <c:v>7.8947368421052628</c:v>
                </c:pt>
                <c:pt idx="40">
                  <c:v>3.125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4.7619047619047619</c:v>
                </c:pt>
                <c:pt idx="45">
                  <c:v>0</c:v>
                </c:pt>
                <c:pt idx="46">
                  <c:v>6.4516129032258061</c:v>
                </c:pt>
                <c:pt idx="47">
                  <c:v>3.225806451612903</c:v>
                </c:pt>
                <c:pt idx="48">
                  <c:v>0</c:v>
                </c:pt>
                <c:pt idx="49">
                  <c:v>3.225806451612903</c:v>
                </c:pt>
                <c:pt idx="50">
                  <c:v>6.3492063492063489</c:v>
                </c:pt>
                <c:pt idx="51">
                  <c:v>3.6363636363636362</c:v>
                </c:pt>
                <c:pt idx="52">
                  <c:v>0</c:v>
                </c:pt>
                <c:pt idx="53">
                  <c:v>0</c:v>
                </c:pt>
                <c:pt idx="54">
                  <c:v>2.3255813953488373</c:v>
                </c:pt>
                <c:pt idx="55">
                  <c:v>0</c:v>
                </c:pt>
                <c:pt idx="56">
                  <c:v>0</c:v>
                </c:pt>
                <c:pt idx="57">
                  <c:v>2.1276595744680851</c:v>
                </c:pt>
                <c:pt idx="58">
                  <c:v>3.8461538461538463</c:v>
                </c:pt>
                <c:pt idx="59">
                  <c:v>0</c:v>
                </c:pt>
                <c:pt idx="60">
                  <c:v>5.2631578947368416</c:v>
                </c:pt>
                <c:pt idx="61">
                  <c:v>6.666666666666667</c:v>
                </c:pt>
                <c:pt idx="62">
                  <c:v>8.3333333333333321</c:v>
                </c:pt>
                <c:pt idx="63">
                  <c:v>0</c:v>
                </c:pt>
                <c:pt idx="64">
                  <c:v>0</c:v>
                </c:pt>
                <c:pt idx="66" formatCode="0.00">
                  <c:v>2.9631113197066696</c:v>
                </c:pt>
                <c:pt idx="67" formatCode="0.00">
                  <c:v>0</c:v>
                </c:pt>
                <c:pt idx="68" formatCode="0.00">
                  <c:v>39.682539682539684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96-A847-B663-320B60F6A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3633080"/>
        <c:axId val="2103637976"/>
      </c:scatterChart>
      <c:valAx>
        <c:axId val="2103633080"/>
        <c:scaling>
          <c:orientation val="minMax"/>
          <c:max val="30"/>
          <c:min val="8"/>
        </c:scaling>
        <c:delete val="0"/>
        <c:axPos val="b"/>
        <c:numFmt formatCode="0" sourceLinked="1"/>
        <c:majorTickMark val="cross"/>
        <c:minorTickMark val="out"/>
        <c:tickLblPos val="none"/>
        <c:spPr>
          <a:ln w="3175">
            <a:solidFill>
              <a:srgbClr val="000000"/>
            </a:solidFill>
            <a:prstDash val="solid"/>
          </a:ln>
        </c:spPr>
        <c:crossAx val="2103637976"/>
        <c:crosses val="autoZero"/>
        <c:crossBetween val="midCat"/>
        <c:majorUnit val="2"/>
        <c:minorUnit val="2"/>
      </c:valAx>
      <c:valAx>
        <c:axId val="2103637976"/>
        <c:scaling>
          <c:orientation val="minMax"/>
          <c:max val="10"/>
        </c:scaling>
        <c:delete val="0"/>
        <c:axPos val="l"/>
        <c:numFmt formatCode="0" sourceLinked="1"/>
        <c:majorTickMark val="cross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2103633080"/>
        <c:crosses val="autoZero"/>
        <c:crossBetween val="midCat"/>
        <c:majorUnit val="1"/>
        <c:minorUnit val="1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NL"/>
    </a:p>
  </c:txPr>
  <c:printSettings>
    <c:headerFooter>
      <c:oddHeader>&amp;f</c:oddHeader>
    </c:headerFooter>
    <c:pageMargins b="1" l="0.75" r="0.75" t="1" header="0.5" footer="0.5"/>
    <c:pageSetup paperSize="0" orientation="landscape" horizontalDpi="0" verticalDpi="0" copies="0"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930561790817306E-3"/>
          <c:y val="0.30770001252034601"/>
          <c:w val="0.98142193813202605"/>
          <c:h val="0.8718167021409789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DD0806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strRef>
              <c:f>'T89-16t'!$BB$5:$BB$201</c:f>
              <c:strCache>
                <c:ptCount val="190"/>
                <c:pt idx="0">
                  <c:v>(bi)orb</c:v>
                </c:pt>
                <c:pt idx="1">
                  <c:v>0,49</c:v>
                </c:pt>
                <c:pt idx="2">
                  <c:v>0,00</c:v>
                </c:pt>
                <c:pt idx="3">
                  <c:v>0,00</c:v>
                </c:pt>
                <c:pt idx="4">
                  <c:v>0,32</c:v>
                </c:pt>
                <c:pt idx="5">
                  <c:v>1,14</c:v>
                </c:pt>
                <c:pt idx="6">
                  <c:v>1,20</c:v>
                </c:pt>
                <c:pt idx="7">
                  <c:v>1,57</c:v>
                </c:pt>
                <c:pt idx="8">
                  <c:v>2,55</c:v>
                </c:pt>
                <c:pt idx="9">
                  <c:v>1,59</c:v>
                </c:pt>
                <c:pt idx="10">
                  <c:v>2,21</c:v>
                </c:pt>
                <c:pt idx="11">
                  <c:v>0,52</c:v>
                </c:pt>
                <c:pt idx="12">
                  <c:v>2,14</c:v>
                </c:pt>
                <c:pt idx="13">
                  <c:v>2,68</c:v>
                </c:pt>
                <c:pt idx="14">
                  <c:v>0,99</c:v>
                </c:pt>
                <c:pt idx="15">
                  <c:v>1,80</c:v>
                </c:pt>
                <c:pt idx="16">
                  <c:v>0,00</c:v>
                </c:pt>
                <c:pt idx="17">
                  <c:v>1,96</c:v>
                </c:pt>
                <c:pt idx="18">
                  <c:v>0,70</c:v>
                </c:pt>
                <c:pt idx="19">
                  <c:v>0,90</c:v>
                </c:pt>
                <c:pt idx="20">
                  <c:v>1,03</c:v>
                </c:pt>
                <c:pt idx="21">
                  <c:v>2,09</c:v>
                </c:pt>
                <c:pt idx="22">
                  <c:v>1,13</c:v>
                </c:pt>
                <c:pt idx="23">
                  <c:v>1,31</c:v>
                </c:pt>
                <c:pt idx="24">
                  <c:v>1,72</c:v>
                </c:pt>
                <c:pt idx="25">
                  <c:v>3,72</c:v>
                </c:pt>
                <c:pt idx="26">
                  <c:v>3,88</c:v>
                </c:pt>
                <c:pt idx="27">
                  <c:v>2,11</c:v>
                </c:pt>
                <c:pt idx="28">
                  <c:v>4,09</c:v>
                </c:pt>
                <c:pt idx="29">
                  <c:v>4,75</c:v>
                </c:pt>
                <c:pt idx="30">
                  <c:v>3,18</c:v>
                </c:pt>
                <c:pt idx="31">
                  <c:v>0,96</c:v>
                </c:pt>
                <c:pt idx="32">
                  <c:v>2,43</c:v>
                </c:pt>
                <c:pt idx="33">
                  <c:v>3,40</c:v>
                </c:pt>
                <c:pt idx="34">
                  <c:v>1,10</c:v>
                </c:pt>
                <c:pt idx="35">
                  <c:v>1,34</c:v>
                </c:pt>
                <c:pt idx="36">
                  <c:v>1,64</c:v>
                </c:pt>
                <c:pt idx="37">
                  <c:v>1,98</c:v>
                </c:pt>
                <c:pt idx="38">
                  <c:v>2,23</c:v>
                </c:pt>
                <c:pt idx="39">
                  <c:v>2,07</c:v>
                </c:pt>
                <c:pt idx="40">
                  <c:v>1,91</c:v>
                </c:pt>
                <c:pt idx="41">
                  <c:v>3,02</c:v>
                </c:pt>
                <c:pt idx="42">
                  <c:v>4,23</c:v>
                </c:pt>
                <c:pt idx="43">
                  <c:v>4,93</c:v>
                </c:pt>
                <c:pt idx="44">
                  <c:v>4,48</c:v>
                </c:pt>
                <c:pt idx="45">
                  <c:v>2,18</c:v>
                </c:pt>
                <c:pt idx="46">
                  <c:v>2,69</c:v>
                </c:pt>
                <c:pt idx="47">
                  <c:v>3,15</c:v>
                </c:pt>
                <c:pt idx="48">
                  <c:v>1,99</c:v>
                </c:pt>
                <c:pt idx="49">
                  <c:v>4,34</c:v>
                </c:pt>
                <c:pt idx="50">
                  <c:v>2,39</c:v>
                </c:pt>
                <c:pt idx="51">
                  <c:v>3,59</c:v>
                </c:pt>
                <c:pt idx="52">
                  <c:v>5,71</c:v>
                </c:pt>
                <c:pt idx="53">
                  <c:v>8,06</c:v>
                </c:pt>
                <c:pt idx="54">
                  <c:v>5,65</c:v>
                </c:pt>
                <c:pt idx="55">
                  <c:v>2,24</c:v>
                </c:pt>
                <c:pt idx="56">
                  <c:v>3,01</c:v>
                </c:pt>
                <c:pt idx="57">
                  <c:v>5,64</c:v>
                </c:pt>
                <c:pt idx="58">
                  <c:v>5,23</c:v>
                </c:pt>
                <c:pt idx="59">
                  <c:v>3,92</c:v>
                </c:pt>
                <c:pt idx="60">
                  <c:v>5,70</c:v>
                </c:pt>
                <c:pt idx="61">
                  <c:v>4,28</c:v>
                </c:pt>
                <c:pt idx="62">
                  <c:v>3,58</c:v>
                </c:pt>
                <c:pt idx="63">
                  <c:v>3,64</c:v>
                </c:pt>
                <c:pt idx="64">
                  <c:v>4,85</c:v>
                </c:pt>
                <c:pt idx="65">
                  <c:v>0,00</c:v>
                </c:pt>
                <c:pt idx="66">
                  <c:v>2,65</c:v>
                </c:pt>
                <c:pt idx="67">
                  <c:v>0,00</c:v>
                </c:pt>
                <c:pt idx="68">
                  <c:v>8,64</c:v>
                </c:pt>
                <c:pt idx="69">
                  <c:v>0,00</c:v>
                </c:pt>
                <c:pt idx="70">
                  <c:v>0,00</c:v>
                </c:pt>
                <c:pt idx="71">
                  <c:v>0,00</c:v>
                </c:pt>
                <c:pt idx="72">
                  <c:v>0,00</c:v>
                </c:pt>
                <c:pt idx="73">
                  <c:v>0,00</c:v>
                </c:pt>
                <c:pt idx="74">
                  <c:v>0,00</c:v>
                </c:pt>
                <c:pt idx="75">
                  <c:v>0,00</c:v>
                </c:pt>
                <c:pt idx="76">
                  <c:v>0,00</c:v>
                </c:pt>
                <c:pt idx="77">
                  <c:v>0,00</c:v>
                </c:pt>
                <c:pt idx="78">
                  <c:v>0,00</c:v>
                </c:pt>
                <c:pt idx="79">
                  <c:v>0,00</c:v>
                </c:pt>
                <c:pt idx="80">
                  <c:v>0,00</c:v>
                </c:pt>
                <c:pt idx="81">
                  <c:v>0,00</c:v>
                </c:pt>
                <c:pt idx="82">
                  <c:v>0,00</c:v>
                </c:pt>
                <c:pt idx="83">
                  <c:v>0,00</c:v>
                </c:pt>
                <c:pt idx="84">
                  <c:v>0,00</c:v>
                </c:pt>
                <c:pt idx="85">
                  <c:v>0,00</c:v>
                </c:pt>
                <c:pt idx="86">
                  <c:v>0,00</c:v>
                </c:pt>
                <c:pt idx="87">
                  <c:v>0,00</c:v>
                </c:pt>
                <c:pt idx="88">
                  <c:v>0,00</c:v>
                </c:pt>
                <c:pt idx="89">
                  <c:v>0,00</c:v>
                </c:pt>
                <c:pt idx="90">
                  <c:v>0,00</c:v>
                </c:pt>
                <c:pt idx="91">
                  <c:v>0,00</c:v>
                </c:pt>
                <c:pt idx="92">
                  <c:v>0,00</c:v>
                </c:pt>
                <c:pt idx="93">
                  <c:v>0,00</c:v>
                </c:pt>
                <c:pt idx="94">
                  <c:v>0,00</c:v>
                </c:pt>
                <c:pt idx="95">
                  <c:v>0,00</c:v>
                </c:pt>
                <c:pt idx="96">
                  <c:v>0,00</c:v>
                </c:pt>
                <c:pt idx="97">
                  <c:v>0,00</c:v>
                </c:pt>
                <c:pt idx="98">
                  <c:v>0,00</c:v>
                </c:pt>
                <c:pt idx="99">
                  <c:v>0,00</c:v>
                </c:pt>
                <c:pt idx="100">
                  <c:v>0,00</c:v>
                </c:pt>
                <c:pt idx="101">
                  <c:v>0,00</c:v>
                </c:pt>
                <c:pt idx="102">
                  <c:v>0,00</c:v>
                </c:pt>
                <c:pt idx="103">
                  <c:v>0,00</c:v>
                </c:pt>
                <c:pt idx="104">
                  <c:v>0,00</c:v>
                </c:pt>
                <c:pt idx="105">
                  <c:v>0,00</c:v>
                </c:pt>
                <c:pt idx="106">
                  <c:v>0,00</c:v>
                </c:pt>
                <c:pt idx="107">
                  <c:v>0,00</c:v>
                </c:pt>
                <c:pt idx="108">
                  <c:v>0,00</c:v>
                </c:pt>
                <c:pt idx="109">
                  <c:v>0,00</c:v>
                </c:pt>
                <c:pt idx="110">
                  <c:v>0,00</c:v>
                </c:pt>
                <c:pt idx="111">
                  <c:v>0,00</c:v>
                </c:pt>
                <c:pt idx="112">
                  <c:v>0,00</c:v>
                </c:pt>
                <c:pt idx="113">
                  <c:v>0,00</c:v>
                </c:pt>
                <c:pt idx="114">
                  <c:v>0,00</c:v>
                </c:pt>
                <c:pt idx="115">
                  <c:v>0,00</c:v>
                </c:pt>
                <c:pt idx="116">
                  <c:v>0,00</c:v>
                </c:pt>
                <c:pt idx="117">
                  <c:v>0,00</c:v>
                </c:pt>
                <c:pt idx="118">
                  <c:v>0,00</c:v>
                </c:pt>
                <c:pt idx="119">
                  <c:v>0,00</c:v>
                </c:pt>
                <c:pt idx="120">
                  <c:v>0,00</c:v>
                </c:pt>
                <c:pt idx="121">
                  <c:v>0,00</c:v>
                </c:pt>
                <c:pt idx="122">
                  <c:v>0,00</c:v>
                </c:pt>
                <c:pt idx="123">
                  <c:v>0,00</c:v>
                </c:pt>
                <c:pt idx="124">
                  <c:v>0,00</c:v>
                </c:pt>
                <c:pt idx="125">
                  <c:v>0,00</c:v>
                </c:pt>
                <c:pt idx="126">
                  <c:v>0,00</c:v>
                </c:pt>
                <c:pt idx="127">
                  <c:v>0,00</c:v>
                </c:pt>
                <c:pt idx="128">
                  <c:v>0,00</c:v>
                </c:pt>
                <c:pt idx="129">
                  <c:v>0,00</c:v>
                </c:pt>
                <c:pt idx="130">
                  <c:v>0,00</c:v>
                </c:pt>
                <c:pt idx="131">
                  <c:v>0,00</c:v>
                </c:pt>
                <c:pt idx="132">
                  <c:v>0,00</c:v>
                </c:pt>
                <c:pt idx="133">
                  <c:v>0,00</c:v>
                </c:pt>
                <c:pt idx="134">
                  <c:v>0,00</c:v>
                </c:pt>
                <c:pt idx="135">
                  <c:v>0,00</c:v>
                </c:pt>
                <c:pt idx="136">
                  <c:v>0,00</c:v>
                </c:pt>
                <c:pt idx="137">
                  <c:v>0,00</c:v>
                </c:pt>
                <c:pt idx="138">
                  <c:v>0,00</c:v>
                </c:pt>
                <c:pt idx="139">
                  <c:v>0,00</c:v>
                </c:pt>
                <c:pt idx="140">
                  <c:v>0,00</c:v>
                </c:pt>
                <c:pt idx="141">
                  <c:v>0,00</c:v>
                </c:pt>
                <c:pt idx="142">
                  <c:v>0,00</c:v>
                </c:pt>
                <c:pt idx="143">
                  <c:v>0,00</c:v>
                </c:pt>
                <c:pt idx="144">
                  <c:v>0,00</c:v>
                </c:pt>
                <c:pt idx="145">
                  <c:v>0,00</c:v>
                </c:pt>
                <c:pt idx="146">
                  <c:v>0,00</c:v>
                </c:pt>
                <c:pt idx="147">
                  <c:v>0,00</c:v>
                </c:pt>
                <c:pt idx="148">
                  <c:v>0,00</c:v>
                </c:pt>
                <c:pt idx="149">
                  <c:v>0,00</c:v>
                </c:pt>
                <c:pt idx="150">
                  <c:v>0,00</c:v>
                </c:pt>
                <c:pt idx="151">
                  <c:v>0,00</c:v>
                </c:pt>
                <c:pt idx="152">
                  <c:v>0,00</c:v>
                </c:pt>
                <c:pt idx="153">
                  <c:v>0,00</c:v>
                </c:pt>
                <c:pt idx="154">
                  <c:v>0,00</c:v>
                </c:pt>
                <c:pt idx="155">
                  <c:v>0,00</c:v>
                </c:pt>
                <c:pt idx="156">
                  <c:v>0,00</c:v>
                </c:pt>
                <c:pt idx="157">
                  <c:v>0,00</c:v>
                </c:pt>
                <c:pt idx="158">
                  <c:v>0,00</c:v>
                </c:pt>
                <c:pt idx="159">
                  <c:v>0,00</c:v>
                </c:pt>
                <c:pt idx="160">
                  <c:v>0,00</c:v>
                </c:pt>
                <c:pt idx="161">
                  <c:v>0,00</c:v>
                </c:pt>
                <c:pt idx="162">
                  <c:v>0,00</c:v>
                </c:pt>
                <c:pt idx="163">
                  <c:v>0,00</c:v>
                </c:pt>
                <c:pt idx="164">
                  <c:v>0,00</c:v>
                </c:pt>
                <c:pt idx="165">
                  <c:v>0,00</c:v>
                </c:pt>
                <c:pt idx="166">
                  <c:v>0,00</c:v>
                </c:pt>
                <c:pt idx="167">
                  <c:v>0,00</c:v>
                </c:pt>
                <c:pt idx="168">
                  <c:v>0,00</c:v>
                </c:pt>
                <c:pt idx="169">
                  <c:v>0,00</c:v>
                </c:pt>
                <c:pt idx="170">
                  <c:v>0,00</c:v>
                </c:pt>
                <c:pt idx="171">
                  <c:v>0,00</c:v>
                </c:pt>
                <c:pt idx="172">
                  <c:v>0,00</c:v>
                </c:pt>
                <c:pt idx="173">
                  <c:v>0,00</c:v>
                </c:pt>
                <c:pt idx="174">
                  <c:v>0,00</c:v>
                </c:pt>
                <c:pt idx="175">
                  <c:v>0,00</c:v>
                </c:pt>
                <c:pt idx="176">
                  <c:v>0,00</c:v>
                </c:pt>
                <c:pt idx="177">
                  <c:v>0,00</c:v>
                </c:pt>
                <c:pt idx="178">
                  <c:v>0,00</c:v>
                </c:pt>
                <c:pt idx="179">
                  <c:v>0,00</c:v>
                </c:pt>
                <c:pt idx="180">
                  <c:v>0,00</c:v>
                </c:pt>
                <c:pt idx="181">
                  <c:v>0,00</c:v>
                </c:pt>
                <c:pt idx="182">
                  <c:v>0,00</c:v>
                </c:pt>
                <c:pt idx="183">
                  <c:v>0,00</c:v>
                </c:pt>
                <c:pt idx="184">
                  <c:v>0,00</c:v>
                </c:pt>
                <c:pt idx="185">
                  <c:v>0,00</c:v>
                </c:pt>
                <c:pt idx="186">
                  <c:v>0,00</c:v>
                </c:pt>
                <c:pt idx="187">
                  <c:v>0,00</c:v>
                </c:pt>
                <c:pt idx="188">
                  <c:v>0,00</c:v>
                </c:pt>
                <c:pt idx="189">
                  <c:v>0,00</c:v>
                </c:pt>
              </c:strCache>
            </c:strRef>
          </c:xVal>
          <c:yVal>
            <c:numRef>
              <c:f>'T89-16t'!$BC$5:$BC$201</c:f>
              <c:numCache>
                <c:formatCode>0</c:formatCode>
                <c:ptCount val="19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F7-234E-A505-C484FABBD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039304"/>
        <c:axId val="2132044424"/>
      </c:scatterChart>
      <c:valAx>
        <c:axId val="2132039304"/>
        <c:scaling>
          <c:orientation val="minMax"/>
          <c:max val="1100"/>
        </c:scaling>
        <c:delete val="0"/>
        <c:axPos val="b"/>
        <c:majorTickMark val="cross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2132044424"/>
        <c:crosses val="autoZero"/>
        <c:crossBetween val="midCat"/>
        <c:majorUnit val="100"/>
        <c:minorUnit val="10"/>
      </c:valAx>
      <c:valAx>
        <c:axId val="2132044424"/>
        <c:scaling>
          <c:orientation val="minMax"/>
          <c:max val="10"/>
        </c:scaling>
        <c:delete val="0"/>
        <c:axPos val="l"/>
        <c:numFmt formatCode="0" sourceLinked="1"/>
        <c:majorTickMark val="cross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2132039304"/>
        <c:crosses val="autoZero"/>
        <c:crossBetween val="midCat"/>
        <c:majorUnit val="10"/>
        <c:minorUnit val="1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NL"/>
    </a:p>
  </c:txPr>
  <c:printSettings>
    <c:headerFooter>
      <c:oddHeader>&amp;f</c:oddHeader>
    </c:headerFooter>
    <c:pageMargins b="1" l="0.75" r="0.75" t="1" header="0.5" footer="0.5"/>
    <c:pageSetup paperSize="0" orientation="landscape" horizontalDpi="0" verticalDpi="0" copies="0"/>
  </c:printSettings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#pl.f. /gram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strRef>
              <c:f>'T89-16t'!$B$5:$B$70</c:f>
              <c:strCache>
                <c:ptCount val="65"/>
                <c:pt idx="0">
                  <c:v>cmbs</c:v>
                </c:pt>
                <c:pt idx="1">
                  <c:v>1</c:v>
                </c:pt>
                <c:pt idx="2">
                  <c:v>23</c:v>
                </c:pt>
                <c:pt idx="3">
                  <c:v>41</c:v>
                </c:pt>
                <c:pt idx="4">
                  <c:v>51</c:v>
                </c:pt>
                <c:pt idx="5">
                  <c:v>66</c:v>
                </c:pt>
                <c:pt idx="6">
                  <c:v>86</c:v>
                </c:pt>
                <c:pt idx="7">
                  <c:v>101</c:v>
                </c:pt>
                <c:pt idx="8">
                  <c:v>116</c:v>
                </c:pt>
                <c:pt idx="9">
                  <c:v>126</c:v>
                </c:pt>
                <c:pt idx="10">
                  <c:v>141</c:v>
                </c:pt>
                <c:pt idx="11">
                  <c:v>151</c:v>
                </c:pt>
                <c:pt idx="12">
                  <c:v>166</c:v>
                </c:pt>
                <c:pt idx="13">
                  <c:v>176</c:v>
                </c:pt>
                <c:pt idx="14">
                  <c:v>191</c:v>
                </c:pt>
                <c:pt idx="15">
                  <c:v>211</c:v>
                </c:pt>
                <c:pt idx="16">
                  <c:v>226</c:v>
                </c:pt>
                <c:pt idx="17">
                  <c:v>246</c:v>
                </c:pt>
                <c:pt idx="18">
                  <c:v>261</c:v>
                </c:pt>
                <c:pt idx="19">
                  <c:v>281</c:v>
                </c:pt>
                <c:pt idx="20">
                  <c:v>296</c:v>
                </c:pt>
                <c:pt idx="21">
                  <c:v>316</c:v>
                </c:pt>
                <c:pt idx="22">
                  <c:v>336</c:v>
                </c:pt>
                <c:pt idx="23">
                  <c:v>346</c:v>
                </c:pt>
                <c:pt idx="24">
                  <c:v>362</c:v>
                </c:pt>
                <c:pt idx="25">
                  <c:v>382</c:v>
                </c:pt>
                <c:pt idx="26">
                  <c:v>397</c:v>
                </c:pt>
                <c:pt idx="27">
                  <c:v>407</c:v>
                </c:pt>
                <c:pt idx="28">
                  <c:v>422</c:v>
                </c:pt>
                <c:pt idx="29">
                  <c:v>442</c:v>
                </c:pt>
                <c:pt idx="30">
                  <c:v>457</c:v>
                </c:pt>
                <c:pt idx="31">
                  <c:v>467</c:v>
                </c:pt>
                <c:pt idx="32">
                  <c:v>482</c:v>
                </c:pt>
                <c:pt idx="33">
                  <c:v>502</c:v>
                </c:pt>
                <c:pt idx="34">
                  <c:v>542</c:v>
                </c:pt>
                <c:pt idx="35">
                  <c:v>560</c:v>
                </c:pt>
                <c:pt idx="36">
                  <c:v>577</c:v>
                </c:pt>
                <c:pt idx="37">
                  <c:v>592</c:v>
                </c:pt>
                <c:pt idx="38">
                  <c:v>607</c:v>
                </c:pt>
                <c:pt idx="39">
                  <c:v>621</c:v>
                </c:pt>
                <c:pt idx="40">
                  <c:v>641</c:v>
                </c:pt>
                <c:pt idx="41">
                  <c:v>656</c:v>
                </c:pt>
                <c:pt idx="42">
                  <c:v>676</c:v>
                </c:pt>
                <c:pt idx="43">
                  <c:v>696</c:v>
                </c:pt>
                <c:pt idx="44">
                  <c:v>717</c:v>
                </c:pt>
                <c:pt idx="45">
                  <c:v>736</c:v>
                </c:pt>
                <c:pt idx="46">
                  <c:v>746</c:v>
                </c:pt>
                <c:pt idx="47">
                  <c:v>761</c:v>
                </c:pt>
                <c:pt idx="48">
                  <c:v>779</c:v>
                </c:pt>
                <c:pt idx="49">
                  <c:v>799</c:v>
                </c:pt>
                <c:pt idx="50">
                  <c:v>819</c:v>
                </c:pt>
                <c:pt idx="51">
                  <c:v>833</c:v>
                </c:pt>
                <c:pt idx="52">
                  <c:v>853</c:v>
                </c:pt>
                <c:pt idx="53">
                  <c:v>871</c:v>
                </c:pt>
                <c:pt idx="54">
                  <c:v>888</c:v>
                </c:pt>
                <c:pt idx="55">
                  <c:v>901</c:v>
                </c:pt>
                <c:pt idx="56">
                  <c:v>914</c:v>
                </c:pt>
                <c:pt idx="57">
                  <c:v>931</c:v>
                </c:pt>
                <c:pt idx="58">
                  <c:v>940</c:v>
                </c:pt>
                <c:pt idx="59">
                  <c:v>956</c:v>
                </c:pt>
                <c:pt idx="60">
                  <c:v>966</c:v>
                </c:pt>
                <c:pt idx="61">
                  <c:v>983</c:v>
                </c:pt>
                <c:pt idx="62">
                  <c:v>1001</c:v>
                </c:pt>
                <c:pt idx="63">
                  <c:v>1021</c:v>
                </c:pt>
                <c:pt idx="64">
                  <c:v>1041</c:v>
                </c:pt>
              </c:strCache>
            </c:strRef>
          </c:xVal>
          <c:yVal>
            <c:numRef>
              <c:f>'T89-16t'!$AR$5:$AR$70</c:f>
              <c:numCache>
                <c:formatCode>0</c:formatCode>
                <c:ptCount val="66"/>
                <c:pt idx="1">
                  <c:v>16.53290529695024</c:v>
                </c:pt>
                <c:pt idx="2">
                  <c:v>2.8156996587030716</c:v>
                </c:pt>
                <c:pt idx="3">
                  <c:v>29.481733220050977</c:v>
                </c:pt>
                <c:pt idx="4">
                  <c:v>23.335826477187734</c:v>
                </c:pt>
                <c:pt idx="5">
                  <c:v>18.965517241379313</c:v>
                </c:pt>
                <c:pt idx="6">
                  <c:v>26.730564430244939</c:v>
                </c:pt>
                <c:pt idx="7">
                  <c:v>15.375302663438257</c:v>
                </c:pt>
                <c:pt idx="8">
                  <c:v>23.642943305186975</c:v>
                </c:pt>
                <c:pt idx="9">
                  <c:v>18.243243243243246</c:v>
                </c:pt>
                <c:pt idx="10">
                  <c:v>21.963070942662782</c:v>
                </c:pt>
                <c:pt idx="11">
                  <c:v>22.107674684994272</c:v>
                </c:pt>
                <c:pt idx="12">
                  <c:v>23.593618807724599</c:v>
                </c:pt>
                <c:pt idx="13">
                  <c:v>22.672064777327932</c:v>
                </c:pt>
                <c:pt idx="14">
                  <c:v>40.867810292633706</c:v>
                </c:pt>
                <c:pt idx="15">
                  <c:v>27.452596867271225</c:v>
                </c:pt>
                <c:pt idx="16">
                  <c:v>26.169064748201439</c:v>
                </c:pt>
                <c:pt idx="17">
                  <c:v>44.339622641509436</c:v>
                </c:pt>
                <c:pt idx="18">
                  <c:v>32.745398773006137</c:v>
                </c:pt>
                <c:pt idx="19">
                  <c:v>42.597898758357211</c:v>
                </c:pt>
                <c:pt idx="20">
                  <c:v>69.409660107334531</c:v>
                </c:pt>
                <c:pt idx="21">
                  <c:v>264.21455938697318</c:v>
                </c:pt>
                <c:pt idx="22">
                  <c:v>262.89962825278809</c:v>
                </c:pt>
                <c:pt idx="23">
                  <c:v>240.10484927916121</c:v>
                </c:pt>
                <c:pt idx="24">
                  <c:v>36.942675159235669</c:v>
                </c:pt>
                <c:pt idx="25">
                  <c:v>61.16642958748222</c:v>
                </c:pt>
                <c:pt idx="26">
                  <c:v>61.661129568106311</c:v>
                </c:pt>
                <c:pt idx="27">
                  <c:v>60.981496379726472</c:v>
                </c:pt>
                <c:pt idx="28">
                  <c:v>101.42671854734111</c:v>
                </c:pt>
                <c:pt idx="29">
                  <c:v>116.84542586750788</c:v>
                </c:pt>
                <c:pt idx="30">
                  <c:v>207.2852233676976</c:v>
                </c:pt>
                <c:pt idx="31">
                  <c:v>205.22875816993465</c:v>
                </c:pt>
                <c:pt idx="32">
                  <c:v>240</c:v>
                </c:pt>
                <c:pt idx="33">
                  <c:v>220.26947861745754</c:v>
                </c:pt>
                <c:pt idx="34">
                  <c:v>534.11420204978037</c:v>
                </c:pt>
                <c:pt idx="35">
                  <c:v>589.11660777385157</c:v>
                </c:pt>
                <c:pt idx="36">
                  <c:v>441.96226415094338</c:v>
                </c:pt>
                <c:pt idx="37">
                  <c:v>104.98141263940521</c:v>
                </c:pt>
                <c:pt idx="38">
                  <c:v>69.51124903025601</c:v>
                </c:pt>
                <c:pt idx="39">
                  <c:v>918.76750700280115</c:v>
                </c:pt>
                <c:pt idx="40">
                  <c:v>783.77535101404055</c:v>
                </c:pt>
                <c:pt idx="41">
                  <c:v>783.71375694016035</c:v>
                </c:pt>
                <c:pt idx="42">
                  <c:v>1317.4129353233832</c:v>
                </c:pt>
                <c:pt idx="43">
                  <c:v>1330.9222423146473</c:v>
                </c:pt>
                <c:pt idx="44">
                  <c:v>1210.6154714850366</c:v>
                </c:pt>
                <c:pt idx="45">
                  <c:v>348.90077243018425</c:v>
                </c:pt>
                <c:pt idx="46">
                  <c:v>367.6455435342607</c:v>
                </c:pt>
                <c:pt idx="47">
                  <c:v>246.69260700389106</c:v>
                </c:pt>
                <c:pt idx="48">
                  <c:v>333.70165745856355</c:v>
                </c:pt>
                <c:pt idx="49">
                  <c:v>855.65217391304338</c:v>
                </c:pt>
                <c:pt idx="50">
                  <c:v>1045.8658346333852</c:v>
                </c:pt>
                <c:pt idx="51">
                  <c:v>454.96598639455783</c:v>
                </c:pt>
                <c:pt idx="52">
                  <c:v>250.74626865671641</c:v>
                </c:pt>
                <c:pt idx="53">
                  <c:v>264.18109187749667</c:v>
                </c:pt>
                <c:pt idx="54">
                  <c:v>362.3800383877159</c:v>
                </c:pt>
                <c:pt idx="55">
                  <c:v>572.11474316210808</c:v>
                </c:pt>
                <c:pt idx="56">
                  <c:v>388.02045288531775</c:v>
                </c:pt>
                <c:pt idx="57">
                  <c:v>180.21390374331548</c:v>
                </c:pt>
                <c:pt idx="58">
                  <c:v>596.36363636363637</c:v>
                </c:pt>
                <c:pt idx="59">
                  <c:v>393.25301204819272</c:v>
                </c:pt>
                <c:pt idx="60">
                  <c:v>427.91788856304981</c:v>
                </c:pt>
                <c:pt idx="61">
                  <c:v>332.46753246753246</c:v>
                </c:pt>
                <c:pt idx="62">
                  <c:v>339.67046894803548</c:v>
                </c:pt>
                <c:pt idx="63">
                  <c:v>385.96491228070175</c:v>
                </c:pt>
                <c:pt idx="64">
                  <c:v>404.22927100723433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AE-2643-9A18-6649AA5FDE63}"/>
            </c:ext>
          </c:extLst>
        </c:ser>
        <c:ser>
          <c:idx val="1"/>
          <c:order val="1"/>
          <c:tx>
            <c:v>#bull /gram</c:v>
          </c:tx>
          <c:marker>
            <c:symbol val="none"/>
          </c:marker>
          <c:xVal>
            <c:strRef>
              <c:f>'T89-16t'!$B$5:$B$70</c:f>
              <c:strCache>
                <c:ptCount val="65"/>
                <c:pt idx="0">
                  <c:v>cmbs</c:v>
                </c:pt>
                <c:pt idx="1">
                  <c:v>1</c:v>
                </c:pt>
                <c:pt idx="2">
                  <c:v>23</c:v>
                </c:pt>
                <c:pt idx="3">
                  <c:v>41</c:v>
                </c:pt>
                <c:pt idx="4">
                  <c:v>51</c:v>
                </c:pt>
                <c:pt idx="5">
                  <c:v>66</c:v>
                </c:pt>
                <c:pt idx="6">
                  <c:v>86</c:v>
                </c:pt>
                <c:pt idx="7">
                  <c:v>101</c:v>
                </c:pt>
                <c:pt idx="8">
                  <c:v>116</c:v>
                </c:pt>
                <c:pt idx="9">
                  <c:v>126</c:v>
                </c:pt>
                <c:pt idx="10">
                  <c:v>141</c:v>
                </c:pt>
                <c:pt idx="11">
                  <c:v>151</c:v>
                </c:pt>
                <c:pt idx="12">
                  <c:v>166</c:v>
                </c:pt>
                <c:pt idx="13">
                  <c:v>176</c:v>
                </c:pt>
                <c:pt idx="14">
                  <c:v>191</c:v>
                </c:pt>
                <c:pt idx="15">
                  <c:v>211</c:v>
                </c:pt>
                <c:pt idx="16">
                  <c:v>226</c:v>
                </c:pt>
                <c:pt idx="17">
                  <c:v>246</c:v>
                </c:pt>
                <c:pt idx="18">
                  <c:v>261</c:v>
                </c:pt>
                <c:pt idx="19">
                  <c:v>281</c:v>
                </c:pt>
                <c:pt idx="20">
                  <c:v>296</c:v>
                </c:pt>
                <c:pt idx="21">
                  <c:v>316</c:v>
                </c:pt>
                <c:pt idx="22">
                  <c:v>336</c:v>
                </c:pt>
                <c:pt idx="23">
                  <c:v>346</c:v>
                </c:pt>
                <c:pt idx="24">
                  <c:v>362</c:v>
                </c:pt>
                <c:pt idx="25">
                  <c:v>382</c:v>
                </c:pt>
                <c:pt idx="26">
                  <c:v>397</c:v>
                </c:pt>
                <c:pt idx="27">
                  <c:v>407</c:v>
                </c:pt>
                <c:pt idx="28">
                  <c:v>422</c:v>
                </c:pt>
                <c:pt idx="29">
                  <c:v>442</c:v>
                </c:pt>
                <c:pt idx="30">
                  <c:v>457</c:v>
                </c:pt>
                <c:pt idx="31">
                  <c:v>467</c:v>
                </c:pt>
                <c:pt idx="32">
                  <c:v>482</c:v>
                </c:pt>
                <c:pt idx="33">
                  <c:v>502</c:v>
                </c:pt>
                <c:pt idx="34">
                  <c:v>542</c:v>
                </c:pt>
                <c:pt idx="35">
                  <c:v>560</c:v>
                </c:pt>
                <c:pt idx="36">
                  <c:v>577</c:v>
                </c:pt>
                <c:pt idx="37">
                  <c:v>592</c:v>
                </c:pt>
                <c:pt idx="38">
                  <c:v>607</c:v>
                </c:pt>
                <c:pt idx="39">
                  <c:v>621</c:v>
                </c:pt>
                <c:pt idx="40">
                  <c:v>641</c:v>
                </c:pt>
                <c:pt idx="41">
                  <c:v>656</c:v>
                </c:pt>
                <c:pt idx="42">
                  <c:v>676</c:v>
                </c:pt>
                <c:pt idx="43">
                  <c:v>696</c:v>
                </c:pt>
                <c:pt idx="44">
                  <c:v>717</c:v>
                </c:pt>
                <c:pt idx="45">
                  <c:v>736</c:v>
                </c:pt>
                <c:pt idx="46">
                  <c:v>746</c:v>
                </c:pt>
                <c:pt idx="47">
                  <c:v>761</c:v>
                </c:pt>
                <c:pt idx="48">
                  <c:v>779</c:v>
                </c:pt>
                <c:pt idx="49">
                  <c:v>799</c:v>
                </c:pt>
                <c:pt idx="50">
                  <c:v>819</c:v>
                </c:pt>
                <c:pt idx="51">
                  <c:v>833</c:v>
                </c:pt>
                <c:pt idx="52">
                  <c:v>853</c:v>
                </c:pt>
                <c:pt idx="53">
                  <c:v>871</c:v>
                </c:pt>
                <c:pt idx="54">
                  <c:v>888</c:v>
                </c:pt>
                <c:pt idx="55">
                  <c:v>901</c:v>
                </c:pt>
                <c:pt idx="56">
                  <c:v>914</c:v>
                </c:pt>
                <c:pt idx="57">
                  <c:v>931</c:v>
                </c:pt>
                <c:pt idx="58">
                  <c:v>940</c:v>
                </c:pt>
                <c:pt idx="59">
                  <c:v>956</c:v>
                </c:pt>
                <c:pt idx="60">
                  <c:v>966</c:v>
                </c:pt>
                <c:pt idx="61">
                  <c:v>983</c:v>
                </c:pt>
                <c:pt idx="62">
                  <c:v>1001</c:v>
                </c:pt>
                <c:pt idx="63">
                  <c:v>1021</c:v>
                </c:pt>
                <c:pt idx="64">
                  <c:v>1041</c:v>
                </c:pt>
              </c:strCache>
            </c:strRef>
          </c:xVal>
          <c:yVal>
            <c:numRef>
              <c:f>'T89-16t'!$AL$5:$AL$70</c:f>
              <c:numCache>
                <c:formatCode>0.00</c:formatCode>
                <c:ptCount val="66"/>
                <c:pt idx="1">
                  <c:v>1.5248796147672552</c:v>
                </c:pt>
                <c:pt idx="2">
                  <c:v>0.34129692832764502</c:v>
                </c:pt>
                <c:pt idx="3">
                  <c:v>6.117247238742566</c:v>
                </c:pt>
                <c:pt idx="4">
                  <c:v>3.8145100972326107</c:v>
                </c:pt>
                <c:pt idx="5">
                  <c:v>3.5560344827586214</c:v>
                </c:pt>
                <c:pt idx="6">
                  <c:v>6.9222577209797649</c:v>
                </c:pt>
                <c:pt idx="7">
                  <c:v>3.1476997578692494</c:v>
                </c:pt>
                <c:pt idx="8">
                  <c:v>6.1519903498190596</c:v>
                </c:pt>
                <c:pt idx="9">
                  <c:v>5.5019305019305023</c:v>
                </c:pt>
                <c:pt idx="10">
                  <c:v>5.6365403304178825</c:v>
                </c:pt>
                <c:pt idx="11">
                  <c:v>4.1237113402061851</c:v>
                </c:pt>
                <c:pt idx="12">
                  <c:v>5.5415617128463479</c:v>
                </c:pt>
                <c:pt idx="13">
                  <c:v>3.6437246963562751</c:v>
                </c:pt>
                <c:pt idx="14">
                  <c:v>11.200807265388498</c:v>
                </c:pt>
                <c:pt idx="15">
                  <c:v>6.1830173124484737</c:v>
                </c:pt>
                <c:pt idx="16">
                  <c:v>5.5755395683453228</c:v>
                </c:pt>
                <c:pt idx="17">
                  <c:v>14.368650217706822</c:v>
                </c:pt>
                <c:pt idx="18">
                  <c:v>9.4325153374233128</c:v>
                </c:pt>
                <c:pt idx="19">
                  <c:v>14.135625596943648</c:v>
                </c:pt>
                <c:pt idx="20">
                  <c:v>23.255813953488374</c:v>
                </c:pt>
                <c:pt idx="21">
                  <c:v>118.92720306513409</c:v>
                </c:pt>
                <c:pt idx="22">
                  <c:v>107.06319702602229</c:v>
                </c:pt>
                <c:pt idx="23">
                  <c:v>104.32503276539975</c:v>
                </c:pt>
                <c:pt idx="24">
                  <c:v>11.783439490445859</c:v>
                </c:pt>
                <c:pt idx="25">
                  <c:v>19.914651493598864</c:v>
                </c:pt>
                <c:pt idx="26">
                  <c:v>19.401993355481729</c:v>
                </c:pt>
                <c:pt idx="27">
                  <c:v>17.53821399839099</c:v>
                </c:pt>
                <c:pt idx="28">
                  <c:v>36.575875486381321</c:v>
                </c:pt>
                <c:pt idx="29">
                  <c:v>47.192429022082024</c:v>
                </c:pt>
                <c:pt idx="30">
                  <c:v>97.869415807560145</c:v>
                </c:pt>
                <c:pt idx="31">
                  <c:v>103.92156862745098</c:v>
                </c:pt>
                <c:pt idx="32">
                  <c:v>116.78832116788323</c:v>
                </c:pt>
                <c:pt idx="33">
                  <c:v>93.731693028705337</c:v>
                </c:pt>
                <c:pt idx="34">
                  <c:v>285.79795021961934</c:v>
                </c:pt>
                <c:pt idx="35">
                  <c:v>336.96113074204948</c:v>
                </c:pt>
                <c:pt idx="36">
                  <c:v>237.88679245283021</c:v>
                </c:pt>
                <c:pt idx="37">
                  <c:v>29.739776951672866</c:v>
                </c:pt>
                <c:pt idx="38">
                  <c:v>23.584173778122576</c:v>
                </c:pt>
                <c:pt idx="39">
                  <c:v>512.04481792717093</c:v>
                </c:pt>
                <c:pt idx="40">
                  <c:v>464.27457098283935</c:v>
                </c:pt>
                <c:pt idx="41">
                  <c:v>367.18075262183834</c:v>
                </c:pt>
                <c:pt idx="42">
                  <c:v>652.73631840796031</c:v>
                </c:pt>
                <c:pt idx="43">
                  <c:v>698.25195901145275</c:v>
                </c:pt>
                <c:pt idx="44">
                  <c:v>578.20440429136079</c:v>
                </c:pt>
                <c:pt idx="45">
                  <c:v>185.38324420677364</c:v>
                </c:pt>
                <c:pt idx="46">
                  <c:v>168.16074188562598</c:v>
                </c:pt>
                <c:pt idx="47">
                  <c:v>48.249027237354085</c:v>
                </c:pt>
                <c:pt idx="48">
                  <c:v>176.79558011049724</c:v>
                </c:pt>
                <c:pt idx="49">
                  <c:v>366.37681159420288</c:v>
                </c:pt>
                <c:pt idx="50">
                  <c:v>509.20436817472694</c:v>
                </c:pt>
                <c:pt idx="51">
                  <c:v>205.71428571428572</c:v>
                </c:pt>
                <c:pt idx="52">
                  <c:v>113.43283582089552</c:v>
                </c:pt>
                <c:pt idx="53">
                  <c:v>119.3075898801598</c:v>
                </c:pt>
                <c:pt idx="54">
                  <c:v>161.74024312220089</c:v>
                </c:pt>
                <c:pt idx="55">
                  <c:v>318.07871914609746</c:v>
                </c:pt>
                <c:pt idx="56">
                  <c:v>229.07231555880205</c:v>
                </c:pt>
                <c:pt idx="57">
                  <c:v>90.909090909090907</c:v>
                </c:pt>
                <c:pt idx="58">
                  <c:v>369.87012987012992</c:v>
                </c:pt>
                <c:pt idx="59">
                  <c:v>244.81927710843371</c:v>
                </c:pt>
                <c:pt idx="60">
                  <c:v>245.86510263929617</c:v>
                </c:pt>
                <c:pt idx="61">
                  <c:v>195.76213260423785</c:v>
                </c:pt>
                <c:pt idx="62">
                  <c:v>200.76045627376425</c:v>
                </c:pt>
                <c:pt idx="63">
                  <c:v>251.62907268170429</c:v>
                </c:pt>
                <c:pt idx="64">
                  <c:v>243.96215915414581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AE-2643-9A18-6649AA5FD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999640"/>
        <c:axId val="2133005384"/>
      </c:scatterChart>
      <c:valAx>
        <c:axId val="2132999640"/>
        <c:scaling>
          <c:orientation val="minMax"/>
          <c:max val="1200"/>
          <c:min val="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(cmbs)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NL"/>
          </a:p>
        </c:txPr>
        <c:crossAx val="2133005384"/>
        <c:crosses val="autoZero"/>
        <c:crossBetween val="midCat"/>
        <c:majorUnit val="100"/>
        <c:minorUnit val="20"/>
      </c:valAx>
      <c:valAx>
        <c:axId val="2133005384"/>
        <c:scaling>
          <c:orientation val="minMax"/>
          <c:max val="1500"/>
        </c:scaling>
        <c:delete val="0"/>
        <c:axPos val="l"/>
        <c:majorGridlines/>
        <c:minorGridlines/>
        <c:title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2132999640"/>
        <c:crosses val="autoZero"/>
        <c:crossBetween val="midCat"/>
        <c:majorUnit val="100"/>
      </c:valAx>
      <c:spPr>
        <a:noFill/>
        <a:ln w="25400">
          <a:noFill/>
        </a:ln>
      </c:spPr>
    </c:plotArea>
    <c:legend>
      <c:legendPos val="r"/>
      <c:overlay val="0"/>
    </c:legend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NL"/>
    </a:p>
  </c:txPr>
  <c:printSettings>
    <c:headerFooter>
      <c:oddHeader>&amp;f</c:oddHeader>
      <c:oddFooter>Page &amp;p</c:oddFooter>
    </c:headerFooter>
    <c:pageMargins b="1" l="0.75" r="0.75" t="1" header="0.5" footer="0.5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#pl.f. /gram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'T89-16t'!$F$6:$F$70</c:f>
              <c:numCache>
                <c:formatCode>0.00</c:formatCode>
                <c:ptCount val="65"/>
                <c:pt idx="0">
                  <c:v>8.7033157889999995</c:v>
                </c:pt>
                <c:pt idx="1">
                  <c:v>9.0541578949999995</c:v>
                </c:pt>
                <c:pt idx="2">
                  <c:v>9.3412105260000011</c:v>
                </c:pt>
                <c:pt idx="3">
                  <c:v>9.5006842109999994</c:v>
                </c:pt>
                <c:pt idx="4">
                  <c:v>9.7398947370000002</c:v>
                </c:pt>
                <c:pt idx="5">
                  <c:v>10.058842109999999</c:v>
                </c:pt>
                <c:pt idx="6">
                  <c:v>10.298052630000001</c:v>
                </c:pt>
                <c:pt idx="7">
                  <c:v>10.53726316</c:v>
                </c:pt>
                <c:pt idx="8">
                  <c:v>10.69673684</c:v>
                </c:pt>
                <c:pt idx="9">
                  <c:v>10.935947369999999</c:v>
                </c:pt>
                <c:pt idx="10">
                  <c:v>11.095421050000001</c:v>
                </c:pt>
                <c:pt idx="11">
                  <c:v>11.33463158</c:v>
                </c:pt>
                <c:pt idx="12">
                  <c:v>11.49410526</c:v>
                </c:pt>
                <c:pt idx="13">
                  <c:v>11.76807767</c:v>
                </c:pt>
                <c:pt idx="14">
                  <c:v>12.140504849999999</c:v>
                </c:pt>
                <c:pt idx="15">
                  <c:v>12.41982524</c:v>
                </c:pt>
                <c:pt idx="16">
                  <c:v>12.54809326</c:v>
                </c:pt>
                <c:pt idx="17">
                  <c:v>12.60545078</c:v>
                </c:pt>
                <c:pt idx="18">
                  <c:v>12.681927460000001</c:v>
                </c:pt>
                <c:pt idx="19">
                  <c:v>12.73928497</c:v>
                </c:pt>
                <c:pt idx="20">
                  <c:v>12.81576166</c:v>
                </c:pt>
                <c:pt idx="21">
                  <c:v>12.90434014</c:v>
                </c:pt>
                <c:pt idx="22">
                  <c:v>12.954680270000001</c:v>
                </c:pt>
                <c:pt idx="23">
                  <c:v>13.035224490000001</c:v>
                </c:pt>
                <c:pt idx="24">
                  <c:v>13.135904759999999</c:v>
                </c:pt>
                <c:pt idx="25">
                  <c:v>13.21141497</c:v>
                </c:pt>
                <c:pt idx="26">
                  <c:v>13.234950000000001</c:v>
                </c:pt>
                <c:pt idx="27">
                  <c:v>13.25685</c:v>
                </c:pt>
                <c:pt idx="28">
                  <c:v>13.286049999999999</c:v>
                </c:pt>
                <c:pt idx="29">
                  <c:v>13.310474579999999</c:v>
                </c:pt>
                <c:pt idx="30">
                  <c:v>13.32844068</c:v>
                </c:pt>
                <c:pt idx="31">
                  <c:v>13.4115</c:v>
                </c:pt>
                <c:pt idx="32">
                  <c:v>13.8215</c:v>
                </c:pt>
                <c:pt idx="33">
                  <c:v>15.297745450000001</c:v>
                </c:pt>
                <c:pt idx="34">
                  <c:v>15.986000000000001</c:v>
                </c:pt>
                <c:pt idx="35">
                  <c:v>16.84677778</c:v>
                </c:pt>
                <c:pt idx="36">
                  <c:v>17.287833330000002</c:v>
                </c:pt>
                <c:pt idx="37">
                  <c:v>17.630333330000003</c:v>
                </c:pt>
                <c:pt idx="38">
                  <c:v>18.46874227</c:v>
                </c:pt>
                <c:pt idx="39">
                  <c:v>19.789979380000002</c:v>
                </c:pt>
                <c:pt idx="40">
                  <c:v>20.78090722</c:v>
                </c:pt>
                <c:pt idx="41">
                  <c:v>22.102144329999998</c:v>
                </c:pt>
                <c:pt idx="42">
                  <c:v>23.42338144</c:v>
                </c:pt>
                <c:pt idx="43">
                  <c:v>24.65007692</c:v>
                </c:pt>
                <c:pt idx="44">
                  <c:v>25.62784615</c:v>
                </c:pt>
                <c:pt idx="45">
                  <c:v>26.142461539999999</c:v>
                </c:pt>
                <c:pt idx="46">
                  <c:v>26.91438462</c:v>
                </c:pt>
                <c:pt idx="47">
                  <c:v>27.840692309999998</c:v>
                </c:pt>
                <c:pt idx="48">
                  <c:v>28.519914889999999</c:v>
                </c:pt>
                <c:pt idx="49">
                  <c:v>29.082468089999999</c:v>
                </c:pt>
                <c:pt idx="50">
                  <c:v>29.47625532</c:v>
                </c:pt>
                <c:pt idx="51">
                  <c:v>30.038808509999999</c:v>
                </c:pt>
                <c:pt idx="52">
                  <c:v>30.54510638</c:v>
                </c:pt>
                <c:pt idx="53">
                  <c:v>30.86361905</c:v>
                </c:pt>
                <c:pt idx="54">
                  <c:v>31.021723810000001</c:v>
                </c:pt>
                <c:pt idx="55">
                  <c:v>31.179828570000002</c:v>
                </c:pt>
                <c:pt idx="56">
                  <c:v>31.386580949999999</c:v>
                </c:pt>
                <c:pt idx="57">
                  <c:v>31.4960381</c:v>
                </c:pt>
                <c:pt idx="58">
                  <c:v>31.690628570000001</c:v>
                </c:pt>
                <c:pt idx="59">
                  <c:v>31.812247619999997</c:v>
                </c:pt>
                <c:pt idx="60">
                  <c:v>32.018999999999998</c:v>
                </c:pt>
                <c:pt idx="61">
                  <c:v>32.540999999999997</c:v>
                </c:pt>
                <c:pt idx="62">
                  <c:v>33.121000000000002</c:v>
                </c:pt>
                <c:pt idx="63">
                  <c:v>33.701000000000001</c:v>
                </c:pt>
              </c:numCache>
            </c:numRef>
          </c:xVal>
          <c:yVal>
            <c:numRef>
              <c:f>'T89-16t'!$AR$6:$AR$70</c:f>
              <c:numCache>
                <c:formatCode>0</c:formatCode>
                <c:ptCount val="65"/>
                <c:pt idx="0">
                  <c:v>16.53290529695024</c:v>
                </c:pt>
                <c:pt idx="1">
                  <c:v>2.8156996587030716</c:v>
                </c:pt>
                <c:pt idx="2">
                  <c:v>29.481733220050977</c:v>
                </c:pt>
                <c:pt idx="3">
                  <c:v>23.335826477187734</c:v>
                </c:pt>
                <c:pt idx="4">
                  <c:v>18.965517241379313</c:v>
                </c:pt>
                <c:pt idx="5">
                  <c:v>26.730564430244939</c:v>
                </c:pt>
                <c:pt idx="6">
                  <c:v>15.375302663438257</c:v>
                </c:pt>
                <c:pt idx="7">
                  <c:v>23.642943305186975</c:v>
                </c:pt>
                <c:pt idx="8">
                  <c:v>18.243243243243246</c:v>
                </c:pt>
                <c:pt idx="9">
                  <c:v>21.963070942662782</c:v>
                </c:pt>
                <c:pt idx="10">
                  <c:v>22.107674684994272</c:v>
                </c:pt>
                <c:pt idx="11">
                  <c:v>23.593618807724599</c:v>
                </c:pt>
                <c:pt idx="12">
                  <c:v>22.672064777327932</c:v>
                </c:pt>
                <c:pt idx="13">
                  <c:v>40.867810292633706</c:v>
                </c:pt>
                <c:pt idx="14">
                  <c:v>27.452596867271225</c:v>
                </c:pt>
                <c:pt idx="15">
                  <c:v>26.169064748201439</c:v>
                </c:pt>
                <c:pt idx="16">
                  <c:v>44.339622641509436</c:v>
                </c:pt>
                <c:pt idx="17">
                  <c:v>32.745398773006137</c:v>
                </c:pt>
                <c:pt idx="18">
                  <c:v>42.597898758357211</c:v>
                </c:pt>
                <c:pt idx="19">
                  <c:v>69.409660107334531</c:v>
                </c:pt>
                <c:pt idx="20">
                  <c:v>264.21455938697318</c:v>
                </c:pt>
                <c:pt idx="21">
                  <c:v>262.89962825278809</c:v>
                </c:pt>
                <c:pt idx="22">
                  <c:v>240.10484927916121</c:v>
                </c:pt>
                <c:pt idx="23">
                  <c:v>36.942675159235669</c:v>
                </c:pt>
                <c:pt idx="24">
                  <c:v>61.16642958748222</c:v>
                </c:pt>
                <c:pt idx="25">
                  <c:v>61.661129568106311</c:v>
                </c:pt>
                <c:pt idx="26">
                  <c:v>60.981496379726472</c:v>
                </c:pt>
                <c:pt idx="27">
                  <c:v>101.42671854734111</c:v>
                </c:pt>
                <c:pt idx="28">
                  <c:v>116.84542586750788</c:v>
                </c:pt>
                <c:pt idx="29">
                  <c:v>207.2852233676976</c:v>
                </c:pt>
                <c:pt idx="30">
                  <c:v>205.22875816993465</c:v>
                </c:pt>
                <c:pt idx="31">
                  <c:v>240</c:v>
                </c:pt>
                <c:pt idx="32">
                  <c:v>220.26947861745754</c:v>
                </c:pt>
                <c:pt idx="33">
                  <c:v>534.11420204978037</c:v>
                </c:pt>
                <c:pt idx="34">
                  <c:v>589.11660777385157</c:v>
                </c:pt>
                <c:pt idx="35">
                  <c:v>441.96226415094338</c:v>
                </c:pt>
                <c:pt idx="36">
                  <c:v>104.98141263940521</c:v>
                </c:pt>
                <c:pt idx="37">
                  <c:v>69.51124903025601</c:v>
                </c:pt>
                <c:pt idx="38">
                  <c:v>918.76750700280115</c:v>
                </c:pt>
                <c:pt idx="39">
                  <c:v>783.77535101404055</c:v>
                </c:pt>
                <c:pt idx="40">
                  <c:v>783.71375694016035</c:v>
                </c:pt>
                <c:pt idx="41">
                  <c:v>1317.4129353233832</c:v>
                </c:pt>
                <c:pt idx="42">
                  <c:v>1330.9222423146473</c:v>
                </c:pt>
                <c:pt idx="43">
                  <c:v>1210.6154714850366</c:v>
                </c:pt>
                <c:pt idx="44">
                  <c:v>348.90077243018425</c:v>
                </c:pt>
                <c:pt idx="45">
                  <c:v>367.6455435342607</c:v>
                </c:pt>
                <c:pt idx="46">
                  <c:v>246.69260700389106</c:v>
                </c:pt>
                <c:pt idx="47">
                  <c:v>333.70165745856355</c:v>
                </c:pt>
                <c:pt idx="48">
                  <c:v>855.65217391304338</c:v>
                </c:pt>
                <c:pt idx="49">
                  <c:v>1045.8658346333852</c:v>
                </c:pt>
                <c:pt idx="50">
                  <c:v>454.96598639455783</c:v>
                </c:pt>
                <c:pt idx="51">
                  <c:v>250.74626865671641</c:v>
                </c:pt>
                <c:pt idx="52">
                  <c:v>264.18109187749667</c:v>
                </c:pt>
                <c:pt idx="53">
                  <c:v>362.3800383877159</c:v>
                </c:pt>
                <c:pt idx="54">
                  <c:v>572.11474316210808</c:v>
                </c:pt>
                <c:pt idx="55">
                  <c:v>388.02045288531775</c:v>
                </c:pt>
                <c:pt idx="56">
                  <c:v>180.21390374331548</c:v>
                </c:pt>
                <c:pt idx="57">
                  <c:v>596.36363636363637</c:v>
                </c:pt>
                <c:pt idx="58">
                  <c:v>393.25301204819272</c:v>
                </c:pt>
                <c:pt idx="59">
                  <c:v>427.91788856304981</c:v>
                </c:pt>
                <c:pt idx="60">
                  <c:v>332.46753246753246</c:v>
                </c:pt>
                <c:pt idx="61">
                  <c:v>339.67046894803548</c:v>
                </c:pt>
                <c:pt idx="62">
                  <c:v>385.96491228070175</c:v>
                </c:pt>
                <c:pt idx="63">
                  <c:v>404.22927100723433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81-6244-A98E-B77416A439A2}"/>
            </c:ext>
          </c:extLst>
        </c:ser>
        <c:ser>
          <c:idx val="1"/>
          <c:order val="1"/>
          <c:tx>
            <c:v>#bull /gram</c:v>
          </c:tx>
          <c:marker>
            <c:symbol val="none"/>
          </c:marker>
          <c:xVal>
            <c:numRef>
              <c:f>'T89-16t'!$F$6:$F$70</c:f>
              <c:numCache>
                <c:formatCode>0.00</c:formatCode>
                <c:ptCount val="65"/>
                <c:pt idx="0">
                  <c:v>8.7033157889999995</c:v>
                </c:pt>
                <c:pt idx="1">
                  <c:v>9.0541578949999995</c:v>
                </c:pt>
                <c:pt idx="2">
                  <c:v>9.3412105260000011</c:v>
                </c:pt>
                <c:pt idx="3">
                  <c:v>9.5006842109999994</c:v>
                </c:pt>
                <c:pt idx="4">
                  <c:v>9.7398947370000002</c:v>
                </c:pt>
                <c:pt idx="5">
                  <c:v>10.058842109999999</c:v>
                </c:pt>
                <c:pt idx="6">
                  <c:v>10.298052630000001</c:v>
                </c:pt>
                <c:pt idx="7">
                  <c:v>10.53726316</c:v>
                </c:pt>
                <c:pt idx="8">
                  <c:v>10.69673684</c:v>
                </c:pt>
                <c:pt idx="9">
                  <c:v>10.935947369999999</c:v>
                </c:pt>
                <c:pt idx="10">
                  <c:v>11.095421050000001</c:v>
                </c:pt>
                <c:pt idx="11">
                  <c:v>11.33463158</c:v>
                </c:pt>
                <c:pt idx="12">
                  <c:v>11.49410526</c:v>
                </c:pt>
                <c:pt idx="13">
                  <c:v>11.76807767</c:v>
                </c:pt>
                <c:pt idx="14">
                  <c:v>12.140504849999999</c:v>
                </c:pt>
                <c:pt idx="15">
                  <c:v>12.41982524</c:v>
                </c:pt>
                <c:pt idx="16">
                  <c:v>12.54809326</c:v>
                </c:pt>
                <c:pt idx="17">
                  <c:v>12.60545078</c:v>
                </c:pt>
                <c:pt idx="18">
                  <c:v>12.681927460000001</c:v>
                </c:pt>
                <c:pt idx="19">
                  <c:v>12.73928497</c:v>
                </c:pt>
                <c:pt idx="20">
                  <c:v>12.81576166</c:v>
                </c:pt>
                <c:pt idx="21">
                  <c:v>12.90434014</c:v>
                </c:pt>
                <c:pt idx="22">
                  <c:v>12.954680270000001</c:v>
                </c:pt>
                <c:pt idx="23">
                  <c:v>13.035224490000001</c:v>
                </c:pt>
                <c:pt idx="24">
                  <c:v>13.135904759999999</c:v>
                </c:pt>
                <c:pt idx="25">
                  <c:v>13.21141497</c:v>
                </c:pt>
                <c:pt idx="26">
                  <c:v>13.234950000000001</c:v>
                </c:pt>
                <c:pt idx="27">
                  <c:v>13.25685</c:v>
                </c:pt>
                <c:pt idx="28">
                  <c:v>13.286049999999999</c:v>
                </c:pt>
                <c:pt idx="29">
                  <c:v>13.310474579999999</c:v>
                </c:pt>
                <c:pt idx="30">
                  <c:v>13.32844068</c:v>
                </c:pt>
                <c:pt idx="31">
                  <c:v>13.4115</c:v>
                </c:pt>
                <c:pt idx="32">
                  <c:v>13.8215</c:v>
                </c:pt>
                <c:pt idx="33">
                  <c:v>15.297745450000001</c:v>
                </c:pt>
                <c:pt idx="34">
                  <c:v>15.986000000000001</c:v>
                </c:pt>
                <c:pt idx="35">
                  <c:v>16.84677778</c:v>
                </c:pt>
                <c:pt idx="36">
                  <c:v>17.287833330000002</c:v>
                </c:pt>
                <c:pt idx="37">
                  <c:v>17.630333330000003</c:v>
                </c:pt>
                <c:pt idx="38">
                  <c:v>18.46874227</c:v>
                </c:pt>
                <c:pt idx="39">
                  <c:v>19.789979380000002</c:v>
                </c:pt>
                <c:pt idx="40">
                  <c:v>20.78090722</c:v>
                </c:pt>
                <c:pt idx="41">
                  <c:v>22.102144329999998</c:v>
                </c:pt>
                <c:pt idx="42">
                  <c:v>23.42338144</c:v>
                </c:pt>
                <c:pt idx="43">
                  <c:v>24.65007692</c:v>
                </c:pt>
                <c:pt idx="44">
                  <c:v>25.62784615</c:v>
                </c:pt>
                <c:pt idx="45">
                  <c:v>26.142461539999999</c:v>
                </c:pt>
                <c:pt idx="46">
                  <c:v>26.91438462</c:v>
                </c:pt>
                <c:pt idx="47">
                  <c:v>27.840692309999998</c:v>
                </c:pt>
                <c:pt idx="48">
                  <c:v>28.519914889999999</c:v>
                </c:pt>
                <c:pt idx="49">
                  <c:v>29.082468089999999</c:v>
                </c:pt>
                <c:pt idx="50">
                  <c:v>29.47625532</c:v>
                </c:pt>
                <c:pt idx="51">
                  <c:v>30.038808509999999</c:v>
                </c:pt>
                <c:pt idx="52">
                  <c:v>30.54510638</c:v>
                </c:pt>
                <c:pt idx="53">
                  <c:v>30.86361905</c:v>
                </c:pt>
                <c:pt idx="54">
                  <c:v>31.021723810000001</c:v>
                </c:pt>
                <c:pt idx="55">
                  <c:v>31.179828570000002</c:v>
                </c:pt>
                <c:pt idx="56">
                  <c:v>31.386580949999999</c:v>
                </c:pt>
                <c:pt idx="57">
                  <c:v>31.4960381</c:v>
                </c:pt>
                <c:pt idx="58">
                  <c:v>31.690628570000001</c:v>
                </c:pt>
                <c:pt idx="59">
                  <c:v>31.812247619999997</c:v>
                </c:pt>
                <c:pt idx="60">
                  <c:v>32.018999999999998</c:v>
                </c:pt>
                <c:pt idx="61">
                  <c:v>32.540999999999997</c:v>
                </c:pt>
                <c:pt idx="62">
                  <c:v>33.121000000000002</c:v>
                </c:pt>
                <c:pt idx="63">
                  <c:v>33.701000000000001</c:v>
                </c:pt>
              </c:numCache>
            </c:numRef>
          </c:xVal>
          <c:yVal>
            <c:numRef>
              <c:f>'T89-16t'!$AL$6:$AL$70</c:f>
              <c:numCache>
                <c:formatCode>0.00</c:formatCode>
                <c:ptCount val="65"/>
                <c:pt idx="0">
                  <c:v>1.5248796147672552</c:v>
                </c:pt>
                <c:pt idx="1">
                  <c:v>0.34129692832764502</c:v>
                </c:pt>
                <c:pt idx="2">
                  <c:v>6.117247238742566</c:v>
                </c:pt>
                <c:pt idx="3">
                  <c:v>3.8145100972326107</c:v>
                </c:pt>
                <c:pt idx="4">
                  <c:v>3.5560344827586214</c:v>
                </c:pt>
                <c:pt idx="5">
                  <c:v>6.9222577209797649</c:v>
                </c:pt>
                <c:pt idx="6">
                  <c:v>3.1476997578692494</c:v>
                </c:pt>
                <c:pt idx="7">
                  <c:v>6.1519903498190596</c:v>
                </c:pt>
                <c:pt idx="8">
                  <c:v>5.5019305019305023</c:v>
                </c:pt>
                <c:pt idx="9">
                  <c:v>5.6365403304178825</c:v>
                </c:pt>
                <c:pt idx="10">
                  <c:v>4.1237113402061851</c:v>
                </c:pt>
                <c:pt idx="11">
                  <c:v>5.5415617128463479</c:v>
                </c:pt>
                <c:pt idx="12">
                  <c:v>3.6437246963562751</c:v>
                </c:pt>
                <c:pt idx="13">
                  <c:v>11.200807265388498</c:v>
                </c:pt>
                <c:pt idx="14">
                  <c:v>6.1830173124484737</c:v>
                </c:pt>
                <c:pt idx="15">
                  <c:v>5.5755395683453228</c:v>
                </c:pt>
                <c:pt idx="16">
                  <c:v>14.368650217706822</c:v>
                </c:pt>
                <c:pt idx="17">
                  <c:v>9.4325153374233128</c:v>
                </c:pt>
                <c:pt idx="18">
                  <c:v>14.135625596943648</c:v>
                </c:pt>
                <c:pt idx="19">
                  <c:v>23.255813953488374</c:v>
                </c:pt>
                <c:pt idx="20">
                  <c:v>118.92720306513409</c:v>
                </c:pt>
                <c:pt idx="21">
                  <c:v>107.06319702602229</c:v>
                </c:pt>
                <c:pt idx="22">
                  <c:v>104.32503276539975</c:v>
                </c:pt>
                <c:pt idx="23">
                  <c:v>11.783439490445859</c:v>
                </c:pt>
                <c:pt idx="24">
                  <c:v>19.914651493598864</c:v>
                </c:pt>
                <c:pt idx="25">
                  <c:v>19.401993355481729</c:v>
                </c:pt>
                <c:pt idx="26">
                  <c:v>17.53821399839099</c:v>
                </c:pt>
                <c:pt idx="27">
                  <c:v>36.575875486381321</c:v>
                </c:pt>
                <c:pt idx="28">
                  <c:v>47.192429022082024</c:v>
                </c:pt>
                <c:pt idx="29">
                  <c:v>97.869415807560145</c:v>
                </c:pt>
                <c:pt idx="30">
                  <c:v>103.92156862745098</c:v>
                </c:pt>
                <c:pt idx="31">
                  <c:v>116.78832116788323</c:v>
                </c:pt>
                <c:pt idx="32">
                  <c:v>93.731693028705337</c:v>
                </c:pt>
                <c:pt idx="33">
                  <c:v>285.79795021961934</c:v>
                </c:pt>
                <c:pt idx="34">
                  <c:v>336.96113074204948</c:v>
                </c:pt>
                <c:pt idx="35">
                  <c:v>237.88679245283021</c:v>
                </c:pt>
                <c:pt idx="36">
                  <c:v>29.739776951672866</c:v>
                </c:pt>
                <c:pt idx="37">
                  <c:v>23.584173778122576</c:v>
                </c:pt>
                <c:pt idx="38">
                  <c:v>512.04481792717093</c:v>
                </c:pt>
                <c:pt idx="39">
                  <c:v>464.27457098283935</c:v>
                </c:pt>
                <c:pt idx="40">
                  <c:v>367.18075262183834</c:v>
                </c:pt>
                <c:pt idx="41">
                  <c:v>652.73631840796031</c:v>
                </c:pt>
                <c:pt idx="42">
                  <c:v>698.25195901145275</c:v>
                </c:pt>
                <c:pt idx="43">
                  <c:v>578.20440429136079</c:v>
                </c:pt>
                <c:pt idx="44">
                  <c:v>185.38324420677364</c:v>
                </c:pt>
                <c:pt idx="45">
                  <c:v>168.16074188562598</c:v>
                </c:pt>
                <c:pt idx="46">
                  <c:v>48.249027237354085</c:v>
                </c:pt>
                <c:pt idx="47">
                  <c:v>176.79558011049724</c:v>
                </c:pt>
                <c:pt idx="48">
                  <c:v>366.37681159420288</c:v>
                </c:pt>
                <c:pt idx="49">
                  <c:v>509.20436817472694</c:v>
                </c:pt>
                <c:pt idx="50">
                  <c:v>205.71428571428572</c:v>
                </c:pt>
                <c:pt idx="51">
                  <c:v>113.43283582089552</c:v>
                </c:pt>
                <c:pt idx="52">
                  <c:v>119.3075898801598</c:v>
                </c:pt>
                <c:pt idx="53">
                  <c:v>161.74024312220089</c:v>
                </c:pt>
                <c:pt idx="54">
                  <c:v>318.07871914609746</c:v>
                </c:pt>
                <c:pt idx="55">
                  <c:v>229.07231555880205</c:v>
                </c:pt>
                <c:pt idx="56">
                  <c:v>90.909090909090907</c:v>
                </c:pt>
                <c:pt idx="57">
                  <c:v>369.87012987012992</c:v>
                </c:pt>
                <c:pt idx="58">
                  <c:v>244.81927710843371</c:v>
                </c:pt>
                <c:pt idx="59">
                  <c:v>245.86510263929617</c:v>
                </c:pt>
                <c:pt idx="60">
                  <c:v>195.76213260423785</c:v>
                </c:pt>
                <c:pt idx="61">
                  <c:v>200.76045627376425</c:v>
                </c:pt>
                <c:pt idx="62">
                  <c:v>251.62907268170429</c:v>
                </c:pt>
                <c:pt idx="63">
                  <c:v>243.96215915414581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81-6244-A98E-B77416A43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3040952"/>
        <c:axId val="2133046616"/>
      </c:scatterChart>
      <c:valAx>
        <c:axId val="2133040952"/>
        <c:scaling>
          <c:orientation val="minMax"/>
          <c:max val="35"/>
          <c:min val="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(ka)</a:t>
                </a:r>
              </a:p>
            </c:rich>
          </c:tx>
          <c:overlay val="0"/>
        </c:title>
        <c:numFmt formatCode="0.00" sourceLinked="1"/>
        <c:majorTickMark val="cross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NL"/>
          </a:p>
        </c:txPr>
        <c:crossAx val="2133046616"/>
        <c:crosses val="autoZero"/>
        <c:crossBetween val="midCat"/>
        <c:majorUnit val="5"/>
        <c:minorUnit val="1"/>
      </c:valAx>
      <c:valAx>
        <c:axId val="2133046616"/>
        <c:scaling>
          <c:orientation val="minMax"/>
          <c:max val="1500"/>
        </c:scaling>
        <c:delete val="0"/>
        <c:axPos val="l"/>
        <c:majorGridlines/>
        <c:minorGridlines/>
        <c:title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2133040952"/>
        <c:crosses val="autoZero"/>
        <c:crossBetween val="midCat"/>
        <c:majorUnit val="100"/>
      </c:valAx>
      <c:spPr>
        <a:noFill/>
        <a:ln w="25400">
          <a:noFill/>
        </a:ln>
      </c:spPr>
    </c:plotArea>
    <c:legend>
      <c:legendPos val="r"/>
      <c:overlay val="0"/>
    </c:legend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NL"/>
    </a:p>
  </c:txPr>
  <c:printSettings>
    <c:headerFooter>
      <c:oddHeader>&amp;f</c:oddHeader>
      <c:oddFooter>Page &amp;p</c:oddFooter>
    </c:headerFooter>
    <c:pageMargins b="1" l="0.75" r="0.75" t="1" header="0.5" footer="0.5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rr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'T89-16t'!$F$6:$F$70</c:f>
              <c:numCache>
                <c:formatCode>0.00</c:formatCode>
                <c:ptCount val="65"/>
                <c:pt idx="0">
                  <c:v>8.7033157889999995</c:v>
                </c:pt>
                <c:pt idx="1">
                  <c:v>9.0541578949999995</c:v>
                </c:pt>
                <c:pt idx="2">
                  <c:v>9.3412105260000011</c:v>
                </c:pt>
                <c:pt idx="3">
                  <c:v>9.5006842109999994</c:v>
                </c:pt>
                <c:pt idx="4">
                  <c:v>9.7398947370000002</c:v>
                </c:pt>
                <c:pt idx="5">
                  <c:v>10.058842109999999</c:v>
                </c:pt>
                <c:pt idx="6">
                  <c:v>10.298052630000001</c:v>
                </c:pt>
                <c:pt idx="7">
                  <c:v>10.53726316</c:v>
                </c:pt>
                <c:pt idx="8">
                  <c:v>10.69673684</c:v>
                </c:pt>
                <c:pt idx="9">
                  <c:v>10.935947369999999</c:v>
                </c:pt>
                <c:pt idx="10">
                  <c:v>11.095421050000001</c:v>
                </c:pt>
                <c:pt idx="11">
                  <c:v>11.33463158</c:v>
                </c:pt>
                <c:pt idx="12">
                  <c:v>11.49410526</c:v>
                </c:pt>
                <c:pt idx="13">
                  <c:v>11.76807767</c:v>
                </c:pt>
                <c:pt idx="14">
                  <c:v>12.140504849999999</c:v>
                </c:pt>
                <c:pt idx="15">
                  <c:v>12.41982524</c:v>
                </c:pt>
                <c:pt idx="16">
                  <c:v>12.54809326</c:v>
                </c:pt>
                <c:pt idx="17">
                  <c:v>12.60545078</c:v>
                </c:pt>
                <c:pt idx="18">
                  <c:v>12.681927460000001</c:v>
                </c:pt>
                <c:pt idx="19">
                  <c:v>12.73928497</c:v>
                </c:pt>
                <c:pt idx="20">
                  <c:v>12.81576166</c:v>
                </c:pt>
                <c:pt idx="21">
                  <c:v>12.90434014</c:v>
                </c:pt>
                <c:pt idx="22">
                  <c:v>12.954680270000001</c:v>
                </c:pt>
                <c:pt idx="23">
                  <c:v>13.035224490000001</c:v>
                </c:pt>
                <c:pt idx="24">
                  <c:v>13.135904759999999</c:v>
                </c:pt>
                <c:pt idx="25">
                  <c:v>13.21141497</c:v>
                </c:pt>
                <c:pt idx="26">
                  <c:v>13.234950000000001</c:v>
                </c:pt>
                <c:pt idx="27">
                  <c:v>13.25685</c:v>
                </c:pt>
                <c:pt idx="28">
                  <c:v>13.286049999999999</c:v>
                </c:pt>
                <c:pt idx="29">
                  <c:v>13.310474579999999</c:v>
                </c:pt>
                <c:pt idx="30">
                  <c:v>13.32844068</c:v>
                </c:pt>
                <c:pt idx="31">
                  <c:v>13.4115</c:v>
                </c:pt>
                <c:pt idx="32">
                  <c:v>13.8215</c:v>
                </c:pt>
                <c:pt idx="33">
                  <c:v>15.297745450000001</c:v>
                </c:pt>
                <c:pt idx="34">
                  <c:v>15.986000000000001</c:v>
                </c:pt>
                <c:pt idx="35">
                  <c:v>16.84677778</c:v>
                </c:pt>
                <c:pt idx="36">
                  <c:v>17.287833330000002</c:v>
                </c:pt>
                <c:pt idx="37">
                  <c:v>17.630333330000003</c:v>
                </c:pt>
                <c:pt idx="38">
                  <c:v>18.46874227</c:v>
                </c:pt>
                <c:pt idx="39">
                  <c:v>19.789979380000002</c:v>
                </c:pt>
                <c:pt idx="40">
                  <c:v>20.78090722</c:v>
                </c:pt>
                <c:pt idx="41">
                  <c:v>22.102144329999998</c:v>
                </c:pt>
                <c:pt idx="42">
                  <c:v>23.42338144</c:v>
                </c:pt>
                <c:pt idx="43">
                  <c:v>24.65007692</c:v>
                </c:pt>
                <c:pt idx="44">
                  <c:v>25.62784615</c:v>
                </c:pt>
                <c:pt idx="45">
                  <c:v>26.142461539999999</c:v>
                </c:pt>
                <c:pt idx="46">
                  <c:v>26.91438462</c:v>
                </c:pt>
                <c:pt idx="47">
                  <c:v>27.840692309999998</c:v>
                </c:pt>
                <c:pt idx="48">
                  <c:v>28.519914889999999</c:v>
                </c:pt>
                <c:pt idx="49">
                  <c:v>29.082468089999999</c:v>
                </c:pt>
                <c:pt idx="50">
                  <c:v>29.47625532</c:v>
                </c:pt>
                <c:pt idx="51">
                  <c:v>30.038808509999999</c:v>
                </c:pt>
                <c:pt idx="52">
                  <c:v>30.54510638</c:v>
                </c:pt>
                <c:pt idx="53">
                  <c:v>30.86361905</c:v>
                </c:pt>
                <c:pt idx="54">
                  <c:v>31.021723810000001</c:v>
                </c:pt>
                <c:pt idx="55">
                  <c:v>31.179828570000002</c:v>
                </c:pt>
                <c:pt idx="56">
                  <c:v>31.386580949999999</c:v>
                </c:pt>
                <c:pt idx="57">
                  <c:v>31.4960381</c:v>
                </c:pt>
                <c:pt idx="58">
                  <c:v>31.690628570000001</c:v>
                </c:pt>
                <c:pt idx="59">
                  <c:v>31.812247619999997</c:v>
                </c:pt>
                <c:pt idx="60">
                  <c:v>32.018999999999998</c:v>
                </c:pt>
                <c:pt idx="61">
                  <c:v>32.540999999999997</c:v>
                </c:pt>
                <c:pt idx="62">
                  <c:v>33.121000000000002</c:v>
                </c:pt>
                <c:pt idx="63">
                  <c:v>33.701000000000001</c:v>
                </c:pt>
              </c:numCache>
            </c:numRef>
          </c:xVal>
          <c:yVal>
            <c:numRef>
              <c:f>'T89-16t'!$H$6:$H$70</c:f>
              <c:numCache>
                <c:formatCode>0.00</c:formatCode>
                <c:ptCount val="65"/>
                <c:pt idx="0">
                  <c:v>8.7378640776699026</c:v>
                </c:pt>
                <c:pt idx="1">
                  <c:v>9.0909090909090917</c:v>
                </c:pt>
                <c:pt idx="2">
                  <c:v>21.32564841498559</c:v>
                </c:pt>
                <c:pt idx="3">
                  <c:v>17.948717948717949</c:v>
                </c:pt>
                <c:pt idx="4">
                  <c:v>25.568181818181817</c:v>
                </c:pt>
                <c:pt idx="5">
                  <c:v>19.52191235059761</c:v>
                </c:pt>
                <c:pt idx="6">
                  <c:v>21.259842519685041</c:v>
                </c:pt>
                <c:pt idx="7">
                  <c:v>18.877551020408163</c:v>
                </c:pt>
                <c:pt idx="8">
                  <c:v>21.164021164021165</c:v>
                </c:pt>
                <c:pt idx="9">
                  <c:v>23.451327433628318</c:v>
                </c:pt>
                <c:pt idx="10">
                  <c:v>23.834196891191709</c:v>
                </c:pt>
                <c:pt idx="11">
                  <c:v>27.758007117437721</c:v>
                </c:pt>
                <c:pt idx="12">
                  <c:v>24.553571428571427</c:v>
                </c:pt>
                <c:pt idx="13">
                  <c:v>24.938271604938272</c:v>
                </c:pt>
                <c:pt idx="14">
                  <c:v>17.417417417417418</c:v>
                </c:pt>
                <c:pt idx="15">
                  <c:v>27.835051546391753</c:v>
                </c:pt>
                <c:pt idx="16">
                  <c:v>16.366612111292962</c:v>
                </c:pt>
                <c:pt idx="17">
                  <c:v>18.969555035128806</c:v>
                </c:pt>
                <c:pt idx="18">
                  <c:v>16.143497757847534</c:v>
                </c:pt>
                <c:pt idx="19">
                  <c:v>11.340206185567011</c:v>
                </c:pt>
                <c:pt idx="20">
                  <c:v>9.976798143851509</c:v>
                </c:pt>
                <c:pt idx="21">
                  <c:v>9.7285067873303159</c:v>
                </c:pt>
                <c:pt idx="22">
                  <c:v>8.9519650655021827</c:v>
                </c:pt>
                <c:pt idx="23">
                  <c:v>12.068965517241379</c:v>
                </c:pt>
                <c:pt idx="24">
                  <c:v>9.7674418604651159</c:v>
                </c:pt>
                <c:pt idx="25">
                  <c:v>12.5</c:v>
                </c:pt>
                <c:pt idx="26">
                  <c:v>10.29023746701847</c:v>
                </c:pt>
                <c:pt idx="27">
                  <c:v>7.6726342710997439</c:v>
                </c:pt>
                <c:pt idx="28">
                  <c:v>6.2634989200863931</c:v>
                </c:pt>
                <c:pt idx="29">
                  <c:v>4.7745358090185679</c:v>
                </c:pt>
                <c:pt idx="30">
                  <c:v>6.369426751592357</c:v>
                </c:pt>
                <c:pt idx="31">
                  <c:v>6.8126520681265204</c:v>
                </c:pt>
                <c:pt idx="32">
                  <c:v>7.6595744680851068</c:v>
                </c:pt>
                <c:pt idx="33">
                  <c:v>5.2631578947368425</c:v>
                </c:pt>
                <c:pt idx="34">
                  <c:v>8.2533589251439547</c:v>
                </c:pt>
                <c:pt idx="35">
                  <c:v>8.4699453551912569</c:v>
                </c:pt>
                <c:pt idx="36">
                  <c:v>10.76487252124646</c:v>
                </c:pt>
                <c:pt idx="37">
                  <c:v>8.0357142857142865</c:v>
                </c:pt>
                <c:pt idx="38">
                  <c:v>3.4146341463414633</c:v>
                </c:pt>
                <c:pt idx="39">
                  <c:v>3.1847133757961785</c:v>
                </c:pt>
                <c:pt idx="40">
                  <c:v>3.5264483627204029</c:v>
                </c:pt>
                <c:pt idx="41">
                  <c:v>2.1148036253776437</c:v>
                </c:pt>
                <c:pt idx="42">
                  <c:v>1.4492753623188406</c:v>
                </c:pt>
                <c:pt idx="43">
                  <c:v>1.1940298507462686</c:v>
                </c:pt>
                <c:pt idx="44">
                  <c:v>3.2697547683923704</c:v>
                </c:pt>
                <c:pt idx="45">
                  <c:v>7.1748878923766819</c:v>
                </c:pt>
                <c:pt idx="46">
                  <c:v>10.725552050473187</c:v>
                </c:pt>
                <c:pt idx="47">
                  <c:v>4.9668874172185431</c:v>
                </c:pt>
                <c:pt idx="48">
                  <c:v>3.5230352303523036</c:v>
                </c:pt>
                <c:pt idx="49">
                  <c:v>3.3412887828162292</c:v>
                </c:pt>
                <c:pt idx="50">
                  <c:v>3.1100478468899522</c:v>
                </c:pt>
                <c:pt idx="51">
                  <c:v>7.1428571428571432</c:v>
                </c:pt>
                <c:pt idx="52">
                  <c:v>8.870967741935484</c:v>
                </c:pt>
                <c:pt idx="53">
                  <c:v>6.4971751412429377</c:v>
                </c:pt>
                <c:pt idx="54">
                  <c:v>2.9850746268656718</c:v>
                </c:pt>
                <c:pt idx="55">
                  <c:v>4.8192771084337354</c:v>
                </c:pt>
                <c:pt idx="56">
                  <c:v>2.9673590504451037</c:v>
                </c:pt>
                <c:pt idx="57">
                  <c:v>0.69686411149825789</c:v>
                </c:pt>
                <c:pt idx="58">
                  <c:v>2.4509803921568629</c:v>
                </c:pt>
                <c:pt idx="59">
                  <c:v>2.6315789473684212</c:v>
                </c:pt>
                <c:pt idx="60">
                  <c:v>2.6315789473684212</c:v>
                </c:pt>
                <c:pt idx="61">
                  <c:v>2.3880597014925371</c:v>
                </c:pt>
                <c:pt idx="62">
                  <c:v>2.0779220779220777</c:v>
                </c:pt>
                <c:pt idx="63">
                  <c:v>2.4229074889867843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46-1C4B-9440-5B2C9196E8A1}"/>
            </c:ext>
          </c:extLst>
        </c:ser>
        <c:ser>
          <c:idx val="2"/>
          <c:order val="2"/>
          <c:tx>
            <c:v>dut</c:v>
          </c:tx>
          <c:spPr>
            <a:ln>
              <a:noFill/>
            </a:ln>
          </c:spPr>
          <c:marker>
            <c:symbol val="diamond"/>
            <c:size val="5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'T89-16t'!$F$6:$F$70</c:f>
              <c:numCache>
                <c:formatCode>0.00</c:formatCode>
                <c:ptCount val="65"/>
                <c:pt idx="0">
                  <c:v>8.7033157889999995</c:v>
                </c:pt>
                <c:pt idx="1">
                  <c:v>9.0541578949999995</c:v>
                </c:pt>
                <c:pt idx="2">
                  <c:v>9.3412105260000011</c:v>
                </c:pt>
                <c:pt idx="3">
                  <c:v>9.5006842109999994</c:v>
                </c:pt>
                <c:pt idx="4">
                  <c:v>9.7398947370000002</c:v>
                </c:pt>
                <c:pt idx="5">
                  <c:v>10.058842109999999</c:v>
                </c:pt>
                <c:pt idx="6">
                  <c:v>10.298052630000001</c:v>
                </c:pt>
                <c:pt idx="7">
                  <c:v>10.53726316</c:v>
                </c:pt>
                <c:pt idx="8">
                  <c:v>10.69673684</c:v>
                </c:pt>
                <c:pt idx="9">
                  <c:v>10.935947369999999</c:v>
                </c:pt>
                <c:pt idx="10">
                  <c:v>11.095421050000001</c:v>
                </c:pt>
                <c:pt idx="11">
                  <c:v>11.33463158</c:v>
                </c:pt>
                <c:pt idx="12">
                  <c:v>11.49410526</c:v>
                </c:pt>
                <c:pt idx="13">
                  <c:v>11.76807767</c:v>
                </c:pt>
                <c:pt idx="14">
                  <c:v>12.140504849999999</c:v>
                </c:pt>
                <c:pt idx="15">
                  <c:v>12.41982524</c:v>
                </c:pt>
                <c:pt idx="16">
                  <c:v>12.54809326</c:v>
                </c:pt>
                <c:pt idx="17">
                  <c:v>12.60545078</c:v>
                </c:pt>
                <c:pt idx="18">
                  <c:v>12.681927460000001</c:v>
                </c:pt>
                <c:pt idx="19">
                  <c:v>12.73928497</c:v>
                </c:pt>
                <c:pt idx="20">
                  <c:v>12.81576166</c:v>
                </c:pt>
                <c:pt idx="21">
                  <c:v>12.90434014</c:v>
                </c:pt>
                <c:pt idx="22">
                  <c:v>12.954680270000001</c:v>
                </c:pt>
                <c:pt idx="23">
                  <c:v>13.035224490000001</c:v>
                </c:pt>
                <c:pt idx="24">
                  <c:v>13.135904759999999</c:v>
                </c:pt>
                <c:pt idx="25">
                  <c:v>13.21141497</c:v>
                </c:pt>
                <c:pt idx="26">
                  <c:v>13.234950000000001</c:v>
                </c:pt>
                <c:pt idx="27">
                  <c:v>13.25685</c:v>
                </c:pt>
                <c:pt idx="28">
                  <c:v>13.286049999999999</c:v>
                </c:pt>
                <c:pt idx="29">
                  <c:v>13.310474579999999</c:v>
                </c:pt>
                <c:pt idx="30">
                  <c:v>13.32844068</c:v>
                </c:pt>
                <c:pt idx="31">
                  <c:v>13.4115</c:v>
                </c:pt>
                <c:pt idx="32">
                  <c:v>13.8215</c:v>
                </c:pt>
                <c:pt idx="33">
                  <c:v>15.297745450000001</c:v>
                </c:pt>
                <c:pt idx="34">
                  <c:v>15.986000000000001</c:v>
                </c:pt>
                <c:pt idx="35">
                  <c:v>16.84677778</c:v>
                </c:pt>
                <c:pt idx="36">
                  <c:v>17.287833330000002</c:v>
                </c:pt>
                <c:pt idx="37">
                  <c:v>17.630333330000003</c:v>
                </c:pt>
                <c:pt idx="38">
                  <c:v>18.46874227</c:v>
                </c:pt>
                <c:pt idx="39">
                  <c:v>19.789979380000002</c:v>
                </c:pt>
                <c:pt idx="40">
                  <c:v>20.78090722</c:v>
                </c:pt>
                <c:pt idx="41">
                  <c:v>22.102144329999998</c:v>
                </c:pt>
                <c:pt idx="42">
                  <c:v>23.42338144</c:v>
                </c:pt>
                <c:pt idx="43">
                  <c:v>24.65007692</c:v>
                </c:pt>
                <c:pt idx="44">
                  <c:v>25.62784615</c:v>
                </c:pt>
                <c:pt idx="45">
                  <c:v>26.142461539999999</c:v>
                </c:pt>
                <c:pt idx="46">
                  <c:v>26.91438462</c:v>
                </c:pt>
                <c:pt idx="47">
                  <c:v>27.840692309999998</c:v>
                </c:pt>
                <c:pt idx="48">
                  <c:v>28.519914889999999</c:v>
                </c:pt>
                <c:pt idx="49">
                  <c:v>29.082468089999999</c:v>
                </c:pt>
                <c:pt idx="50">
                  <c:v>29.47625532</c:v>
                </c:pt>
                <c:pt idx="51">
                  <c:v>30.038808509999999</c:v>
                </c:pt>
                <c:pt idx="52">
                  <c:v>30.54510638</c:v>
                </c:pt>
                <c:pt idx="53">
                  <c:v>30.86361905</c:v>
                </c:pt>
                <c:pt idx="54">
                  <c:v>31.021723810000001</c:v>
                </c:pt>
                <c:pt idx="55">
                  <c:v>31.179828570000002</c:v>
                </c:pt>
                <c:pt idx="56">
                  <c:v>31.386580949999999</c:v>
                </c:pt>
                <c:pt idx="57">
                  <c:v>31.4960381</c:v>
                </c:pt>
                <c:pt idx="58">
                  <c:v>31.690628570000001</c:v>
                </c:pt>
                <c:pt idx="59">
                  <c:v>31.812247619999997</c:v>
                </c:pt>
                <c:pt idx="60">
                  <c:v>32.018999999999998</c:v>
                </c:pt>
                <c:pt idx="61">
                  <c:v>32.540999999999997</c:v>
                </c:pt>
                <c:pt idx="62">
                  <c:v>33.121000000000002</c:v>
                </c:pt>
                <c:pt idx="63">
                  <c:v>33.701000000000001</c:v>
                </c:pt>
              </c:numCache>
            </c:numRef>
          </c:xVal>
          <c:yVal>
            <c:numRef>
              <c:f>'T89-16t'!$BF$6:$BF$70</c:f>
              <c:numCache>
                <c:formatCode>0</c:formatCode>
                <c:ptCount val="65"/>
                <c:pt idx="0">
                  <c:v>4.8543689320388346</c:v>
                </c:pt>
                <c:pt idx="1">
                  <c:v>9.0909090909090917</c:v>
                </c:pt>
                <c:pt idx="2">
                  <c:v>11.527377521613801</c:v>
                </c:pt>
                <c:pt idx="3">
                  <c:v>15.384615384615385</c:v>
                </c:pt>
                <c:pt idx="4">
                  <c:v>14.204545454545455</c:v>
                </c:pt>
                <c:pt idx="5">
                  <c:v>11.952191235059761</c:v>
                </c:pt>
                <c:pt idx="6">
                  <c:v>14.173228346456693</c:v>
                </c:pt>
                <c:pt idx="7">
                  <c:v>11.73469387755102</c:v>
                </c:pt>
                <c:pt idx="8">
                  <c:v>12.698412698412698</c:v>
                </c:pt>
                <c:pt idx="9">
                  <c:v>11.504424778761061</c:v>
                </c:pt>
                <c:pt idx="10">
                  <c:v>12.435233160621761</c:v>
                </c:pt>
                <c:pt idx="11">
                  <c:v>12.5</c:v>
                </c:pt>
                <c:pt idx="12">
                  <c:v>16.071428571428573</c:v>
                </c:pt>
                <c:pt idx="13">
                  <c:v>9.8765432098765427</c:v>
                </c:pt>
                <c:pt idx="14">
                  <c:v>11.411411411411411</c:v>
                </c:pt>
                <c:pt idx="15">
                  <c:v>13.058419243986254</c:v>
                </c:pt>
                <c:pt idx="16">
                  <c:v>9.3289689034369889</c:v>
                </c:pt>
                <c:pt idx="17">
                  <c:v>8.6651053864168617</c:v>
                </c:pt>
                <c:pt idx="18">
                  <c:v>8.071748878923767</c:v>
                </c:pt>
                <c:pt idx="19">
                  <c:v>6.9587628865979383</c:v>
                </c:pt>
                <c:pt idx="20">
                  <c:v>6.7285382830626448</c:v>
                </c:pt>
                <c:pt idx="21">
                  <c:v>5.6561085972850682</c:v>
                </c:pt>
                <c:pt idx="22">
                  <c:v>5.4585152838427948</c:v>
                </c:pt>
                <c:pt idx="23">
                  <c:v>3.0172413793103448</c:v>
                </c:pt>
                <c:pt idx="24">
                  <c:v>6.0465116279069768</c:v>
                </c:pt>
                <c:pt idx="25">
                  <c:v>3.0172413793103448</c:v>
                </c:pt>
                <c:pt idx="26">
                  <c:v>3.9577836411609497</c:v>
                </c:pt>
                <c:pt idx="27">
                  <c:v>3.3248081841432224</c:v>
                </c:pt>
                <c:pt idx="28">
                  <c:v>2.8077753779697625</c:v>
                </c:pt>
                <c:pt idx="29">
                  <c:v>1.856763925729443</c:v>
                </c:pt>
                <c:pt idx="30">
                  <c:v>3.5031847133757963</c:v>
                </c:pt>
                <c:pt idx="31">
                  <c:v>7.2992700729927007</c:v>
                </c:pt>
                <c:pt idx="32">
                  <c:v>6.3829787234042552</c:v>
                </c:pt>
                <c:pt idx="33">
                  <c:v>1.3157894736842106</c:v>
                </c:pt>
                <c:pt idx="34">
                  <c:v>1.3435700575815739</c:v>
                </c:pt>
                <c:pt idx="35">
                  <c:v>1.3661202185792349</c:v>
                </c:pt>
                <c:pt idx="36">
                  <c:v>1.9830028328611897</c:v>
                </c:pt>
                <c:pt idx="37">
                  <c:v>0.8928571428571429</c:v>
                </c:pt>
                <c:pt idx="38">
                  <c:v>0.48780487804878048</c:v>
                </c:pt>
                <c:pt idx="39">
                  <c:v>0</c:v>
                </c:pt>
                <c:pt idx="40">
                  <c:v>1.2594458438287153</c:v>
                </c:pt>
                <c:pt idx="41">
                  <c:v>0.60422960725075525</c:v>
                </c:pt>
                <c:pt idx="42">
                  <c:v>1.1594202898550725</c:v>
                </c:pt>
                <c:pt idx="43">
                  <c:v>0</c:v>
                </c:pt>
                <c:pt idx="44">
                  <c:v>0</c:v>
                </c:pt>
                <c:pt idx="45">
                  <c:v>0.89686098654708524</c:v>
                </c:pt>
                <c:pt idx="46">
                  <c:v>2.8391167192429023</c:v>
                </c:pt>
                <c:pt idx="47">
                  <c:v>0</c:v>
                </c:pt>
                <c:pt idx="48">
                  <c:v>0.54200542005420049</c:v>
                </c:pt>
                <c:pt idx="49">
                  <c:v>0.71599045346062051</c:v>
                </c:pt>
                <c:pt idx="50">
                  <c:v>1.4354066985645932</c:v>
                </c:pt>
                <c:pt idx="51">
                  <c:v>0.49261083743842365</c:v>
                </c:pt>
                <c:pt idx="52">
                  <c:v>0.40322580645161288</c:v>
                </c:pt>
                <c:pt idx="53">
                  <c:v>1.6949152542372881</c:v>
                </c:pt>
                <c:pt idx="54">
                  <c:v>1.1194029850746268</c:v>
                </c:pt>
                <c:pt idx="55">
                  <c:v>0.60240963855421692</c:v>
                </c:pt>
                <c:pt idx="56">
                  <c:v>0.29673590504451036</c:v>
                </c:pt>
                <c:pt idx="57">
                  <c:v>0.34843205574912894</c:v>
                </c:pt>
                <c:pt idx="58">
                  <c:v>0.98039215686274506</c:v>
                </c:pt>
                <c:pt idx="59">
                  <c:v>0.8771929824561403</c:v>
                </c:pt>
                <c:pt idx="60">
                  <c:v>7.2368421052631575</c:v>
                </c:pt>
                <c:pt idx="61">
                  <c:v>0.89552238805970152</c:v>
                </c:pt>
                <c:pt idx="62">
                  <c:v>1.0389610389610389</c:v>
                </c:pt>
                <c:pt idx="63">
                  <c:v>1.5418502202643172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6-1C4B-9440-5B2C9196E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1679000"/>
        <c:axId val="2133055224"/>
      </c:scatterChart>
      <c:scatterChart>
        <c:scatterStyle val="lineMarker"/>
        <c:varyColors val="0"/>
        <c:ser>
          <c:idx val="1"/>
          <c:order val="1"/>
          <c:tx>
            <c:v>upw</c:v>
          </c:tx>
          <c:marker>
            <c:symbol val="none"/>
          </c:marker>
          <c:xVal>
            <c:numRef>
              <c:f>'T89-16t'!$F$6:$F$70</c:f>
              <c:numCache>
                <c:formatCode>0.00</c:formatCode>
                <c:ptCount val="65"/>
                <c:pt idx="0">
                  <c:v>8.7033157889999995</c:v>
                </c:pt>
                <c:pt idx="1">
                  <c:v>9.0541578949999995</c:v>
                </c:pt>
                <c:pt idx="2">
                  <c:v>9.3412105260000011</c:v>
                </c:pt>
                <c:pt idx="3">
                  <c:v>9.5006842109999994</c:v>
                </c:pt>
                <c:pt idx="4">
                  <c:v>9.7398947370000002</c:v>
                </c:pt>
                <c:pt idx="5">
                  <c:v>10.058842109999999</c:v>
                </c:pt>
                <c:pt idx="6">
                  <c:v>10.298052630000001</c:v>
                </c:pt>
                <c:pt idx="7">
                  <c:v>10.53726316</c:v>
                </c:pt>
                <c:pt idx="8">
                  <c:v>10.69673684</c:v>
                </c:pt>
                <c:pt idx="9">
                  <c:v>10.935947369999999</c:v>
                </c:pt>
                <c:pt idx="10">
                  <c:v>11.095421050000001</c:v>
                </c:pt>
                <c:pt idx="11">
                  <c:v>11.33463158</c:v>
                </c:pt>
                <c:pt idx="12">
                  <c:v>11.49410526</c:v>
                </c:pt>
                <c:pt idx="13">
                  <c:v>11.76807767</c:v>
                </c:pt>
                <c:pt idx="14">
                  <c:v>12.140504849999999</c:v>
                </c:pt>
                <c:pt idx="15">
                  <c:v>12.41982524</c:v>
                </c:pt>
                <c:pt idx="16">
                  <c:v>12.54809326</c:v>
                </c:pt>
                <c:pt idx="17">
                  <c:v>12.60545078</c:v>
                </c:pt>
                <c:pt idx="18">
                  <c:v>12.681927460000001</c:v>
                </c:pt>
                <c:pt idx="19">
                  <c:v>12.73928497</c:v>
                </c:pt>
                <c:pt idx="20">
                  <c:v>12.81576166</c:v>
                </c:pt>
                <c:pt idx="21">
                  <c:v>12.90434014</c:v>
                </c:pt>
                <c:pt idx="22">
                  <c:v>12.954680270000001</c:v>
                </c:pt>
                <c:pt idx="23">
                  <c:v>13.035224490000001</c:v>
                </c:pt>
                <c:pt idx="24">
                  <c:v>13.135904759999999</c:v>
                </c:pt>
                <c:pt idx="25">
                  <c:v>13.21141497</c:v>
                </c:pt>
                <c:pt idx="26">
                  <c:v>13.234950000000001</c:v>
                </c:pt>
                <c:pt idx="27">
                  <c:v>13.25685</c:v>
                </c:pt>
                <c:pt idx="28">
                  <c:v>13.286049999999999</c:v>
                </c:pt>
                <c:pt idx="29">
                  <c:v>13.310474579999999</c:v>
                </c:pt>
                <c:pt idx="30">
                  <c:v>13.32844068</c:v>
                </c:pt>
                <c:pt idx="31">
                  <c:v>13.4115</c:v>
                </c:pt>
                <c:pt idx="32">
                  <c:v>13.8215</c:v>
                </c:pt>
                <c:pt idx="33">
                  <c:v>15.297745450000001</c:v>
                </c:pt>
                <c:pt idx="34">
                  <c:v>15.986000000000001</c:v>
                </c:pt>
                <c:pt idx="35">
                  <c:v>16.84677778</c:v>
                </c:pt>
                <c:pt idx="36">
                  <c:v>17.287833330000002</c:v>
                </c:pt>
                <c:pt idx="37">
                  <c:v>17.630333330000003</c:v>
                </c:pt>
                <c:pt idx="38">
                  <c:v>18.46874227</c:v>
                </c:pt>
                <c:pt idx="39">
                  <c:v>19.789979380000002</c:v>
                </c:pt>
                <c:pt idx="40">
                  <c:v>20.78090722</c:v>
                </c:pt>
                <c:pt idx="41">
                  <c:v>22.102144329999998</c:v>
                </c:pt>
                <c:pt idx="42">
                  <c:v>23.42338144</c:v>
                </c:pt>
                <c:pt idx="43">
                  <c:v>24.65007692</c:v>
                </c:pt>
                <c:pt idx="44">
                  <c:v>25.62784615</c:v>
                </c:pt>
                <c:pt idx="45">
                  <c:v>26.142461539999999</c:v>
                </c:pt>
                <c:pt idx="46">
                  <c:v>26.91438462</c:v>
                </c:pt>
                <c:pt idx="47">
                  <c:v>27.840692309999998</c:v>
                </c:pt>
                <c:pt idx="48">
                  <c:v>28.519914889999999</c:v>
                </c:pt>
                <c:pt idx="49">
                  <c:v>29.082468089999999</c:v>
                </c:pt>
                <c:pt idx="50">
                  <c:v>29.47625532</c:v>
                </c:pt>
                <c:pt idx="51">
                  <c:v>30.038808509999999</c:v>
                </c:pt>
                <c:pt idx="52">
                  <c:v>30.54510638</c:v>
                </c:pt>
                <c:pt idx="53">
                  <c:v>30.86361905</c:v>
                </c:pt>
                <c:pt idx="54">
                  <c:v>31.021723810000001</c:v>
                </c:pt>
                <c:pt idx="55">
                  <c:v>31.179828570000002</c:v>
                </c:pt>
                <c:pt idx="56">
                  <c:v>31.386580949999999</c:v>
                </c:pt>
                <c:pt idx="57">
                  <c:v>31.4960381</c:v>
                </c:pt>
                <c:pt idx="58">
                  <c:v>31.690628570000001</c:v>
                </c:pt>
                <c:pt idx="59">
                  <c:v>31.812247619999997</c:v>
                </c:pt>
                <c:pt idx="60">
                  <c:v>32.018999999999998</c:v>
                </c:pt>
                <c:pt idx="61">
                  <c:v>32.540999999999997</c:v>
                </c:pt>
                <c:pt idx="62">
                  <c:v>33.121000000000002</c:v>
                </c:pt>
                <c:pt idx="63">
                  <c:v>33.701000000000001</c:v>
                </c:pt>
              </c:numCache>
            </c:numRef>
          </c:xVal>
          <c:yVal>
            <c:numRef>
              <c:f>'T89-16t'!$BM$6:$BM$70</c:f>
              <c:numCache>
                <c:formatCode>0</c:formatCode>
                <c:ptCount val="65"/>
                <c:pt idx="0">
                  <c:v>39.805825242718448</c:v>
                </c:pt>
                <c:pt idx="1">
                  <c:v>39.393939393939391</c:v>
                </c:pt>
                <c:pt idx="2">
                  <c:v>29.10662824207493</c:v>
                </c:pt>
                <c:pt idx="3">
                  <c:v>30.769230769230774</c:v>
                </c:pt>
                <c:pt idx="4">
                  <c:v>28.409090909090907</c:v>
                </c:pt>
                <c:pt idx="5">
                  <c:v>35.059760956175296</c:v>
                </c:pt>
                <c:pt idx="6">
                  <c:v>26.771653543307085</c:v>
                </c:pt>
                <c:pt idx="7">
                  <c:v>32.142857142857139</c:v>
                </c:pt>
                <c:pt idx="8">
                  <c:v>35.978835978835981</c:v>
                </c:pt>
                <c:pt idx="9">
                  <c:v>34.513274336283189</c:v>
                </c:pt>
                <c:pt idx="10">
                  <c:v>22.279792746113987</c:v>
                </c:pt>
                <c:pt idx="11">
                  <c:v>30.987544483985765</c:v>
                </c:pt>
                <c:pt idx="12">
                  <c:v>23.660714285714288</c:v>
                </c:pt>
                <c:pt idx="13">
                  <c:v>34.814814814814817</c:v>
                </c:pt>
                <c:pt idx="14">
                  <c:v>29.42942942942943</c:v>
                </c:pt>
                <c:pt idx="15">
                  <c:v>29.209621993127147</c:v>
                </c:pt>
                <c:pt idx="16">
                  <c:v>43.53518821603928</c:v>
                </c:pt>
                <c:pt idx="17">
                  <c:v>39.344262295081968</c:v>
                </c:pt>
                <c:pt idx="18">
                  <c:v>41.255605381165921</c:v>
                </c:pt>
                <c:pt idx="19">
                  <c:v>39.432989690721655</c:v>
                </c:pt>
                <c:pt idx="20">
                  <c:v>48.259860788863108</c:v>
                </c:pt>
                <c:pt idx="21">
                  <c:v>47.285067873303163</c:v>
                </c:pt>
                <c:pt idx="22">
                  <c:v>51.091703056768559</c:v>
                </c:pt>
                <c:pt idx="23">
                  <c:v>46.982758620689658</c:v>
                </c:pt>
                <c:pt idx="24">
                  <c:v>47.441860465116278</c:v>
                </c:pt>
                <c:pt idx="25">
                  <c:v>49.137931034482762</c:v>
                </c:pt>
                <c:pt idx="26">
                  <c:v>47.229551451187334</c:v>
                </c:pt>
                <c:pt idx="27">
                  <c:v>51.918158567774938</c:v>
                </c:pt>
                <c:pt idx="28">
                  <c:v>50.323974082073434</c:v>
                </c:pt>
                <c:pt idx="29">
                  <c:v>57.294429708222808</c:v>
                </c:pt>
                <c:pt idx="30">
                  <c:v>59.872611464968152</c:v>
                </c:pt>
                <c:pt idx="31">
                  <c:v>56.934306569343065</c:v>
                </c:pt>
                <c:pt idx="32">
                  <c:v>46.808510638297875</c:v>
                </c:pt>
                <c:pt idx="33">
                  <c:v>56.798245614035089</c:v>
                </c:pt>
                <c:pt idx="34">
                  <c:v>61.420345489443378</c:v>
                </c:pt>
                <c:pt idx="35">
                  <c:v>61.202185792349724</c:v>
                </c:pt>
                <c:pt idx="36">
                  <c:v>49.291784702549577</c:v>
                </c:pt>
                <c:pt idx="37">
                  <c:v>51.785714285714285</c:v>
                </c:pt>
                <c:pt idx="38">
                  <c:v>65</c:v>
                </c:pt>
                <c:pt idx="39">
                  <c:v>69.426751592356695</c:v>
                </c:pt>
                <c:pt idx="40">
                  <c:v>61.712846347607055</c:v>
                </c:pt>
                <c:pt idx="41">
                  <c:v>61.933534743202415</c:v>
                </c:pt>
                <c:pt idx="42">
                  <c:v>63.768115942028984</c:v>
                </c:pt>
                <c:pt idx="43">
                  <c:v>60.298507462686572</c:v>
                </c:pt>
                <c:pt idx="44">
                  <c:v>67.302452316076298</c:v>
                </c:pt>
                <c:pt idx="45">
                  <c:v>59.641255605381161</c:v>
                </c:pt>
                <c:pt idx="46">
                  <c:v>29.337539432176655</c:v>
                </c:pt>
                <c:pt idx="47">
                  <c:v>64.238410596026483</c:v>
                </c:pt>
                <c:pt idx="48">
                  <c:v>59.620596205962066</c:v>
                </c:pt>
                <c:pt idx="49">
                  <c:v>63.723150357995216</c:v>
                </c:pt>
                <c:pt idx="50">
                  <c:v>58.373205741626791</c:v>
                </c:pt>
                <c:pt idx="51">
                  <c:v>55.090311986863711</c:v>
                </c:pt>
                <c:pt idx="52">
                  <c:v>53.225806451612904</c:v>
                </c:pt>
                <c:pt idx="53">
                  <c:v>56.779661016949156</c:v>
                </c:pt>
                <c:pt idx="54">
                  <c:v>65.298507462686572</c:v>
                </c:pt>
                <c:pt idx="55">
                  <c:v>67.771084337349407</c:v>
                </c:pt>
                <c:pt idx="56">
                  <c:v>64.39169139465875</c:v>
                </c:pt>
                <c:pt idx="57">
                  <c:v>71.080139372822302</c:v>
                </c:pt>
                <c:pt idx="58">
                  <c:v>67.156862745098039</c:v>
                </c:pt>
                <c:pt idx="59">
                  <c:v>65.78947368421052</c:v>
                </c:pt>
                <c:pt idx="60">
                  <c:v>63.815789473684212</c:v>
                </c:pt>
                <c:pt idx="61">
                  <c:v>66.268656716417908</c:v>
                </c:pt>
                <c:pt idx="62">
                  <c:v>72.987012987012989</c:v>
                </c:pt>
                <c:pt idx="63">
                  <c:v>68.281938325991192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46-1C4B-9440-5B2C9196E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063480"/>
        <c:axId val="2132060392"/>
      </c:scatterChart>
      <c:valAx>
        <c:axId val="2131679000"/>
        <c:scaling>
          <c:orientation val="minMax"/>
          <c:max val="35"/>
          <c:min val="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(ka)</a:t>
                </a:r>
              </a:p>
            </c:rich>
          </c:tx>
          <c:overlay val="0"/>
        </c:title>
        <c:numFmt formatCode="0.00" sourceLinked="1"/>
        <c:majorTickMark val="cross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NL"/>
          </a:p>
        </c:txPr>
        <c:crossAx val="2133055224"/>
        <c:crosses val="autoZero"/>
        <c:crossBetween val="midCat"/>
        <c:majorUnit val="5"/>
        <c:minorUnit val="1"/>
      </c:valAx>
      <c:valAx>
        <c:axId val="2133055224"/>
        <c:scaling>
          <c:orientation val="minMax"/>
          <c:max val="50"/>
        </c:scaling>
        <c:delete val="0"/>
        <c:axPos val="l"/>
        <c:majorGridlines/>
        <c:minorGridlines/>
        <c:title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2131679000"/>
        <c:crosses val="autoZero"/>
        <c:crossBetween val="midCat"/>
        <c:majorUnit val="10"/>
      </c:valAx>
      <c:valAx>
        <c:axId val="213206039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accent2"/>
                </a:solidFill>
              </a:defRPr>
            </a:pPr>
            <a:endParaRPr lang="en-NL"/>
          </a:p>
        </c:txPr>
        <c:crossAx val="2132063480"/>
        <c:crosses val="max"/>
        <c:crossBetween val="midCat"/>
      </c:valAx>
      <c:valAx>
        <c:axId val="213206348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132060392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overlay val="0"/>
    </c:legend>
    <c:plotVisOnly val="0"/>
    <c:dispBlanksAs val="span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NL"/>
    </a:p>
  </c:txPr>
  <c:printSettings>
    <c:headerFooter>
      <c:oddHeader>&amp;f</c:oddHeader>
      <c:oddFooter>Page &amp;p</c:oddFooter>
    </c:headerFooter>
    <c:pageMargins b="1" l="0.75" r="0.75" t="1" header="0.5" footer="0.5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bull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'T89-16t'!$F$6:$F$70</c:f>
              <c:numCache>
                <c:formatCode>0.00</c:formatCode>
                <c:ptCount val="65"/>
                <c:pt idx="0">
                  <c:v>8.7033157889999995</c:v>
                </c:pt>
                <c:pt idx="1">
                  <c:v>9.0541578949999995</c:v>
                </c:pt>
                <c:pt idx="2">
                  <c:v>9.3412105260000011</c:v>
                </c:pt>
                <c:pt idx="3">
                  <c:v>9.5006842109999994</c:v>
                </c:pt>
                <c:pt idx="4">
                  <c:v>9.7398947370000002</c:v>
                </c:pt>
                <c:pt idx="5">
                  <c:v>10.058842109999999</c:v>
                </c:pt>
                <c:pt idx="6">
                  <c:v>10.298052630000001</c:v>
                </c:pt>
                <c:pt idx="7">
                  <c:v>10.53726316</c:v>
                </c:pt>
                <c:pt idx="8">
                  <c:v>10.69673684</c:v>
                </c:pt>
                <c:pt idx="9">
                  <c:v>10.935947369999999</c:v>
                </c:pt>
                <c:pt idx="10">
                  <c:v>11.095421050000001</c:v>
                </c:pt>
                <c:pt idx="11">
                  <c:v>11.33463158</c:v>
                </c:pt>
                <c:pt idx="12">
                  <c:v>11.49410526</c:v>
                </c:pt>
                <c:pt idx="13">
                  <c:v>11.76807767</c:v>
                </c:pt>
                <c:pt idx="14">
                  <c:v>12.140504849999999</c:v>
                </c:pt>
                <c:pt idx="15">
                  <c:v>12.41982524</c:v>
                </c:pt>
                <c:pt idx="16">
                  <c:v>12.54809326</c:v>
                </c:pt>
                <c:pt idx="17">
                  <c:v>12.60545078</c:v>
                </c:pt>
                <c:pt idx="18">
                  <c:v>12.681927460000001</c:v>
                </c:pt>
                <c:pt idx="19">
                  <c:v>12.73928497</c:v>
                </c:pt>
                <c:pt idx="20">
                  <c:v>12.81576166</c:v>
                </c:pt>
                <c:pt idx="21">
                  <c:v>12.90434014</c:v>
                </c:pt>
                <c:pt idx="22">
                  <c:v>12.954680270000001</c:v>
                </c:pt>
                <c:pt idx="23">
                  <c:v>13.035224490000001</c:v>
                </c:pt>
                <c:pt idx="24">
                  <c:v>13.135904759999999</c:v>
                </c:pt>
                <c:pt idx="25">
                  <c:v>13.21141497</c:v>
                </c:pt>
                <c:pt idx="26">
                  <c:v>13.234950000000001</c:v>
                </c:pt>
                <c:pt idx="27">
                  <c:v>13.25685</c:v>
                </c:pt>
                <c:pt idx="28">
                  <c:v>13.286049999999999</c:v>
                </c:pt>
                <c:pt idx="29">
                  <c:v>13.310474579999999</c:v>
                </c:pt>
                <c:pt idx="30">
                  <c:v>13.32844068</c:v>
                </c:pt>
                <c:pt idx="31">
                  <c:v>13.4115</c:v>
                </c:pt>
                <c:pt idx="32">
                  <c:v>13.8215</c:v>
                </c:pt>
                <c:pt idx="33">
                  <c:v>15.297745450000001</c:v>
                </c:pt>
                <c:pt idx="34">
                  <c:v>15.986000000000001</c:v>
                </c:pt>
                <c:pt idx="35">
                  <c:v>16.84677778</c:v>
                </c:pt>
                <c:pt idx="36">
                  <c:v>17.287833330000002</c:v>
                </c:pt>
                <c:pt idx="37">
                  <c:v>17.630333330000003</c:v>
                </c:pt>
                <c:pt idx="38">
                  <c:v>18.46874227</c:v>
                </c:pt>
                <c:pt idx="39">
                  <c:v>19.789979380000002</c:v>
                </c:pt>
                <c:pt idx="40">
                  <c:v>20.78090722</c:v>
                </c:pt>
                <c:pt idx="41">
                  <c:v>22.102144329999998</c:v>
                </c:pt>
                <c:pt idx="42">
                  <c:v>23.42338144</c:v>
                </c:pt>
                <c:pt idx="43">
                  <c:v>24.65007692</c:v>
                </c:pt>
                <c:pt idx="44">
                  <c:v>25.62784615</c:v>
                </c:pt>
                <c:pt idx="45">
                  <c:v>26.142461539999999</c:v>
                </c:pt>
                <c:pt idx="46">
                  <c:v>26.91438462</c:v>
                </c:pt>
                <c:pt idx="47">
                  <c:v>27.840692309999998</c:v>
                </c:pt>
                <c:pt idx="48">
                  <c:v>28.519914889999999</c:v>
                </c:pt>
                <c:pt idx="49">
                  <c:v>29.082468089999999</c:v>
                </c:pt>
                <c:pt idx="50">
                  <c:v>29.47625532</c:v>
                </c:pt>
                <c:pt idx="51">
                  <c:v>30.038808509999999</c:v>
                </c:pt>
                <c:pt idx="52">
                  <c:v>30.54510638</c:v>
                </c:pt>
                <c:pt idx="53">
                  <c:v>30.86361905</c:v>
                </c:pt>
                <c:pt idx="54">
                  <c:v>31.021723810000001</c:v>
                </c:pt>
                <c:pt idx="55">
                  <c:v>31.179828570000002</c:v>
                </c:pt>
                <c:pt idx="56">
                  <c:v>31.386580949999999</c:v>
                </c:pt>
                <c:pt idx="57">
                  <c:v>31.4960381</c:v>
                </c:pt>
                <c:pt idx="58">
                  <c:v>31.690628570000001</c:v>
                </c:pt>
                <c:pt idx="59">
                  <c:v>31.812247619999997</c:v>
                </c:pt>
                <c:pt idx="60">
                  <c:v>32.018999999999998</c:v>
                </c:pt>
                <c:pt idx="61">
                  <c:v>32.540999999999997</c:v>
                </c:pt>
                <c:pt idx="62">
                  <c:v>33.121000000000002</c:v>
                </c:pt>
                <c:pt idx="63">
                  <c:v>33.701000000000001</c:v>
                </c:pt>
              </c:numCache>
            </c:numRef>
          </c:xVal>
          <c:yVal>
            <c:numRef>
              <c:f>'T89-16t'!$O$6:$O$70</c:f>
              <c:numCache>
                <c:formatCode>0.00</c:formatCode>
                <c:ptCount val="65"/>
                <c:pt idx="0">
                  <c:v>9.2233009708737868</c:v>
                </c:pt>
                <c:pt idx="1">
                  <c:v>12.121212121212121</c:v>
                </c:pt>
                <c:pt idx="2">
                  <c:v>20.749279538904901</c:v>
                </c:pt>
                <c:pt idx="3">
                  <c:v>16.346153846153847</c:v>
                </c:pt>
                <c:pt idx="4">
                  <c:v>18.75</c:v>
                </c:pt>
                <c:pt idx="5">
                  <c:v>25.89641434262948</c:v>
                </c:pt>
                <c:pt idx="6">
                  <c:v>20.472440944881889</c:v>
                </c:pt>
                <c:pt idx="7">
                  <c:v>26.020408163265305</c:v>
                </c:pt>
                <c:pt idx="8">
                  <c:v>30.158730158730158</c:v>
                </c:pt>
                <c:pt idx="9">
                  <c:v>25.663716814159294</c:v>
                </c:pt>
                <c:pt idx="10">
                  <c:v>18.652849740932641</c:v>
                </c:pt>
                <c:pt idx="11">
                  <c:v>23.487544483985765</c:v>
                </c:pt>
                <c:pt idx="12">
                  <c:v>16.071428571428573</c:v>
                </c:pt>
                <c:pt idx="13">
                  <c:v>27.407407407407408</c:v>
                </c:pt>
                <c:pt idx="14">
                  <c:v>22.522522522522522</c:v>
                </c:pt>
                <c:pt idx="15">
                  <c:v>21.305841924398624</c:v>
                </c:pt>
                <c:pt idx="16">
                  <c:v>32.405891980360067</c:v>
                </c:pt>
                <c:pt idx="17">
                  <c:v>28.805620608899297</c:v>
                </c:pt>
                <c:pt idx="18">
                  <c:v>33.183856502242151</c:v>
                </c:pt>
                <c:pt idx="19">
                  <c:v>33.505154639175259</c:v>
                </c:pt>
                <c:pt idx="20">
                  <c:v>45.011600928074245</c:v>
                </c:pt>
                <c:pt idx="21">
                  <c:v>40.723981900452486</c:v>
                </c:pt>
                <c:pt idx="22">
                  <c:v>43.449781659388648</c:v>
                </c:pt>
                <c:pt idx="23">
                  <c:v>31.896551724137932</c:v>
                </c:pt>
                <c:pt idx="24">
                  <c:v>32.558139534883722</c:v>
                </c:pt>
                <c:pt idx="25">
                  <c:v>31.46551724137931</c:v>
                </c:pt>
                <c:pt idx="26">
                  <c:v>28.759894459102902</c:v>
                </c:pt>
                <c:pt idx="27">
                  <c:v>36.0613810741688</c:v>
                </c:pt>
                <c:pt idx="28">
                  <c:v>40.388768898488124</c:v>
                </c:pt>
                <c:pt idx="29">
                  <c:v>47.214854111405835</c:v>
                </c:pt>
                <c:pt idx="30">
                  <c:v>50.636942675159233</c:v>
                </c:pt>
                <c:pt idx="31">
                  <c:v>48.661800486618006</c:v>
                </c:pt>
                <c:pt idx="32">
                  <c:v>42.553191489361701</c:v>
                </c:pt>
                <c:pt idx="33">
                  <c:v>53.508771929824562</c:v>
                </c:pt>
                <c:pt idx="34">
                  <c:v>57.197696737044147</c:v>
                </c:pt>
                <c:pt idx="35">
                  <c:v>53.825136612021858</c:v>
                </c:pt>
                <c:pt idx="36">
                  <c:v>28.328611898016998</c:v>
                </c:pt>
                <c:pt idx="37">
                  <c:v>33.928571428571431</c:v>
                </c:pt>
                <c:pt idx="38">
                  <c:v>55.731707317073173</c:v>
                </c:pt>
                <c:pt idx="39">
                  <c:v>59.235668789808919</c:v>
                </c:pt>
                <c:pt idx="40">
                  <c:v>46.851385390428213</c:v>
                </c:pt>
                <c:pt idx="41">
                  <c:v>49.546827794561935</c:v>
                </c:pt>
                <c:pt idx="42">
                  <c:v>52.463768115942031</c:v>
                </c:pt>
                <c:pt idx="43">
                  <c:v>47.761194029850749</c:v>
                </c:pt>
                <c:pt idx="44">
                  <c:v>53.133514986376021</c:v>
                </c:pt>
                <c:pt idx="45">
                  <c:v>45.739910313901348</c:v>
                </c:pt>
                <c:pt idx="46">
                  <c:v>19.558359621451103</c:v>
                </c:pt>
                <c:pt idx="47">
                  <c:v>52.980132450331126</c:v>
                </c:pt>
                <c:pt idx="48">
                  <c:v>42.818428184281842</c:v>
                </c:pt>
                <c:pt idx="49">
                  <c:v>48.687350835322192</c:v>
                </c:pt>
                <c:pt idx="50">
                  <c:v>45.215311004784688</c:v>
                </c:pt>
                <c:pt idx="51">
                  <c:v>45.238095238095241</c:v>
                </c:pt>
                <c:pt idx="52">
                  <c:v>45.161290322580648</c:v>
                </c:pt>
                <c:pt idx="53">
                  <c:v>44.632768361581924</c:v>
                </c:pt>
                <c:pt idx="54">
                  <c:v>55.597014925373138</c:v>
                </c:pt>
                <c:pt idx="55">
                  <c:v>59.036144578313255</c:v>
                </c:pt>
                <c:pt idx="56">
                  <c:v>50.445103857566764</c:v>
                </c:pt>
                <c:pt idx="57">
                  <c:v>62.020905923344948</c:v>
                </c:pt>
                <c:pt idx="58">
                  <c:v>62.254901960784316</c:v>
                </c:pt>
                <c:pt idx="59">
                  <c:v>57.456140350877192</c:v>
                </c:pt>
                <c:pt idx="60">
                  <c:v>58.881578947368418</c:v>
                </c:pt>
                <c:pt idx="61">
                  <c:v>59.104477611940297</c:v>
                </c:pt>
                <c:pt idx="62">
                  <c:v>65.194805194805198</c:v>
                </c:pt>
                <c:pt idx="63">
                  <c:v>60.352422907488986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F4-3C4B-94CF-D27CC94CCEA0}"/>
            </c:ext>
          </c:extLst>
        </c:ser>
        <c:ser>
          <c:idx val="2"/>
          <c:order val="2"/>
          <c:tx>
            <c:v>bf</c:v>
          </c:tx>
          <c:spPr>
            <a:ln>
              <a:noFill/>
            </a:ln>
          </c:spPr>
          <c:marker>
            <c:symbol val="diamond"/>
            <c:size val="5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'T89-16t'!$D$6:$D$70</c:f>
              <c:numCache>
                <c:formatCode>0.00</c:formatCode>
                <c:ptCount val="65"/>
                <c:pt idx="0">
                  <c:v>8.4659999999999993</c:v>
                </c:pt>
                <c:pt idx="1">
                  <c:v>8.7439999999999998</c:v>
                </c:pt>
                <c:pt idx="2">
                  <c:v>9.0839999999999996</c:v>
                </c:pt>
                <c:pt idx="3">
                  <c:v>9.2379999999999995</c:v>
                </c:pt>
                <c:pt idx="4">
                  <c:v>9.4700000000000006</c:v>
                </c:pt>
                <c:pt idx="5">
                  <c:v>9.7789999999999999</c:v>
                </c:pt>
                <c:pt idx="6">
                  <c:v>10.01</c:v>
                </c:pt>
                <c:pt idx="7">
                  <c:v>10.242000000000001</c:v>
                </c:pt>
                <c:pt idx="8">
                  <c:v>10.396000000000001</c:v>
                </c:pt>
                <c:pt idx="9">
                  <c:v>10.628</c:v>
                </c:pt>
                <c:pt idx="10">
                  <c:v>10.782</c:v>
                </c:pt>
                <c:pt idx="11">
                  <c:v>11.013999999999999</c:v>
                </c:pt>
                <c:pt idx="12">
                  <c:v>11.167999999999999</c:v>
                </c:pt>
                <c:pt idx="13">
                  <c:v>11.432</c:v>
                </c:pt>
                <c:pt idx="14">
                  <c:v>11.79</c:v>
                </c:pt>
                <c:pt idx="15">
                  <c:v>12.058</c:v>
                </c:pt>
                <c:pt idx="16">
                  <c:v>12.211</c:v>
                </c:pt>
                <c:pt idx="17">
                  <c:v>12.292999999999999</c:v>
                </c:pt>
                <c:pt idx="18">
                  <c:v>12.401999999999999</c:v>
                </c:pt>
                <c:pt idx="19">
                  <c:v>12.483000000000001</c:v>
                </c:pt>
                <c:pt idx="20">
                  <c:v>12.592000000000001</c:v>
                </c:pt>
                <c:pt idx="21">
                  <c:v>12.692</c:v>
                </c:pt>
                <c:pt idx="22">
                  <c:v>12.737</c:v>
                </c:pt>
                <c:pt idx="23">
                  <c:v>12.81</c:v>
                </c:pt>
                <c:pt idx="24">
                  <c:v>12.9</c:v>
                </c:pt>
                <c:pt idx="25">
                  <c:v>12.968</c:v>
                </c:pt>
                <c:pt idx="26">
                  <c:v>12.99</c:v>
                </c:pt>
                <c:pt idx="27">
                  <c:v>13.012</c:v>
                </c:pt>
                <c:pt idx="28">
                  <c:v>13.042</c:v>
                </c:pt>
                <c:pt idx="29">
                  <c:v>13.069000000000001</c:v>
                </c:pt>
                <c:pt idx="30">
                  <c:v>13.09</c:v>
                </c:pt>
                <c:pt idx="31">
                  <c:v>13.172000000000001</c:v>
                </c:pt>
                <c:pt idx="32">
                  <c:v>13.542</c:v>
                </c:pt>
                <c:pt idx="33">
                  <c:v>14.907999999999999</c:v>
                </c:pt>
                <c:pt idx="34">
                  <c:v>15.545999999999999</c:v>
                </c:pt>
                <c:pt idx="35">
                  <c:v>16.361999999999998</c:v>
                </c:pt>
                <c:pt idx="36">
                  <c:v>16.949000000000002</c:v>
                </c:pt>
                <c:pt idx="37">
                  <c:v>17.489999999999998</c:v>
                </c:pt>
                <c:pt idx="38">
                  <c:v>18.311</c:v>
                </c:pt>
                <c:pt idx="39">
                  <c:v>19.559000000000001</c:v>
                </c:pt>
                <c:pt idx="40">
                  <c:v>20.494</c:v>
                </c:pt>
                <c:pt idx="41">
                  <c:v>21.742000000000001</c:v>
                </c:pt>
                <c:pt idx="42">
                  <c:v>22.99</c:v>
                </c:pt>
                <c:pt idx="43">
                  <c:v>24.2</c:v>
                </c:pt>
                <c:pt idx="44">
                  <c:v>25.212</c:v>
                </c:pt>
                <c:pt idx="45">
                  <c:v>25.745000000000001</c:v>
                </c:pt>
                <c:pt idx="46">
                  <c:v>26.544</c:v>
                </c:pt>
                <c:pt idx="47">
                  <c:v>27.503</c:v>
                </c:pt>
                <c:pt idx="48">
                  <c:v>28.184999999999999</c:v>
                </c:pt>
                <c:pt idx="49">
                  <c:v>28.739000000000001</c:v>
                </c:pt>
                <c:pt idx="50">
                  <c:v>29.126000000000001</c:v>
                </c:pt>
                <c:pt idx="51">
                  <c:v>29.68</c:v>
                </c:pt>
                <c:pt idx="52">
                  <c:v>30.178999999999998</c:v>
                </c:pt>
                <c:pt idx="53">
                  <c:v>30.492999999999999</c:v>
                </c:pt>
                <c:pt idx="54">
                  <c:v>30.649000000000001</c:v>
                </c:pt>
                <c:pt idx="55">
                  <c:v>30.805</c:v>
                </c:pt>
                <c:pt idx="56">
                  <c:v>31.007999999999999</c:v>
                </c:pt>
                <c:pt idx="57">
                  <c:v>31.116</c:v>
                </c:pt>
                <c:pt idx="58">
                  <c:v>31.308</c:v>
                </c:pt>
                <c:pt idx="59">
                  <c:v>31.428000000000001</c:v>
                </c:pt>
                <c:pt idx="60">
                  <c:v>31.632000000000001</c:v>
                </c:pt>
                <c:pt idx="61">
                  <c:v>32.142000000000003</c:v>
                </c:pt>
                <c:pt idx="62">
                  <c:v>32.707999999999998</c:v>
                </c:pt>
                <c:pt idx="63">
                  <c:v>33.274000000000001</c:v>
                </c:pt>
              </c:numCache>
            </c:numRef>
          </c:xVal>
          <c:yVal>
            <c:numRef>
              <c:f>'T89-16t'!$BQ$6:$BQ$70</c:f>
              <c:numCache>
                <c:formatCode>0</c:formatCode>
                <c:ptCount val="65"/>
                <c:pt idx="4">
                  <c:v>40</c:v>
                </c:pt>
                <c:pt idx="10" formatCode="General">
                  <c:v>36</c:v>
                </c:pt>
                <c:pt idx="20" formatCode="General">
                  <c:v>17</c:v>
                </c:pt>
                <c:pt idx="28" formatCode="General">
                  <c:v>9</c:v>
                </c:pt>
                <c:pt idx="33" formatCode="General">
                  <c:v>7</c:v>
                </c:pt>
                <c:pt idx="38" formatCode="General">
                  <c:v>4</c:v>
                </c:pt>
                <c:pt idx="42">
                  <c:v>3</c:v>
                </c:pt>
                <c:pt idx="47">
                  <c:v>5</c:v>
                </c:pt>
                <c:pt idx="52">
                  <c:v>9</c:v>
                </c:pt>
                <c:pt idx="6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F4-3C4B-94CF-D27CC94CC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1710504"/>
        <c:axId val="2131716200"/>
      </c:scatterChart>
      <c:scatterChart>
        <c:scatterStyle val="lineMarker"/>
        <c:varyColors val="0"/>
        <c:ser>
          <c:idx val="1"/>
          <c:order val="1"/>
          <c:tx>
            <c:v>pachs+pachd</c:v>
          </c:tx>
          <c:marker>
            <c:symbol val="none"/>
          </c:marker>
          <c:xVal>
            <c:numRef>
              <c:f>'T89-16t'!$F$6:$F$70</c:f>
              <c:numCache>
                <c:formatCode>0.00</c:formatCode>
                <c:ptCount val="65"/>
                <c:pt idx="0">
                  <c:v>8.7033157889999995</c:v>
                </c:pt>
                <c:pt idx="1">
                  <c:v>9.0541578949999995</c:v>
                </c:pt>
                <c:pt idx="2">
                  <c:v>9.3412105260000011</c:v>
                </c:pt>
                <c:pt idx="3">
                  <c:v>9.5006842109999994</c:v>
                </c:pt>
                <c:pt idx="4">
                  <c:v>9.7398947370000002</c:v>
                </c:pt>
                <c:pt idx="5">
                  <c:v>10.058842109999999</c:v>
                </c:pt>
                <c:pt idx="6">
                  <c:v>10.298052630000001</c:v>
                </c:pt>
                <c:pt idx="7">
                  <c:v>10.53726316</c:v>
                </c:pt>
                <c:pt idx="8">
                  <c:v>10.69673684</c:v>
                </c:pt>
                <c:pt idx="9">
                  <c:v>10.935947369999999</c:v>
                </c:pt>
                <c:pt idx="10">
                  <c:v>11.095421050000001</c:v>
                </c:pt>
                <c:pt idx="11">
                  <c:v>11.33463158</c:v>
                </c:pt>
                <c:pt idx="12">
                  <c:v>11.49410526</c:v>
                </c:pt>
                <c:pt idx="13">
                  <c:v>11.76807767</c:v>
                </c:pt>
                <c:pt idx="14">
                  <c:v>12.140504849999999</c:v>
                </c:pt>
                <c:pt idx="15">
                  <c:v>12.41982524</c:v>
                </c:pt>
                <c:pt idx="16">
                  <c:v>12.54809326</c:v>
                </c:pt>
                <c:pt idx="17">
                  <c:v>12.60545078</c:v>
                </c:pt>
                <c:pt idx="18">
                  <c:v>12.681927460000001</c:v>
                </c:pt>
                <c:pt idx="19">
                  <c:v>12.73928497</c:v>
                </c:pt>
                <c:pt idx="20">
                  <c:v>12.81576166</c:v>
                </c:pt>
                <c:pt idx="21">
                  <c:v>12.90434014</c:v>
                </c:pt>
                <c:pt idx="22">
                  <c:v>12.954680270000001</c:v>
                </c:pt>
                <c:pt idx="23">
                  <c:v>13.035224490000001</c:v>
                </c:pt>
                <c:pt idx="24">
                  <c:v>13.135904759999999</c:v>
                </c:pt>
                <c:pt idx="25">
                  <c:v>13.21141497</c:v>
                </c:pt>
                <c:pt idx="26">
                  <c:v>13.234950000000001</c:v>
                </c:pt>
                <c:pt idx="27">
                  <c:v>13.25685</c:v>
                </c:pt>
                <c:pt idx="28">
                  <c:v>13.286049999999999</c:v>
                </c:pt>
                <c:pt idx="29">
                  <c:v>13.310474579999999</c:v>
                </c:pt>
                <c:pt idx="30">
                  <c:v>13.32844068</c:v>
                </c:pt>
                <c:pt idx="31">
                  <c:v>13.4115</c:v>
                </c:pt>
                <c:pt idx="32">
                  <c:v>13.8215</c:v>
                </c:pt>
                <c:pt idx="33">
                  <c:v>15.297745450000001</c:v>
                </c:pt>
                <c:pt idx="34">
                  <c:v>15.986000000000001</c:v>
                </c:pt>
                <c:pt idx="35">
                  <c:v>16.84677778</c:v>
                </c:pt>
                <c:pt idx="36">
                  <c:v>17.287833330000002</c:v>
                </c:pt>
                <c:pt idx="37">
                  <c:v>17.630333330000003</c:v>
                </c:pt>
                <c:pt idx="38">
                  <c:v>18.46874227</c:v>
                </c:pt>
                <c:pt idx="39">
                  <c:v>19.789979380000002</c:v>
                </c:pt>
                <c:pt idx="40">
                  <c:v>20.78090722</c:v>
                </c:pt>
                <c:pt idx="41">
                  <c:v>22.102144329999998</c:v>
                </c:pt>
                <c:pt idx="42">
                  <c:v>23.42338144</c:v>
                </c:pt>
                <c:pt idx="43">
                  <c:v>24.65007692</c:v>
                </c:pt>
                <c:pt idx="44">
                  <c:v>25.62784615</c:v>
                </c:pt>
                <c:pt idx="45">
                  <c:v>26.142461539999999</c:v>
                </c:pt>
                <c:pt idx="46">
                  <c:v>26.91438462</c:v>
                </c:pt>
                <c:pt idx="47">
                  <c:v>27.840692309999998</c:v>
                </c:pt>
                <c:pt idx="48">
                  <c:v>28.519914889999999</c:v>
                </c:pt>
                <c:pt idx="49">
                  <c:v>29.082468089999999</c:v>
                </c:pt>
                <c:pt idx="50">
                  <c:v>29.47625532</c:v>
                </c:pt>
                <c:pt idx="51">
                  <c:v>30.038808509999999</c:v>
                </c:pt>
                <c:pt idx="52">
                  <c:v>30.54510638</c:v>
                </c:pt>
                <c:pt idx="53">
                  <c:v>30.86361905</c:v>
                </c:pt>
                <c:pt idx="54">
                  <c:v>31.021723810000001</c:v>
                </c:pt>
                <c:pt idx="55">
                  <c:v>31.179828570000002</c:v>
                </c:pt>
                <c:pt idx="56">
                  <c:v>31.386580949999999</c:v>
                </c:pt>
                <c:pt idx="57">
                  <c:v>31.4960381</c:v>
                </c:pt>
                <c:pt idx="58">
                  <c:v>31.690628570000001</c:v>
                </c:pt>
                <c:pt idx="59">
                  <c:v>31.812247619999997</c:v>
                </c:pt>
                <c:pt idx="60">
                  <c:v>32.018999999999998</c:v>
                </c:pt>
                <c:pt idx="61">
                  <c:v>32.540999999999997</c:v>
                </c:pt>
                <c:pt idx="62">
                  <c:v>33.121000000000002</c:v>
                </c:pt>
                <c:pt idx="63">
                  <c:v>33.701000000000001</c:v>
                </c:pt>
              </c:numCache>
            </c:numRef>
          </c:xVal>
          <c:yVal>
            <c:numRef>
              <c:f>'T89-16t'!$BL$6:$BL$70</c:f>
              <c:numCache>
                <c:formatCode>0</c:formatCode>
                <c:ptCount val="65"/>
                <c:pt idx="0">
                  <c:v>30.582524271844662</c:v>
                </c:pt>
                <c:pt idx="1">
                  <c:v>27.272727272727273</c:v>
                </c:pt>
                <c:pt idx="2">
                  <c:v>8.3573487031700289</c:v>
                </c:pt>
                <c:pt idx="3">
                  <c:v>14.423076923076923</c:v>
                </c:pt>
                <c:pt idx="4">
                  <c:v>9.6590909090909083</c:v>
                </c:pt>
                <c:pt idx="5">
                  <c:v>9.1633466135458175</c:v>
                </c:pt>
                <c:pt idx="6">
                  <c:v>6.2992125984251972</c:v>
                </c:pt>
                <c:pt idx="7">
                  <c:v>6.1224489795918364</c:v>
                </c:pt>
                <c:pt idx="8">
                  <c:v>5.8201058201058204</c:v>
                </c:pt>
                <c:pt idx="9">
                  <c:v>8.8495575221238933</c:v>
                </c:pt>
                <c:pt idx="10">
                  <c:v>3.6269430051813472</c:v>
                </c:pt>
                <c:pt idx="11">
                  <c:v>7.5</c:v>
                </c:pt>
                <c:pt idx="12">
                  <c:v>7.5892857142857144</c:v>
                </c:pt>
                <c:pt idx="13">
                  <c:v>7.4074074074074074</c:v>
                </c:pt>
                <c:pt idx="14">
                  <c:v>6.9069069069069071</c:v>
                </c:pt>
                <c:pt idx="15">
                  <c:v>7.9037800687285227</c:v>
                </c:pt>
                <c:pt idx="16">
                  <c:v>11.129296235679215</c:v>
                </c:pt>
                <c:pt idx="17">
                  <c:v>10.53864168618267</c:v>
                </c:pt>
                <c:pt idx="18">
                  <c:v>8.071748878923767</c:v>
                </c:pt>
                <c:pt idx="19">
                  <c:v>5.927835051546392</c:v>
                </c:pt>
                <c:pt idx="20">
                  <c:v>3.2482598607888629</c:v>
                </c:pt>
                <c:pt idx="21">
                  <c:v>6.5610859728506785</c:v>
                </c:pt>
                <c:pt idx="22">
                  <c:v>7.6419213973799129</c:v>
                </c:pt>
                <c:pt idx="23">
                  <c:v>15.086206896551724</c:v>
                </c:pt>
                <c:pt idx="24">
                  <c:v>14.883720930232558</c:v>
                </c:pt>
                <c:pt idx="25">
                  <c:v>17.672413793103448</c:v>
                </c:pt>
                <c:pt idx="26">
                  <c:v>18.469656992084431</c:v>
                </c:pt>
                <c:pt idx="27">
                  <c:v>15.856777493606138</c:v>
                </c:pt>
                <c:pt idx="28">
                  <c:v>9.9352051835853139</c:v>
                </c:pt>
                <c:pt idx="29">
                  <c:v>10.079575596816976</c:v>
                </c:pt>
                <c:pt idx="30">
                  <c:v>9.2356687898089174</c:v>
                </c:pt>
                <c:pt idx="31">
                  <c:v>8.2725060827250605</c:v>
                </c:pt>
                <c:pt idx="32">
                  <c:v>4.2553191489361701</c:v>
                </c:pt>
                <c:pt idx="33">
                  <c:v>3.2894736842105261</c:v>
                </c:pt>
                <c:pt idx="34">
                  <c:v>4.2226487523992322</c:v>
                </c:pt>
                <c:pt idx="35">
                  <c:v>7.3770491803278686</c:v>
                </c:pt>
                <c:pt idx="36">
                  <c:v>20.963172804532579</c:v>
                </c:pt>
                <c:pt idx="37">
                  <c:v>17.857142857142858</c:v>
                </c:pt>
                <c:pt idx="38">
                  <c:v>9.2682926829268304</c:v>
                </c:pt>
                <c:pt idx="39">
                  <c:v>10.19108280254777</c:v>
                </c:pt>
                <c:pt idx="40">
                  <c:v>14.861460957178842</c:v>
                </c:pt>
                <c:pt idx="41">
                  <c:v>12.386706948640484</c:v>
                </c:pt>
                <c:pt idx="42">
                  <c:v>11.304347826086957</c:v>
                </c:pt>
                <c:pt idx="43">
                  <c:v>12.537313432835822</c:v>
                </c:pt>
                <c:pt idx="44">
                  <c:v>14.168937329700272</c:v>
                </c:pt>
                <c:pt idx="45">
                  <c:v>13.901345291479821</c:v>
                </c:pt>
                <c:pt idx="46">
                  <c:v>9.7791798107255516</c:v>
                </c:pt>
                <c:pt idx="47">
                  <c:v>11.258278145695364</c:v>
                </c:pt>
                <c:pt idx="48">
                  <c:v>16.802168021680217</c:v>
                </c:pt>
                <c:pt idx="49">
                  <c:v>15.035799522673031</c:v>
                </c:pt>
                <c:pt idx="50">
                  <c:v>13.157894736842104</c:v>
                </c:pt>
                <c:pt idx="51">
                  <c:v>9.8522167487684733</c:v>
                </c:pt>
                <c:pt idx="52">
                  <c:v>8.064516129032258</c:v>
                </c:pt>
                <c:pt idx="53">
                  <c:v>12.146892655367232</c:v>
                </c:pt>
                <c:pt idx="54">
                  <c:v>9.7014925373134329</c:v>
                </c:pt>
                <c:pt idx="55">
                  <c:v>8.7349397590361448</c:v>
                </c:pt>
                <c:pt idx="56">
                  <c:v>13.946587537091988</c:v>
                </c:pt>
                <c:pt idx="57">
                  <c:v>9.0592334494773521</c:v>
                </c:pt>
                <c:pt idx="58">
                  <c:v>4.9019607843137258</c:v>
                </c:pt>
                <c:pt idx="59">
                  <c:v>8.3333333333333321</c:v>
                </c:pt>
                <c:pt idx="60">
                  <c:v>4.9342105263157894</c:v>
                </c:pt>
                <c:pt idx="61">
                  <c:v>7.1641791044776122</c:v>
                </c:pt>
                <c:pt idx="62">
                  <c:v>7.7922077922077921</c:v>
                </c:pt>
                <c:pt idx="63">
                  <c:v>7.929515418502203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F4-3C4B-94CF-D27CC94CC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1724872"/>
        <c:axId val="2131721784"/>
      </c:scatterChart>
      <c:valAx>
        <c:axId val="2131710504"/>
        <c:scaling>
          <c:orientation val="minMax"/>
          <c:max val="35"/>
          <c:min val="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(ka)</a:t>
                </a:r>
              </a:p>
            </c:rich>
          </c:tx>
          <c:overlay val="0"/>
        </c:title>
        <c:numFmt formatCode="0.00" sourceLinked="1"/>
        <c:majorTickMark val="cross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NL"/>
          </a:p>
        </c:txPr>
        <c:crossAx val="2131716200"/>
        <c:crosses val="autoZero"/>
        <c:crossBetween val="midCat"/>
        <c:majorUnit val="5"/>
        <c:minorUnit val="1"/>
      </c:valAx>
      <c:valAx>
        <c:axId val="2131716200"/>
        <c:scaling>
          <c:orientation val="minMax"/>
          <c:max val="60"/>
        </c:scaling>
        <c:delete val="0"/>
        <c:axPos val="l"/>
        <c:majorGridlines/>
        <c:minorGridlines/>
        <c:title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2131710504"/>
        <c:crosses val="autoZero"/>
        <c:crossBetween val="midCat"/>
        <c:majorUnit val="10"/>
      </c:valAx>
      <c:valAx>
        <c:axId val="213172178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accent2"/>
                </a:solidFill>
              </a:defRPr>
            </a:pPr>
            <a:endParaRPr lang="en-NL"/>
          </a:p>
        </c:txPr>
        <c:crossAx val="2131724872"/>
        <c:crosses val="max"/>
        <c:crossBetween val="midCat"/>
      </c:valAx>
      <c:valAx>
        <c:axId val="2131724872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131721784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overlay val="0"/>
    </c:legend>
    <c:plotVisOnly val="0"/>
    <c:dispBlanksAs val="span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NL"/>
    </a:p>
  </c:txPr>
  <c:printSettings>
    <c:headerFooter>
      <c:oddHeader>&amp;f</c:oddHeader>
      <c:oddFooter>Page &amp;p</c:oddFooter>
    </c:headerFooter>
    <c:pageMargins b="1" l="0.75" r="0.75" t="1" header="0.5" footer="0.5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930561790817306E-3"/>
          <c:y val="0.115385021685163"/>
          <c:w val="0.98142193813202605"/>
          <c:h val="0.778848896374851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strRef>
              <c:f>'T89-16t'!$F$5:$F$69</c:f>
              <c:strCache>
                <c:ptCount val="65"/>
                <c:pt idx="0">
                  <c:v>Age R396</c:v>
                </c:pt>
                <c:pt idx="1">
                  <c:v>8,70</c:v>
                </c:pt>
                <c:pt idx="2">
                  <c:v>9,05</c:v>
                </c:pt>
                <c:pt idx="3">
                  <c:v>9,34</c:v>
                </c:pt>
                <c:pt idx="4">
                  <c:v>9,50</c:v>
                </c:pt>
                <c:pt idx="5">
                  <c:v>9,74</c:v>
                </c:pt>
                <c:pt idx="6">
                  <c:v>10,06</c:v>
                </c:pt>
                <c:pt idx="7">
                  <c:v>10,30</c:v>
                </c:pt>
                <c:pt idx="8">
                  <c:v>10,54</c:v>
                </c:pt>
                <c:pt idx="9">
                  <c:v>10,70</c:v>
                </c:pt>
                <c:pt idx="10">
                  <c:v>10,94</c:v>
                </c:pt>
                <c:pt idx="11">
                  <c:v>11,10</c:v>
                </c:pt>
                <c:pt idx="12">
                  <c:v>11,33</c:v>
                </c:pt>
                <c:pt idx="13">
                  <c:v>11,49</c:v>
                </c:pt>
                <c:pt idx="14">
                  <c:v>11,77</c:v>
                </c:pt>
                <c:pt idx="15">
                  <c:v>12,14</c:v>
                </c:pt>
                <c:pt idx="16">
                  <c:v>12,42</c:v>
                </c:pt>
                <c:pt idx="17">
                  <c:v>12,55</c:v>
                </c:pt>
                <c:pt idx="18">
                  <c:v>12,61</c:v>
                </c:pt>
                <c:pt idx="19">
                  <c:v>12,68</c:v>
                </c:pt>
                <c:pt idx="20">
                  <c:v>12,74</c:v>
                </c:pt>
                <c:pt idx="21">
                  <c:v>12,82</c:v>
                </c:pt>
                <c:pt idx="22">
                  <c:v>12,90</c:v>
                </c:pt>
                <c:pt idx="23">
                  <c:v>12,95</c:v>
                </c:pt>
                <c:pt idx="24">
                  <c:v>13,04</c:v>
                </c:pt>
                <c:pt idx="25">
                  <c:v>13,14</c:v>
                </c:pt>
                <c:pt idx="26">
                  <c:v>13,21</c:v>
                </c:pt>
                <c:pt idx="27">
                  <c:v>13,23</c:v>
                </c:pt>
                <c:pt idx="28">
                  <c:v>13,26</c:v>
                </c:pt>
                <c:pt idx="29">
                  <c:v>13,29</c:v>
                </c:pt>
                <c:pt idx="30">
                  <c:v>13,31</c:v>
                </c:pt>
                <c:pt idx="31">
                  <c:v>13,33</c:v>
                </c:pt>
                <c:pt idx="32">
                  <c:v>13,41</c:v>
                </c:pt>
                <c:pt idx="33">
                  <c:v>13,82</c:v>
                </c:pt>
                <c:pt idx="34">
                  <c:v>15,30</c:v>
                </c:pt>
                <c:pt idx="35">
                  <c:v>15,99</c:v>
                </c:pt>
                <c:pt idx="36">
                  <c:v>16,85</c:v>
                </c:pt>
                <c:pt idx="37">
                  <c:v>17,29</c:v>
                </c:pt>
                <c:pt idx="38">
                  <c:v>17,63</c:v>
                </c:pt>
                <c:pt idx="39">
                  <c:v>18,47</c:v>
                </c:pt>
                <c:pt idx="40">
                  <c:v>19,79</c:v>
                </c:pt>
                <c:pt idx="41">
                  <c:v>20,78</c:v>
                </c:pt>
                <c:pt idx="42">
                  <c:v>22,10</c:v>
                </c:pt>
                <c:pt idx="43">
                  <c:v>23,42</c:v>
                </c:pt>
                <c:pt idx="44">
                  <c:v>24,65</c:v>
                </c:pt>
                <c:pt idx="45">
                  <c:v>25,63</c:v>
                </c:pt>
                <c:pt idx="46">
                  <c:v>26,14</c:v>
                </c:pt>
                <c:pt idx="47">
                  <c:v>26,91</c:v>
                </c:pt>
                <c:pt idx="48">
                  <c:v>27,84</c:v>
                </c:pt>
                <c:pt idx="49">
                  <c:v>28,52</c:v>
                </c:pt>
                <c:pt idx="50">
                  <c:v>29,08</c:v>
                </c:pt>
                <c:pt idx="51">
                  <c:v>29,48</c:v>
                </c:pt>
                <c:pt idx="52">
                  <c:v>30,04</c:v>
                </c:pt>
                <c:pt idx="53">
                  <c:v>30,55</c:v>
                </c:pt>
                <c:pt idx="54">
                  <c:v>30,86</c:v>
                </c:pt>
                <c:pt idx="55">
                  <c:v>31,02</c:v>
                </c:pt>
                <c:pt idx="56">
                  <c:v>31,18</c:v>
                </c:pt>
                <c:pt idx="57">
                  <c:v>31,39</c:v>
                </c:pt>
                <c:pt idx="58">
                  <c:v>31,50</c:v>
                </c:pt>
                <c:pt idx="59">
                  <c:v>31,69</c:v>
                </c:pt>
                <c:pt idx="60">
                  <c:v>31,81</c:v>
                </c:pt>
                <c:pt idx="61">
                  <c:v>32,02</c:v>
                </c:pt>
                <c:pt idx="62">
                  <c:v>32,54</c:v>
                </c:pt>
                <c:pt idx="63">
                  <c:v>33,12</c:v>
                </c:pt>
                <c:pt idx="64">
                  <c:v>33,70</c:v>
                </c:pt>
              </c:strCache>
            </c:strRef>
          </c:xVal>
          <c:yVal>
            <c:numRef>
              <c:f>'T89-16t'!$BM$5:$BM$69</c:f>
              <c:numCache>
                <c:formatCode>0</c:formatCode>
                <c:ptCount val="65"/>
                <c:pt idx="0">
                  <c:v>0</c:v>
                </c:pt>
                <c:pt idx="1">
                  <c:v>39.805825242718448</c:v>
                </c:pt>
                <c:pt idx="2">
                  <c:v>39.393939393939391</c:v>
                </c:pt>
                <c:pt idx="3">
                  <c:v>29.10662824207493</c:v>
                </c:pt>
                <c:pt idx="4">
                  <c:v>30.769230769230774</c:v>
                </c:pt>
                <c:pt idx="5">
                  <c:v>28.409090909090907</c:v>
                </c:pt>
                <c:pt idx="6">
                  <c:v>35.059760956175296</c:v>
                </c:pt>
                <c:pt idx="7">
                  <c:v>26.771653543307085</c:v>
                </c:pt>
                <c:pt idx="8">
                  <c:v>32.142857142857139</c:v>
                </c:pt>
                <c:pt idx="9">
                  <c:v>35.978835978835981</c:v>
                </c:pt>
                <c:pt idx="10">
                  <c:v>34.513274336283189</c:v>
                </c:pt>
                <c:pt idx="11">
                  <c:v>22.279792746113987</c:v>
                </c:pt>
                <c:pt idx="12">
                  <c:v>30.987544483985765</c:v>
                </c:pt>
                <c:pt idx="13">
                  <c:v>23.660714285714288</c:v>
                </c:pt>
                <c:pt idx="14">
                  <c:v>34.814814814814817</c:v>
                </c:pt>
                <c:pt idx="15">
                  <c:v>29.42942942942943</c:v>
                </c:pt>
                <c:pt idx="16">
                  <c:v>29.209621993127147</c:v>
                </c:pt>
                <c:pt idx="17">
                  <c:v>43.53518821603928</c:v>
                </c:pt>
                <c:pt idx="18">
                  <c:v>39.344262295081968</c:v>
                </c:pt>
                <c:pt idx="19">
                  <c:v>41.255605381165921</c:v>
                </c:pt>
                <c:pt idx="20">
                  <c:v>39.432989690721655</c:v>
                </c:pt>
                <c:pt idx="21">
                  <c:v>48.259860788863108</c:v>
                </c:pt>
                <c:pt idx="22">
                  <c:v>47.285067873303163</c:v>
                </c:pt>
                <c:pt idx="23">
                  <c:v>51.091703056768559</c:v>
                </c:pt>
                <c:pt idx="24">
                  <c:v>46.982758620689658</c:v>
                </c:pt>
                <c:pt idx="25">
                  <c:v>47.441860465116278</c:v>
                </c:pt>
                <c:pt idx="26">
                  <c:v>49.137931034482762</c:v>
                </c:pt>
                <c:pt idx="27">
                  <c:v>47.229551451187334</c:v>
                </c:pt>
                <c:pt idx="28">
                  <c:v>51.918158567774938</c:v>
                </c:pt>
                <c:pt idx="29">
                  <c:v>50.323974082073434</c:v>
                </c:pt>
                <c:pt idx="30">
                  <c:v>57.294429708222808</c:v>
                </c:pt>
                <c:pt idx="31">
                  <c:v>59.872611464968152</c:v>
                </c:pt>
                <c:pt idx="32">
                  <c:v>56.934306569343065</c:v>
                </c:pt>
                <c:pt idx="33">
                  <c:v>46.808510638297875</c:v>
                </c:pt>
                <c:pt idx="34">
                  <c:v>56.798245614035089</c:v>
                </c:pt>
                <c:pt idx="35">
                  <c:v>61.420345489443378</c:v>
                </c:pt>
                <c:pt idx="36">
                  <c:v>61.202185792349724</c:v>
                </c:pt>
                <c:pt idx="37">
                  <c:v>49.291784702549577</c:v>
                </c:pt>
                <c:pt idx="38">
                  <c:v>51.785714285714285</c:v>
                </c:pt>
                <c:pt idx="39">
                  <c:v>65</c:v>
                </c:pt>
                <c:pt idx="40">
                  <c:v>69.426751592356695</c:v>
                </c:pt>
                <c:pt idx="41">
                  <c:v>61.712846347607055</c:v>
                </c:pt>
                <c:pt idx="42">
                  <c:v>61.933534743202415</c:v>
                </c:pt>
                <c:pt idx="43">
                  <c:v>63.768115942028984</c:v>
                </c:pt>
                <c:pt idx="44">
                  <c:v>60.298507462686572</c:v>
                </c:pt>
                <c:pt idx="45">
                  <c:v>67.302452316076298</c:v>
                </c:pt>
                <c:pt idx="46">
                  <c:v>59.641255605381161</c:v>
                </c:pt>
                <c:pt idx="47">
                  <c:v>29.337539432176655</c:v>
                </c:pt>
                <c:pt idx="48">
                  <c:v>64.238410596026483</c:v>
                </c:pt>
                <c:pt idx="49">
                  <c:v>59.620596205962066</c:v>
                </c:pt>
                <c:pt idx="50">
                  <c:v>63.723150357995216</c:v>
                </c:pt>
                <c:pt idx="51">
                  <c:v>58.373205741626791</c:v>
                </c:pt>
                <c:pt idx="52">
                  <c:v>55.090311986863711</c:v>
                </c:pt>
                <c:pt idx="53">
                  <c:v>53.225806451612904</c:v>
                </c:pt>
                <c:pt idx="54">
                  <c:v>56.779661016949156</c:v>
                </c:pt>
                <c:pt idx="55">
                  <c:v>65.298507462686572</c:v>
                </c:pt>
                <c:pt idx="56">
                  <c:v>67.771084337349407</c:v>
                </c:pt>
                <c:pt idx="57">
                  <c:v>64.39169139465875</c:v>
                </c:pt>
                <c:pt idx="58">
                  <c:v>71.080139372822302</c:v>
                </c:pt>
                <c:pt idx="59">
                  <c:v>67.156862745098039</c:v>
                </c:pt>
                <c:pt idx="60">
                  <c:v>65.78947368421052</c:v>
                </c:pt>
                <c:pt idx="61">
                  <c:v>63.815789473684212</c:v>
                </c:pt>
                <c:pt idx="62">
                  <c:v>66.268656716417908</c:v>
                </c:pt>
                <c:pt idx="63">
                  <c:v>72.987012987012989</c:v>
                </c:pt>
                <c:pt idx="64">
                  <c:v>68.281938325991192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FC-7D42-A104-56A93D4D0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1593544"/>
        <c:axId val="2131596968"/>
      </c:scatterChart>
      <c:valAx>
        <c:axId val="2131593544"/>
        <c:scaling>
          <c:orientation val="minMax"/>
          <c:max val="30"/>
          <c:min val="8"/>
        </c:scaling>
        <c:delete val="0"/>
        <c:axPos val="b"/>
        <c:majorTickMark val="cross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crossAx val="2131596968"/>
        <c:crosses val="autoZero"/>
        <c:crossBetween val="midCat"/>
        <c:majorUnit val="1"/>
        <c:minorUnit val="0.1"/>
      </c:valAx>
      <c:valAx>
        <c:axId val="2131596968"/>
        <c:scaling>
          <c:orientation val="minMax"/>
          <c:max val="20"/>
        </c:scaling>
        <c:delete val="0"/>
        <c:axPos val="l"/>
        <c:numFmt formatCode="0" sourceLinked="1"/>
        <c:majorTickMark val="cross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131593544"/>
        <c:crosses val="autoZero"/>
        <c:crossBetween val="midCat"/>
        <c:majorUnit val="10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NL"/>
    </a:p>
  </c:txPr>
  <c:printSettings>
    <c:headerFooter>
      <c:oddHeader>&amp;f</c:oddHeader>
      <c:oddFooter>Page &amp;p</c:oddFooter>
    </c:headerFooter>
    <c:pageMargins b="1" l="0.75" r="0.75" t="1" header="0.5" footer="0.5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rr</c:v>
          </c:tx>
          <c:spPr>
            <a:ln w="28575" cap="rnd">
              <a:solidFill>
                <a:srgbClr val="0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'T89-16t'!$F$6:$F$69</c:f>
              <c:numCache>
                <c:formatCode>0.00</c:formatCode>
                <c:ptCount val="64"/>
                <c:pt idx="0">
                  <c:v>8.7033157889999995</c:v>
                </c:pt>
                <c:pt idx="1">
                  <c:v>9.0541578949999995</c:v>
                </c:pt>
                <c:pt idx="2">
                  <c:v>9.3412105260000011</c:v>
                </c:pt>
                <c:pt idx="3">
                  <c:v>9.5006842109999994</c:v>
                </c:pt>
                <c:pt idx="4">
                  <c:v>9.7398947370000002</c:v>
                </c:pt>
                <c:pt idx="5">
                  <c:v>10.058842109999999</c:v>
                </c:pt>
                <c:pt idx="6">
                  <c:v>10.298052630000001</c:v>
                </c:pt>
                <c:pt idx="7">
                  <c:v>10.53726316</c:v>
                </c:pt>
                <c:pt idx="8">
                  <c:v>10.69673684</c:v>
                </c:pt>
                <c:pt idx="9">
                  <c:v>10.935947369999999</c:v>
                </c:pt>
                <c:pt idx="10">
                  <c:v>11.095421050000001</c:v>
                </c:pt>
                <c:pt idx="11">
                  <c:v>11.33463158</c:v>
                </c:pt>
                <c:pt idx="12">
                  <c:v>11.49410526</c:v>
                </c:pt>
                <c:pt idx="13">
                  <c:v>11.76807767</c:v>
                </c:pt>
                <c:pt idx="14">
                  <c:v>12.140504849999999</c:v>
                </c:pt>
                <c:pt idx="15">
                  <c:v>12.41982524</c:v>
                </c:pt>
                <c:pt idx="16">
                  <c:v>12.54809326</c:v>
                </c:pt>
                <c:pt idx="17">
                  <c:v>12.60545078</c:v>
                </c:pt>
                <c:pt idx="18">
                  <c:v>12.681927460000001</c:v>
                </c:pt>
                <c:pt idx="19">
                  <c:v>12.73928497</c:v>
                </c:pt>
                <c:pt idx="20">
                  <c:v>12.81576166</c:v>
                </c:pt>
                <c:pt idx="21">
                  <c:v>12.90434014</c:v>
                </c:pt>
                <c:pt idx="22">
                  <c:v>12.954680270000001</c:v>
                </c:pt>
                <c:pt idx="23">
                  <c:v>13.035224490000001</c:v>
                </c:pt>
                <c:pt idx="24">
                  <c:v>13.135904759999999</c:v>
                </c:pt>
                <c:pt idx="25">
                  <c:v>13.21141497</c:v>
                </c:pt>
                <c:pt idx="26">
                  <c:v>13.234950000000001</c:v>
                </c:pt>
                <c:pt idx="27">
                  <c:v>13.25685</c:v>
                </c:pt>
                <c:pt idx="28">
                  <c:v>13.286049999999999</c:v>
                </c:pt>
                <c:pt idx="29">
                  <c:v>13.310474579999999</c:v>
                </c:pt>
                <c:pt idx="30">
                  <c:v>13.32844068</c:v>
                </c:pt>
                <c:pt idx="31">
                  <c:v>13.4115</c:v>
                </c:pt>
                <c:pt idx="32">
                  <c:v>13.8215</c:v>
                </c:pt>
                <c:pt idx="33">
                  <c:v>15.297745450000001</c:v>
                </c:pt>
                <c:pt idx="34">
                  <c:v>15.986000000000001</c:v>
                </c:pt>
                <c:pt idx="35">
                  <c:v>16.84677778</c:v>
                </c:pt>
                <c:pt idx="36">
                  <c:v>17.287833330000002</c:v>
                </c:pt>
                <c:pt idx="37">
                  <c:v>17.630333330000003</c:v>
                </c:pt>
                <c:pt idx="38">
                  <c:v>18.46874227</c:v>
                </c:pt>
                <c:pt idx="39">
                  <c:v>19.789979380000002</c:v>
                </c:pt>
                <c:pt idx="40">
                  <c:v>20.78090722</c:v>
                </c:pt>
                <c:pt idx="41">
                  <c:v>22.102144329999998</c:v>
                </c:pt>
                <c:pt idx="42">
                  <c:v>23.42338144</c:v>
                </c:pt>
                <c:pt idx="43">
                  <c:v>24.65007692</c:v>
                </c:pt>
                <c:pt idx="44">
                  <c:v>25.62784615</c:v>
                </c:pt>
                <c:pt idx="45">
                  <c:v>26.142461539999999</c:v>
                </c:pt>
                <c:pt idx="46">
                  <c:v>26.91438462</c:v>
                </c:pt>
                <c:pt idx="47">
                  <c:v>27.840692309999998</c:v>
                </c:pt>
                <c:pt idx="48">
                  <c:v>28.519914889999999</c:v>
                </c:pt>
                <c:pt idx="49">
                  <c:v>29.082468089999999</c:v>
                </c:pt>
                <c:pt idx="50">
                  <c:v>29.47625532</c:v>
                </c:pt>
                <c:pt idx="51">
                  <c:v>30.038808509999999</c:v>
                </c:pt>
                <c:pt idx="52">
                  <c:v>30.54510638</c:v>
                </c:pt>
                <c:pt idx="53">
                  <c:v>30.86361905</c:v>
                </c:pt>
                <c:pt idx="54">
                  <c:v>31.021723810000001</c:v>
                </c:pt>
                <c:pt idx="55">
                  <c:v>31.179828570000002</c:v>
                </c:pt>
                <c:pt idx="56">
                  <c:v>31.386580949999999</c:v>
                </c:pt>
                <c:pt idx="57">
                  <c:v>31.4960381</c:v>
                </c:pt>
                <c:pt idx="58">
                  <c:v>31.690628570000001</c:v>
                </c:pt>
                <c:pt idx="59">
                  <c:v>31.812247619999997</c:v>
                </c:pt>
                <c:pt idx="60">
                  <c:v>32.018999999999998</c:v>
                </c:pt>
                <c:pt idx="61">
                  <c:v>32.540999999999997</c:v>
                </c:pt>
                <c:pt idx="62">
                  <c:v>33.121000000000002</c:v>
                </c:pt>
                <c:pt idx="63">
                  <c:v>33.701000000000001</c:v>
                </c:pt>
              </c:numCache>
            </c:numRef>
          </c:xVal>
          <c:yVal>
            <c:numRef>
              <c:f>'T89-16t'!$BM$6:$BM$69</c:f>
              <c:numCache>
                <c:formatCode>0</c:formatCode>
                <c:ptCount val="64"/>
                <c:pt idx="0">
                  <c:v>39.805825242718448</c:v>
                </c:pt>
                <c:pt idx="1">
                  <c:v>39.393939393939391</c:v>
                </c:pt>
                <c:pt idx="2">
                  <c:v>29.10662824207493</c:v>
                </c:pt>
                <c:pt idx="3">
                  <c:v>30.769230769230774</c:v>
                </c:pt>
                <c:pt idx="4">
                  <c:v>28.409090909090907</c:v>
                </c:pt>
                <c:pt idx="5">
                  <c:v>35.059760956175296</c:v>
                </c:pt>
                <c:pt idx="6">
                  <c:v>26.771653543307085</c:v>
                </c:pt>
                <c:pt idx="7">
                  <c:v>32.142857142857139</c:v>
                </c:pt>
                <c:pt idx="8">
                  <c:v>35.978835978835981</c:v>
                </c:pt>
                <c:pt idx="9">
                  <c:v>34.513274336283189</c:v>
                </c:pt>
                <c:pt idx="10">
                  <c:v>22.279792746113987</c:v>
                </c:pt>
                <c:pt idx="11">
                  <c:v>30.987544483985765</c:v>
                </c:pt>
                <c:pt idx="12">
                  <c:v>23.660714285714288</c:v>
                </c:pt>
                <c:pt idx="13">
                  <c:v>34.814814814814817</c:v>
                </c:pt>
                <c:pt idx="14">
                  <c:v>29.42942942942943</c:v>
                </c:pt>
                <c:pt idx="15">
                  <c:v>29.209621993127147</c:v>
                </c:pt>
                <c:pt idx="16">
                  <c:v>43.53518821603928</c:v>
                </c:pt>
                <c:pt idx="17">
                  <c:v>39.344262295081968</c:v>
                </c:pt>
                <c:pt idx="18">
                  <c:v>41.255605381165921</c:v>
                </c:pt>
                <c:pt idx="19">
                  <c:v>39.432989690721655</c:v>
                </c:pt>
                <c:pt idx="20">
                  <c:v>48.259860788863108</c:v>
                </c:pt>
                <c:pt idx="21">
                  <c:v>47.285067873303163</c:v>
                </c:pt>
                <c:pt idx="22">
                  <c:v>51.091703056768559</c:v>
                </c:pt>
                <c:pt idx="23">
                  <c:v>46.982758620689658</c:v>
                </c:pt>
                <c:pt idx="24">
                  <c:v>47.441860465116278</c:v>
                </c:pt>
                <c:pt idx="25">
                  <c:v>49.137931034482762</c:v>
                </c:pt>
                <c:pt idx="26">
                  <c:v>47.229551451187334</c:v>
                </c:pt>
                <c:pt idx="27">
                  <c:v>51.918158567774938</c:v>
                </c:pt>
                <c:pt idx="28">
                  <c:v>50.323974082073434</c:v>
                </c:pt>
                <c:pt idx="29">
                  <c:v>57.294429708222808</c:v>
                </c:pt>
                <c:pt idx="30">
                  <c:v>59.872611464968152</c:v>
                </c:pt>
                <c:pt idx="31">
                  <c:v>56.934306569343065</c:v>
                </c:pt>
                <c:pt idx="32">
                  <c:v>46.808510638297875</c:v>
                </c:pt>
                <c:pt idx="33">
                  <c:v>56.798245614035089</c:v>
                </c:pt>
                <c:pt idx="34">
                  <c:v>61.420345489443378</c:v>
                </c:pt>
                <c:pt idx="35">
                  <c:v>61.202185792349724</c:v>
                </c:pt>
                <c:pt idx="36">
                  <c:v>49.291784702549577</c:v>
                </c:pt>
                <c:pt idx="37">
                  <c:v>51.785714285714285</c:v>
                </c:pt>
                <c:pt idx="38">
                  <c:v>65</c:v>
                </c:pt>
                <c:pt idx="39">
                  <c:v>69.426751592356695</c:v>
                </c:pt>
                <c:pt idx="40">
                  <c:v>61.712846347607055</c:v>
                </c:pt>
                <c:pt idx="41">
                  <c:v>61.933534743202415</c:v>
                </c:pt>
                <c:pt idx="42">
                  <c:v>63.768115942028984</c:v>
                </c:pt>
                <c:pt idx="43">
                  <c:v>60.298507462686572</c:v>
                </c:pt>
                <c:pt idx="44">
                  <c:v>67.302452316076298</c:v>
                </c:pt>
                <c:pt idx="45">
                  <c:v>59.641255605381161</c:v>
                </c:pt>
                <c:pt idx="46">
                  <c:v>29.337539432176655</c:v>
                </c:pt>
                <c:pt idx="47">
                  <c:v>64.238410596026483</c:v>
                </c:pt>
                <c:pt idx="48">
                  <c:v>59.620596205962066</c:v>
                </c:pt>
                <c:pt idx="49">
                  <c:v>63.723150357995216</c:v>
                </c:pt>
                <c:pt idx="50">
                  <c:v>58.373205741626791</c:v>
                </c:pt>
                <c:pt idx="51">
                  <c:v>55.090311986863711</c:v>
                </c:pt>
                <c:pt idx="52">
                  <c:v>53.225806451612904</c:v>
                </c:pt>
                <c:pt idx="53">
                  <c:v>56.779661016949156</c:v>
                </c:pt>
                <c:pt idx="54">
                  <c:v>65.298507462686572</c:v>
                </c:pt>
                <c:pt idx="55">
                  <c:v>67.771084337349407</c:v>
                </c:pt>
                <c:pt idx="56">
                  <c:v>64.39169139465875</c:v>
                </c:pt>
                <c:pt idx="57">
                  <c:v>71.080139372822302</c:v>
                </c:pt>
                <c:pt idx="58">
                  <c:v>67.156862745098039</c:v>
                </c:pt>
                <c:pt idx="59">
                  <c:v>65.78947368421052</c:v>
                </c:pt>
                <c:pt idx="60">
                  <c:v>63.815789473684212</c:v>
                </c:pt>
                <c:pt idx="61">
                  <c:v>66.268656716417908</c:v>
                </c:pt>
                <c:pt idx="62">
                  <c:v>72.987012987012989</c:v>
                </c:pt>
                <c:pt idx="63">
                  <c:v>68.281938325991192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DC-1940-A714-45F56403809A}"/>
            </c:ext>
          </c:extLst>
        </c:ser>
        <c:ser>
          <c:idx val="1"/>
          <c:order val="1"/>
          <c:tx>
            <c:v>upw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'T89-16t'!$F$6:$F$69</c:f>
              <c:numCache>
                <c:formatCode>0.00</c:formatCode>
                <c:ptCount val="64"/>
                <c:pt idx="0">
                  <c:v>8.7033157889999995</c:v>
                </c:pt>
                <c:pt idx="1">
                  <c:v>9.0541578949999995</c:v>
                </c:pt>
                <c:pt idx="2">
                  <c:v>9.3412105260000011</c:v>
                </c:pt>
                <c:pt idx="3">
                  <c:v>9.5006842109999994</c:v>
                </c:pt>
                <c:pt idx="4">
                  <c:v>9.7398947370000002</c:v>
                </c:pt>
                <c:pt idx="5">
                  <c:v>10.058842109999999</c:v>
                </c:pt>
                <c:pt idx="6">
                  <c:v>10.298052630000001</c:v>
                </c:pt>
                <c:pt idx="7">
                  <c:v>10.53726316</c:v>
                </c:pt>
                <c:pt idx="8">
                  <c:v>10.69673684</c:v>
                </c:pt>
                <c:pt idx="9">
                  <c:v>10.935947369999999</c:v>
                </c:pt>
                <c:pt idx="10">
                  <c:v>11.095421050000001</c:v>
                </c:pt>
                <c:pt idx="11">
                  <c:v>11.33463158</c:v>
                </c:pt>
                <c:pt idx="12">
                  <c:v>11.49410526</c:v>
                </c:pt>
                <c:pt idx="13">
                  <c:v>11.76807767</c:v>
                </c:pt>
                <c:pt idx="14">
                  <c:v>12.140504849999999</c:v>
                </c:pt>
                <c:pt idx="15">
                  <c:v>12.41982524</c:v>
                </c:pt>
                <c:pt idx="16">
                  <c:v>12.54809326</c:v>
                </c:pt>
                <c:pt idx="17">
                  <c:v>12.60545078</c:v>
                </c:pt>
                <c:pt idx="18">
                  <c:v>12.681927460000001</c:v>
                </c:pt>
                <c:pt idx="19">
                  <c:v>12.73928497</c:v>
                </c:pt>
                <c:pt idx="20">
                  <c:v>12.81576166</c:v>
                </c:pt>
                <c:pt idx="21">
                  <c:v>12.90434014</c:v>
                </c:pt>
                <c:pt idx="22">
                  <c:v>12.954680270000001</c:v>
                </c:pt>
                <c:pt idx="23">
                  <c:v>13.035224490000001</c:v>
                </c:pt>
                <c:pt idx="24">
                  <c:v>13.135904759999999</c:v>
                </c:pt>
                <c:pt idx="25">
                  <c:v>13.21141497</c:v>
                </c:pt>
                <c:pt idx="26">
                  <c:v>13.234950000000001</c:v>
                </c:pt>
                <c:pt idx="27">
                  <c:v>13.25685</c:v>
                </c:pt>
                <c:pt idx="28">
                  <c:v>13.286049999999999</c:v>
                </c:pt>
                <c:pt idx="29">
                  <c:v>13.310474579999999</c:v>
                </c:pt>
                <c:pt idx="30">
                  <c:v>13.32844068</c:v>
                </c:pt>
                <c:pt idx="31">
                  <c:v>13.4115</c:v>
                </c:pt>
                <c:pt idx="32">
                  <c:v>13.8215</c:v>
                </c:pt>
                <c:pt idx="33">
                  <c:v>15.297745450000001</c:v>
                </c:pt>
                <c:pt idx="34">
                  <c:v>15.986000000000001</c:v>
                </c:pt>
                <c:pt idx="35">
                  <c:v>16.84677778</c:v>
                </c:pt>
                <c:pt idx="36">
                  <c:v>17.287833330000002</c:v>
                </c:pt>
                <c:pt idx="37">
                  <c:v>17.630333330000003</c:v>
                </c:pt>
                <c:pt idx="38">
                  <c:v>18.46874227</c:v>
                </c:pt>
                <c:pt idx="39">
                  <c:v>19.789979380000002</c:v>
                </c:pt>
                <c:pt idx="40">
                  <c:v>20.78090722</c:v>
                </c:pt>
                <c:pt idx="41">
                  <c:v>22.102144329999998</c:v>
                </c:pt>
                <c:pt idx="42">
                  <c:v>23.42338144</c:v>
                </c:pt>
                <c:pt idx="43">
                  <c:v>24.65007692</c:v>
                </c:pt>
                <c:pt idx="44">
                  <c:v>25.62784615</c:v>
                </c:pt>
                <c:pt idx="45">
                  <c:v>26.142461539999999</c:v>
                </c:pt>
                <c:pt idx="46">
                  <c:v>26.91438462</c:v>
                </c:pt>
                <c:pt idx="47">
                  <c:v>27.840692309999998</c:v>
                </c:pt>
                <c:pt idx="48">
                  <c:v>28.519914889999999</c:v>
                </c:pt>
                <c:pt idx="49">
                  <c:v>29.082468089999999</c:v>
                </c:pt>
                <c:pt idx="50">
                  <c:v>29.47625532</c:v>
                </c:pt>
                <c:pt idx="51">
                  <c:v>30.038808509999999</c:v>
                </c:pt>
                <c:pt idx="52">
                  <c:v>30.54510638</c:v>
                </c:pt>
                <c:pt idx="53">
                  <c:v>30.86361905</c:v>
                </c:pt>
                <c:pt idx="54">
                  <c:v>31.021723810000001</c:v>
                </c:pt>
                <c:pt idx="55">
                  <c:v>31.179828570000002</c:v>
                </c:pt>
                <c:pt idx="56">
                  <c:v>31.386580949999999</c:v>
                </c:pt>
                <c:pt idx="57">
                  <c:v>31.4960381</c:v>
                </c:pt>
                <c:pt idx="58">
                  <c:v>31.690628570000001</c:v>
                </c:pt>
                <c:pt idx="59">
                  <c:v>31.812247619999997</c:v>
                </c:pt>
                <c:pt idx="60">
                  <c:v>32.018999999999998</c:v>
                </c:pt>
                <c:pt idx="61">
                  <c:v>32.540999999999997</c:v>
                </c:pt>
                <c:pt idx="62">
                  <c:v>33.121000000000002</c:v>
                </c:pt>
                <c:pt idx="63">
                  <c:v>33.701000000000001</c:v>
                </c:pt>
              </c:numCache>
            </c:numRef>
          </c:xVal>
          <c:yVal>
            <c:numRef>
              <c:f>'T89-16t'!$H$6:$H$69</c:f>
              <c:numCache>
                <c:formatCode>0.00</c:formatCode>
                <c:ptCount val="64"/>
                <c:pt idx="0">
                  <c:v>8.7378640776699026</c:v>
                </c:pt>
                <c:pt idx="1">
                  <c:v>9.0909090909090917</c:v>
                </c:pt>
                <c:pt idx="2">
                  <c:v>21.32564841498559</c:v>
                </c:pt>
                <c:pt idx="3">
                  <c:v>17.948717948717949</c:v>
                </c:pt>
                <c:pt idx="4">
                  <c:v>25.568181818181817</c:v>
                </c:pt>
                <c:pt idx="5">
                  <c:v>19.52191235059761</c:v>
                </c:pt>
                <c:pt idx="6">
                  <c:v>21.259842519685041</c:v>
                </c:pt>
                <c:pt idx="7">
                  <c:v>18.877551020408163</c:v>
                </c:pt>
                <c:pt idx="8">
                  <c:v>21.164021164021165</c:v>
                </c:pt>
                <c:pt idx="9">
                  <c:v>23.451327433628318</c:v>
                </c:pt>
                <c:pt idx="10">
                  <c:v>23.834196891191709</c:v>
                </c:pt>
                <c:pt idx="11">
                  <c:v>27.758007117437721</c:v>
                </c:pt>
                <c:pt idx="12">
                  <c:v>24.553571428571427</c:v>
                </c:pt>
                <c:pt idx="13">
                  <c:v>24.938271604938272</c:v>
                </c:pt>
                <c:pt idx="14">
                  <c:v>17.417417417417418</c:v>
                </c:pt>
                <c:pt idx="15">
                  <c:v>27.835051546391753</c:v>
                </c:pt>
                <c:pt idx="16">
                  <c:v>16.366612111292962</c:v>
                </c:pt>
                <c:pt idx="17">
                  <c:v>18.969555035128806</c:v>
                </c:pt>
                <c:pt idx="18">
                  <c:v>16.143497757847534</c:v>
                </c:pt>
                <c:pt idx="19">
                  <c:v>11.340206185567011</c:v>
                </c:pt>
                <c:pt idx="20">
                  <c:v>9.976798143851509</c:v>
                </c:pt>
                <c:pt idx="21">
                  <c:v>9.7285067873303159</c:v>
                </c:pt>
                <c:pt idx="22">
                  <c:v>8.9519650655021827</c:v>
                </c:pt>
                <c:pt idx="23">
                  <c:v>12.068965517241379</c:v>
                </c:pt>
                <c:pt idx="24">
                  <c:v>9.7674418604651159</c:v>
                </c:pt>
                <c:pt idx="25">
                  <c:v>12.5</c:v>
                </c:pt>
                <c:pt idx="26">
                  <c:v>10.29023746701847</c:v>
                </c:pt>
                <c:pt idx="27">
                  <c:v>7.6726342710997439</c:v>
                </c:pt>
                <c:pt idx="28">
                  <c:v>6.2634989200863931</c:v>
                </c:pt>
                <c:pt idx="29">
                  <c:v>4.7745358090185679</c:v>
                </c:pt>
                <c:pt idx="30">
                  <c:v>6.369426751592357</c:v>
                </c:pt>
                <c:pt idx="31">
                  <c:v>6.8126520681265204</c:v>
                </c:pt>
                <c:pt idx="32">
                  <c:v>7.6595744680851068</c:v>
                </c:pt>
                <c:pt idx="33">
                  <c:v>5.2631578947368425</c:v>
                </c:pt>
                <c:pt idx="34">
                  <c:v>8.2533589251439547</c:v>
                </c:pt>
                <c:pt idx="35">
                  <c:v>8.4699453551912569</c:v>
                </c:pt>
                <c:pt idx="36">
                  <c:v>10.76487252124646</c:v>
                </c:pt>
                <c:pt idx="37">
                  <c:v>8.0357142857142865</c:v>
                </c:pt>
                <c:pt idx="38">
                  <c:v>3.4146341463414633</c:v>
                </c:pt>
                <c:pt idx="39">
                  <c:v>3.1847133757961785</c:v>
                </c:pt>
                <c:pt idx="40">
                  <c:v>3.5264483627204029</c:v>
                </c:pt>
                <c:pt idx="41">
                  <c:v>2.1148036253776437</c:v>
                </c:pt>
                <c:pt idx="42">
                  <c:v>1.4492753623188406</c:v>
                </c:pt>
                <c:pt idx="43">
                  <c:v>1.1940298507462686</c:v>
                </c:pt>
                <c:pt idx="44">
                  <c:v>3.2697547683923704</c:v>
                </c:pt>
                <c:pt idx="45">
                  <c:v>7.1748878923766819</c:v>
                </c:pt>
                <c:pt idx="46">
                  <c:v>10.725552050473187</c:v>
                </c:pt>
                <c:pt idx="47">
                  <c:v>4.9668874172185431</c:v>
                </c:pt>
                <c:pt idx="48">
                  <c:v>3.5230352303523036</c:v>
                </c:pt>
                <c:pt idx="49">
                  <c:v>3.3412887828162292</c:v>
                </c:pt>
                <c:pt idx="50">
                  <c:v>3.1100478468899522</c:v>
                </c:pt>
                <c:pt idx="51">
                  <c:v>7.1428571428571432</c:v>
                </c:pt>
                <c:pt idx="52">
                  <c:v>8.870967741935484</c:v>
                </c:pt>
                <c:pt idx="53">
                  <c:v>6.4971751412429377</c:v>
                </c:pt>
                <c:pt idx="54">
                  <c:v>2.9850746268656718</c:v>
                </c:pt>
                <c:pt idx="55">
                  <c:v>4.8192771084337354</c:v>
                </c:pt>
                <c:pt idx="56">
                  <c:v>2.9673590504451037</c:v>
                </c:pt>
                <c:pt idx="57">
                  <c:v>0.69686411149825789</c:v>
                </c:pt>
                <c:pt idx="58">
                  <c:v>2.4509803921568629</c:v>
                </c:pt>
                <c:pt idx="59">
                  <c:v>2.6315789473684212</c:v>
                </c:pt>
                <c:pt idx="60">
                  <c:v>2.6315789473684212</c:v>
                </c:pt>
                <c:pt idx="61">
                  <c:v>2.3880597014925371</c:v>
                </c:pt>
                <c:pt idx="62">
                  <c:v>2.0779220779220777</c:v>
                </c:pt>
                <c:pt idx="63">
                  <c:v>2.4229074889867843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DC-1940-A714-45F564038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1984399"/>
        <c:axId val="1573560031"/>
      </c:scatterChart>
      <c:valAx>
        <c:axId val="1571984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573560031"/>
        <c:crosses val="autoZero"/>
        <c:crossBetween val="midCat"/>
      </c:valAx>
      <c:valAx>
        <c:axId val="157356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5719843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Paleoproductivity</a:t>
            </a:r>
            <a:r>
              <a:rPr lang="nl-NL" baseline="0"/>
              <a:t> using p/p+b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'T89-16t'!$F$6:$F$69</c:f>
              <c:numCache>
                <c:formatCode>0.00</c:formatCode>
                <c:ptCount val="64"/>
                <c:pt idx="0">
                  <c:v>8.7033157889999995</c:v>
                </c:pt>
                <c:pt idx="1">
                  <c:v>9.0541578949999995</c:v>
                </c:pt>
                <c:pt idx="2">
                  <c:v>9.3412105260000011</c:v>
                </c:pt>
                <c:pt idx="3">
                  <c:v>9.5006842109999994</c:v>
                </c:pt>
                <c:pt idx="4">
                  <c:v>9.7398947370000002</c:v>
                </c:pt>
                <c:pt idx="5">
                  <c:v>10.058842109999999</c:v>
                </c:pt>
                <c:pt idx="6">
                  <c:v>10.298052630000001</c:v>
                </c:pt>
                <c:pt idx="7">
                  <c:v>10.53726316</c:v>
                </c:pt>
                <c:pt idx="8">
                  <c:v>10.69673684</c:v>
                </c:pt>
                <c:pt idx="9">
                  <c:v>10.935947369999999</c:v>
                </c:pt>
                <c:pt idx="10">
                  <c:v>11.095421050000001</c:v>
                </c:pt>
                <c:pt idx="11">
                  <c:v>11.33463158</c:v>
                </c:pt>
                <c:pt idx="12">
                  <c:v>11.49410526</c:v>
                </c:pt>
                <c:pt idx="13">
                  <c:v>11.76807767</c:v>
                </c:pt>
                <c:pt idx="14">
                  <c:v>12.140504849999999</c:v>
                </c:pt>
                <c:pt idx="15">
                  <c:v>12.41982524</c:v>
                </c:pt>
                <c:pt idx="16">
                  <c:v>12.54809326</c:v>
                </c:pt>
                <c:pt idx="17">
                  <c:v>12.60545078</c:v>
                </c:pt>
                <c:pt idx="18">
                  <c:v>12.681927460000001</c:v>
                </c:pt>
                <c:pt idx="19">
                  <c:v>12.73928497</c:v>
                </c:pt>
                <c:pt idx="20">
                  <c:v>12.81576166</c:v>
                </c:pt>
                <c:pt idx="21">
                  <c:v>12.90434014</c:v>
                </c:pt>
                <c:pt idx="22">
                  <c:v>12.954680270000001</c:v>
                </c:pt>
                <c:pt idx="23">
                  <c:v>13.035224490000001</c:v>
                </c:pt>
                <c:pt idx="24">
                  <c:v>13.135904759999999</c:v>
                </c:pt>
                <c:pt idx="25">
                  <c:v>13.21141497</c:v>
                </c:pt>
                <c:pt idx="26">
                  <c:v>13.234950000000001</c:v>
                </c:pt>
                <c:pt idx="27">
                  <c:v>13.25685</c:v>
                </c:pt>
                <c:pt idx="28">
                  <c:v>13.286049999999999</c:v>
                </c:pt>
                <c:pt idx="29">
                  <c:v>13.310474579999999</c:v>
                </c:pt>
                <c:pt idx="30">
                  <c:v>13.32844068</c:v>
                </c:pt>
                <c:pt idx="31">
                  <c:v>13.4115</c:v>
                </c:pt>
                <c:pt idx="32">
                  <c:v>13.8215</c:v>
                </c:pt>
                <c:pt idx="33">
                  <c:v>15.297745450000001</c:v>
                </c:pt>
                <c:pt idx="34">
                  <c:v>15.986000000000001</c:v>
                </c:pt>
                <c:pt idx="35">
                  <c:v>16.84677778</c:v>
                </c:pt>
                <c:pt idx="36">
                  <c:v>17.287833330000002</c:v>
                </c:pt>
                <c:pt idx="37">
                  <c:v>17.630333330000003</c:v>
                </c:pt>
                <c:pt idx="38">
                  <c:v>18.46874227</c:v>
                </c:pt>
                <c:pt idx="39">
                  <c:v>19.789979380000002</c:v>
                </c:pt>
                <c:pt idx="40">
                  <c:v>20.78090722</c:v>
                </c:pt>
                <c:pt idx="41">
                  <c:v>22.102144329999998</c:v>
                </c:pt>
                <c:pt idx="42">
                  <c:v>23.42338144</c:v>
                </c:pt>
                <c:pt idx="43">
                  <c:v>24.65007692</c:v>
                </c:pt>
                <c:pt idx="44">
                  <c:v>25.62784615</c:v>
                </c:pt>
                <c:pt idx="45">
                  <c:v>26.142461539999999</c:v>
                </c:pt>
                <c:pt idx="46">
                  <c:v>26.91438462</c:v>
                </c:pt>
                <c:pt idx="47">
                  <c:v>27.840692309999998</c:v>
                </c:pt>
                <c:pt idx="48">
                  <c:v>28.519914889999999</c:v>
                </c:pt>
                <c:pt idx="49">
                  <c:v>29.082468089999999</c:v>
                </c:pt>
                <c:pt idx="50">
                  <c:v>29.47625532</c:v>
                </c:pt>
                <c:pt idx="51">
                  <c:v>30.038808509999999</c:v>
                </c:pt>
                <c:pt idx="52">
                  <c:v>30.54510638</c:v>
                </c:pt>
                <c:pt idx="53">
                  <c:v>30.86361905</c:v>
                </c:pt>
                <c:pt idx="54">
                  <c:v>31.021723810000001</c:v>
                </c:pt>
                <c:pt idx="55">
                  <c:v>31.179828570000002</c:v>
                </c:pt>
                <c:pt idx="56">
                  <c:v>31.386580949999999</c:v>
                </c:pt>
                <c:pt idx="57">
                  <c:v>31.4960381</c:v>
                </c:pt>
                <c:pt idx="58">
                  <c:v>31.690628570000001</c:v>
                </c:pt>
                <c:pt idx="59">
                  <c:v>31.812247619999997</c:v>
                </c:pt>
                <c:pt idx="60">
                  <c:v>32.018999999999998</c:v>
                </c:pt>
                <c:pt idx="61">
                  <c:v>32.540999999999997</c:v>
                </c:pt>
                <c:pt idx="62">
                  <c:v>33.121000000000002</c:v>
                </c:pt>
                <c:pt idx="63">
                  <c:v>33.701000000000001</c:v>
                </c:pt>
              </c:numCache>
            </c:numRef>
          </c:xVal>
          <c:yVal>
            <c:numRef>
              <c:f>'T89-16t'!$AT$6:$AT$69</c:f>
              <c:numCache>
                <c:formatCode>General</c:formatCode>
                <c:ptCount val="64"/>
                <c:pt idx="0">
                  <c:v>58.5</c:v>
                </c:pt>
                <c:pt idx="1">
                  <c:v>42.31</c:v>
                </c:pt>
                <c:pt idx="2">
                  <c:v>61.2</c:v>
                </c:pt>
                <c:pt idx="3">
                  <c:v>57.46</c:v>
                </c:pt>
                <c:pt idx="4">
                  <c:v>54.5</c:v>
                </c:pt>
                <c:pt idx="5">
                  <c:v>50.5</c:v>
                </c:pt>
                <c:pt idx="6">
                  <c:v>50.6</c:v>
                </c:pt>
                <c:pt idx="7">
                  <c:v>45.5</c:v>
                </c:pt>
                <c:pt idx="8">
                  <c:v>44.4</c:v>
                </c:pt>
                <c:pt idx="9">
                  <c:v>44.9</c:v>
                </c:pt>
                <c:pt idx="10">
                  <c:v>43.7</c:v>
                </c:pt>
                <c:pt idx="11">
                  <c:v>51.6</c:v>
                </c:pt>
                <c:pt idx="12">
                  <c:v>57.4</c:v>
                </c:pt>
                <c:pt idx="13">
                  <c:v>58</c:v>
                </c:pt>
                <c:pt idx="14">
                  <c:v>50.2</c:v>
                </c:pt>
                <c:pt idx="15">
                  <c:v>40.799999999999997</c:v>
                </c:pt>
                <c:pt idx="16">
                  <c:v>42.7</c:v>
                </c:pt>
                <c:pt idx="17">
                  <c:v>41.7</c:v>
                </c:pt>
                <c:pt idx="18">
                  <c:v>46.9</c:v>
                </c:pt>
                <c:pt idx="19">
                  <c:v>52.1</c:v>
                </c:pt>
                <c:pt idx="20">
                  <c:v>77.900000000000006</c:v>
                </c:pt>
                <c:pt idx="21">
                  <c:v>78.5</c:v>
                </c:pt>
                <c:pt idx="22">
                  <c:v>79.900000000000006</c:v>
                </c:pt>
                <c:pt idx="23">
                  <c:v>18.2</c:v>
                </c:pt>
                <c:pt idx="24">
                  <c:v>26.3</c:v>
                </c:pt>
                <c:pt idx="25">
                  <c:v>42.7</c:v>
                </c:pt>
                <c:pt idx="26">
                  <c:v>33</c:v>
                </c:pt>
                <c:pt idx="27">
                  <c:v>60.6</c:v>
                </c:pt>
                <c:pt idx="28">
                  <c:v>64.2</c:v>
                </c:pt>
                <c:pt idx="29">
                  <c:v>78.2</c:v>
                </c:pt>
                <c:pt idx="30">
                  <c:v>74.8</c:v>
                </c:pt>
                <c:pt idx="31">
                  <c:v>84.2</c:v>
                </c:pt>
                <c:pt idx="32">
                  <c:v>75.599999999999994</c:v>
                </c:pt>
                <c:pt idx="33">
                  <c:v>84.1</c:v>
                </c:pt>
                <c:pt idx="34">
                  <c:v>80.7</c:v>
                </c:pt>
                <c:pt idx="35">
                  <c:v>82.6</c:v>
                </c:pt>
                <c:pt idx="36">
                  <c:v>38.700000000000003</c:v>
                </c:pt>
                <c:pt idx="37">
                  <c:v>11</c:v>
                </c:pt>
                <c:pt idx="38">
                  <c:v>43.8</c:v>
                </c:pt>
                <c:pt idx="39">
                  <c:v>64.099999999999994</c:v>
                </c:pt>
                <c:pt idx="40">
                  <c:v>37.700000000000003</c:v>
                </c:pt>
                <c:pt idx="41">
                  <c:v>63.3</c:v>
                </c:pt>
                <c:pt idx="42">
                  <c:v>65.7</c:v>
                </c:pt>
                <c:pt idx="43">
                  <c:v>68</c:v>
                </c:pt>
                <c:pt idx="44">
                  <c:v>72</c:v>
                </c:pt>
                <c:pt idx="45">
                  <c:v>65.599999999999994</c:v>
                </c:pt>
                <c:pt idx="46">
                  <c:v>72.400000000000006</c:v>
                </c:pt>
                <c:pt idx="47">
                  <c:v>64.5</c:v>
                </c:pt>
                <c:pt idx="48">
                  <c:v>33.200000000000003</c:v>
                </c:pt>
                <c:pt idx="49">
                  <c:v>33.299999999999997</c:v>
                </c:pt>
                <c:pt idx="50">
                  <c:v>30.4</c:v>
                </c:pt>
                <c:pt idx="51">
                  <c:v>63.1</c:v>
                </c:pt>
                <c:pt idx="52">
                  <c:v>65.3</c:v>
                </c:pt>
                <c:pt idx="53">
                  <c:v>49.5</c:v>
                </c:pt>
                <c:pt idx="54">
                  <c:v>33.700000000000003</c:v>
                </c:pt>
                <c:pt idx="55">
                  <c:v>48</c:v>
                </c:pt>
                <c:pt idx="56">
                  <c:v>30.3</c:v>
                </c:pt>
                <c:pt idx="57">
                  <c:v>48.4</c:v>
                </c:pt>
                <c:pt idx="58">
                  <c:v>54.7</c:v>
                </c:pt>
                <c:pt idx="59">
                  <c:v>41.6</c:v>
                </c:pt>
                <c:pt idx="60">
                  <c:v>69.900000000000006</c:v>
                </c:pt>
                <c:pt idx="61">
                  <c:v>65.900000000000006</c:v>
                </c:pt>
                <c:pt idx="62">
                  <c:v>67</c:v>
                </c:pt>
                <c:pt idx="63">
                  <c:v>48.8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8E-428D-BC94-A4C4CBA1C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461592"/>
        <c:axId val="357460152"/>
      </c:scatterChart>
      <c:valAx>
        <c:axId val="357461592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57460152"/>
        <c:crosses val="autoZero"/>
        <c:crossBetween val="midCat"/>
      </c:valAx>
      <c:valAx>
        <c:axId val="357460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p/p+b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57461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Planktonic forminifera</a:t>
            </a:r>
            <a:r>
              <a:rPr lang="nl-NL" baseline="0"/>
              <a:t>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'T89-16t'!$F$6:$F$69</c:f>
              <c:numCache>
                <c:formatCode>0.00</c:formatCode>
                <c:ptCount val="64"/>
                <c:pt idx="0">
                  <c:v>8.7033157889999995</c:v>
                </c:pt>
                <c:pt idx="1">
                  <c:v>9.0541578949999995</c:v>
                </c:pt>
                <c:pt idx="2">
                  <c:v>9.3412105260000011</c:v>
                </c:pt>
                <c:pt idx="3">
                  <c:v>9.5006842109999994</c:v>
                </c:pt>
                <c:pt idx="4">
                  <c:v>9.7398947370000002</c:v>
                </c:pt>
                <c:pt idx="5">
                  <c:v>10.058842109999999</c:v>
                </c:pt>
                <c:pt idx="6">
                  <c:v>10.298052630000001</c:v>
                </c:pt>
                <c:pt idx="7">
                  <c:v>10.53726316</c:v>
                </c:pt>
                <c:pt idx="8">
                  <c:v>10.69673684</c:v>
                </c:pt>
                <c:pt idx="9">
                  <c:v>10.935947369999999</c:v>
                </c:pt>
                <c:pt idx="10">
                  <c:v>11.095421050000001</c:v>
                </c:pt>
                <c:pt idx="11">
                  <c:v>11.33463158</c:v>
                </c:pt>
                <c:pt idx="12">
                  <c:v>11.49410526</c:v>
                </c:pt>
                <c:pt idx="13">
                  <c:v>11.76807767</c:v>
                </c:pt>
                <c:pt idx="14">
                  <c:v>12.140504849999999</c:v>
                </c:pt>
                <c:pt idx="15">
                  <c:v>12.41982524</c:v>
                </c:pt>
                <c:pt idx="16">
                  <c:v>12.54809326</c:v>
                </c:pt>
                <c:pt idx="17">
                  <c:v>12.60545078</c:v>
                </c:pt>
                <c:pt idx="18">
                  <c:v>12.681927460000001</c:v>
                </c:pt>
                <c:pt idx="19">
                  <c:v>12.73928497</c:v>
                </c:pt>
                <c:pt idx="20">
                  <c:v>12.81576166</c:v>
                </c:pt>
                <c:pt idx="21">
                  <c:v>12.90434014</c:v>
                </c:pt>
                <c:pt idx="22">
                  <c:v>12.954680270000001</c:v>
                </c:pt>
                <c:pt idx="23">
                  <c:v>13.035224490000001</c:v>
                </c:pt>
                <c:pt idx="24">
                  <c:v>13.135904759999999</c:v>
                </c:pt>
                <c:pt idx="25">
                  <c:v>13.21141497</c:v>
                </c:pt>
                <c:pt idx="26">
                  <c:v>13.234950000000001</c:v>
                </c:pt>
                <c:pt idx="27">
                  <c:v>13.25685</c:v>
                </c:pt>
                <c:pt idx="28">
                  <c:v>13.286049999999999</c:v>
                </c:pt>
                <c:pt idx="29">
                  <c:v>13.310474579999999</c:v>
                </c:pt>
                <c:pt idx="30">
                  <c:v>13.32844068</c:v>
                </c:pt>
                <c:pt idx="31">
                  <c:v>13.4115</c:v>
                </c:pt>
                <c:pt idx="32">
                  <c:v>13.8215</c:v>
                </c:pt>
                <c:pt idx="33">
                  <c:v>15.297745450000001</c:v>
                </c:pt>
                <c:pt idx="34">
                  <c:v>15.986000000000001</c:v>
                </c:pt>
                <c:pt idx="35">
                  <c:v>16.84677778</c:v>
                </c:pt>
                <c:pt idx="36">
                  <c:v>17.287833330000002</c:v>
                </c:pt>
                <c:pt idx="37">
                  <c:v>17.630333330000003</c:v>
                </c:pt>
                <c:pt idx="38">
                  <c:v>18.46874227</c:v>
                </c:pt>
                <c:pt idx="39">
                  <c:v>19.789979380000002</c:v>
                </c:pt>
                <c:pt idx="40">
                  <c:v>20.78090722</c:v>
                </c:pt>
                <c:pt idx="41">
                  <c:v>22.102144329999998</c:v>
                </c:pt>
                <c:pt idx="42">
                  <c:v>23.42338144</c:v>
                </c:pt>
                <c:pt idx="43">
                  <c:v>24.65007692</c:v>
                </c:pt>
                <c:pt idx="44">
                  <c:v>25.62784615</c:v>
                </c:pt>
                <c:pt idx="45">
                  <c:v>26.142461539999999</c:v>
                </c:pt>
                <c:pt idx="46">
                  <c:v>26.91438462</c:v>
                </c:pt>
                <c:pt idx="47">
                  <c:v>27.840692309999998</c:v>
                </c:pt>
                <c:pt idx="48">
                  <c:v>28.519914889999999</c:v>
                </c:pt>
                <c:pt idx="49">
                  <c:v>29.082468089999999</c:v>
                </c:pt>
                <c:pt idx="50">
                  <c:v>29.47625532</c:v>
                </c:pt>
                <c:pt idx="51">
                  <c:v>30.038808509999999</c:v>
                </c:pt>
                <c:pt idx="52">
                  <c:v>30.54510638</c:v>
                </c:pt>
                <c:pt idx="53">
                  <c:v>30.86361905</c:v>
                </c:pt>
                <c:pt idx="54">
                  <c:v>31.021723810000001</c:v>
                </c:pt>
                <c:pt idx="55">
                  <c:v>31.179828570000002</c:v>
                </c:pt>
                <c:pt idx="56">
                  <c:v>31.386580949999999</c:v>
                </c:pt>
                <c:pt idx="57">
                  <c:v>31.4960381</c:v>
                </c:pt>
                <c:pt idx="58">
                  <c:v>31.690628570000001</c:v>
                </c:pt>
                <c:pt idx="59">
                  <c:v>31.812247619999997</c:v>
                </c:pt>
                <c:pt idx="60">
                  <c:v>32.018999999999998</c:v>
                </c:pt>
                <c:pt idx="61">
                  <c:v>32.540999999999997</c:v>
                </c:pt>
                <c:pt idx="62">
                  <c:v>33.121000000000002</c:v>
                </c:pt>
                <c:pt idx="63">
                  <c:v>33.701000000000001</c:v>
                </c:pt>
              </c:numCache>
            </c:numRef>
          </c:xVal>
          <c:yVal>
            <c:numRef>
              <c:f>'T89-16t'!$AR$6:$AR$69</c:f>
              <c:numCache>
                <c:formatCode>0</c:formatCode>
                <c:ptCount val="64"/>
                <c:pt idx="0">
                  <c:v>16.53290529695024</c:v>
                </c:pt>
                <c:pt idx="1">
                  <c:v>2.8156996587030716</c:v>
                </c:pt>
                <c:pt idx="2">
                  <c:v>29.481733220050977</c:v>
                </c:pt>
                <c:pt idx="3">
                  <c:v>23.335826477187734</c:v>
                </c:pt>
                <c:pt idx="4">
                  <c:v>18.965517241379313</c:v>
                </c:pt>
                <c:pt idx="5">
                  <c:v>26.730564430244939</c:v>
                </c:pt>
                <c:pt idx="6">
                  <c:v>15.375302663438257</c:v>
                </c:pt>
                <c:pt idx="7">
                  <c:v>23.642943305186975</c:v>
                </c:pt>
                <c:pt idx="8">
                  <c:v>18.243243243243246</c:v>
                </c:pt>
                <c:pt idx="9">
                  <c:v>21.963070942662782</c:v>
                </c:pt>
                <c:pt idx="10">
                  <c:v>22.107674684994272</c:v>
                </c:pt>
                <c:pt idx="11">
                  <c:v>23.593618807724599</c:v>
                </c:pt>
                <c:pt idx="12">
                  <c:v>22.672064777327932</c:v>
                </c:pt>
                <c:pt idx="13">
                  <c:v>40.867810292633706</c:v>
                </c:pt>
                <c:pt idx="14">
                  <c:v>27.452596867271225</c:v>
                </c:pt>
                <c:pt idx="15">
                  <c:v>26.169064748201439</c:v>
                </c:pt>
                <c:pt idx="16">
                  <c:v>44.339622641509436</c:v>
                </c:pt>
                <c:pt idx="17">
                  <c:v>32.745398773006137</c:v>
                </c:pt>
                <c:pt idx="18">
                  <c:v>42.597898758357211</c:v>
                </c:pt>
                <c:pt idx="19">
                  <c:v>69.409660107334531</c:v>
                </c:pt>
                <c:pt idx="20">
                  <c:v>264.21455938697318</c:v>
                </c:pt>
                <c:pt idx="21">
                  <c:v>262.89962825278809</c:v>
                </c:pt>
                <c:pt idx="22">
                  <c:v>240.10484927916121</c:v>
                </c:pt>
                <c:pt idx="23">
                  <c:v>36.942675159235669</c:v>
                </c:pt>
                <c:pt idx="24">
                  <c:v>61.16642958748222</c:v>
                </c:pt>
                <c:pt idx="25">
                  <c:v>61.661129568106311</c:v>
                </c:pt>
                <c:pt idx="26">
                  <c:v>60.981496379726472</c:v>
                </c:pt>
                <c:pt idx="27">
                  <c:v>101.42671854734111</c:v>
                </c:pt>
                <c:pt idx="28">
                  <c:v>116.84542586750788</c:v>
                </c:pt>
                <c:pt idx="29">
                  <c:v>207.2852233676976</c:v>
                </c:pt>
                <c:pt idx="30">
                  <c:v>205.22875816993465</c:v>
                </c:pt>
                <c:pt idx="31">
                  <c:v>240</c:v>
                </c:pt>
                <c:pt idx="32">
                  <c:v>220.26947861745754</c:v>
                </c:pt>
                <c:pt idx="33">
                  <c:v>534.11420204978037</c:v>
                </c:pt>
                <c:pt idx="34">
                  <c:v>589.11660777385157</c:v>
                </c:pt>
                <c:pt idx="35">
                  <c:v>441.96226415094338</c:v>
                </c:pt>
                <c:pt idx="36">
                  <c:v>104.98141263940521</c:v>
                </c:pt>
                <c:pt idx="37">
                  <c:v>69.51124903025601</c:v>
                </c:pt>
                <c:pt idx="38">
                  <c:v>918.76750700280115</c:v>
                </c:pt>
                <c:pt idx="39">
                  <c:v>783.77535101404055</c:v>
                </c:pt>
                <c:pt idx="40">
                  <c:v>783.71375694016035</c:v>
                </c:pt>
                <c:pt idx="41">
                  <c:v>1317.4129353233832</c:v>
                </c:pt>
                <c:pt idx="42">
                  <c:v>1330.9222423146473</c:v>
                </c:pt>
                <c:pt idx="43">
                  <c:v>1210.6154714850366</c:v>
                </c:pt>
                <c:pt idx="44">
                  <c:v>348.90077243018425</c:v>
                </c:pt>
                <c:pt idx="45">
                  <c:v>367.6455435342607</c:v>
                </c:pt>
                <c:pt idx="46">
                  <c:v>246.69260700389106</c:v>
                </c:pt>
                <c:pt idx="47">
                  <c:v>333.70165745856355</c:v>
                </c:pt>
                <c:pt idx="48">
                  <c:v>855.65217391304338</c:v>
                </c:pt>
                <c:pt idx="49">
                  <c:v>1045.8658346333852</c:v>
                </c:pt>
                <c:pt idx="50">
                  <c:v>454.96598639455783</c:v>
                </c:pt>
                <c:pt idx="51">
                  <c:v>250.74626865671641</c:v>
                </c:pt>
                <c:pt idx="52">
                  <c:v>264.18109187749667</c:v>
                </c:pt>
                <c:pt idx="53">
                  <c:v>362.3800383877159</c:v>
                </c:pt>
                <c:pt idx="54">
                  <c:v>572.11474316210808</c:v>
                </c:pt>
                <c:pt idx="55">
                  <c:v>388.02045288531775</c:v>
                </c:pt>
                <c:pt idx="56">
                  <c:v>180.21390374331548</c:v>
                </c:pt>
                <c:pt idx="57">
                  <c:v>596.36363636363637</c:v>
                </c:pt>
                <c:pt idx="58">
                  <c:v>393.25301204819272</c:v>
                </c:pt>
                <c:pt idx="59">
                  <c:v>427.91788856304981</c:v>
                </c:pt>
                <c:pt idx="60">
                  <c:v>332.46753246753246</c:v>
                </c:pt>
                <c:pt idx="61">
                  <c:v>339.67046894803548</c:v>
                </c:pt>
                <c:pt idx="62">
                  <c:v>385.96491228070175</c:v>
                </c:pt>
                <c:pt idx="63">
                  <c:v>404.22927100723433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80-4131-8A80-2E2D4CA06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6095880"/>
        <c:axId val="866096240"/>
      </c:scatterChart>
      <c:valAx>
        <c:axId val="866095880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66096240"/>
        <c:crosses val="autoZero"/>
        <c:crossBetween val="midCat"/>
      </c:valAx>
      <c:valAx>
        <c:axId val="86609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∑plf/gram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66095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'T89-16t'!$F$6:$F$69</c:f>
              <c:numCache>
                <c:formatCode>0.00</c:formatCode>
                <c:ptCount val="64"/>
                <c:pt idx="0">
                  <c:v>8.7033157889999995</c:v>
                </c:pt>
                <c:pt idx="1">
                  <c:v>9.0541578949999995</c:v>
                </c:pt>
                <c:pt idx="2">
                  <c:v>9.3412105260000011</c:v>
                </c:pt>
                <c:pt idx="3">
                  <c:v>9.5006842109999994</c:v>
                </c:pt>
                <c:pt idx="4">
                  <c:v>9.7398947370000002</c:v>
                </c:pt>
                <c:pt idx="5">
                  <c:v>10.058842109999999</c:v>
                </c:pt>
                <c:pt idx="6">
                  <c:v>10.298052630000001</c:v>
                </c:pt>
                <c:pt idx="7">
                  <c:v>10.53726316</c:v>
                </c:pt>
                <c:pt idx="8">
                  <c:v>10.69673684</c:v>
                </c:pt>
                <c:pt idx="9">
                  <c:v>10.935947369999999</c:v>
                </c:pt>
                <c:pt idx="10">
                  <c:v>11.095421050000001</c:v>
                </c:pt>
                <c:pt idx="11">
                  <c:v>11.33463158</c:v>
                </c:pt>
                <c:pt idx="12">
                  <c:v>11.49410526</c:v>
                </c:pt>
                <c:pt idx="13">
                  <c:v>11.76807767</c:v>
                </c:pt>
                <c:pt idx="14">
                  <c:v>12.140504849999999</c:v>
                </c:pt>
                <c:pt idx="15">
                  <c:v>12.41982524</c:v>
                </c:pt>
                <c:pt idx="16">
                  <c:v>12.54809326</c:v>
                </c:pt>
                <c:pt idx="17">
                  <c:v>12.60545078</c:v>
                </c:pt>
                <c:pt idx="18">
                  <c:v>12.681927460000001</c:v>
                </c:pt>
                <c:pt idx="19">
                  <c:v>12.73928497</c:v>
                </c:pt>
                <c:pt idx="20">
                  <c:v>12.81576166</c:v>
                </c:pt>
                <c:pt idx="21">
                  <c:v>12.90434014</c:v>
                </c:pt>
                <c:pt idx="22">
                  <c:v>12.954680270000001</c:v>
                </c:pt>
                <c:pt idx="23">
                  <c:v>13.035224490000001</c:v>
                </c:pt>
                <c:pt idx="24">
                  <c:v>13.135904759999999</c:v>
                </c:pt>
                <c:pt idx="25">
                  <c:v>13.21141497</c:v>
                </c:pt>
                <c:pt idx="26">
                  <c:v>13.234950000000001</c:v>
                </c:pt>
                <c:pt idx="27">
                  <c:v>13.25685</c:v>
                </c:pt>
                <c:pt idx="28">
                  <c:v>13.286049999999999</c:v>
                </c:pt>
                <c:pt idx="29">
                  <c:v>13.310474579999999</c:v>
                </c:pt>
                <c:pt idx="30">
                  <c:v>13.32844068</c:v>
                </c:pt>
                <c:pt idx="31">
                  <c:v>13.4115</c:v>
                </c:pt>
                <c:pt idx="32">
                  <c:v>13.8215</c:v>
                </c:pt>
                <c:pt idx="33">
                  <c:v>15.297745450000001</c:v>
                </c:pt>
                <c:pt idx="34">
                  <c:v>15.986000000000001</c:v>
                </c:pt>
                <c:pt idx="35">
                  <c:v>16.84677778</c:v>
                </c:pt>
                <c:pt idx="36">
                  <c:v>17.287833330000002</c:v>
                </c:pt>
                <c:pt idx="37">
                  <c:v>17.630333330000003</c:v>
                </c:pt>
                <c:pt idx="38">
                  <c:v>18.46874227</c:v>
                </c:pt>
                <c:pt idx="39">
                  <c:v>19.789979380000002</c:v>
                </c:pt>
                <c:pt idx="40">
                  <c:v>20.78090722</c:v>
                </c:pt>
                <c:pt idx="41">
                  <c:v>22.102144329999998</c:v>
                </c:pt>
                <c:pt idx="42">
                  <c:v>23.42338144</c:v>
                </c:pt>
                <c:pt idx="43">
                  <c:v>24.65007692</c:v>
                </c:pt>
                <c:pt idx="44">
                  <c:v>25.62784615</c:v>
                </c:pt>
                <c:pt idx="45">
                  <c:v>26.142461539999999</c:v>
                </c:pt>
                <c:pt idx="46">
                  <c:v>26.91438462</c:v>
                </c:pt>
                <c:pt idx="47">
                  <c:v>27.840692309999998</c:v>
                </c:pt>
                <c:pt idx="48">
                  <c:v>28.519914889999999</c:v>
                </c:pt>
                <c:pt idx="49">
                  <c:v>29.082468089999999</c:v>
                </c:pt>
                <c:pt idx="50">
                  <c:v>29.47625532</c:v>
                </c:pt>
                <c:pt idx="51">
                  <c:v>30.038808509999999</c:v>
                </c:pt>
                <c:pt idx="52">
                  <c:v>30.54510638</c:v>
                </c:pt>
                <c:pt idx="53">
                  <c:v>30.86361905</c:v>
                </c:pt>
                <c:pt idx="54">
                  <c:v>31.021723810000001</c:v>
                </c:pt>
                <c:pt idx="55">
                  <c:v>31.179828570000002</c:v>
                </c:pt>
                <c:pt idx="56">
                  <c:v>31.386580949999999</c:v>
                </c:pt>
                <c:pt idx="57">
                  <c:v>31.4960381</c:v>
                </c:pt>
                <c:pt idx="58">
                  <c:v>31.690628570000001</c:v>
                </c:pt>
                <c:pt idx="59">
                  <c:v>31.812247619999997</c:v>
                </c:pt>
                <c:pt idx="60">
                  <c:v>32.018999999999998</c:v>
                </c:pt>
                <c:pt idx="61">
                  <c:v>32.540999999999997</c:v>
                </c:pt>
                <c:pt idx="62">
                  <c:v>33.121000000000002</c:v>
                </c:pt>
                <c:pt idx="63">
                  <c:v>33.701000000000001</c:v>
                </c:pt>
              </c:numCache>
            </c:numRef>
          </c:xVal>
          <c:yVal>
            <c:numRef>
              <c:f>'T89-16t'!$G$6:$G$69</c:f>
              <c:numCache>
                <c:formatCode>0.00</c:formatCode>
                <c:ptCount val="64"/>
                <c:pt idx="0">
                  <c:v>13.106796116504855</c:v>
                </c:pt>
                <c:pt idx="1">
                  <c:v>6.0606060606060606</c:v>
                </c:pt>
                <c:pt idx="2">
                  <c:v>4.8991354466858787</c:v>
                </c:pt>
                <c:pt idx="3">
                  <c:v>6.4102564102564106</c:v>
                </c:pt>
                <c:pt idx="4">
                  <c:v>0.56818181818181823</c:v>
                </c:pt>
                <c:pt idx="5">
                  <c:v>0.39840637450199201</c:v>
                </c:pt>
                <c:pt idx="6">
                  <c:v>0.78740157480314965</c:v>
                </c:pt>
                <c:pt idx="7">
                  <c:v>2.5510204081632653</c:v>
                </c:pt>
                <c:pt idx="8">
                  <c:v>1.5873015873015872</c:v>
                </c:pt>
                <c:pt idx="9">
                  <c:v>2.6548672566371683</c:v>
                </c:pt>
                <c:pt idx="10">
                  <c:v>2.5906735751295336</c:v>
                </c:pt>
                <c:pt idx="11">
                  <c:v>1.7793594306049823</c:v>
                </c:pt>
                <c:pt idx="12">
                  <c:v>3.125</c:v>
                </c:pt>
                <c:pt idx="13">
                  <c:v>2.4691358024691357</c:v>
                </c:pt>
                <c:pt idx="14">
                  <c:v>6.9069069069069071</c:v>
                </c:pt>
                <c:pt idx="15">
                  <c:v>6.8728522336769755</c:v>
                </c:pt>
                <c:pt idx="16">
                  <c:v>4.4189852700490997</c:v>
                </c:pt>
                <c:pt idx="17">
                  <c:v>7.2599531615925059</c:v>
                </c:pt>
                <c:pt idx="18">
                  <c:v>7.623318385650224</c:v>
                </c:pt>
                <c:pt idx="19">
                  <c:v>11.082474226804123</c:v>
                </c:pt>
                <c:pt idx="20">
                  <c:v>5.8004640371229694</c:v>
                </c:pt>
                <c:pt idx="21">
                  <c:v>8.8235294117647065</c:v>
                </c:pt>
                <c:pt idx="22">
                  <c:v>5.0218340611353716</c:v>
                </c:pt>
                <c:pt idx="23">
                  <c:v>5.6034482758620694</c:v>
                </c:pt>
                <c:pt idx="24">
                  <c:v>7.441860465116279</c:v>
                </c:pt>
                <c:pt idx="25">
                  <c:v>6.4655172413793105</c:v>
                </c:pt>
                <c:pt idx="26">
                  <c:v>5.5408970976253302</c:v>
                </c:pt>
                <c:pt idx="27">
                  <c:v>4.3478260869565215</c:v>
                </c:pt>
                <c:pt idx="28">
                  <c:v>4.967602591792657</c:v>
                </c:pt>
                <c:pt idx="29">
                  <c:v>3.7135278514588861</c:v>
                </c:pt>
                <c:pt idx="30">
                  <c:v>4.4585987261146496</c:v>
                </c:pt>
                <c:pt idx="31">
                  <c:v>4.6228710462287106</c:v>
                </c:pt>
                <c:pt idx="32">
                  <c:v>7.2340425531914896</c:v>
                </c:pt>
                <c:pt idx="33">
                  <c:v>12.280701754385966</c:v>
                </c:pt>
                <c:pt idx="34">
                  <c:v>6.1420345489443378</c:v>
                </c:pt>
                <c:pt idx="35">
                  <c:v>7.1038251366120218</c:v>
                </c:pt>
                <c:pt idx="36">
                  <c:v>10.48158640226629</c:v>
                </c:pt>
                <c:pt idx="37">
                  <c:v>6.6964285714285712</c:v>
                </c:pt>
                <c:pt idx="38">
                  <c:v>0</c:v>
                </c:pt>
                <c:pt idx="39">
                  <c:v>0.95541401273885351</c:v>
                </c:pt>
                <c:pt idx="40">
                  <c:v>3.5264483627204029</c:v>
                </c:pt>
                <c:pt idx="41">
                  <c:v>1.2084592145015105</c:v>
                </c:pt>
                <c:pt idx="42">
                  <c:v>2.0289855072463769</c:v>
                </c:pt>
                <c:pt idx="43">
                  <c:v>0.29850746268656714</c:v>
                </c:pt>
                <c:pt idx="44">
                  <c:v>2.7247956403269753</c:v>
                </c:pt>
                <c:pt idx="45">
                  <c:v>2.6905829596412558</c:v>
                </c:pt>
                <c:pt idx="46">
                  <c:v>16.403785488958992</c:v>
                </c:pt>
                <c:pt idx="47">
                  <c:v>1.3245033112582782</c:v>
                </c:pt>
                <c:pt idx="48">
                  <c:v>1.3550135501355014</c:v>
                </c:pt>
                <c:pt idx="49">
                  <c:v>1.909307875894988</c:v>
                </c:pt>
                <c:pt idx="50">
                  <c:v>2.8708133971291865</c:v>
                </c:pt>
                <c:pt idx="51">
                  <c:v>1.4285714285714286</c:v>
                </c:pt>
                <c:pt idx="52">
                  <c:v>2.0161290322580645</c:v>
                </c:pt>
                <c:pt idx="53">
                  <c:v>1.4124293785310735</c:v>
                </c:pt>
                <c:pt idx="54">
                  <c:v>1.8656716417910448</c:v>
                </c:pt>
                <c:pt idx="55">
                  <c:v>0.90361445783132532</c:v>
                </c:pt>
                <c:pt idx="56">
                  <c:v>1.1869436201780414</c:v>
                </c:pt>
                <c:pt idx="57">
                  <c:v>1.0452961672473868</c:v>
                </c:pt>
                <c:pt idx="58">
                  <c:v>0.98039215686274506</c:v>
                </c:pt>
                <c:pt idx="59">
                  <c:v>1.7543859649122806</c:v>
                </c:pt>
                <c:pt idx="60">
                  <c:v>0.98684210526315785</c:v>
                </c:pt>
                <c:pt idx="61">
                  <c:v>0.59701492537313428</c:v>
                </c:pt>
                <c:pt idx="62">
                  <c:v>0.25974025974025972</c:v>
                </c:pt>
                <c:pt idx="63">
                  <c:v>2.4229074889867843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D5-4066-BFC0-D767174397F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'T89-16t'!$F$6:$F$69</c:f>
              <c:numCache>
                <c:formatCode>0.00</c:formatCode>
                <c:ptCount val="64"/>
                <c:pt idx="0">
                  <c:v>8.7033157889999995</c:v>
                </c:pt>
                <c:pt idx="1">
                  <c:v>9.0541578949999995</c:v>
                </c:pt>
                <c:pt idx="2">
                  <c:v>9.3412105260000011</c:v>
                </c:pt>
                <c:pt idx="3">
                  <c:v>9.5006842109999994</c:v>
                </c:pt>
                <c:pt idx="4">
                  <c:v>9.7398947370000002</c:v>
                </c:pt>
                <c:pt idx="5">
                  <c:v>10.058842109999999</c:v>
                </c:pt>
                <c:pt idx="6">
                  <c:v>10.298052630000001</c:v>
                </c:pt>
                <c:pt idx="7">
                  <c:v>10.53726316</c:v>
                </c:pt>
                <c:pt idx="8">
                  <c:v>10.69673684</c:v>
                </c:pt>
                <c:pt idx="9">
                  <c:v>10.935947369999999</c:v>
                </c:pt>
                <c:pt idx="10">
                  <c:v>11.095421050000001</c:v>
                </c:pt>
                <c:pt idx="11">
                  <c:v>11.33463158</c:v>
                </c:pt>
                <c:pt idx="12">
                  <c:v>11.49410526</c:v>
                </c:pt>
                <c:pt idx="13">
                  <c:v>11.76807767</c:v>
                </c:pt>
                <c:pt idx="14">
                  <c:v>12.140504849999999</c:v>
                </c:pt>
                <c:pt idx="15">
                  <c:v>12.41982524</c:v>
                </c:pt>
                <c:pt idx="16">
                  <c:v>12.54809326</c:v>
                </c:pt>
                <c:pt idx="17">
                  <c:v>12.60545078</c:v>
                </c:pt>
                <c:pt idx="18">
                  <c:v>12.681927460000001</c:v>
                </c:pt>
                <c:pt idx="19">
                  <c:v>12.73928497</c:v>
                </c:pt>
                <c:pt idx="20">
                  <c:v>12.81576166</c:v>
                </c:pt>
                <c:pt idx="21">
                  <c:v>12.90434014</c:v>
                </c:pt>
                <c:pt idx="22">
                  <c:v>12.954680270000001</c:v>
                </c:pt>
                <c:pt idx="23">
                  <c:v>13.035224490000001</c:v>
                </c:pt>
                <c:pt idx="24">
                  <c:v>13.135904759999999</c:v>
                </c:pt>
                <c:pt idx="25">
                  <c:v>13.21141497</c:v>
                </c:pt>
                <c:pt idx="26">
                  <c:v>13.234950000000001</c:v>
                </c:pt>
                <c:pt idx="27">
                  <c:v>13.25685</c:v>
                </c:pt>
                <c:pt idx="28">
                  <c:v>13.286049999999999</c:v>
                </c:pt>
                <c:pt idx="29">
                  <c:v>13.310474579999999</c:v>
                </c:pt>
                <c:pt idx="30">
                  <c:v>13.32844068</c:v>
                </c:pt>
                <c:pt idx="31">
                  <c:v>13.4115</c:v>
                </c:pt>
                <c:pt idx="32">
                  <c:v>13.8215</c:v>
                </c:pt>
                <c:pt idx="33">
                  <c:v>15.297745450000001</c:v>
                </c:pt>
                <c:pt idx="34">
                  <c:v>15.986000000000001</c:v>
                </c:pt>
                <c:pt idx="35">
                  <c:v>16.84677778</c:v>
                </c:pt>
                <c:pt idx="36">
                  <c:v>17.287833330000002</c:v>
                </c:pt>
                <c:pt idx="37">
                  <c:v>17.630333330000003</c:v>
                </c:pt>
                <c:pt idx="38">
                  <c:v>18.46874227</c:v>
                </c:pt>
                <c:pt idx="39">
                  <c:v>19.789979380000002</c:v>
                </c:pt>
                <c:pt idx="40">
                  <c:v>20.78090722</c:v>
                </c:pt>
                <c:pt idx="41">
                  <c:v>22.102144329999998</c:v>
                </c:pt>
                <c:pt idx="42">
                  <c:v>23.42338144</c:v>
                </c:pt>
                <c:pt idx="43">
                  <c:v>24.65007692</c:v>
                </c:pt>
                <c:pt idx="44">
                  <c:v>25.62784615</c:v>
                </c:pt>
                <c:pt idx="45">
                  <c:v>26.142461539999999</c:v>
                </c:pt>
                <c:pt idx="46">
                  <c:v>26.91438462</c:v>
                </c:pt>
                <c:pt idx="47">
                  <c:v>27.840692309999998</c:v>
                </c:pt>
                <c:pt idx="48">
                  <c:v>28.519914889999999</c:v>
                </c:pt>
                <c:pt idx="49">
                  <c:v>29.082468089999999</c:v>
                </c:pt>
                <c:pt idx="50">
                  <c:v>29.47625532</c:v>
                </c:pt>
                <c:pt idx="51">
                  <c:v>30.038808509999999</c:v>
                </c:pt>
                <c:pt idx="52">
                  <c:v>30.54510638</c:v>
                </c:pt>
                <c:pt idx="53">
                  <c:v>30.86361905</c:v>
                </c:pt>
                <c:pt idx="54">
                  <c:v>31.021723810000001</c:v>
                </c:pt>
                <c:pt idx="55">
                  <c:v>31.179828570000002</c:v>
                </c:pt>
                <c:pt idx="56">
                  <c:v>31.386580949999999</c:v>
                </c:pt>
                <c:pt idx="57">
                  <c:v>31.4960381</c:v>
                </c:pt>
                <c:pt idx="58">
                  <c:v>31.690628570000001</c:v>
                </c:pt>
                <c:pt idx="59">
                  <c:v>31.812247619999997</c:v>
                </c:pt>
                <c:pt idx="60">
                  <c:v>32.018999999999998</c:v>
                </c:pt>
                <c:pt idx="61">
                  <c:v>32.540999999999997</c:v>
                </c:pt>
                <c:pt idx="62">
                  <c:v>33.121000000000002</c:v>
                </c:pt>
                <c:pt idx="63">
                  <c:v>33.701000000000001</c:v>
                </c:pt>
              </c:numCache>
            </c:numRef>
          </c:xVal>
          <c:yVal>
            <c:numRef>
              <c:f>'T89-16t'!$H$6:$H$69</c:f>
              <c:numCache>
                <c:formatCode>0.00</c:formatCode>
                <c:ptCount val="64"/>
                <c:pt idx="0">
                  <c:v>8.7378640776699026</c:v>
                </c:pt>
                <c:pt idx="1">
                  <c:v>9.0909090909090917</c:v>
                </c:pt>
                <c:pt idx="2">
                  <c:v>21.32564841498559</c:v>
                </c:pt>
                <c:pt idx="3">
                  <c:v>17.948717948717949</c:v>
                </c:pt>
                <c:pt idx="4">
                  <c:v>25.568181818181817</c:v>
                </c:pt>
                <c:pt idx="5">
                  <c:v>19.52191235059761</c:v>
                </c:pt>
                <c:pt idx="6">
                  <c:v>21.259842519685041</c:v>
                </c:pt>
                <c:pt idx="7">
                  <c:v>18.877551020408163</c:v>
                </c:pt>
                <c:pt idx="8">
                  <c:v>21.164021164021165</c:v>
                </c:pt>
                <c:pt idx="9">
                  <c:v>23.451327433628318</c:v>
                </c:pt>
                <c:pt idx="10">
                  <c:v>23.834196891191709</c:v>
                </c:pt>
                <c:pt idx="11">
                  <c:v>27.758007117437721</c:v>
                </c:pt>
                <c:pt idx="12">
                  <c:v>24.553571428571427</c:v>
                </c:pt>
                <c:pt idx="13">
                  <c:v>24.938271604938272</c:v>
                </c:pt>
                <c:pt idx="14">
                  <c:v>17.417417417417418</c:v>
                </c:pt>
                <c:pt idx="15">
                  <c:v>27.835051546391753</c:v>
                </c:pt>
                <c:pt idx="16">
                  <c:v>16.366612111292962</c:v>
                </c:pt>
                <c:pt idx="17">
                  <c:v>18.969555035128806</c:v>
                </c:pt>
                <c:pt idx="18">
                  <c:v>16.143497757847534</c:v>
                </c:pt>
                <c:pt idx="19">
                  <c:v>11.340206185567011</c:v>
                </c:pt>
                <c:pt idx="20">
                  <c:v>9.976798143851509</c:v>
                </c:pt>
                <c:pt idx="21">
                  <c:v>9.7285067873303159</c:v>
                </c:pt>
                <c:pt idx="22">
                  <c:v>8.9519650655021827</c:v>
                </c:pt>
                <c:pt idx="23">
                  <c:v>12.068965517241379</c:v>
                </c:pt>
                <c:pt idx="24">
                  <c:v>9.7674418604651159</c:v>
                </c:pt>
                <c:pt idx="25">
                  <c:v>12.5</c:v>
                </c:pt>
                <c:pt idx="26">
                  <c:v>10.29023746701847</c:v>
                </c:pt>
                <c:pt idx="27">
                  <c:v>7.6726342710997439</c:v>
                </c:pt>
                <c:pt idx="28">
                  <c:v>6.2634989200863931</c:v>
                </c:pt>
                <c:pt idx="29">
                  <c:v>4.7745358090185679</c:v>
                </c:pt>
                <c:pt idx="30">
                  <c:v>6.369426751592357</c:v>
                </c:pt>
                <c:pt idx="31">
                  <c:v>6.8126520681265204</c:v>
                </c:pt>
                <c:pt idx="32">
                  <c:v>7.6595744680851068</c:v>
                </c:pt>
                <c:pt idx="33">
                  <c:v>5.2631578947368425</c:v>
                </c:pt>
                <c:pt idx="34">
                  <c:v>8.2533589251439547</c:v>
                </c:pt>
                <c:pt idx="35">
                  <c:v>8.4699453551912569</c:v>
                </c:pt>
                <c:pt idx="36">
                  <c:v>10.76487252124646</c:v>
                </c:pt>
                <c:pt idx="37">
                  <c:v>8.0357142857142865</c:v>
                </c:pt>
                <c:pt idx="38">
                  <c:v>3.4146341463414633</c:v>
                </c:pt>
                <c:pt idx="39">
                  <c:v>3.1847133757961785</c:v>
                </c:pt>
                <c:pt idx="40">
                  <c:v>3.5264483627204029</c:v>
                </c:pt>
                <c:pt idx="41">
                  <c:v>2.1148036253776437</c:v>
                </c:pt>
                <c:pt idx="42">
                  <c:v>1.4492753623188406</c:v>
                </c:pt>
                <c:pt idx="43">
                  <c:v>1.1940298507462686</c:v>
                </c:pt>
                <c:pt idx="44">
                  <c:v>3.2697547683923704</c:v>
                </c:pt>
                <c:pt idx="45">
                  <c:v>7.1748878923766819</c:v>
                </c:pt>
                <c:pt idx="46">
                  <c:v>10.725552050473187</c:v>
                </c:pt>
                <c:pt idx="47">
                  <c:v>4.9668874172185431</c:v>
                </c:pt>
                <c:pt idx="48">
                  <c:v>3.5230352303523036</c:v>
                </c:pt>
                <c:pt idx="49">
                  <c:v>3.3412887828162292</c:v>
                </c:pt>
                <c:pt idx="50">
                  <c:v>3.1100478468899522</c:v>
                </c:pt>
                <c:pt idx="51">
                  <c:v>7.1428571428571432</c:v>
                </c:pt>
                <c:pt idx="52">
                  <c:v>8.870967741935484</c:v>
                </c:pt>
                <c:pt idx="53">
                  <c:v>6.4971751412429377</c:v>
                </c:pt>
                <c:pt idx="54">
                  <c:v>2.9850746268656718</c:v>
                </c:pt>
                <c:pt idx="55">
                  <c:v>4.8192771084337354</c:v>
                </c:pt>
                <c:pt idx="56">
                  <c:v>2.9673590504451037</c:v>
                </c:pt>
                <c:pt idx="57">
                  <c:v>0.69686411149825789</c:v>
                </c:pt>
                <c:pt idx="58">
                  <c:v>2.4509803921568629</c:v>
                </c:pt>
                <c:pt idx="59">
                  <c:v>2.6315789473684212</c:v>
                </c:pt>
                <c:pt idx="60">
                  <c:v>2.6315789473684212</c:v>
                </c:pt>
                <c:pt idx="61">
                  <c:v>2.3880597014925371</c:v>
                </c:pt>
                <c:pt idx="62">
                  <c:v>2.0779220779220777</c:v>
                </c:pt>
                <c:pt idx="63">
                  <c:v>2.4229074889867843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D5-4066-BFC0-D76717439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110504"/>
        <c:axId val="1470113384"/>
      </c:scatterChart>
      <c:valAx>
        <c:axId val="1470110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470113384"/>
        <c:crosses val="autoZero"/>
        <c:crossBetween val="midCat"/>
      </c:valAx>
      <c:valAx>
        <c:axId val="1470113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470110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Seasonal coalstal upwelling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'T89-16t'!$F$6:$F$69</c:f>
              <c:numCache>
                <c:formatCode>0.00</c:formatCode>
                <c:ptCount val="64"/>
                <c:pt idx="0">
                  <c:v>8.7033157889999995</c:v>
                </c:pt>
                <c:pt idx="1">
                  <c:v>9.0541578949999995</c:v>
                </c:pt>
                <c:pt idx="2">
                  <c:v>9.3412105260000011</c:v>
                </c:pt>
                <c:pt idx="3">
                  <c:v>9.5006842109999994</c:v>
                </c:pt>
                <c:pt idx="4">
                  <c:v>9.7398947370000002</c:v>
                </c:pt>
                <c:pt idx="5">
                  <c:v>10.058842109999999</c:v>
                </c:pt>
                <c:pt idx="6">
                  <c:v>10.298052630000001</c:v>
                </c:pt>
                <c:pt idx="7">
                  <c:v>10.53726316</c:v>
                </c:pt>
                <c:pt idx="8">
                  <c:v>10.69673684</c:v>
                </c:pt>
                <c:pt idx="9">
                  <c:v>10.935947369999999</c:v>
                </c:pt>
                <c:pt idx="10">
                  <c:v>11.095421050000001</c:v>
                </c:pt>
                <c:pt idx="11">
                  <c:v>11.33463158</c:v>
                </c:pt>
                <c:pt idx="12">
                  <c:v>11.49410526</c:v>
                </c:pt>
                <c:pt idx="13">
                  <c:v>11.76807767</c:v>
                </c:pt>
                <c:pt idx="14">
                  <c:v>12.140504849999999</c:v>
                </c:pt>
                <c:pt idx="15">
                  <c:v>12.41982524</c:v>
                </c:pt>
                <c:pt idx="16">
                  <c:v>12.54809326</c:v>
                </c:pt>
                <c:pt idx="17">
                  <c:v>12.60545078</c:v>
                </c:pt>
                <c:pt idx="18">
                  <c:v>12.681927460000001</c:v>
                </c:pt>
                <c:pt idx="19">
                  <c:v>12.73928497</c:v>
                </c:pt>
                <c:pt idx="20">
                  <c:v>12.81576166</c:v>
                </c:pt>
                <c:pt idx="21">
                  <c:v>12.90434014</c:v>
                </c:pt>
                <c:pt idx="22">
                  <c:v>12.954680270000001</c:v>
                </c:pt>
                <c:pt idx="23">
                  <c:v>13.035224490000001</c:v>
                </c:pt>
                <c:pt idx="24">
                  <c:v>13.135904759999999</c:v>
                </c:pt>
                <c:pt idx="25">
                  <c:v>13.21141497</c:v>
                </c:pt>
                <c:pt idx="26">
                  <c:v>13.234950000000001</c:v>
                </c:pt>
                <c:pt idx="27">
                  <c:v>13.25685</c:v>
                </c:pt>
                <c:pt idx="28">
                  <c:v>13.286049999999999</c:v>
                </c:pt>
                <c:pt idx="29">
                  <c:v>13.310474579999999</c:v>
                </c:pt>
                <c:pt idx="30">
                  <c:v>13.32844068</c:v>
                </c:pt>
                <c:pt idx="31">
                  <c:v>13.4115</c:v>
                </c:pt>
                <c:pt idx="32">
                  <c:v>13.8215</c:v>
                </c:pt>
                <c:pt idx="33">
                  <c:v>15.297745450000001</c:v>
                </c:pt>
                <c:pt idx="34">
                  <c:v>15.986000000000001</c:v>
                </c:pt>
                <c:pt idx="35">
                  <c:v>16.84677778</c:v>
                </c:pt>
                <c:pt idx="36">
                  <c:v>17.287833330000002</c:v>
                </c:pt>
                <c:pt idx="37">
                  <c:v>17.630333330000003</c:v>
                </c:pt>
                <c:pt idx="38">
                  <c:v>18.46874227</c:v>
                </c:pt>
                <c:pt idx="39">
                  <c:v>19.789979380000002</c:v>
                </c:pt>
                <c:pt idx="40">
                  <c:v>20.78090722</c:v>
                </c:pt>
                <c:pt idx="41">
                  <c:v>22.102144329999998</c:v>
                </c:pt>
                <c:pt idx="42">
                  <c:v>23.42338144</c:v>
                </c:pt>
                <c:pt idx="43">
                  <c:v>24.65007692</c:v>
                </c:pt>
                <c:pt idx="44">
                  <c:v>25.62784615</c:v>
                </c:pt>
                <c:pt idx="45">
                  <c:v>26.142461539999999</c:v>
                </c:pt>
                <c:pt idx="46">
                  <c:v>26.91438462</c:v>
                </c:pt>
                <c:pt idx="47">
                  <c:v>27.840692309999998</c:v>
                </c:pt>
                <c:pt idx="48">
                  <c:v>28.519914889999999</c:v>
                </c:pt>
                <c:pt idx="49">
                  <c:v>29.082468089999999</c:v>
                </c:pt>
                <c:pt idx="50">
                  <c:v>29.47625532</c:v>
                </c:pt>
                <c:pt idx="51">
                  <c:v>30.038808509999999</c:v>
                </c:pt>
                <c:pt idx="52">
                  <c:v>30.54510638</c:v>
                </c:pt>
                <c:pt idx="53">
                  <c:v>30.86361905</c:v>
                </c:pt>
                <c:pt idx="54">
                  <c:v>31.021723810000001</c:v>
                </c:pt>
                <c:pt idx="55">
                  <c:v>31.179828570000002</c:v>
                </c:pt>
                <c:pt idx="56">
                  <c:v>31.386580949999999</c:v>
                </c:pt>
                <c:pt idx="57">
                  <c:v>31.4960381</c:v>
                </c:pt>
                <c:pt idx="58">
                  <c:v>31.690628570000001</c:v>
                </c:pt>
                <c:pt idx="59">
                  <c:v>31.812247619999997</c:v>
                </c:pt>
                <c:pt idx="60">
                  <c:v>32.018999999999998</c:v>
                </c:pt>
                <c:pt idx="61">
                  <c:v>32.540999999999997</c:v>
                </c:pt>
                <c:pt idx="62">
                  <c:v>33.121000000000002</c:v>
                </c:pt>
                <c:pt idx="63">
                  <c:v>33.701000000000001</c:v>
                </c:pt>
              </c:numCache>
            </c:numRef>
          </c:xVal>
          <c:yVal>
            <c:numRef>
              <c:f>'T89-16t'!$BM$6:$BM$69</c:f>
              <c:numCache>
                <c:formatCode>0</c:formatCode>
                <c:ptCount val="64"/>
                <c:pt idx="0">
                  <c:v>39.805825242718448</c:v>
                </c:pt>
                <c:pt idx="1">
                  <c:v>39.393939393939391</c:v>
                </c:pt>
                <c:pt idx="2">
                  <c:v>29.10662824207493</c:v>
                </c:pt>
                <c:pt idx="3">
                  <c:v>30.769230769230774</c:v>
                </c:pt>
                <c:pt idx="4">
                  <c:v>28.409090909090907</c:v>
                </c:pt>
                <c:pt idx="5">
                  <c:v>35.059760956175296</c:v>
                </c:pt>
                <c:pt idx="6">
                  <c:v>26.771653543307085</c:v>
                </c:pt>
                <c:pt idx="7">
                  <c:v>32.142857142857139</c:v>
                </c:pt>
                <c:pt idx="8">
                  <c:v>35.978835978835981</c:v>
                </c:pt>
                <c:pt idx="9">
                  <c:v>34.513274336283189</c:v>
                </c:pt>
                <c:pt idx="10">
                  <c:v>22.279792746113987</c:v>
                </c:pt>
                <c:pt idx="11">
                  <c:v>30.987544483985765</c:v>
                </c:pt>
                <c:pt idx="12">
                  <c:v>23.660714285714288</c:v>
                </c:pt>
                <c:pt idx="13">
                  <c:v>34.814814814814817</c:v>
                </c:pt>
                <c:pt idx="14">
                  <c:v>29.42942942942943</c:v>
                </c:pt>
                <c:pt idx="15">
                  <c:v>29.209621993127147</c:v>
                </c:pt>
                <c:pt idx="16">
                  <c:v>43.53518821603928</c:v>
                </c:pt>
                <c:pt idx="17">
                  <c:v>39.344262295081968</c:v>
                </c:pt>
                <c:pt idx="18">
                  <c:v>41.255605381165921</c:v>
                </c:pt>
                <c:pt idx="19">
                  <c:v>39.432989690721655</c:v>
                </c:pt>
                <c:pt idx="20">
                  <c:v>48.259860788863108</c:v>
                </c:pt>
                <c:pt idx="21">
                  <c:v>47.285067873303163</c:v>
                </c:pt>
                <c:pt idx="22">
                  <c:v>51.091703056768559</c:v>
                </c:pt>
                <c:pt idx="23">
                  <c:v>46.982758620689658</c:v>
                </c:pt>
                <c:pt idx="24">
                  <c:v>47.441860465116278</c:v>
                </c:pt>
                <c:pt idx="25">
                  <c:v>49.137931034482762</c:v>
                </c:pt>
                <c:pt idx="26">
                  <c:v>47.229551451187334</c:v>
                </c:pt>
                <c:pt idx="27">
                  <c:v>51.918158567774938</c:v>
                </c:pt>
                <c:pt idx="28">
                  <c:v>50.323974082073434</c:v>
                </c:pt>
                <c:pt idx="29">
                  <c:v>57.294429708222808</c:v>
                </c:pt>
                <c:pt idx="30">
                  <c:v>59.872611464968152</c:v>
                </c:pt>
                <c:pt idx="31">
                  <c:v>56.934306569343065</c:v>
                </c:pt>
                <c:pt idx="32">
                  <c:v>46.808510638297875</c:v>
                </c:pt>
                <c:pt idx="33">
                  <c:v>56.798245614035089</c:v>
                </c:pt>
                <c:pt idx="34">
                  <c:v>61.420345489443378</c:v>
                </c:pt>
                <c:pt idx="35">
                  <c:v>61.202185792349724</c:v>
                </c:pt>
                <c:pt idx="36">
                  <c:v>49.291784702549577</c:v>
                </c:pt>
                <c:pt idx="37">
                  <c:v>51.785714285714285</c:v>
                </c:pt>
                <c:pt idx="38">
                  <c:v>65</c:v>
                </c:pt>
                <c:pt idx="39">
                  <c:v>69.426751592356695</c:v>
                </c:pt>
                <c:pt idx="40">
                  <c:v>61.712846347607055</c:v>
                </c:pt>
                <c:pt idx="41">
                  <c:v>61.933534743202415</c:v>
                </c:pt>
                <c:pt idx="42">
                  <c:v>63.768115942028984</c:v>
                </c:pt>
                <c:pt idx="43">
                  <c:v>60.298507462686572</c:v>
                </c:pt>
                <c:pt idx="44">
                  <c:v>67.302452316076298</c:v>
                </c:pt>
                <c:pt idx="45">
                  <c:v>59.641255605381161</c:v>
                </c:pt>
                <c:pt idx="46">
                  <c:v>29.337539432176655</c:v>
                </c:pt>
                <c:pt idx="47">
                  <c:v>64.238410596026483</c:v>
                </c:pt>
                <c:pt idx="48">
                  <c:v>59.620596205962066</c:v>
                </c:pt>
                <c:pt idx="49">
                  <c:v>63.723150357995216</c:v>
                </c:pt>
                <c:pt idx="50">
                  <c:v>58.373205741626791</c:v>
                </c:pt>
                <c:pt idx="51">
                  <c:v>55.090311986863711</c:v>
                </c:pt>
                <c:pt idx="52">
                  <c:v>53.225806451612904</c:v>
                </c:pt>
                <c:pt idx="53">
                  <c:v>56.779661016949156</c:v>
                </c:pt>
                <c:pt idx="54">
                  <c:v>65.298507462686572</c:v>
                </c:pt>
                <c:pt idx="55">
                  <c:v>67.771084337349407</c:v>
                </c:pt>
                <c:pt idx="56">
                  <c:v>64.39169139465875</c:v>
                </c:pt>
                <c:pt idx="57">
                  <c:v>71.080139372822302</c:v>
                </c:pt>
                <c:pt idx="58">
                  <c:v>67.156862745098039</c:v>
                </c:pt>
                <c:pt idx="59">
                  <c:v>65.78947368421052</c:v>
                </c:pt>
                <c:pt idx="60">
                  <c:v>63.815789473684212</c:v>
                </c:pt>
                <c:pt idx="61">
                  <c:v>66.268656716417908</c:v>
                </c:pt>
                <c:pt idx="62">
                  <c:v>72.987012987012989</c:v>
                </c:pt>
                <c:pt idx="63">
                  <c:v>68.281938325991192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C4-42BA-976A-7865CA747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710831"/>
        <c:axId val="131711311"/>
      </c:scatterChart>
      <c:valAx>
        <c:axId val="131710831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31711311"/>
        <c:crosses val="autoZero"/>
        <c:crossBetween val="midCat"/>
      </c:valAx>
      <c:valAx>
        <c:axId val="13171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Total</a:t>
                </a:r>
                <a:r>
                  <a:rPr lang="nl-NL" baseline="0"/>
                  <a:t> G. bulloides + N. pachydema</a:t>
                </a:r>
                <a:br>
                  <a:rPr lang="nl-NL" baseline="0"/>
                </a:br>
                <a:r>
                  <a:rPr lang="nl-NL" baseline="0"/>
                  <a:t>(sinistral + dextral)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31710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Congo plume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'T89-16t'!$F$6:$F$69</c:f>
              <c:numCache>
                <c:formatCode>0.00</c:formatCode>
                <c:ptCount val="64"/>
                <c:pt idx="0">
                  <c:v>8.7033157889999995</c:v>
                </c:pt>
                <c:pt idx="1">
                  <c:v>9.0541578949999995</c:v>
                </c:pt>
                <c:pt idx="2">
                  <c:v>9.3412105260000011</c:v>
                </c:pt>
                <c:pt idx="3">
                  <c:v>9.5006842109999994</c:v>
                </c:pt>
                <c:pt idx="4">
                  <c:v>9.7398947370000002</c:v>
                </c:pt>
                <c:pt idx="5">
                  <c:v>10.058842109999999</c:v>
                </c:pt>
                <c:pt idx="6">
                  <c:v>10.298052630000001</c:v>
                </c:pt>
                <c:pt idx="7">
                  <c:v>10.53726316</c:v>
                </c:pt>
                <c:pt idx="8">
                  <c:v>10.69673684</c:v>
                </c:pt>
                <c:pt idx="9">
                  <c:v>10.935947369999999</c:v>
                </c:pt>
                <c:pt idx="10">
                  <c:v>11.095421050000001</c:v>
                </c:pt>
                <c:pt idx="11">
                  <c:v>11.33463158</c:v>
                </c:pt>
                <c:pt idx="12">
                  <c:v>11.49410526</c:v>
                </c:pt>
                <c:pt idx="13">
                  <c:v>11.76807767</c:v>
                </c:pt>
                <c:pt idx="14">
                  <c:v>12.140504849999999</c:v>
                </c:pt>
                <c:pt idx="15">
                  <c:v>12.41982524</c:v>
                </c:pt>
                <c:pt idx="16">
                  <c:v>12.54809326</c:v>
                </c:pt>
                <c:pt idx="17">
                  <c:v>12.60545078</c:v>
                </c:pt>
                <c:pt idx="18">
                  <c:v>12.681927460000001</c:v>
                </c:pt>
                <c:pt idx="19">
                  <c:v>12.73928497</c:v>
                </c:pt>
                <c:pt idx="20">
                  <c:v>12.81576166</c:v>
                </c:pt>
                <c:pt idx="21">
                  <c:v>12.90434014</c:v>
                </c:pt>
                <c:pt idx="22">
                  <c:v>12.954680270000001</c:v>
                </c:pt>
                <c:pt idx="23">
                  <c:v>13.035224490000001</c:v>
                </c:pt>
                <c:pt idx="24">
                  <c:v>13.135904759999999</c:v>
                </c:pt>
                <c:pt idx="25">
                  <c:v>13.21141497</c:v>
                </c:pt>
                <c:pt idx="26">
                  <c:v>13.234950000000001</c:v>
                </c:pt>
                <c:pt idx="27">
                  <c:v>13.25685</c:v>
                </c:pt>
                <c:pt idx="28">
                  <c:v>13.286049999999999</c:v>
                </c:pt>
                <c:pt idx="29">
                  <c:v>13.310474579999999</c:v>
                </c:pt>
                <c:pt idx="30">
                  <c:v>13.32844068</c:v>
                </c:pt>
                <c:pt idx="31">
                  <c:v>13.4115</c:v>
                </c:pt>
                <c:pt idx="32">
                  <c:v>13.8215</c:v>
                </c:pt>
                <c:pt idx="33">
                  <c:v>15.297745450000001</c:v>
                </c:pt>
                <c:pt idx="34">
                  <c:v>15.986000000000001</c:v>
                </c:pt>
                <c:pt idx="35">
                  <c:v>16.84677778</c:v>
                </c:pt>
                <c:pt idx="36">
                  <c:v>17.287833330000002</c:v>
                </c:pt>
                <c:pt idx="37">
                  <c:v>17.630333330000003</c:v>
                </c:pt>
                <c:pt idx="38">
                  <c:v>18.46874227</c:v>
                </c:pt>
                <c:pt idx="39">
                  <c:v>19.789979380000002</c:v>
                </c:pt>
                <c:pt idx="40">
                  <c:v>20.78090722</c:v>
                </c:pt>
                <c:pt idx="41">
                  <c:v>22.102144329999998</c:v>
                </c:pt>
                <c:pt idx="42">
                  <c:v>23.42338144</c:v>
                </c:pt>
                <c:pt idx="43">
                  <c:v>24.65007692</c:v>
                </c:pt>
                <c:pt idx="44">
                  <c:v>25.62784615</c:v>
                </c:pt>
                <c:pt idx="45">
                  <c:v>26.142461539999999</c:v>
                </c:pt>
                <c:pt idx="46">
                  <c:v>26.91438462</c:v>
                </c:pt>
                <c:pt idx="47">
                  <c:v>27.840692309999998</c:v>
                </c:pt>
                <c:pt idx="48">
                  <c:v>28.519914889999999</c:v>
                </c:pt>
                <c:pt idx="49">
                  <c:v>29.082468089999999</c:v>
                </c:pt>
                <c:pt idx="50">
                  <c:v>29.47625532</c:v>
                </c:pt>
                <c:pt idx="51">
                  <c:v>30.038808509999999</c:v>
                </c:pt>
                <c:pt idx="52">
                  <c:v>30.54510638</c:v>
                </c:pt>
                <c:pt idx="53">
                  <c:v>30.86361905</c:v>
                </c:pt>
                <c:pt idx="54">
                  <c:v>31.021723810000001</c:v>
                </c:pt>
                <c:pt idx="55">
                  <c:v>31.179828570000002</c:v>
                </c:pt>
                <c:pt idx="56">
                  <c:v>31.386580949999999</c:v>
                </c:pt>
                <c:pt idx="57">
                  <c:v>31.4960381</c:v>
                </c:pt>
                <c:pt idx="58">
                  <c:v>31.690628570000001</c:v>
                </c:pt>
                <c:pt idx="59">
                  <c:v>31.812247619999997</c:v>
                </c:pt>
                <c:pt idx="60">
                  <c:v>32.018999999999998</c:v>
                </c:pt>
                <c:pt idx="61">
                  <c:v>32.540999999999997</c:v>
                </c:pt>
                <c:pt idx="62">
                  <c:v>33.121000000000002</c:v>
                </c:pt>
                <c:pt idx="63">
                  <c:v>33.701000000000001</c:v>
                </c:pt>
              </c:numCache>
            </c:numRef>
          </c:xVal>
          <c:yVal>
            <c:numRef>
              <c:f>'T89-16t'!$BN$6:$BN$69</c:f>
              <c:numCache>
                <c:formatCode>0</c:formatCode>
                <c:ptCount val="64"/>
                <c:pt idx="0">
                  <c:v>13.592233009708737</c:v>
                </c:pt>
                <c:pt idx="1">
                  <c:v>18.181818181818183</c:v>
                </c:pt>
                <c:pt idx="2">
                  <c:v>32.853025936599394</c:v>
                </c:pt>
                <c:pt idx="3">
                  <c:v>33.333333333333336</c:v>
                </c:pt>
                <c:pt idx="4">
                  <c:v>39.772727272727273</c:v>
                </c:pt>
                <c:pt idx="5">
                  <c:v>31.474103585657371</c:v>
                </c:pt>
                <c:pt idx="6">
                  <c:v>35.433070866141733</c:v>
                </c:pt>
                <c:pt idx="7">
                  <c:v>30.612244897959183</c:v>
                </c:pt>
                <c:pt idx="8">
                  <c:v>33.862433862433861</c:v>
                </c:pt>
                <c:pt idx="9">
                  <c:v>34.955752212389378</c:v>
                </c:pt>
                <c:pt idx="10">
                  <c:v>36.269430051813472</c:v>
                </c:pt>
                <c:pt idx="11">
                  <c:v>40.258007117437721</c:v>
                </c:pt>
                <c:pt idx="12">
                  <c:v>40.625</c:v>
                </c:pt>
                <c:pt idx="13">
                  <c:v>34.814814814814817</c:v>
                </c:pt>
                <c:pt idx="14">
                  <c:v>28.828828828828829</c:v>
                </c:pt>
                <c:pt idx="15">
                  <c:v>40.893470790378004</c:v>
                </c:pt>
                <c:pt idx="16">
                  <c:v>25.695581014729953</c:v>
                </c:pt>
                <c:pt idx="17">
                  <c:v>27.634660421545668</c:v>
                </c:pt>
                <c:pt idx="18">
                  <c:v>24.215246636771301</c:v>
                </c:pt>
                <c:pt idx="19">
                  <c:v>18.298969072164951</c:v>
                </c:pt>
                <c:pt idx="20">
                  <c:v>16.705336426914155</c:v>
                </c:pt>
                <c:pt idx="21">
                  <c:v>15.384615384615383</c:v>
                </c:pt>
                <c:pt idx="22">
                  <c:v>14.410480349344978</c:v>
                </c:pt>
                <c:pt idx="23">
                  <c:v>15.086206896551724</c:v>
                </c:pt>
                <c:pt idx="24">
                  <c:v>15.813953488372093</c:v>
                </c:pt>
                <c:pt idx="25">
                  <c:v>15.517241379310345</c:v>
                </c:pt>
                <c:pt idx="26">
                  <c:v>14.248021108179419</c:v>
                </c:pt>
                <c:pt idx="27">
                  <c:v>10.997442455242966</c:v>
                </c:pt>
                <c:pt idx="28">
                  <c:v>9.0712742980561565</c:v>
                </c:pt>
                <c:pt idx="29">
                  <c:v>6.6312997347480112</c:v>
                </c:pt>
                <c:pt idx="30">
                  <c:v>9.8726114649681538</c:v>
                </c:pt>
                <c:pt idx="31">
                  <c:v>14.111922141119221</c:v>
                </c:pt>
                <c:pt idx="32">
                  <c:v>14.042553191489361</c:v>
                </c:pt>
                <c:pt idx="33">
                  <c:v>6.5789473684210531</c:v>
                </c:pt>
                <c:pt idx="34">
                  <c:v>9.5969289827255295</c:v>
                </c:pt>
                <c:pt idx="35">
                  <c:v>9.8360655737704921</c:v>
                </c:pt>
                <c:pt idx="36">
                  <c:v>12.747875354107649</c:v>
                </c:pt>
                <c:pt idx="37">
                  <c:v>8.9285714285714288</c:v>
                </c:pt>
                <c:pt idx="38">
                  <c:v>3.9024390243902438</c:v>
                </c:pt>
                <c:pt idx="39">
                  <c:v>3.1847133757961785</c:v>
                </c:pt>
                <c:pt idx="40">
                  <c:v>4.7858942065491181</c:v>
                </c:pt>
                <c:pt idx="41">
                  <c:v>2.7190332326283988</c:v>
                </c:pt>
                <c:pt idx="42">
                  <c:v>2.6086956521739131</c:v>
                </c:pt>
                <c:pt idx="43">
                  <c:v>1.1940298507462686</c:v>
                </c:pt>
                <c:pt idx="44">
                  <c:v>3.2697547683923704</c:v>
                </c:pt>
                <c:pt idx="45">
                  <c:v>8.071748878923767</c:v>
                </c:pt>
                <c:pt idx="46">
                  <c:v>13.564668769716089</c:v>
                </c:pt>
                <c:pt idx="47">
                  <c:v>4.9668874172185431</c:v>
                </c:pt>
                <c:pt idx="48">
                  <c:v>4.0650406504065044</c:v>
                </c:pt>
                <c:pt idx="49">
                  <c:v>4.0572792362768499</c:v>
                </c:pt>
                <c:pt idx="50">
                  <c:v>4.545454545454545</c:v>
                </c:pt>
                <c:pt idx="51">
                  <c:v>7.6354679802955667</c:v>
                </c:pt>
                <c:pt idx="52">
                  <c:v>9.2741935483870961</c:v>
                </c:pt>
                <c:pt idx="53">
                  <c:v>8.1920903954802249</c:v>
                </c:pt>
                <c:pt idx="54">
                  <c:v>4.1044776119402986</c:v>
                </c:pt>
                <c:pt idx="55">
                  <c:v>5.4216867469879526</c:v>
                </c:pt>
                <c:pt idx="56">
                  <c:v>3.2640949554896141</c:v>
                </c:pt>
                <c:pt idx="57">
                  <c:v>1.0452961672473868</c:v>
                </c:pt>
                <c:pt idx="58">
                  <c:v>3.4313725490196081</c:v>
                </c:pt>
                <c:pt idx="59">
                  <c:v>3.5087719298245617</c:v>
                </c:pt>
                <c:pt idx="60">
                  <c:v>9.8684210526315788</c:v>
                </c:pt>
                <c:pt idx="61">
                  <c:v>3.2835820895522385</c:v>
                </c:pt>
                <c:pt idx="62">
                  <c:v>3.1168831168831166</c:v>
                </c:pt>
                <c:pt idx="63">
                  <c:v>3.9647577092511015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EB-4D18-A3A5-F7D3BA913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0400040"/>
        <c:axId val="1590401840"/>
      </c:scatterChart>
      <c:valAx>
        <c:axId val="1590400040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90401840"/>
        <c:crosses val="autoZero"/>
        <c:crossBetween val="midCat"/>
      </c:valAx>
      <c:valAx>
        <c:axId val="159040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Total  G. Ruber (pink)</a:t>
                </a:r>
                <a:br>
                  <a:rPr lang="nl-NL"/>
                </a:br>
                <a:r>
                  <a:rPr lang="nl-NL"/>
                  <a:t>+</a:t>
                </a:r>
                <a:r>
                  <a:rPr lang="nl-NL" baseline="0"/>
                  <a:t> N. dutertrei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90400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'XRF selectie'!$Y$2:$Y$1067</c:f>
              <c:numCache>
                <c:formatCode>General</c:formatCode>
                <c:ptCount val="1066"/>
                <c:pt idx="0">
                  <c:v>8.6873684200000003</c:v>
                </c:pt>
                <c:pt idx="1">
                  <c:v>8.7033157899999996</c:v>
                </c:pt>
                <c:pt idx="2">
                  <c:v>8.7192631600000006</c:v>
                </c:pt>
                <c:pt idx="3">
                  <c:v>8.7352105299999998</c:v>
                </c:pt>
                <c:pt idx="4">
                  <c:v>8.7511579000000008</c:v>
                </c:pt>
                <c:pt idx="5">
                  <c:v>8.7671052599999992</c:v>
                </c:pt>
                <c:pt idx="6">
                  <c:v>8.7830526300000002</c:v>
                </c:pt>
                <c:pt idx="7">
                  <c:v>8.7989999999999995</c:v>
                </c:pt>
                <c:pt idx="8">
                  <c:v>8.8149473700000005</c:v>
                </c:pt>
                <c:pt idx="9">
                  <c:v>8.8308947399999997</c:v>
                </c:pt>
                <c:pt idx="10">
                  <c:v>8.8468421100000008</c:v>
                </c:pt>
                <c:pt idx="11">
                  <c:v>8.8627894699999992</c:v>
                </c:pt>
                <c:pt idx="12">
                  <c:v>8.8787368400000002</c:v>
                </c:pt>
                <c:pt idx="13">
                  <c:v>8.8946842099999994</c:v>
                </c:pt>
                <c:pt idx="14">
                  <c:v>8.9106315800000004</c:v>
                </c:pt>
                <c:pt idx="15">
                  <c:v>8.9265789499999997</c:v>
                </c:pt>
                <c:pt idx="16">
                  <c:v>8.9425263200000007</c:v>
                </c:pt>
                <c:pt idx="17">
                  <c:v>8.9584736800000009</c:v>
                </c:pt>
                <c:pt idx="18">
                  <c:v>8.9744210500000001</c:v>
                </c:pt>
                <c:pt idx="19">
                  <c:v>8.9903684199999994</c:v>
                </c:pt>
                <c:pt idx="20">
                  <c:v>9.0063157900000004</c:v>
                </c:pt>
                <c:pt idx="21">
                  <c:v>9.0222631599999996</c:v>
                </c:pt>
                <c:pt idx="22">
                  <c:v>9.0382105300000006</c:v>
                </c:pt>
                <c:pt idx="23">
                  <c:v>9.0541578999999999</c:v>
                </c:pt>
                <c:pt idx="24">
                  <c:v>9.0701052600000001</c:v>
                </c:pt>
                <c:pt idx="25">
                  <c:v>9.0860526299999993</c:v>
                </c:pt>
                <c:pt idx="26">
                  <c:v>9.1020000000000003</c:v>
                </c:pt>
                <c:pt idx="27">
                  <c:v>9.1179473699999996</c:v>
                </c:pt>
                <c:pt idx="28">
                  <c:v>9.1338947400000006</c:v>
                </c:pt>
                <c:pt idx="29">
                  <c:v>9.1498421099999998</c:v>
                </c:pt>
                <c:pt idx="30">
                  <c:v>9.16578947</c:v>
                </c:pt>
                <c:pt idx="31">
                  <c:v>9.1817368399999992</c:v>
                </c:pt>
                <c:pt idx="32">
                  <c:v>9.1976842100000002</c:v>
                </c:pt>
                <c:pt idx="33">
                  <c:v>9.2136315799999995</c:v>
                </c:pt>
                <c:pt idx="34">
                  <c:v>9.2295789500000005</c:v>
                </c:pt>
                <c:pt idx="35">
                  <c:v>9.2455263199999997</c:v>
                </c:pt>
                <c:pt idx="36">
                  <c:v>9.2614736799999999</c:v>
                </c:pt>
                <c:pt idx="37">
                  <c:v>9.2774210499999992</c:v>
                </c:pt>
                <c:pt idx="38">
                  <c:v>9.2933684200000002</c:v>
                </c:pt>
                <c:pt idx="39">
                  <c:v>9.3093157899999994</c:v>
                </c:pt>
                <c:pt idx="40">
                  <c:v>9.3252631600000004</c:v>
                </c:pt>
                <c:pt idx="41">
                  <c:v>9.3412105299999997</c:v>
                </c:pt>
                <c:pt idx="42">
                  <c:v>9.3571579000000007</c:v>
                </c:pt>
                <c:pt idx="43">
                  <c:v>9.3731052600000009</c:v>
                </c:pt>
                <c:pt idx="44">
                  <c:v>9.3890526300000001</c:v>
                </c:pt>
                <c:pt idx="45">
                  <c:v>9.4049999999999994</c:v>
                </c:pt>
                <c:pt idx="46">
                  <c:v>9.4209473700000004</c:v>
                </c:pt>
                <c:pt idx="47">
                  <c:v>9.4368947399999996</c:v>
                </c:pt>
                <c:pt idx="48">
                  <c:v>9.4528421100000006</c:v>
                </c:pt>
                <c:pt idx="49">
                  <c:v>9.4687894700000008</c:v>
                </c:pt>
                <c:pt idx="50">
                  <c:v>9.4847368400000001</c:v>
                </c:pt>
                <c:pt idx="51">
                  <c:v>9.5006842099999993</c:v>
                </c:pt>
                <c:pt idx="52">
                  <c:v>9.5166315800000003</c:v>
                </c:pt>
                <c:pt idx="53">
                  <c:v>9.5325789499999996</c:v>
                </c:pt>
                <c:pt idx="54">
                  <c:v>9.5485263200000006</c:v>
                </c:pt>
                <c:pt idx="55">
                  <c:v>9.5644736800000008</c:v>
                </c:pt>
                <c:pt idx="56">
                  <c:v>9.58042105</c:v>
                </c:pt>
                <c:pt idx="57">
                  <c:v>9.5963684199999992</c:v>
                </c:pt>
                <c:pt idx="58">
                  <c:v>9.6123157900000002</c:v>
                </c:pt>
                <c:pt idx="59">
                  <c:v>9.6282631599999995</c:v>
                </c:pt>
                <c:pt idx="60">
                  <c:v>9.6442105300000005</c:v>
                </c:pt>
                <c:pt idx="61">
                  <c:v>9.6601578999999997</c:v>
                </c:pt>
                <c:pt idx="62">
                  <c:v>9.6761052599999999</c:v>
                </c:pt>
                <c:pt idx="63">
                  <c:v>9.6920526299999992</c:v>
                </c:pt>
                <c:pt idx="64">
                  <c:v>9.7080000000000002</c:v>
                </c:pt>
                <c:pt idx="65">
                  <c:v>9.7239473699999994</c:v>
                </c:pt>
                <c:pt idx="66">
                  <c:v>9.7398947400000004</c:v>
                </c:pt>
                <c:pt idx="67">
                  <c:v>9.7558421099999997</c:v>
                </c:pt>
                <c:pt idx="68">
                  <c:v>9.7717894699999999</c:v>
                </c:pt>
                <c:pt idx="69">
                  <c:v>9.7877368400000009</c:v>
                </c:pt>
                <c:pt idx="70">
                  <c:v>9.8036842100000001</c:v>
                </c:pt>
                <c:pt idx="71">
                  <c:v>9.8196315799999994</c:v>
                </c:pt>
                <c:pt idx="72">
                  <c:v>9.8355789500000004</c:v>
                </c:pt>
                <c:pt idx="73">
                  <c:v>9.8515263199999996</c:v>
                </c:pt>
                <c:pt idx="74">
                  <c:v>9.8674736799999998</c:v>
                </c:pt>
                <c:pt idx="75">
                  <c:v>9.8834210500000008</c:v>
                </c:pt>
                <c:pt idx="76">
                  <c:v>9.8993684200000001</c:v>
                </c:pt>
                <c:pt idx="77">
                  <c:v>9.9153157899999993</c:v>
                </c:pt>
                <c:pt idx="78">
                  <c:v>9.9312631600000003</c:v>
                </c:pt>
                <c:pt idx="79">
                  <c:v>9.9472105299999996</c:v>
                </c:pt>
                <c:pt idx="80">
                  <c:v>9.9631579000000006</c:v>
                </c:pt>
                <c:pt idx="81">
                  <c:v>9.9791052600000008</c:v>
                </c:pt>
                <c:pt idx="82">
                  <c:v>9.99505263</c:v>
                </c:pt>
                <c:pt idx="83">
                  <c:v>10.010999999999999</c:v>
                </c:pt>
                <c:pt idx="84">
                  <c:v>10.026947399999999</c:v>
                </c:pt>
                <c:pt idx="85">
                  <c:v>10.0428947</c:v>
                </c:pt>
                <c:pt idx="86">
                  <c:v>10.0588421</c:v>
                </c:pt>
                <c:pt idx="87">
                  <c:v>10.0747895</c:v>
                </c:pt>
                <c:pt idx="88">
                  <c:v>10.0907368</c:v>
                </c:pt>
                <c:pt idx="89">
                  <c:v>10.1066842</c:v>
                </c:pt>
                <c:pt idx="90">
                  <c:v>10.1226316</c:v>
                </c:pt>
                <c:pt idx="91">
                  <c:v>10.138579</c:v>
                </c:pt>
                <c:pt idx="92">
                  <c:v>10.154526300000001</c:v>
                </c:pt>
                <c:pt idx="93">
                  <c:v>10.170473700000001</c:v>
                </c:pt>
                <c:pt idx="94">
                  <c:v>10.1864211</c:v>
                </c:pt>
                <c:pt idx="95">
                  <c:v>10.202368399999999</c:v>
                </c:pt>
                <c:pt idx="96">
                  <c:v>10.218315799999999</c:v>
                </c:pt>
                <c:pt idx="97">
                  <c:v>10.234263199999999</c:v>
                </c:pt>
                <c:pt idx="98">
                  <c:v>10.2502105</c:v>
                </c:pt>
                <c:pt idx="99">
                  <c:v>10.2661579</c:v>
                </c:pt>
                <c:pt idx="100">
                  <c:v>10.2821053</c:v>
                </c:pt>
                <c:pt idx="101">
                  <c:v>10.2980526</c:v>
                </c:pt>
                <c:pt idx="102">
                  <c:v>10.314</c:v>
                </c:pt>
                <c:pt idx="103">
                  <c:v>10.3299474</c:v>
                </c:pt>
                <c:pt idx="104">
                  <c:v>10.345894700000001</c:v>
                </c:pt>
                <c:pt idx="105">
                  <c:v>10.3618421</c:v>
                </c:pt>
                <c:pt idx="106">
                  <c:v>10.3777895</c:v>
                </c:pt>
                <c:pt idx="107">
                  <c:v>10.393736799999999</c:v>
                </c:pt>
                <c:pt idx="108">
                  <c:v>10.409684199999999</c:v>
                </c:pt>
                <c:pt idx="109">
                  <c:v>10.425631600000001</c:v>
                </c:pt>
                <c:pt idx="110">
                  <c:v>10.441579000000001</c:v>
                </c:pt>
                <c:pt idx="111">
                  <c:v>10.4575263</c:v>
                </c:pt>
                <c:pt idx="112">
                  <c:v>10.4734737</c:v>
                </c:pt>
                <c:pt idx="113">
                  <c:v>10.489421099999999</c:v>
                </c:pt>
                <c:pt idx="114">
                  <c:v>10.5053684</c:v>
                </c:pt>
                <c:pt idx="115">
                  <c:v>10.5213158</c:v>
                </c:pt>
                <c:pt idx="116">
                  <c:v>10.5372632</c:v>
                </c:pt>
                <c:pt idx="117">
                  <c:v>10.5532105</c:v>
                </c:pt>
                <c:pt idx="118">
                  <c:v>10.5691579</c:v>
                </c:pt>
                <c:pt idx="119">
                  <c:v>10.5851053</c:v>
                </c:pt>
                <c:pt idx="120">
                  <c:v>10.601052599999999</c:v>
                </c:pt>
                <c:pt idx="121">
                  <c:v>10.617000000000001</c:v>
                </c:pt>
                <c:pt idx="122">
                  <c:v>10.632947400000001</c:v>
                </c:pt>
                <c:pt idx="123">
                  <c:v>10.6488947</c:v>
                </c:pt>
                <c:pt idx="124">
                  <c:v>10.6648421</c:v>
                </c:pt>
                <c:pt idx="125">
                  <c:v>10.680789499999999</c:v>
                </c:pt>
                <c:pt idx="126">
                  <c:v>10.6967368</c:v>
                </c:pt>
                <c:pt idx="127">
                  <c:v>10.7126842</c:v>
                </c:pt>
                <c:pt idx="128">
                  <c:v>10.7286316</c:v>
                </c:pt>
                <c:pt idx="129">
                  <c:v>10.744579</c:v>
                </c:pt>
                <c:pt idx="130">
                  <c:v>10.7605263</c:v>
                </c:pt>
                <c:pt idx="131">
                  <c:v>10.7764737</c:v>
                </c:pt>
                <c:pt idx="132">
                  <c:v>10.7924211</c:v>
                </c:pt>
                <c:pt idx="133">
                  <c:v>10.808368400000001</c:v>
                </c:pt>
                <c:pt idx="134">
                  <c:v>10.824315800000001</c:v>
                </c:pt>
                <c:pt idx="135">
                  <c:v>10.840263200000001</c:v>
                </c:pt>
                <c:pt idx="136">
                  <c:v>10.8562105</c:v>
                </c:pt>
                <c:pt idx="137">
                  <c:v>10.872157899999999</c:v>
                </c:pt>
                <c:pt idx="138">
                  <c:v>10.888105299999999</c:v>
                </c:pt>
                <c:pt idx="139">
                  <c:v>10.9040526</c:v>
                </c:pt>
                <c:pt idx="140">
                  <c:v>10.92</c:v>
                </c:pt>
                <c:pt idx="141">
                  <c:v>10.9359474</c:v>
                </c:pt>
                <c:pt idx="142">
                  <c:v>10.9518947</c:v>
                </c:pt>
                <c:pt idx="143">
                  <c:v>10.9678421</c:v>
                </c:pt>
                <c:pt idx="144">
                  <c:v>10.9837895</c:v>
                </c:pt>
                <c:pt idx="145">
                  <c:v>10.999736800000001</c:v>
                </c:pt>
                <c:pt idx="146">
                  <c:v>11.015684200000001</c:v>
                </c:pt>
                <c:pt idx="147">
                  <c:v>11.031631600000001</c:v>
                </c:pt>
                <c:pt idx="148">
                  <c:v>11.047579000000001</c:v>
                </c:pt>
                <c:pt idx="149">
                  <c:v>11.063526299999999</c:v>
                </c:pt>
                <c:pt idx="150">
                  <c:v>11.079473699999999</c:v>
                </c:pt>
                <c:pt idx="151">
                  <c:v>11.095421099999999</c:v>
                </c:pt>
                <c:pt idx="152">
                  <c:v>11.1113684</c:v>
                </c:pt>
                <c:pt idx="153">
                  <c:v>11.1273158</c:v>
                </c:pt>
                <c:pt idx="154">
                  <c:v>11.1432632</c:v>
                </c:pt>
                <c:pt idx="155">
                  <c:v>11.1592105</c:v>
                </c:pt>
                <c:pt idx="156">
                  <c:v>11.1751579</c:v>
                </c:pt>
                <c:pt idx="157">
                  <c:v>11.1911053</c:v>
                </c:pt>
                <c:pt idx="158">
                  <c:v>11.207052600000001</c:v>
                </c:pt>
                <c:pt idx="159">
                  <c:v>11.223000000000001</c:v>
                </c:pt>
                <c:pt idx="160">
                  <c:v>11.238947400000001</c:v>
                </c:pt>
                <c:pt idx="161">
                  <c:v>11.254894699999999</c:v>
                </c:pt>
                <c:pt idx="162">
                  <c:v>11.270842099999999</c:v>
                </c:pt>
                <c:pt idx="163">
                  <c:v>11.286789499999999</c:v>
                </c:pt>
                <c:pt idx="164">
                  <c:v>11.3027368</c:v>
                </c:pt>
                <c:pt idx="165">
                  <c:v>11.3186842</c:v>
                </c:pt>
                <c:pt idx="166">
                  <c:v>11.3346316</c:v>
                </c:pt>
                <c:pt idx="167">
                  <c:v>11.350579</c:v>
                </c:pt>
                <c:pt idx="168">
                  <c:v>11.3665263</c:v>
                </c:pt>
                <c:pt idx="169">
                  <c:v>11.3824737</c:v>
                </c:pt>
                <c:pt idx="170">
                  <c:v>11.3984211</c:v>
                </c:pt>
                <c:pt idx="171">
                  <c:v>11.414368400000001</c:v>
                </c:pt>
                <c:pt idx="172">
                  <c:v>11.430315800000001</c:v>
                </c:pt>
                <c:pt idx="173">
                  <c:v>11.446263200000001</c:v>
                </c:pt>
                <c:pt idx="174">
                  <c:v>11.462210499999999</c:v>
                </c:pt>
                <c:pt idx="175">
                  <c:v>11.478157899999999</c:v>
                </c:pt>
                <c:pt idx="176">
                  <c:v>11.494105299999999</c:v>
                </c:pt>
                <c:pt idx="177">
                  <c:v>11.5100526</c:v>
                </c:pt>
                <c:pt idx="178">
                  <c:v>11.526</c:v>
                </c:pt>
                <c:pt idx="179">
                  <c:v>11.5446214</c:v>
                </c:pt>
                <c:pt idx="180">
                  <c:v>11.5632427</c:v>
                </c:pt>
                <c:pt idx="181">
                  <c:v>11.581864100000001</c:v>
                </c:pt>
                <c:pt idx="182">
                  <c:v>11.6004854</c:v>
                </c:pt>
                <c:pt idx="183">
                  <c:v>11.619106800000001</c:v>
                </c:pt>
                <c:pt idx="184">
                  <c:v>11.6377282</c:v>
                </c:pt>
                <c:pt idx="185">
                  <c:v>11.656349499999999</c:v>
                </c:pt>
                <c:pt idx="186">
                  <c:v>11.6749709</c:v>
                </c:pt>
                <c:pt idx="187">
                  <c:v>11.693592199999999</c:v>
                </c:pt>
                <c:pt idx="188">
                  <c:v>11.7122136</c:v>
                </c:pt>
                <c:pt idx="189">
                  <c:v>11.730835000000001</c:v>
                </c:pt>
                <c:pt idx="190">
                  <c:v>11.7494563</c:v>
                </c:pt>
                <c:pt idx="191">
                  <c:v>11.768077699999999</c:v>
                </c:pt>
                <c:pt idx="192">
                  <c:v>11.786699</c:v>
                </c:pt>
                <c:pt idx="193">
                  <c:v>11.805320399999999</c:v>
                </c:pt>
                <c:pt idx="194">
                  <c:v>11.8239418</c:v>
                </c:pt>
                <c:pt idx="195">
                  <c:v>11.8425631</c:v>
                </c:pt>
                <c:pt idx="196">
                  <c:v>11.8611845</c:v>
                </c:pt>
                <c:pt idx="197">
                  <c:v>11.8798058</c:v>
                </c:pt>
                <c:pt idx="198">
                  <c:v>11.8984272</c:v>
                </c:pt>
                <c:pt idx="199">
                  <c:v>11.9170485</c:v>
                </c:pt>
                <c:pt idx="200">
                  <c:v>11.935669900000001</c:v>
                </c:pt>
                <c:pt idx="201">
                  <c:v>11.9542913</c:v>
                </c:pt>
                <c:pt idx="202">
                  <c:v>11.972912600000001</c:v>
                </c:pt>
                <c:pt idx="203">
                  <c:v>11.991534</c:v>
                </c:pt>
                <c:pt idx="204">
                  <c:v>12.010155299999999</c:v>
                </c:pt>
                <c:pt idx="205">
                  <c:v>12.0287767</c:v>
                </c:pt>
                <c:pt idx="206">
                  <c:v>12.047398100000001</c:v>
                </c:pt>
                <c:pt idx="207">
                  <c:v>12.0660194</c:v>
                </c:pt>
                <c:pt idx="208">
                  <c:v>12.084640800000001</c:v>
                </c:pt>
                <c:pt idx="209">
                  <c:v>12.1032621</c:v>
                </c:pt>
                <c:pt idx="210">
                  <c:v>12.121883499999999</c:v>
                </c:pt>
                <c:pt idx="211">
                  <c:v>12.1405049</c:v>
                </c:pt>
                <c:pt idx="212">
                  <c:v>12.159126199999999</c:v>
                </c:pt>
                <c:pt idx="213">
                  <c:v>12.1777476</c:v>
                </c:pt>
                <c:pt idx="214">
                  <c:v>12.1963689</c:v>
                </c:pt>
                <c:pt idx="215">
                  <c:v>12.2149903</c:v>
                </c:pt>
                <c:pt idx="216">
                  <c:v>12.233611700000001</c:v>
                </c:pt>
                <c:pt idx="217">
                  <c:v>12.252233</c:v>
                </c:pt>
                <c:pt idx="218">
                  <c:v>12.270854399999999</c:v>
                </c:pt>
                <c:pt idx="219">
                  <c:v>12.289475700000001</c:v>
                </c:pt>
                <c:pt idx="220">
                  <c:v>12.308097099999999</c:v>
                </c:pt>
                <c:pt idx="221">
                  <c:v>12.3267185</c:v>
                </c:pt>
                <c:pt idx="222">
                  <c:v>12.3453398</c:v>
                </c:pt>
                <c:pt idx="223">
                  <c:v>12.3639612</c:v>
                </c:pt>
                <c:pt idx="224">
                  <c:v>12.3825825</c:v>
                </c:pt>
                <c:pt idx="225">
                  <c:v>12.401203900000001</c:v>
                </c:pt>
                <c:pt idx="226">
                  <c:v>12.4198252</c:v>
                </c:pt>
                <c:pt idx="227">
                  <c:v>12.438446600000001</c:v>
                </c:pt>
                <c:pt idx="228">
                  <c:v>12.457068</c:v>
                </c:pt>
                <c:pt idx="229">
                  <c:v>12.475689300000001</c:v>
                </c:pt>
                <c:pt idx="230">
                  <c:v>12.486911900000001</c:v>
                </c:pt>
                <c:pt idx="231">
                  <c:v>12.4907358</c:v>
                </c:pt>
                <c:pt idx="232">
                  <c:v>12.494559600000001</c:v>
                </c:pt>
                <c:pt idx="233">
                  <c:v>12.4983834</c:v>
                </c:pt>
                <c:pt idx="234">
                  <c:v>12.5022073</c:v>
                </c:pt>
                <c:pt idx="235">
                  <c:v>12.5060311</c:v>
                </c:pt>
                <c:pt idx="236">
                  <c:v>12.509854900000001</c:v>
                </c:pt>
                <c:pt idx="237">
                  <c:v>12.513678799999999</c:v>
                </c:pt>
                <c:pt idx="238">
                  <c:v>12.5175026</c:v>
                </c:pt>
                <c:pt idx="239">
                  <c:v>12.5213264</c:v>
                </c:pt>
                <c:pt idx="240">
                  <c:v>12.5251503</c:v>
                </c:pt>
                <c:pt idx="241">
                  <c:v>12.528974099999999</c:v>
                </c:pt>
                <c:pt idx="242">
                  <c:v>12.5327979</c:v>
                </c:pt>
                <c:pt idx="243">
                  <c:v>12.536621800000001</c:v>
                </c:pt>
                <c:pt idx="244">
                  <c:v>12.5404456</c:v>
                </c:pt>
                <c:pt idx="245">
                  <c:v>12.544269399999999</c:v>
                </c:pt>
                <c:pt idx="246">
                  <c:v>12.5480933</c:v>
                </c:pt>
                <c:pt idx="247">
                  <c:v>12.551917100000001</c:v>
                </c:pt>
                <c:pt idx="248">
                  <c:v>12.5557409</c:v>
                </c:pt>
                <c:pt idx="249">
                  <c:v>12.5595648</c:v>
                </c:pt>
                <c:pt idx="250">
                  <c:v>12.5633886</c:v>
                </c:pt>
                <c:pt idx="251">
                  <c:v>12.567212400000001</c:v>
                </c:pt>
                <c:pt idx="252">
                  <c:v>12.571036299999999</c:v>
                </c:pt>
                <c:pt idx="253">
                  <c:v>12.5748601</c:v>
                </c:pt>
                <c:pt idx="254">
                  <c:v>12.5786839</c:v>
                </c:pt>
                <c:pt idx="255">
                  <c:v>12.5825078</c:v>
                </c:pt>
                <c:pt idx="256">
                  <c:v>12.586331599999999</c:v>
                </c:pt>
                <c:pt idx="257">
                  <c:v>12.5901554</c:v>
                </c:pt>
                <c:pt idx="258">
                  <c:v>12.593979300000001</c:v>
                </c:pt>
                <c:pt idx="259">
                  <c:v>12.5978031</c:v>
                </c:pt>
                <c:pt idx="260">
                  <c:v>12.601626899999999</c:v>
                </c:pt>
                <c:pt idx="261">
                  <c:v>12.6054508</c:v>
                </c:pt>
                <c:pt idx="262">
                  <c:v>12.609274599999999</c:v>
                </c:pt>
                <c:pt idx="263">
                  <c:v>12.6130985</c:v>
                </c:pt>
                <c:pt idx="264">
                  <c:v>12.616922300000001</c:v>
                </c:pt>
                <c:pt idx="265">
                  <c:v>12.6207461</c:v>
                </c:pt>
                <c:pt idx="266">
                  <c:v>12.62457</c:v>
                </c:pt>
                <c:pt idx="267">
                  <c:v>12.6283938</c:v>
                </c:pt>
                <c:pt idx="268">
                  <c:v>12.632217600000001</c:v>
                </c:pt>
                <c:pt idx="269">
                  <c:v>12.636041499999999</c:v>
                </c:pt>
                <c:pt idx="270">
                  <c:v>12.6398653</c:v>
                </c:pt>
                <c:pt idx="271">
                  <c:v>12.6436891</c:v>
                </c:pt>
                <c:pt idx="272">
                  <c:v>12.647513</c:v>
                </c:pt>
                <c:pt idx="273">
                  <c:v>12.651336799999999</c:v>
                </c:pt>
                <c:pt idx="274">
                  <c:v>12.6551606</c:v>
                </c:pt>
                <c:pt idx="275">
                  <c:v>12.658984500000001</c:v>
                </c:pt>
                <c:pt idx="276">
                  <c:v>12.6628083</c:v>
                </c:pt>
                <c:pt idx="277">
                  <c:v>12.666632099999999</c:v>
                </c:pt>
                <c:pt idx="278">
                  <c:v>12.670456</c:v>
                </c:pt>
                <c:pt idx="279">
                  <c:v>12.674279800000001</c:v>
                </c:pt>
                <c:pt idx="280">
                  <c:v>12.6781036</c:v>
                </c:pt>
                <c:pt idx="281">
                  <c:v>12.6819275</c:v>
                </c:pt>
                <c:pt idx="282">
                  <c:v>12.6857513</c:v>
                </c:pt>
                <c:pt idx="283">
                  <c:v>12.689575100000001</c:v>
                </c:pt>
                <c:pt idx="284">
                  <c:v>12.693398999999999</c:v>
                </c:pt>
                <c:pt idx="285">
                  <c:v>12.6972228</c:v>
                </c:pt>
                <c:pt idx="286">
                  <c:v>12.7010466</c:v>
                </c:pt>
                <c:pt idx="287">
                  <c:v>12.7048705</c:v>
                </c:pt>
                <c:pt idx="288">
                  <c:v>12.708694299999999</c:v>
                </c:pt>
                <c:pt idx="289">
                  <c:v>12.7125181</c:v>
                </c:pt>
                <c:pt idx="290">
                  <c:v>12.716341999999999</c:v>
                </c:pt>
                <c:pt idx="291">
                  <c:v>12.7201658</c:v>
                </c:pt>
                <c:pt idx="292">
                  <c:v>12.723989599999999</c:v>
                </c:pt>
                <c:pt idx="293">
                  <c:v>12.7278135</c:v>
                </c:pt>
                <c:pt idx="294">
                  <c:v>12.731637299999999</c:v>
                </c:pt>
                <c:pt idx="295">
                  <c:v>12.7354611</c:v>
                </c:pt>
                <c:pt idx="296">
                  <c:v>12.739285000000001</c:v>
                </c:pt>
                <c:pt idx="297">
                  <c:v>12.7431088</c:v>
                </c:pt>
                <c:pt idx="298">
                  <c:v>12.746932599999999</c:v>
                </c:pt>
                <c:pt idx="299">
                  <c:v>12.7507565</c:v>
                </c:pt>
                <c:pt idx="300">
                  <c:v>12.754580300000001</c:v>
                </c:pt>
                <c:pt idx="301">
                  <c:v>12.758404199999999</c:v>
                </c:pt>
                <c:pt idx="302">
                  <c:v>12.762228</c:v>
                </c:pt>
                <c:pt idx="303">
                  <c:v>12.7660518</c:v>
                </c:pt>
                <c:pt idx="304">
                  <c:v>12.7698757</c:v>
                </c:pt>
                <c:pt idx="305">
                  <c:v>12.773699499999999</c:v>
                </c:pt>
                <c:pt idx="306">
                  <c:v>12.7775233</c:v>
                </c:pt>
                <c:pt idx="307">
                  <c:v>12.781347200000001</c:v>
                </c:pt>
                <c:pt idx="308">
                  <c:v>12.785171</c:v>
                </c:pt>
                <c:pt idx="309">
                  <c:v>12.788994799999999</c:v>
                </c:pt>
                <c:pt idx="310">
                  <c:v>12.7928187</c:v>
                </c:pt>
                <c:pt idx="311">
                  <c:v>12.796642500000001</c:v>
                </c:pt>
                <c:pt idx="312">
                  <c:v>12.8004663</c:v>
                </c:pt>
                <c:pt idx="313">
                  <c:v>12.804290200000001</c:v>
                </c:pt>
                <c:pt idx="314">
                  <c:v>12.808114</c:v>
                </c:pt>
                <c:pt idx="315">
                  <c:v>12.811937800000001</c:v>
                </c:pt>
                <c:pt idx="316">
                  <c:v>12.815761699999999</c:v>
                </c:pt>
                <c:pt idx="317">
                  <c:v>12.819585500000001</c:v>
                </c:pt>
                <c:pt idx="318">
                  <c:v>12.8234093</c:v>
                </c:pt>
                <c:pt idx="319">
                  <c:v>12.8272332</c:v>
                </c:pt>
                <c:pt idx="320">
                  <c:v>12.831056999999999</c:v>
                </c:pt>
                <c:pt idx="321">
                  <c:v>12.834880800000001</c:v>
                </c:pt>
                <c:pt idx="322">
                  <c:v>12.838704699999999</c:v>
                </c:pt>
                <c:pt idx="323">
                  <c:v>12.8425285</c:v>
                </c:pt>
                <c:pt idx="324">
                  <c:v>12.8463523</c:v>
                </c:pt>
                <c:pt idx="325">
                  <c:v>12.8501762</c:v>
                </c:pt>
                <c:pt idx="326">
                  <c:v>12.853999999999999</c:v>
                </c:pt>
                <c:pt idx="327">
                  <c:v>12.859033999999999</c:v>
                </c:pt>
                <c:pt idx="328">
                  <c:v>12.864068</c:v>
                </c:pt>
                <c:pt idx="329">
                  <c:v>12.869102</c:v>
                </c:pt>
                <c:pt idx="330">
                  <c:v>12.874136099999999</c:v>
                </c:pt>
                <c:pt idx="331">
                  <c:v>12.8791701</c:v>
                </c:pt>
                <c:pt idx="332">
                  <c:v>12.8842041</c:v>
                </c:pt>
                <c:pt idx="333">
                  <c:v>12.8892381</c:v>
                </c:pt>
                <c:pt idx="334">
                  <c:v>12.8942721</c:v>
                </c:pt>
                <c:pt idx="335">
                  <c:v>12.8993061</c:v>
                </c:pt>
                <c:pt idx="336">
                  <c:v>12.904340100000001</c:v>
                </c:pt>
                <c:pt idx="337">
                  <c:v>12.9093742</c:v>
                </c:pt>
                <c:pt idx="338">
                  <c:v>12.9144082</c:v>
                </c:pt>
                <c:pt idx="339">
                  <c:v>12.919442200000001</c:v>
                </c:pt>
                <c:pt idx="340">
                  <c:v>12.924476200000001</c:v>
                </c:pt>
                <c:pt idx="341">
                  <c:v>12.929510199999999</c:v>
                </c:pt>
                <c:pt idx="342">
                  <c:v>12.934544199999999</c:v>
                </c:pt>
                <c:pt idx="343">
                  <c:v>12.9395782</c:v>
                </c:pt>
                <c:pt idx="344">
                  <c:v>12.9446122</c:v>
                </c:pt>
                <c:pt idx="345">
                  <c:v>12.949646299999999</c:v>
                </c:pt>
                <c:pt idx="346">
                  <c:v>12.9546803</c:v>
                </c:pt>
                <c:pt idx="347">
                  <c:v>12.9597143</c:v>
                </c:pt>
                <c:pt idx="348">
                  <c:v>12.9647483</c:v>
                </c:pt>
                <c:pt idx="349">
                  <c:v>12.9697823</c:v>
                </c:pt>
                <c:pt idx="350">
                  <c:v>12.974816300000001</c:v>
                </c:pt>
                <c:pt idx="351">
                  <c:v>12.979850300000001</c:v>
                </c:pt>
                <c:pt idx="352">
                  <c:v>12.9848844</c:v>
                </c:pt>
                <c:pt idx="353">
                  <c:v>12.989918400000001</c:v>
                </c:pt>
                <c:pt idx="354">
                  <c:v>12.994952400000001</c:v>
                </c:pt>
                <c:pt idx="355">
                  <c:v>12.999986399999999</c:v>
                </c:pt>
                <c:pt idx="356">
                  <c:v>13.005020399999999</c:v>
                </c:pt>
                <c:pt idx="357">
                  <c:v>13.0100544</c:v>
                </c:pt>
                <c:pt idx="358">
                  <c:v>13.0150884</c:v>
                </c:pt>
                <c:pt idx="359">
                  <c:v>13.020122499999999</c:v>
                </c:pt>
                <c:pt idx="360">
                  <c:v>13.0251565</c:v>
                </c:pt>
                <c:pt idx="361">
                  <c:v>13.0301905</c:v>
                </c:pt>
                <c:pt idx="362">
                  <c:v>13.0352245</c:v>
                </c:pt>
                <c:pt idx="363">
                  <c:v>13.0402585</c:v>
                </c:pt>
                <c:pt idx="364">
                  <c:v>13.0452925</c:v>
                </c:pt>
                <c:pt idx="365">
                  <c:v>13.050326500000001</c:v>
                </c:pt>
                <c:pt idx="366">
                  <c:v>13.055360500000001</c:v>
                </c:pt>
                <c:pt idx="367">
                  <c:v>13.0603946</c:v>
                </c:pt>
                <c:pt idx="368">
                  <c:v>13.065428600000001</c:v>
                </c:pt>
                <c:pt idx="369">
                  <c:v>13.070462600000001</c:v>
                </c:pt>
                <c:pt idx="370">
                  <c:v>13.075496599999999</c:v>
                </c:pt>
                <c:pt idx="371">
                  <c:v>13.080530599999999</c:v>
                </c:pt>
                <c:pt idx="372">
                  <c:v>13.0855646</c:v>
                </c:pt>
                <c:pt idx="373">
                  <c:v>13.0905986</c:v>
                </c:pt>
                <c:pt idx="374">
                  <c:v>13.095632699999999</c:v>
                </c:pt>
                <c:pt idx="375">
                  <c:v>13.1006667</c:v>
                </c:pt>
                <c:pt idx="376">
                  <c:v>13.1057007</c:v>
                </c:pt>
                <c:pt idx="377">
                  <c:v>13.1107347</c:v>
                </c:pt>
                <c:pt idx="378">
                  <c:v>13.1157687</c:v>
                </c:pt>
                <c:pt idx="379">
                  <c:v>13.1208027</c:v>
                </c:pt>
                <c:pt idx="380">
                  <c:v>13.125836700000001</c:v>
                </c:pt>
                <c:pt idx="381">
                  <c:v>13.1308708</c:v>
                </c:pt>
                <c:pt idx="382">
                  <c:v>13.1359048</c:v>
                </c:pt>
                <c:pt idx="383">
                  <c:v>13.140938800000001</c:v>
                </c:pt>
                <c:pt idx="384">
                  <c:v>13.145972799999999</c:v>
                </c:pt>
                <c:pt idx="385">
                  <c:v>13.151006799999999</c:v>
                </c:pt>
                <c:pt idx="386">
                  <c:v>13.1560408</c:v>
                </c:pt>
                <c:pt idx="387">
                  <c:v>13.1610748</c:v>
                </c:pt>
                <c:pt idx="388">
                  <c:v>13.1661088</c:v>
                </c:pt>
                <c:pt idx="389">
                  <c:v>13.1711429</c:v>
                </c:pt>
                <c:pt idx="390">
                  <c:v>13.1761769</c:v>
                </c:pt>
                <c:pt idx="391">
                  <c:v>13.1812109</c:v>
                </c:pt>
                <c:pt idx="392">
                  <c:v>13.1862449</c:v>
                </c:pt>
                <c:pt idx="393">
                  <c:v>13.1912789</c:v>
                </c:pt>
                <c:pt idx="394">
                  <c:v>13.196312900000001</c:v>
                </c:pt>
                <c:pt idx="395">
                  <c:v>13.201346900000001</c:v>
                </c:pt>
                <c:pt idx="396">
                  <c:v>13.206381</c:v>
                </c:pt>
                <c:pt idx="397">
                  <c:v>13.211415000000001</c:v>
                </c:pt>
                <c:pt idx="398">
                  <c:v>13.216449000000001</c:v>
                </c:pt>
                <c:pt idx="399">
                  <c:v>13.221482999999999</c:v>
                </c:pt>
                <c:pt idx="400">
                  <c:v>13.224729999999999</c:v>
                </c:pt>
                <c:pt idx="401">
                  <c:v>13.226190000000001</c:v>
                </c:pt>
                <c:pt idx="402">
                  <c:v>13.227650000000001</c:v>
                </c:pt>
                <c:pt idx="403">
                  <c:v>13.22911</c:v>
                </c:pt>
                <c:pt idx="404">
                  <c:v>13.23057</c:v>
                </c:pt>
                <c:pt idx="405">
                  <c:v>13.23203</c:v>
                </c:pt>
                <c:pt idx="406">
                  <c:v>13.23349</c:v>
                </c:pt>
                <c:pt idx="407">
                  <c:v>13.23495</c:v>
                </c:pt>
                <c:pt idx="408">
                  <c:v>13.236409999999999</c:v>
                </c:pt>
                <c:pt idx="409">
                  <c:v>13.237869999999999</c:v>
                </c:pt>
                <c:pt idx="410">
                  <c:v>13.239330000000001</c:v>
                </c:pt>
                <c:pt idx="411">
                  <c:v>13.240790000000001</c:v>
                </c:pt>
                <c:pt idx="412">
                  <c:v>13.24225</c:v>
                </c:pt>
                <c:pt idx="413">
                  <c:v>13.24371</c:v>
                </c:pt>
                <c:pt idx="414">
                  <c:v>13.24517</c:v>
                </c:pt>
                <c:pt idx="415">
                  <c:v>13.24663</c:v>
                </c:pt>
                <c:pt idx="416">
                  <c:v>13.248089999999999</c:v>
                </c:pt>
                <c:pt idx="417">
                  <c:v>13.249549999999999</c:v>
                </c:pt>
                <c:pt idx="418">
                  <c:v>13.251010000000001</c:v>
                </c:pt>
                <c:pt idx="419">
                  <c:v>13.252470000000001</c:v>
                </c:pt>
                <c:pt idx="420">
                  <c:v>13.25393</c:v>
                </c:pt>
                <c:pt idx="421">
                  <c:v>13.25539</c:v>
                </c:pt>
                <c:pt idx="422">
                  <c:v>13.25685</c:v>
                </c:pt>
                <c:pt idx="423">
                  <c:v>13.25831</c:v>
                </c:pt>
                <c:pt idx="424">
                  <c:v>13.25977</c:v>
                </c:pt>
                <c:pt idx="425">
                  <c:v>13.261229999999999</c:v>
                </c:pt>
                <c:pt idx="426">
                  <c:v>13.262689999999999</c:v>
                </c:pt>
                <c:pt idx="427">
                  <c:v>13.264150000000001</c:v>
                </c:pt>
                <c:pt idx="428">
                  <c:v>13.265610000000001</c:v>
                </c:pt>
                <c:pt idx="429">
                  <c:v>13.26707</c:v>
                </c:pt>
                <c:pt idx="430">
                  <c:v>13.26853</c:v>
                </c:pt>
                <c:pt idx="431">
                  <c:v>13.26999</c:v>
                </c:pt>
                <c:pt idx="432">
                  <c:v>13.27145</c:v>
                </c:pt>
                <c:pt idx="433">
                  <c:v>13.27291</c:v>
                </c:pt>
                <c:pt idx="434">
                  <c:v>13.274369999999999</c:v>
                </c:pt>
                <c:pt idx="435">
                  <c:v>13.275829999999999</c:v>
                </c:pt>
                <c:pt idx="436">
                  <c:v>13.277290000000001</c:v>
                </c:pt>
                <c:pt idx="437">
                  <c:v>13.27875</c:v>
                </c:pt>
                <c:pt idx="438">
                  <c:v>13.28021</c:v>
                </c:pt>
                <c:pt idx="439">
                  <c:v>13.28167</c:v>
                </c:pt>
                <c:pt idx="440">
                  <c:v>13.28313</c:v>
                </c:pt>
                <c:pt idx="441">
                  <c:v>13.28459</c:v>
                </c:pt>
                <c:pt idx="442">
                  <c:v>13.286049999999999</c:v>
                </c:pt>
                <c:pt idx="443">
                  <c:v>13.287509999999999</c:v>
                </c:pt>
                <c:pt idx="444">
                  <c:v>13.288970000000001</c:v>
                </c:pt>
                <c:pt idx="445">
                  <c:v>13.290430000000001</c:v>
                </c:pt>
                <c:pt idx="446">
                  <c:v>13.29189</c:v>
                </c:pt>
                <c:pt idx="447">
                  <c:v>13.29335</c:v>
                </c:pt>
                <c:pt idx="448">
                  <c:v>13.29481</c:v>
                </c:pt>
                <c:pt idx="449">
                  <c:v>13.29627</c:v>
                </c:pt>
                <c:pt idx="450">
                  <c:v>13.2978983</c:v>
                </c:pt>
                <c:pt idx="451">
                  <c:v>13.2996949</c:v>
                </c:pt>
                <c:pt idx="452">
                  <c:v>13.301491499999999</c:v>
                </c:pt>
                <c:pt idx="453">
                  <c:v>13.3032881</c:v>
                </c:pt>
                <c:pt idx="454">
                  <c:v>13.305084799999999</c:v>
                </c:pt>
                <c:pt idx="455">
                  <c:v>13.3068814</c:v>
                </c:pt>
                <c:pt idx="456">
                  <c:v>13.308678</c:v>
                </c:pt>
                <c:pt idx="457">
                  <c:v>13.310474599999999</c:v>
                </c:pt>
                <c:pt idx="458">
                  <c:v>13.3122712</c:v>
                </c:pt>
                <c:pt idx="459">
                  <c:v>13.3140678</c:v>
                </c:pt>
                <c:pt idx="460">
                  <c:v>13.315864400000001</c:v>
                </c:pt>
                <c:pt idx="461">
                  <c:v>13.317660999999999</c:v>
                </c:pt>
                <c:pt idx="462">
                  <c:v>13.3194576</c:v>
                </c:pt>
                <c:pt idx="463">
                  <c:v>13.3212542</c:v>
                </c:pt>
                <c:pt idx="464">
                  <c:v>13.3230509</c:v>
                </c:pt>
                <c:pt idx="465">
                  <c:v>13.324847500000001</c:v>
                </c:pt>
                <c:pt idx="466">
                  <c:v>13.326644099999999</c:v>
                </c:pt>
                <c:pt idx="467">
                  <c:v>13.3284407</c:v>
                </c:pt>
                <c:pt idx="468">
                  <c:v>13.3302373</c:v>
                </c:pt>
                <c:pt idx="469">
                  <c:v>13.332033900000001</c:v>
                </c:pt>
                <c:pt idx="470">
                  <c:v>13.333830499999999</c:v>
                </c:pt>
                <c:pt idx="471">
                  <c:v>13.3356271</c:v>
                </c:pt>
                <c:pt idx="472">
                  <c:v>13.3374237</c:v>
                </c:pt>
                <c:pt idx="473">
                  <c:v>13.339220299999999</c:v>
                </c:pt>
                <c:pt idx="474">
                  <c:v>13.341017000000001</c:v>
                </c:pt>
                <c:pt idx="475">
                  <c:v>13.342813599999999</c:v>
                </c:pt>
                <c:pt idx="476">
                  <c:v>13.3446102</c:v>
                </c:pt>
                <c:pt idx="477">
                  <c:v>13.3464068</c:v>
                </c:pt>
                <c:pt idx="478">
                  <c:v>13.348203399999999</c:v>
                </c:pt>
                <c:pt idx="479">
                  <c:v>13.35</c:v>
                </c:pt>
                <c:pt idx="480">
                  <c:v>13.3705</c:v>
                </c:pt>
                <c:pt idx="481">
                  <c:v>13.391</c:v>
                </c:pt>
                <c:pt idx="482">
                  <c:v>13.4115</c:v>
                </c:pt>
                <c:pt idx="483">
                  <c:v>13.432</c:v>
                </c:pt>
                <c:pt idx="484">
                  <c:v>13.452500000000001</c:v>
                </c:pt>
                <c:pt idx="485">
                  <c:v>13.473000000000001</c:v>
                </c:pt>
                <c:pt idx="486">
                  <c:v>13.493499999999999</c:v>
                </c:pt>
                <c:pt idx="487">
                  <c:v>13.513999999999999</c:v>
                </c:pt>
                <c:pt idx="488">
                  <c:v>13.5345</c:v>
                </c:pt>
                <c:pt idx="489">
                  <c:v>13.555</c:v>
                </c:pt>
                <c:pt idx="490">
                  <c:v>13.5755</c:v>
                </c:pt>
                <c:pt idx="491">
                  <c:v>13.596</c:v>
                </c:pt>
                <c:pt idx="492">
                  <c:v>13.6165</c:v>
                </c:pt>
                <c:pt idx="493">
                  <c:v>13.637</c:v>
                </c:pt>
                <c:pt idx="494">
                  <c:v>13.657500000000001</c:v>
                </c:pt>
                <c:pt idx="495">
                  <c:v>13.678000000000001</c:v>
                </c:pt>
                <c:pt idx="496">
                  <c:v>13.698499999999999</c:v>
                </c:pt>
                <c:pt idx="497">
                  <c:v>13.718999999999999</c:v>
                </c:pt>
                <c:pt idx="498">
                  <c:v>13.7395</c:v>
                </c:pt>
                <c:pt idx="499">
                  <c:v>13.76</c:v>
                </c:pt>
                <c:pt idx="500">
                  <c:v>13.7805</c:v>
                </c:pt>
                <c:pt idx="501">
                  <c:v>13.801</c:v>
                </c:pt>
                <c:pt idx="502">
                  <c:v>13.8215</c:v>
                </c:pt>
                <c:pt idx="503">
                  <c:v>13.842000000000001</c:v>
                </c:pt>
                <c:pt idx="504">
                  <c:v>13.862500000000001</c:v>
                </c:pt>
                <c:pt idx="505">
                  <c:v>13.882999999999999</c:v>
                </c:pt>
                <c:pt idx="506">
                  <c:v>13.9212364</c:v>
                </c:pt>
                <c:pt idx="507">
                  <c:v>13.959472699999999</c:v>
                </c:pt>
                <c:pt idx="508">
                  <c:v>13.9977091</c:v>
                </c:pt>
                <c:pt idx="509">
                  <c:v>14.0359455</c:v>
                </c:pt>
                <c:pt idx="510">
                  <c:v>14.0741818</c:v>
                </c:pt>
                <c:pt idx="511">
                  <c:v>14.1124182</c:v>
                </c:pt>
                <c:pt idx="512">
                  <c:v>14.150654599999999</c:v>
                </c:pt>
                <c:pt idx="513">
                  <c:v>14.188890900000001</c:v>
                </c:pt>
                <c:pt idx="514">
                  <c:v>14.227127299999999</c:v>
                </c:pt>
                <c:pt idx="515">
                  <c:v>14.265363600000001</c:v>
                </c:pt>
                <c:pt idx="516">
                  <c:v>14.303599999999999</c:v>
                </c:pt>
                <c:pt idx="517">
                  <c:v>14.3418364</c:v>
                </c:pt>
                <c:pt idx="518">
                  <c:v>14.380072699999999</c:v>
                </c:pt>
                <c:pt idx="519">
                  <c:v>14.4183091</c:v>
                </c:pt>
                <c:pt idx="520">
                  <c:v>14.456545500000001</c:v>
                </c:pt>
                <c:pt idx="521">
                  <c:v>14.4947818</c:v>
                </c:pt>
                <c:pt idx="522">
                  <c:v>14.533018200000001</c:v>
                </c:pt>
                <c:pt idx="523">
                  <c:v>14.5712546</c:v>
                </c:pt>
                <c:pt idx="524">
                  <c:v>14.609490900000001</c:v>
                </c:pt>
                <c:pt idx="525">
                  <c:v>14.6477273</c:v>
                </c:pt>
                <c:pt idx="526">
                  <c:v>14.685963599999999</c:v>
                </c:pt>
                <c:pt idx="527">
                  <c:v>14.7242</c:v>
                </c:pt>
                <c:pt idx="528">
                  <c:v>14.7624364</c:v>
                </c:pt>
                <c:pt idx="529">
                  <c:v>14.8006727</c:v>
                </c:pt>
                <c:pt idx="530">
                  <c:v>14.8389091</c:v>
                </c:pt>
                <c:pt idx="531">
                  <c:v>14.877145499999999</c:v>
                </c:pt>
                <c:pt idx="532">
                  <c:v>14.9153818</c:v>
                </c:pt>
                <c:pt idx="533">
                  <c:v>14.953618199999999</c:v>
                </c:pt>
                <c:pt idx="534">
                  <c:v>14.9918546</c:v>
                </c:pt>
                <c:pt idx="535">
                  <c:v>15.030090899999999</c:v>
                </c:pt>
                <c:pt idx="536">
                  <c:v>15.0683273</c:v>
                </c:pt>
                <c:pt idx="537">
                  <c:v>15.106563599999999</c:v>
                </c:pt>
                <c:pt idx="538">
                  <c:v>15.1448</c:v>
                </c:pt>
                <c:pt idx="539">
                  <c:v>15.183036400000001</c:v>
                </c:pt>
                <c:pt idx="540">
                  <c:v>15.2212727</c:v>
                </c:pt>
                <c:pt idx="541">
                  <c:v>15.259509100000001</c:v>
                </c:pt>
                <c:pt idx="542">
                  <c:v>15.2977455</c:v>
                </c:pt>
                <c:pt idx="543">
                  <c:v>15.335981800000001</c:v>
                </c:pt>
                <c:pt idx="544">
                  <c:v>15.3742182</c:v>
                </c:pt>
                <c:pt idx="545">
                  <c:v>15.4124546</c:v>
                </c:pt>
                <c:pt idx="546">
                  <c:v>15.4506909</c:v>
                </c:pt>
                <c:pt idx="547">
                  <c:v>15.4889273</c:v>
                </c:pt>
                <c:pt idx="548">
                  <c:v>15.5271636</c:v>
                </c:pt>
                <c:pt idx="549">
                  <c:v>15.5654</c:v>
                </c:pt>
                <c:pt idx="550">
                  <c:v>15.603636399999999</c:v>
                </c:pt>
                <c:pt idx="551">
                  <c:v>15.6418727</c:v>
                </c:pt>
                <c:pt idx="552">
                  <c:v>15.680109099999999</c:v>
                </c:pt>
                <c:pt idx="553">
                  <c:v>15.7183455</c:v>
                </c:pt>
                <c:pt idx="554">
                  <c:v>15.756581799999999</c:v>
                </c:pt>
                <c:pt idx="555">
                  <c:v>15.7948182</c:v>
                </c:pt>
                <c:pt idx="556">
                  <c:v>15.833054600000001</c:v>
                </c:pt>
                <c:pt idx="557">
                  <c:v>15.8712909</c:v>
                </c:pt>
                <c:pt idx="558">
                  <c:v>15.909527300000001</c:v>
                </c:pt>
                <c:pt idx="559">
                  <c:v>15.9477636</c:v>
                </c:pt>
                <c:pt idx="560">
                  <c:v>15.986000000000001</c:v>
                </c:pt>
                <c:pt idx="561">
                  <c:v>16.021599999999999</c:v>
                </c:pt>
                <c:pt idx="562">
                  <c:v>16.057200000000002</c:v>
                </c:pt>
                <c:pt idx="563">
                  <c:v>16.0928</c:v>
                </c:pt>
                <c:pt idx="564">
                  <c:v>16.128399999999999</c:v>
                </c:pt>
                <c:pt idx="565">
                  <c:v>16.164000000000001</c:v>
                </c:pt>
                <c:pt idx="566">
                  <c:v>16.1996</c:v>
                </c:pt>
                <c:pt idx="567">
                  <c:v>16.235199999999999</c:v>
                </c:pt>
                <c:pt idx="568">
                  <c:v>16.270800000000001</c:v>
                </c:pt>
                <c:pt idx="569">
                  <c:v>16.3064</c:v>
                </c:pt>
                <c:pt idx="570">
                  <c:v>16.341999999999999</c:v>
                </c:pt>
                <c:pt idx="571">
                  <c:v>16.4141111</c:v>
                </c:pt>
                <c:pt idx="572">
                  <c:v>16.4862222</c:v>
                </c:pt>
                <c:pt idx="573">
                  <c:v>16.558333300000001</c:v>
                </c:pt>
                <c:pt idx="574">
                  <c:v>16.630444399999998</c:v>
                </c:pt>
                <c:pt idx="575">
                  <c:v>16.7025556</c:v>
                </c:pt>
                <c:pt idx="576">
                  <c:v>16.774666700000001</c:v>
                </c:pt>
                <c:pt idx="577">
                  <c:v>16.846777800000002</c:v>
                </c:pt>
                <c:pt idx="578">
                  <c:v>16.918888899999999</c:v>
                </c:pt>
                <c:pt idx="579">
                  <c:v>16.991</c:v>
                </c:pt>
                <c:pt idx="580">
                  <c:v>17.013833300000002</c:v>
                </c:pt>
                <c:pt idx="581">
                  <c:v>17.036666700000001</c:v>
                </c:pt>
                <c:pt idx="582">
                  <c:v>17.0595</c:v>
                </c:pt>
                <c:pt idx="583">
                  <c:v>17.082333299999998</c:v>
                </c:pt>
                <c:pt idx="584">
                  <c:v>17.105166700000002</c:v>
                </c:pt>
                <c:pt idx="585">
                  <c:v>17.128</c:v>
                </c:pt>
                <c:pt idx="586">
                  <c:v>17.150833299999999</c:v>
                </c:pt>
                <c:pt idx="587">
                  <c:v>17.173666699999998</c:v>
                </c:pt>
                <c:pt idx="588">
                  <c:v>17.1965</c:v>
                </c:pt>
                <c:pt idx="589">
                  <c:v>17.219333299999999</c:v>
                </c:pt>
                <c:pt idx="590">
                  <c:v>17.242166699999999</c:v>
                </c:pt>
                <c:pt idx="591">
                  <c:v>17.265000000000001</c:v>
                </c:pt>
                <c:pt idx="592">
                  <c:v>17.287833299999999</c:v>
                </c:pt>
                <c:pt idx="593">
                  <c:v>17.310666699999999</c:v>
                </c:pt>
                <c:pt idx="594">
                  <c:v>17.333500000000001</c:v>
                </c:pt>
                <c:pt idx="595">
                  <c:v>17.356333299999999</c:v>
                </c:pt>
                <c:pt idx="596">
                  <c:v>17.379166699999999</c:v>
                </c:pt>
                <c:pt idx="597">
                  <c:v>17.402000000000001</c:v>
                </c:pt>
                <c:pt idx="598">
                  <c:v>17.4248333</c:v>
                </c:pt>
                <c:pt idx="599">
                  <c:v>17.447666699999999</c:v>
                </c:pt>
                <c:pt idx="600">
                  <c:v>17.470500000000001</c:v>
                </c:pt>
                <c:pt idx="601">
                  <c:v>17.4933333</c:v>
                </c:pt>
                <c:pt idx="602">
                  <c:v>17.516166699999999</c:v>
                </c:pt>
                <c:pt idx="603">
                  <c:v>17.539000000000001</c:v>
                </c:pt>
                <c:pt idx="604">
                  <c:v>17.5618333</c:v>
                </c:pt>
                <c:pt idx="605">
                  <c:v>17.5846667</c:v>
                </c:pt>
                <c:pt idx="606">
                  <c:v>17.607500000000002</c:v>
                </c:pt>
                <c:pt idx="607">
                  <c:v>17.6303333</c:v>
                </c:pt>
                <c:pt idx="608">
                  <c:v>17.6531667</c:v>
                </c:pt>
                <c:pt idx="609">
                  <c:v>17.675999999999998</c:v>
                </c:pt>
                <c:pt idx="610">
                  <c:v>17.742061899999999</c:v>
                </c:pt>
                <c:pt idx="611">
                  <c:v>17.808123699999999</c:v>
                </c:pt>
                <c:pt idx="612">
                  <c:v>17.874185600000001</c:v>
                </c:pt>
                <c:pt idx="613">
                  <c:v>17.940247400000001</c:v>
                </c:pt>
                <c:pt idx="614">
                  <c:v>18.006309300000002</c:v>
                </c:pt>
                <c:pt idx="615">
                  <c:v>18.072371100000002</c:v>
                </c:pt>
                <c:pt idx="616">
                  <c:v>18.138432999999999</c:v>
                </c:pt>
                <c:pt idx="617">
                  <c:v>18.2044949</c:v>
                </c:pt>
                <c:pt idx="618">
                  <c:v>18.2705567</c:v>
                </c:pt>
                <c:pt idx="619">
                  <c:v>18.336618600000001</c:v>
                </c:pt>
                <c:pt idx="620">
                  <c:v>18.402680400000001</c:v>
                </c:pt>
                <c:pt idx="621">
                  <c:v>18.468742299999999</c:v>
                </c:pt>
                <c:pt idx="622">
                  <c:v>18.534804099999999</c:v>
                </c:pt>
                <c:pt idx="623">
                  <c:v>18.600866</c:v>
                </c:pt>
                <c:pt idx="624">
                  <c:v>18.6669278</c:v>
                </c:pt>
                <c:pt idx="625">
                  <c:v>18.732989700000001</c:v>
                </c:pt>
                <c:pt idx="626">
                  <c:v>18.799051599999999</c:v>
                </c:pt>
                <c:pt idx="627">
                  <c:v>18.865113399999998</c:v>
                </c:pt>
                <c:pt idx="628">
                  <c:v>18.9311753</c:v>
                </c:pt>
                <c:pt idx="629">
                  <c:v>18.9972371</c:v>
                </c:pt>
                <c:pt idx="630">
                  <c:v>19.063299000000001</c:v>
                </c:pt>
                <c:pt idx="631">
                  <c:v>19.129360800000001</c:v>
                </c:pt>
                <c:pt idx="632">
                  <c:v>19.195422700000002</c:v>
                </c:pt>
                <c:pt idx="633">
                  <c:v>19.261484500000002</c:v>
                </c:pt>
                <c:pt idx="634">
                  <c:v>19.327546399999999</c:v>
                </c:pt>
                <c:pt idx="635">
                  <c:v>19.3936083</c:v>
                </c:pt>
                <c:pt idx="636">
                  <c:v>19.4596701</c:v>
                </c:pt>
                <c:pt idx="637">
                  <c:v>19.525732000000001</c:v>
                </c:pt>
                <c:pt idx="638">
                  <c:v>19.591793800000001</c:v>
                </c:pt>
                <c:pt idx="639">
                  <c:v>19.657855699999999</c:v>
                </c:pt>
                <c:pt idx="640">
                  <c:v>19.723917499999999</c:v>
                </c:pt>
                <c:pt idx="641">
                  <c:v>19.7899794</c:v>
                </c:pt>
                <c:pt idx="642">
                  <c:v>19.8560412</c:v>
                </c:pt>
                <c:pt idx="643">
                  <c:v>19.922103100000001</c:v>
                </c:pt>
                <c:pt idx="644">
                  <c:v>19.988164999999999</c:v>
                </c:pt>
                <c:pt idx="645">
                  <c:v>20.054226799999999</c:v>
                </c:pt>
                <c:pt idx="646">
                  <c:v>20.1202887</c:v>
                </c:pt>
                <c:pt idx="647">
                  <c:v>20.1863505</c:v>
                </c:pt>
                <c:pt idx="648">
                  <c:v>20.252412400000001</c:v>
                </c:pt>
                <c:pt idx="649">
                  <c:v>20.318474200000001</c:v>
                </c:pt>
                <c:pt idx="650">
                  <c:v>20.384536099999998</c:v>
                </c:pt>
                <c:pt idx="651">
                  <c:v>20.450597900000002</c:v>
                </c:pt>
                <c:pt idx="652">
                  <c:v>20.516659799999999</c:v>
                </c:pt>
                <c:pt idx="653">
                  <c:v>20.5827217</c:v>
                </c:pt>
                <c:pt idx="654">
                  <c:v>20.6487835</c:v>
                </c:pt>
                <c:pt idx="655">
                  <c:v>20.714845400000002</c:v>
                </c:pt>
                <c:pt idx="656">
                  <c:v>20.780907200000001</c:v>
                </c:pt>
                <c:pt idx="657">
                  <c:v>20.846969099999999</c:v>
                </c:pt>
                <c:pt idx="658">
                  <c:v>20.913030899999999</c:v>
                </c:pt>
                <c:pt idx="659">
                  <c:v>20.9790928</c:v>
                </c:pt>
                <c:pt idx="660">
                  <c:v>21.0451546</c:v>
                </c:pt>
                <c:pt idx="661">
                  <c:v>21.111216500000001</c:v>
                </c:pt>
                <c:pt idx="662">
                  <c:v>21.177278399999999</c:v>
                </c:pt>
                <c:pt idx="663">
                  <c:v>21.243340199999999</c:v>
                </c:pt>
                <c:pt idx="664">
                  <c:v>21.3094021</c:v>
                </c:pt>
                <c:pt idx="665">
                  <c:v>21.3754639</c:v>
                </c:pt>
                <c:pt idx="666">
                  <c:v>21.441525800000001</c:v>
                </c:pt>
                <c:pt idx="667">
                  <c:v>21.507587600000001</c:v>
                </c:pt>
                <c:pt idx="668">
                  <c:v>21.573649499999998</c:v>
                </c:pt>
                <c:pt idx="669">
                  <c:v>21.639711299999998</c:v>
                </c:pt>
                <c:pt idx="670">
                  <c:v>21.705773199999999</c:v>
                </c:pt>
                <c:pt idx="671">
                  <c:v>21.771835100000001</c:v>
                </c:pt>
                <c:pt idx="672">
                  <c:v>21.8378969</c:v>
                </c:pt>
                <c:pt idx="673">
                  <c:v>21.903958800000002</c:v>
                </c:pt>
                <c:pt idx="674">
                  <c:v>21.970020600000002</c:v>
                </c:pt>
                <c:pt idx="675">
                  <c:v>22.036082499999999</c:v>
                </c:pt>
                <c:pt idx="676">
                  <c:v>22.102144299999999</c:v>
                </c:pt>
                <c:pt idx="677">
                  <c:v>22.1682062</c:v>
                </c:pt>
                <c:pt idx="678">
                  <c:v>22.234268</c:v>
                </c:pt>
                <c:pt idx="679">
                  <c:v>22.300329900000001</c:v>
                </c:pt>
                <c:pt idx="680">
                  <c:v>22.366391799999999</c:v>
                </c:pt>
                <c:pt idx="681">
                  <c:v>22.432453599999999</c:v>
                </c:pt>
                <c:pt idx="682">
                  <c:v>22.4985155</c:v>
                </c:pt>
                <c:pt idx="683">
                  <c:v>22.5645773</c:v>
                </c:pt>
                <c:pt idx="684">
                  <c:v>22.630639200000001</c:v>
                </c:pt>
                <c:pt idx="685">
                  <c:v>22.696701000000001</c:v>
                </c:pt>
                <c:pt idx="686">
                  <c:v>22.762762899999998</c:v>
                </c:pt>
                <c:pt idx="687">
                  <c:v>22.828824699999998</c:v>
                </c:pt>
                <c:pt idx="688">
                  <c:v>22.8948866</c:v>
                </c:pt>
                <c:pt idx="689">
                  <c:v>22.960948500000001</c:v>
                </c:pt>
                <c:pt idx="690">
                  <c:v>23.027010300000001</c:v>
                </c:pt>
                <c:pt idx="691">
                  <c:v>23.093072200000002</c:v>
                </c:pt>
                <c:pt idx="692">
                  <c:v>23.159134000000002</c:v>
                </c:pt>
                <c:pt idx="693">
                  <c:v>23.225195899999999</c:v>
                </c:pt>
                <c:pt idx="694">
                  <c:v>23.291257699999999</c:v>
                </c:pt>
                <c:pt idx="695">
                  <c:v>23.3573196</c:v>
                </c:pt>
                <c:pt idx="696">
                  <c:v>23.4233814</c:v>
                </c:pt>
                <c:pt idx="697">
                  <c:v>23.489443300000001</c:v>
                </c:pt>
                <c:pt idx="698">
                  <c:v>23.555505199999999</c:v>
                </c:pt>
                <c:pt idx="699">
                  <c:v>23.621566999999999</c:v>
                </c:pt>
                <c:pt idx="700">
                  <c:v>23.6876289</c:v>
                </c:pt>
                <c:pt idx="701">
                  <c:v>23.7536907</c:v>
                </c:pt>
                <c:pt idx="702">
                  <c:v>23.819752600000001</c:v>
                </c:pt>
                <c:pt idx="703">
                  <c:v>23.885814400000001</c:v>
                </c:pt>
                <c:pt idx="704">
                  <c:v>23.951876299999999</c:v>
                </c:pt>
                <c:pt idx="705">
                  <c:v>24.017938099999999</c:v>
                </c:pt>
                <c:pt idx="706">
                  <c:v>24.084</c:v>
                </c:pt>
                <c:pt idx="707">
                  <c:v>24.135461500000002</c:v>
                </c:pt>
                <c:pt idx="708">
                  <c:v>24.186923100000001</c:v>
                </c:pt>
                <c:pt idx="709">
                  <c:v>24.2383846</c:v>
                </c:pt>
                <c:pt idx="710">
                  <c:v>24.289846199999999</c:v>
                </c:pt>
                <c:pt idx="711">
                  <c:v>24.341307700000002</c:v>
                </c:pt>
                <c:pt idx="712">
                  <c:v>24.3927692</c:v>
                </c:pt>
                <c:pt idx="713">
                  <c:v>24.4442308</c:v>
                </c:pt>
                <c:pt idx="714">
                  <c:v>24.495692300000002</c:v>
                </c:pt>
                <c:pt idx="715">
                  <c:v>24.547153900000001</c:v>
                </c:pt>
                <c:pt idx="716">
                  <c:v>24.5986154</c:v>
                </c:pt>
                <c:pt idx="717">
                  <c:v>24.650076899999998</c:v>
                </c:pt>
                <c:pt idx="718">
                  <c:v>24.701538500000002</c:v>
                </c:pt>
                <c:pt idx="719">
                  <c:v>24.753</c:v>
                </c:pt>
                <c:pt idx="720">
                  <c:v>24.804461499999999</c:v>
                </c:pt>
                <c:pt idx="721">
                  <c:v>24.855923099999998</c:v>
                </c:pt>
                <c:pt idx="722">
                  <c:v>24.9073846</c:v>
                </c:pt>
                <c:pt idx="723">
                  <c:v>24.9588462</c:v>
                </c:pt>
                <c:pt idx="724">
                  <c:v>25.010307699999998</c:v>
                </c:pt>
                <c:pt idx="725">
                  <c:v>25.061769200000001</c:v>
                </c:pt>
                <c:pt idx="726">
                  <c:v>25.1132308</c:v>
                </c:pt>
                <c:pt idx="727">
                  <c:v>25.164692299999999</c:v>
                </c:pt>
                <c:pt idx="728">
                  <c:v>25.216153899999998</c:v>
                </c:pt>
                <c:pt idx="729">
                  <c:v>25.2676154</c:v>
                </c:pt>
                <c:pt idx="730">
                  <c:v>25.319076899999999</c:v>
                </c:pt>
                <c:pt idx="731">
                  <c:v>25.370538499999999</c:v>
                </c:pt>
                <c:pt idx="732">
                  <c:v>25.422000000000001</c:v>
                </c:pt>
                <c:pt idx="733">
                  <c:v>25.473461499999999</c:v>
                </c:pt>
                <c:pt idx="734">
                  <c:v>25.524923099999999</c:v>
                </c:pt>
                <c:pt idx="735">
                  <c:v>25.576384600000001</c:v>
                </c:pt>
                <c:pt idx="736">
                  <c:v>25.6278462</c:v>
                </c:pt>
                <c:pt idx="737">
                  <c:v>25.679307699999999</c:v>
                </c:pt>
                <c:pt idx="738">
                  <c:v>25.730769200000001</c:v>
                </c:pt>
                <c:pt idx="739">
                  <c:v>25.782230800000001</c:v>
                </c:pt>
                <c:pt idx="740">
                  <c:v>25.833692299999999</c:v>
                </c:pt>
                <c:pt idx="741">
                  <c:v>25.885153899999999</c:v>
                </c:pt>
                <c:pt idx="742">
                  <c:v>25.936615400000001</c:v>
                </c:pt>
                <c:pt idx="743">
                  <c:v>25.988076899999999</c:v>
                </c:pt>
                <c:pt idx="744">
                  <c:v>26.039538499999999</c:v>
                </c:pt>
                <c:pt idx="745">
                  <c:v>26.091000000000001</c:v>
                </c:pt>
                <c:pt idx="746">
                  <c:v>26.1424615</c:v>
                </c:pt>
                <c:pt idx="747">
                  <c:v>26.193923099999999</c:v>
                </c:pt>
                <c:pt idx="748">
                  <c:v>26.245384600000001</c:v>
                </c:pt>
                <c:pt idx="749">
                  <c:v>26.296846200000001</c:v>
                </c:pt>
                <c:pt idx="750">
                  <c:v>26.348307699999999</c:v>
                </c:pt>
                <c:pt idx="751">
                  <c:v>26.399769200000001</c:v>
                </c:pt>
                <c:pt idx="752">
                  <c:v>26.451230800000001</c:v>
                </c:pt>
                <c:pt idx="753">
                  <c:v>26.5026923</c:v>
                </c:pt>
                <c:pt idx="754">
                  <c:v>26.554153899999999</c:v>
                </c:pt>
                <c:pt idx="755">
                  <c:v>26.605615400000001</c:v>
                </c:pt>
                <c:pt idx="756">
                  <c:v>26.6570769</c:v>
                </c:pt>
                <c:pt idx="757">
                  <c:v>26.7085385</c:v>
                </c:pt>
                <c:pt idx="758">
                  <c:v>26.76</c:v>
                </c:pt>
                <c:pt idx="759">
                  <c:v>26.8114615</c:v>
                </c:pt>
                <c:pt idx="760">
                  <c:v>26.8629231</c:v>
                </c:pt>
                <c:pt idx="761">
                  <c:v>26.914384600000002</c:v>
                </c:pt>
                <c:pt idx="762">
                  <c:v>26.965846200000001</c:v>
                </c:pt>
                <c:pt idx="763">
                  <c:v>27.0173077</c:v>
                </c:pt>
                <c:pt idx="764">
                  <c:v>27.068769199999998</c:v>
                </c:pt>
                <c:pt idx="765">
                  <c:v>27.120230800000002</c:v>
                </c:pt>
                <c:pt idx="766">
                  <c:v>27.1716923</c:v>
                </c:pt>
                <c:pt idx="767">
                  <c:v>27.2231539</c:v>
                </c:pt>
                <c:pt idx="768">
                  <c:v>27.274615399999998</c:v>
                </c:pt>
                <c:pt idx="769">
                  <c:v>27.3260769</c:v>
                </c:pt>
                <c:pt idx="770">
                  <c:v>27.3775385</c:v>
                </c:pt>
                <c:pt idx="771">
                  <c:v>27.428999999999998</c:v>
                </c:pt>
                <c:pt idx="772">
                  <c:v>27.480461500000001</c:v>
                </c:pt>
                <c:pt idx="773">
                  <c:v>27.5319231</c:v>
                </c:pt>
                <c:pt idx="774">
                  <c:v>27.583384599999999</c:v>
                </c:pt>
                <c:pt idx="775">
                  <c:v>27.634846199999998</c:v>
                </c:pt>
                <c:pt idx="776">
                  <c:v>27.6863077</c:v>
                </c:pt>
                <c:pt idx="777">
                  <c:v>27.737769199999999</c:v>
                </c:pt>
                <c:pt idx="778">
                  <c:v>27.789230799999999</c:v>
                </c:pt>
                <c:pt idx="779">
                  <c:v>27.840692300000001</c:v>
                </c:pt>
                <c:pt idx="780">
                  <c:v>27.8921539</c:v>
                </c:pt>
                <c:pt idx="781">
                  <c:v>27.943615399999999</c:v>
                </c:pt>
                <c:pt idx="782">
                  <c:v>27.995076900000001</c:v>
                </c:pt>
                <c:pt idx="783">
                  <c:v>28.0465385</c:v>
                </c:pt>
                <c:pt idx="784">
                  <c:v>28.097999999999999</c:v>
                </c:pt>
                <c:pt idx="785">
                  <c:v>28.126127700000001</c:v>
                </c:pt>
                <c:pt idx="786">
                  <c:v>28.154255299999999</c:v>
                </c:pt>
                <c:pt idx="787">
                  <c:v>28.182383000000002</c:v>
                </c:pt>
                <c:pt idx="788">
                  <c:v>28.210510599999999</c:v>
                </c:pt>
                <c:pt idx="789">
                  <c:v>28.238638300000002</c:v>
                </c:pt>
                <c:pt idx="790">
                  <c:v>28.266766000000001</c:v>
                </c:pt>
                <c:pt idx="791">
                  <c:v>28.294893600000002</c:v>
                </c:pt>
                <c:pt idx="792">
                  <c:v>28.323021300000001</c:v>
                </c:pt>
                <c:pt idx="793">
                  <c:v>28.351148899999998</c:v>
                </c:pt>
                <c:pt idx="794">
                  <c:v>28.379276600000001</c:v>
                </c:pt>
                <c:pt idx="795">
                  <c:v>28.4074043</c:v>
                </c:pt>
                <c:pt idx="796">
                  <c:v>28.435531900000001</c:v>
                </c:pt>
                <c:pt idx="797">
                  <c:v>28.4636596</c:v>
                </c:pt>
                <c:pt idx="798">
                  <c:v>28.491787200000001</c:v>
                </c:pt>
                <c:pt idx="799">
                  <c:v>28.5199149</c:v>
                </c:pt>
                <c:pt idx="800">
                  <c:v>28.548042599999999</c:v>
                </c:pt>
                <c:pt idx="801">
                  <c:v>28.5761702</c:v>
                </c:pt>
                <c:pt idx="802">
                  <c:v>28.604297899999999</c:v>
                </c:pt>
                <c:pt idx="803">
                  <c:v>28.6324255</c:v>
                </c:pt>
                <c:pt idx="804">
                  <c:v>28.660553199999999</c:v>
                </c:pt>
                <c:pt idx="805">
                  <c:v>28.688680900000001</c:v>
                </c:pt>
                <c:pt idx="806">
                  <c:v>28.716808499999999</c:v>
                </c:pt>
                <c:pt idx="807">
                  <c:v>28.744936200000001</c:v>
                </c:pt>
                <c:pt idx="808">
                  <c:v>28.773063799999999</c:v>
                </c:pt>
                <c:pt idx="809">
                  <c:v>28.801191500000002</c:v>
                </c:pt>
                <c:pt idx="810">
                  <c:v>28.8293192</c:v>
                </c:pt>
                <c:pt idx="811">
                  <c:v>28.857446800000002</c:v>
                </c:pt>
                <c:pt idx="812">
                  <c:v>28.885574500000001</c:v>
                </c:pt>
                <c:pt idx="813">
                  <c:v>28.913702099999998</c:v>
                </c:pt>
                <c:pt idx="814">
                  <c:v>28.941829800000001</c:v>
                </c:pt>
                <c:pt idx="815">
                  <c:v>28.9699575</c:v>
                </c:pt>
                <c:pt idx="816">
                  <c:v>28.998085100000001</c:v>
                </c:pt>
                <c:pt idx="817">
                  <c:v>29.0262128</c:v>
                </c:pt>
                <c:pt idx="818">
                  <c:v>29.054340400000001</c:v>
                </c:pt>
                <c:pt idx="819">
                  <c:v>29.0824681</c:v>
                </c:pt>
                <c:pt idx="820">
                  <c:v>29.110595700000001</c:v>
                </c:pt>
                <c:pt idx="821">
                  <c:v>29.1387234</c:v>
                </c:pt>
                <c:pt idx="822">
                  <c:v>29.166851099999999</c:v>
                </c:pt>
                <c:pt idx="823">
                  <c:v>29.1949787</c:v>
                </c:pt>
                <c:pt idx="824">
                  <c:v>29.223106399999999</c:v>
                </c:pt>
                <c:pt idx="825">
                  <c:v>29.251234</c:v>
                </c:pt>
                <c:pt idx="826">
                  <c:v>29.279361699999999</c:v>
                </c:pt>
                <c:pt idx="827">
                  <c:v>29.307489400000001</c:v>
                </c:pt>
                <c:pt idx="828">
                  <c:v>29.335616999999999</c:v>
                </c:pt>
                <c:pt idx="829">
                  <c:v>29.363744700000002</c:v>
                </c:pt>
                <c:pt idx="830">
                  <c:v>29.391872299999999</c:v>
                </c:pt>
                <c:pt idx="831">
                  <c:v>29.42</c:v>
                </c:pt>
                <c:pt idx="832">
                  <c:v>29.448127700000001</c:v>
                </c:pt>
                <c:pt idx="833">
                  <c:v>29.476255299999998</c:v>
                </c:pt>
                <c:pt idx="834">
                  <c:v>29.504383000000001</c:v>
                </c:pt>
                <c:pt idx="835">
                  <c:v>29.532510599999998</c:v>
                </c:pt>
                <c:pt idx="836">
                  <c:v>29.560638300000001</c:v>
                </c:pt>
                <c:pt idx="837">
                  <c:v>29.588766</c:v>
                </c:pt>
                <c:pt idx="838">
                  <c:v>29.616893600000001</c:v>
                </c:pt>
                <c:pt idx="839">
                  <c:v>29.6450213</c:v>
                </c:pt>
                <c:pt idx="840">
                  <c:v>29.673148900000001</c:v>
                </c:pt>
                <c:pt idx="841">
                  <c:v>29.7012766</c:v>
                </c:pt>
                <c:pt idx="842">
                  <c:v>29.729404299999999</c:v>
                </c:pt>
                <c:pt idx="843">
                  <c:v>29.7575319</c:v>
                </c:pt>
                <c:pt idx="844">
                  <c:v>29.785659599999999</c:v>
                </c:pt>
                <c:pt idx="845">
                  <c:v>29.8137872</c:v>
                </c:pt>
                <c:pt idx="846">
                  <c:v>29.841914899999999</c:v>
                </c:pt>
                <c:pt idx="847">
                  <c:v>29.870042600000001</c:v>
                </c:pt>
                <c:pt idx="848">
                  <c:v>29.898170199999999</c:v>
                </c:pt>
                <c:pt idx="849">
                  <c:v>29.926297900000002</c:v>
                </c:pt>
                <c:pt idx="850">
                  <c:v>29.954425499999999</c:v>
                </c:pt>
                <c:pt idx="851">
                  <c:v>29.982553200000002</c:v>
                </c:pt>
                <c:pt idx="852">
                  <c:v>30.010680900000001</c:v>
                </c:pt>
                <c:pt idx="853">
                  <c:v>30.038808499999998</c:v>
                </c:pt>
                <c:pt idx="854">
                  <c:v>30.066936200000001</c:v>
                </c:pt>
                <c:pt idx="855">
                  <c:v>30.095063799999998</c:v>
                </c:pt>
                <c:pt idx="856">
                  <c:v>30.123191500000001</c:v>
                </c:pt>
                <c:pt idx="857">
                  <c:v>30.1513192</c:v>
                </c:pt>
                <c:pt idx="858">
                  <c:v>30.179446800000001</c:v>
                </c:pt>
                <c:pt idx="859">
                  <c:v>30.2075745</c:v>
                </c:pt>
                <c:pt idx="860">
                  <c:v>30.235702100000001</c:v>
                </c:pt>
                <c:pt idx="861">
                  <c:v>30.2638298</c:v>
                </c:pt>
                <c:pt idx="862">
                  <c:v>30.291957499999999</c:v>
                </c:pt>
                <c:pt idx="863">
                  <c:v>30.3200851</c:v>
                </c:pt>
                <c:pt idx="864">
                  <c:v>30.348212799999999</c:v>
                </c:pt>
                <c:pt idx="865">
                  <c:v>30.3763404</c:v>
                </c:pt>
                <c:pt idx="866">
                  <c:v>30.404468099999999</c:v>
                </c:pt>
                <c:pt idx="867">
                  <c:v>30.4325957</c:v>
                </c:pt>
                <c:pt idx="868">
                  <c:v>30.460723399999999</c:v>
                </c:pt>
                <c:pt idx="869">
                  <c:v>30.488851100000002</c:v>
                </c:pt>
                <c:pt idx="870">
                  <c:v>30.516978699999999</c:v>
                </c:pt>
                <c:pt idx="871">
                  <c:v>30.545106400000002</c:v>
                </c:pt>
                <c:pt idx="872">
                  <c:v>30.573233999999999</c:v>
                </c:pt>
                <c:pt idx="873">
                  <c:v>30.601361699999998</c:v>
                </c:pt>
                <c:pt idx="874">
                  <c:v>30.629489400000001</c:v>
                </c:pt>
                <c:pt idx="875">
                  <c:v>30.657616999999998</c:v>
                </c:pt>
                <c:pt idx="876">
                  <c:v>30.685744700000001</c:v>
                </c:pt>
                <c:pt idx="877">
                  <c:v>30.713872299999998</c:v>
                </c:pt>
                <c:pt idx="878">
                  <c:v>30.742000000000001</c:v>
                </c:pt>
                <c:pt idx="879">
                  <c:v>30.7541619</c:v>
                </c:pt>
                <c:pt idx="880">
                  <c:v>30.766323799999999</c:v>
                </c:pt>
                <c:pt idx="881">
                  <c:v>30.778485700000001</c:v>
                </c:pt>
                <c:pt idx="882">
                  <c:v>30.7906476</c:v>
                </c:pt>
                <c:pt idx="883">
                  <c:v>30.802809499999999</c:v>
                </c:pt>
                <c:pt idx="884">
                  <c:v>30.814971400000001</c:v>
                </c:pt>
                <c:pt idx="885">
                  <c:v>30.8271333</c:v>
                </c:pt>
                <c:pt idx="886">
                  <c:v>30.839295199999999</c:v>
                </c:pt>
                <c:pt idx="887">
                  <c:v>30.851457100000001</c:v>
                </c:pt>
                <c:pt idx="888">
                  <c:v>30.863619100000001</c:v>
                </c:pt>
                <c:pt idx="889">
                  <c:v>30.875781</c:v>
                </c:pt>
                <c:pt idx="890">
                  <c:v>30.887942899999999</c:v>
                </c:pt>
                <c:pt idx="891">
                  <c:v>30.900104800000001</c:v>
                </c:pt>
                <c:pt idx="892">
                  <c:v>30.9122667</c:v>
                </c:pt>
                <c:pt idx="893">
                  <c:v>30.924428599999999</c:v>
                </c:pt>
                <c:pt idx="894">
                  <c:v>30.936590500000001</c:v>
                </c:pt>
                <c:pt idx="895">
                  <c:v>30.9487524</c:v>
                </c:pt>
                <c:pt idx="896">
                  <c:v>30.960914299999999</c:v>
                </c:pt>
                <c:pt idx="897">
                  <c:v>30.973076200000001</c:v>
                </c:pt>
                <c:pt idx="898">
                  <c:v>30.9852381</c:v>
                </c:pt>
                <c:pt idx="899">
                  <c:v>30.997399999999999</c:v>
                </c:pt>
                <c:pt idx="900">
                  <c:v>31.009561900000001</c:v>
                </c:pt>
                <c:pt idx="901">
                  <c:v>31.0217238</c:v>
                </c:pt>
                <c:pt idx="902">
                  <c:v>31.033885699999999</c:v>
                </c:pt>
                <c:pt idx="903">
                  <c:v>31.046047600000001</c:v>
                </c:pt>
                <c:pt idx="904">
                  <c:v>31.0582095</c:v>
                </c:pt>
                <c:pt idx="905">
                  <c:v>31.070371399999999</c:v>
                </c:pt>
                <c:pt idx="906">
                  <c:v>31.082533300000001</c:v>
                </c:pt>
                <c:pt idx="907">
                  <c:v>31.0946952</c:v>
                </c:pt>
                <c:pt idx="908">
                  <c:v>31.106857099999999</c:v>
                </c:pt>
                <c:pt idx="909">
                  <c:v>31.119019099999999</c:v>
                </c:pt>
                <c:pt idx="910">
                  <c:v>31.131181000000002</c:v>
                </c:pt>
                <c:pt idx="911">
                  <c:v>31.1433429</c:v>
                </c:pt>
                <c:pt idx="912">
                  <c:v>31.155504799999999</c:v>
                </c:pt>
                <c:pt idx="913">
                  <c:v>31.167666700000002</c:v>
                </c:pt>
                <c:pt idx="914">
                  <c:v>31.1798286</c:v>
                </c:pt>
                <c:pt idx="915">
                  <c:v>31.191990499999999</c:v>
                </c:pt>
                <c:pt idx="916">
                  <c:v>31.204152400000002</c:v>
                </c:pt>
                <c:pt idx="917">
                  <c:v>31.216314300000001</c:v>
                </c:pt>
                <c:pt idx="918">
                  <c:v>31.228476199999999</c:v>
                </c:pt>
                <c:pt idx="919">
                  <c:v>31.240638100000002</c:v>
                </c:pt>
                <c:pt idx="920">
                  <c:v>31.252800000000001</c:v>
                </c:pt>
                <c:pt idx="921">
                  <c:v>31.264961899999999</c:v>
                </c:pt>
                <c:pt idx="922">
                  <c:v>31.277123799999998</c:v>
                </c:pt>
                <c:pt idx="923">
                  <c:v>31.289285700000001</c:v>
                </c:pt>
                <c:pt idx="924">
                  <c:v>31.301447599999999</c:v>
                </c:pt>
                <c:pt idx="925">
                  <c:v>31.313609499999998</c:v>
                </c:pt>
                <c:pt idx="926">
                  <c:v>31.325771400000001</c:v>
                </c:pt>
                <c:pt idx="927">
                  <c:v>31.3379333</c:v>
                </c:pt>
                <c:pt idx="928">
                  <c:v>31.350095199999998</c:v>
                </c:pt>
                <c:pt idx="929">
                  <c:v>31.362257100000001</c:v>
                </c:pt>
                <c:pt idx="930">
                  <c:v>31.374419100000001</c:v>
                </c:pt>
                <c:pt idx="931">
                  <c:v>31.386581</c:v>
                </c:pt>
                <c:pt idx="932">
                  <c:v>31.398742899999998</c:v>
                </c:pt>
                <c:pt idx="933">
                  <c:v>31.410904800000001</c:v>
                </c:pt>
                <c:pt idx="934">
                  <c:v>31.4230667</c:v>
                </c:pt>
                <c:pt idx="935">
                  <c:v>31.435228599999999</c:v>
                </c:pt>
                <c:pt idx="936">
                  <c:v>31.447390500000001</c:v>
                </c:pt>
                <c:pt idx="937">
                  <c:v>31.4595524</c:v>
                </c:pt>
                <c:pt idx="938">
                  <c:v>31.471714299999999</c:v>
                </c:pt>
                <c:pt idx="939">
                  <c:v>31.483876200000001</c:v>
                </c:pt>
                <c:pt idx="940">
                  <c:v>31.4960381</c:v>
                </c:pt>
                <c:pt idx="941">
                  <c:v>31.508199999999999</c:v>
                </c:pt>
                <c:pt idx="942">
                  <c:v>31.520361900000001</c:v>
                </c:pt>
                <c:pt idx="943">
                  <c:v>31.5325238</c:v>
                </c:pt>
                <c:pt idx="944">
                  <c:v>31.544685699999999</c:v>
                </c:pt>
                <c:pt idx="945">
                  <c:v>31.556847600000001</c:v>
                </c:pt>
                <c:pt idx="946">
                  <c:v>31.5690095</c:v>
                </c:pt>
                <c:pt idx="947">
                  <c:v>31.581171399999999</c:v>
                </c:pt>
                <c:pt idx="948">
                  <c:v>31.593333300000001</c:v>
                </c:pt>
                <c:pt idx="949">
                  <c:v>31.6054952</c:v>
                </c:pt>
                <c:pt idx="950">
                  <c:v>31.617657099999999</c:v>
                </c:pt>
                <c:pt idx="951">
                  <c:v>31.629819099999999</c:v>
                </c:pt>
                <c:pt idx="952">
                  <c:v>31.641981000000001</c:v>
                </c:pt>
                <c:pt idx="953">
                  <c:v>31.6541429</c:v>
                </c:pt>
                <c:pt idx="954">
                  <c:v>31.666304799999999</c:v>
                </c:pt>
                <c:pt idx="955">
                  <c:v>31.678466700000001</c:v>
                </c:pt>
                <c:pt idx="956">
                  <c:v>31.6906286</c:v>
                </c:pt>
                <c:pt idx="957">
                  <c:v>31.702790499999999</c:v>
                </c:pt>
                <c:pt idx="958">
                  <c:v>31.714952400000001</c:v>
                </c:pt>
                <c:pt idx="959">
                  <c:v>31.7271143</c:v>
                </c:pt>
                <c:pt idx="960">
                  <c:v>31.739276199999999</c:v>
                </c:pt>
                <c:pt idx="961">
                  <c:v>31.751438100000001</c:v>
                </c:pt>
                <c:pt idx="962">
                  <c:v>31.7636</c:v>
                </c:pt>
                <c:pt idx="963">
                  <c:v>31.775761899999999</c:v>
                </c:pt>
                <c:pt idx="964">
                  <c:v>31.787923800000002</c:v>
                </c:pt>
                <c:pt idx="965">
                  <c:v>31.8000857</c:v>
                </c:pt>
                <c:pt idx="966">
                  <c:v>31.812247599999999</c:v>
                </c:pt>
                <c:pt idx="967">
                  <c:v>31.824409500000002</c:v>
                </c:pt>
                <c:pt idx="968">
                  <c:v>31.8365714</c:v>
                </c:pt>
                <c:pt idx="969">
                  <c:v>31.848733299999999</c:v>
                </c:pt>
                <c:pt idx="970">
                  <c:v>31.860895200000002</c:v>
                </c:pt>
                <c:pt idx="971">
                  <c:v>31.8730571</c:v>
                </c:pt>
                <c:pt idx="972">
                  <c:v>31.8852191</c:v>
                </c:pt>
                <c:pt idx="973">
                  <c:v>31.897380999999999</c:v>
                </c:pt>
                <c:pt idx="974">
                  <c:v>31.909542900000002</c:v>
                </c:pt>
                <c:pt idx="975">
                  <c:v>31.921704800000001</c:v>
                </c:pt>
                <c:pt idx="976">
                  <c:v>31.933866699999999</c:v>
                </c:pt>
                <c:pt idx="977">
                  <c:v>31.946028600000002</c:v>
                </c:pt>
                <c:pt idx="978">
                  <c:v>31.958190500000001</c:v>
                </c:pt>
                <c:pt idx="979">
                  <c:v>31.970352399999999</c:v>
                </c:pt>
                <c:pt idx="980">
                  <c:v>31.982514299999998</c:v>
                </c:pt>
                <c:pt idx="981">
                  <c:v>31.994676200000001</c:v>
                </c:pt>
                <c:pt idx="982">
                  <c:v>32.006838100000003</c:v>
                </c:pt>
                <c:pt idx="983">
                  <c:v>32.018999999999998</c:v>
                </c:pt>
                <c:pt idx="984">
                  <c:v>32.048000000000002</c:v>
                </c:pt>
                <c:pt idx="985">
                  <c:v>32.076999999999998</c:v>
                </c:pt>
                <c:pt idx="986">
                  <c:v>32.106000000000002</c:v>
                </c:pt>
                <c:pt idx="987">
                  <c:v>32.134999999999998</c:v>
                </c:pt>
                <c:pt idx="988">
                  <c:v>32.164000000000001</c:v>
                </c:pt>
                <c:pt idx="989">
                  <c:v>32.192999999999998</c:v>
                </c:pt>
                <c:pt idx="990">
                  <c:v>32.222000000000001</c:v>
                </c:pt>
                <c:pt idx="991">
                  <c:v>32.250999999999998</c:v>
                </c:pt>
                <c:pt idx="992">
                  <c:v>32.28</c:v>
                </c:pt>
                <c:pt idx="993">
                  <c:v>32.308999999999997</c:v>
                </c:pt>
                <c:pt idx="994">
                  <c:v>32.338000000000001</c:v>
                </c:pt>
                <c:pt idx="995">
                  <c:v>32.366999999999997</c:v>
                </c:pt>
                <c:pt idx="996">
                  <c:v>32.396000000000001</c:v>
                </c:pt>
                <c:pt idx="997">
                  <c:v>32.424999999999997</c:v>
                </c:pt>
                <c:pt idx="998">
                  <c:v>32.454000000000001</c:v>
                </c:pt>
                <c:pt idx="999">
                  <c:v>32.482999999999997</c:v>
                </c:pt>
                <c:pt idx="1000">
                  <c:v>32.512</c:v>
                </c:pt>
                <c:pt idx="1001">
                  <c:v>32.540999999999997</c:v>
                </c:pt>
                <c:pt idx="1002">
                  <c:v>32.57</c:v>
                </c:pt>
                <c:pt idx="1003">
                  <c:v>32.598999999999997</c:v>
                </c:pt>
                <c:pt idx="1004">
                  <c:v>32.628</c:v>
                </c:pt>
                <c:pt idx="1005">
                  <c:v>32.656999999999996</c:v>
                </c:pt>
                <c:pt idx="1006">
                  <c:v>32.686</c:v>
                </c:pt>
                <c:pt idx="1007">
                  <c:v>32.715000000000003</c:v>
                </c:pt>
                <c:pt idx="1008">
                  <c:v>32.744</c:v>
                </c:pt>
                <c:pt idx="1009">
                  <c:v>32.773000000000003</c:v>
                </c:pt>
                <c:pt idx="1010">
                  <c:v>32.802</c:v>
                </c:pt>
                <c:pt idx="1011">
                  <c:v>32.831000000000003</c:v>
                </c:pt>
                <c:pt idx="1012">
                  <c:v>32.86</c:v>
                </c:pt>
                <c:pt idx="1013">
                  <c:v>32.889000000000003</c:v>
                </c:pt>
                <c:pt idx="1014">
                  <c:v>32.917999999999999</c:v>
                </c:pt>
                <c:pt idx="1015">
                  <c:v>32.947000000000003</c:v>
                </c:pt>
                <c:pt idx="1016">
                  <c:v>32.975999999999999</c:v>
                </c:pt>
                <c:pt idx="1017">
                  <c:v>33.005000000000003</c:v>
                </c:pt>
                <c:pt idx="1018">
                  <c:v>33.033999999999999</c:v>
                </c:pt>
                <c:pt idx="1019">
                  <c:v>33.063000000000002</c:v>
                </c:pt>
                <c:pt idx="1020">
                  <c:v>33.091999999999999</c:v>
                </c:pt>
                <c:pt idx="1021">
                  <c:v>33.121000000000002</c:v>
                </c:pt>
                <c:pt idx="1022">
                  <c:v>33.15</c:v>
                </c:pt>
                <c:pt idx="1023">
                  <c:v>33.179000000000002</c:v>
                </c:pt>
                <c:pt idx="1024">
                  <c:v>33.207999999999998</c:v>
                </c:pt>
                <c:pt idx="1025">
                  <c:v>33.237000000000002</c:v>
                </c:pt>
                <c:pt idx="1026">
                  <c:v>33.265999999999998</c:v>
                </c:pt>
                <c:pt idx="1027">
                  <c:v>33.295000000000002</c:v>
                </c:pt>
                <c:pt idx="1028">
                  <c:v>33.323999999999998</c:v>
                </c:pt>
                <c:pt idx="1029">
                  <c:v>33.353000000000002</c:v>
                </c:pt>
                <c:pt idx="1030">
                  <c:v>33.381999999999998</c:v>
                </c:pt>
                <c:pt idx="1031">
                  <c:v>33.411000000000001</c:v>
                </c:pt>
                <c:pt idx="1032">
                  <c:v>33.44</c:v>
                </c:pt>
                <c:pt idx="1033">
                  <c:v>33.469000000000001</c:v>
                </c:pt>
                <c:pt idx="1034">
                  <c:v>33.497999999999998</c:v>
                </c:pt>
                <c:pt idx="1035">
                  <c:v>33.527000000000001</c:v>
                </c:pt>
                <c:pt idx="1036">
                  <c:v>33.555999999999997</c:v>
                </c:pt>
                <c:pt idx="1037">
                  <c:v>33.585000000000001</c:v>
                </c:pt>
                <c:pt idx="1038">
                  <c:v>33.613999999999997</c:v>
                </c:pt>
                <c:pt idx="1039">
                  <c:v>33.643000000000001</c:v>
                </c:pt>
                <c:pt idx="1040">
                  <c:v>33.671999999999997</c:v>
                </c:pt>
                <c:pt idx="1041">
                  <c:v>33.701000000000001</c:v>
                </c:pt>
                <c:pt idx="1042">
                  <c:v>33.729999999999997</c:v>
                </c:pt>
                <c:pt idx="1043">
                  <c:v>33.759</c:v>
                </c:pt>
                <c:pt idx="1044">
                  <c:v>33.787999999999997</c:v>
                </c:pt>
                <c:pt idx="1045">
                  <c:v>33.817</c:v>
                </c:pt>
                <c:pt idx="1046">
                  <c:v>33.845999999999997</c:v>
                </c:pt>
                <c:pt idx="1047">
                  <c:v>33.875</c:v>
                </c:pt>
                <c:pt idx="1048">
                  <c:v>33.904000000000003</c:v>
                </c:pt>
                <c:pt idx="1049">
                  <c:v>33.933</c:v>
                </c:pt>
                <c:pt idx="1050">
                  <c:v>33.962000000000003</c:v>
                </c:pt>
                <c:pt idx="1051">
                  <c:v>33.991</c:v>
                </c:pt>
                <c:pt idx="1052">
                  <c:v>34.020000000000003</c:v>
                </c:pt>
                <c:pt idx="1053">
                  <c:v>34.048999999999999</c:v>
                </c:pt>
                <c:pt idx="1054">
                  <c:v>34.078000000000003</c:v>
                </c:pt>
                <c:pt idx="1055">
                  <c:v>34.106999999999999</c:v>
                </c:pt>
                <c:pt idx="1056">
                  <c:v>34.136000000000003</c:v>
                </c:pt>
                <c:pt idx="1057">
                  <c:v>34.164999999999999</c:v>
                </c:pt>
                <c:pt idx="1058">
                  <c:v>34.194000000000003</c:v>
                </c:pt>
                <c:pt idx="1059">
                  <c:v>34.222999999999999</c:v>
                </c:pt>
                <c:pt idx="1060">
                  <c:v>34.252000000000002</c:v>
                </c:pt>
                <c:pt idx="1061">
                  <c:v>34.280999999999999</c:v>
                </c:pt>
                <c:pt idx="1062">
                  <c:v>34.31</c:v>
                </c:pt>
                <c:pt idx="1063">
                  <c:v>34.338999999999999</c:v>
                </c:pt>
                <c:pt idx="1064">
                  <c:v>34.368000000000002</c:v>
                </c:pt>
                <c:pt idx="1065">
                  <c:v>34.396999999999998</c:v>
                </c:pt>
              </c:numCache>
            </c:numRef>
          </c:xVal>
          <c:yVal>
            <c:numRef>
              <c:f>'XRF selectie'!$Z$2:$Z$1067</c:f>
              <c:numCache>
                <c:formatCode>General</c:formatCode>
                <c:ptCount val="1066"/>
                <c:pt idx="0">
                  <c:v>5.1061289735132836E-3</c:v>
                </c:pt>
                <c:pt idx="1">
                  <c:v>5.0636411477705525E-3</c:v>
                </c:pt>
                <c:pt idx="2">
                  <c:v>5.2026161289705688E-3</c:v>
                </c:pt>
                <c:pt idx="3">
                  <c:v>5.5268232819074333E-3</c:v>
                </c:pt>
                <c:pt idx="4">
                  <c:v>5.2421047433269955E-3</c:v>
                </c:pt>
                <c:pt idx="5">
                  <c:v>4.8372072872213678E-3</c:v>
                </c:pt>
                <c:pt idx="6">
                  <c:v>4.5261697263733738E-3</c:v>
                </c:pt>
                <c:pt idx="7">
                  <c:v>4.8207215466607566E-3</c:v>
                </c:pt>
                <c:pt idx="8">
                  <c:v>4.6953293490273502E-3</c:v>
                </c:pt>
                <c:pt idx="9">
                  <c:v>5.0048894159748667E-3</c:v>
                </c:pt>
                <c:pt idx="10">
                  <c:v>5.184095954790531E-3</c:v>
                </c:pt>
                <c:pt idx="11">
                  <c:v>5.0383282198872325E-3</c:v>
                </c:pt>
                <c:pt idx="12">
                  <c:v>5.2880235777440386E-3</c:v>
                </c:pt>
                <c:pt idx="13">
                  <c:v>5.5414472453152981E-3</c:v>
                </c:pt>
                <c:pt idx="14">
                  <c:v>5.1665984817491706E-3</c:v>
                </c:pt>
                <c:pt idx="15">
                  <c:v>4.9988847998215678E-3</c:v>
                </c:pt>
                <c:pt idx="16">
                  <c:v>4.5673655143217261E-3</c:v>
                </c:pt>
                <c:pt idx="17">
                  <c:v>4.6848777726105507E-3</c:v>
                </c:pt>
                <c:pt idx="18">
                  <c:v>4.768590482876197E-3</c:v>
                </c:pt>
                <c:pt idx="19">
                  <c:v>4.523023856284082E-3</c:v>
                </c:pt>
                <c:pt idx="20">
                  <c:v>4.5575066286457555E-3</c:v>
                </c:pt>
                <c:pt idx="21">
                  <c:v>4.5094625126961422E-3</c:v>
                </c:pt>
                <c:pt idx="22">
                  <c:v>4.4428978040014127E-3</c:v>
                </c:pt>
                <c:pt idx="23">
                  <c:v>4.4787100025195266E-3</c:v>
                </c:pt>
                <c:pt idx="24">
                  <c:v>4.5622721517268958E-3</c:v>
                </c:pt>
                <c:pt idx="25">
                  <c:v>4.3674597290557391E-3</c:v>
                </c:pt>
                <c:pt idx="26">
                  <c:v>4.388113045204845E-3</c:v>
                </c:pt>
                <c:pt idx="27">
                  <c:v>4.3499190002314276E-3</c:v>
                </c:pt>
                <c:pt idx="28">
                  <c:v>4.6609972149517041E-3</c:v>
                </c:pt>
                <c:pt idx="29">
                  <c:v>4.6819779834460611E-3</c:v>
                </c:pt>
                <c:pt idx="30">
                  <c:v>4.6389132744998384E-3</c:v>
                </c:pt>
                <c:pt idx="31">
                  <c:v>4.285924103618572E-3</c:v>
                </c:pt>
                <c:pt idx="32">
                  <c:v>4.3699131479761838E-3</c:v>
                </c:pt>
                <c:pt idx="33">
                  <c:v>4.4095490906482047E-3</c:v>
                </c:pt>
                <c:pt idx="34">
                  <c:v>4.5713410348369888E-3</c:v>
                </c:pt>
                <c:pt idx="35">
                  <c:v>4.598594221491426E-3</c:v>
                </c:pt>
                <c:pt idx="36">
                  <c:v>4.2749015499114855E-3</c:v>
                </c:pt>
                <c:pt idx="37">
                  <c:v>4.4599221297776815E-3</c:v>
                </c:pt>
                <c:pt idx="38">
                  <c:v>4.4487776694471523E-3</c:v>
                </c:pt>
                <c:pt idx="39">
                  <c:v>4.5409868291724003E-3</c:v>
                </c:pt>
                <c:pt idx="40">
                  <c:v>4.6983923744487125E-3</c:v>
                </c:pt>
                <c:pt idx="41">
                  <c:v>4.5718080809893915E-3</c:v>
                </c:pt>
                <c:pt idx="42">
                  <c:v>4.5662373378257282E-3</c:v>
                </c:pt>
                <c:pt idx="43">
                  <c:v>4.560678697660055E-3</c:v>
                </c:pt>
                <c:pt idx="44">
                  <c:v>4.5551321274578211E-3</c:v>
                </c:pt>
                <c:pt idx="45">
                  <c:v>4.7329343472978444E-3</c:v>
                </c:pt>
                <c:pt idx="46">
                  <c:v>4.4191851173481294E-3</c:v>
                </c:pt>
                <c:pt idx="47">
                  <c:v>4.5696279107563676E-3</c:v>
                </c:pt>
                <c:pt idx="48">
                  <c:v>4.8101905311778289E-3</c:v>
                </c:pt>
                <c:pt idx="49">
                  <c:v>4.7655232305688234E-3</c:v>
                </c:pt>
                <c:pt idx="50">
                  <c:v>4.8321152037050438E-3</c:v>
                </c:pt>
                <c:pt idx="51">
                  <c:v>4.8706431908012932E-3</c:v>
                </c:pt>
                <c:pt idx="52">
                  <c:v>5.0538095748864816E-3</c:v>
                </c:pt>
                <c:pt idx="53">
                  <c:v>4.9898203062760027E-3</c:v>
                </c:pt>
                <c:pt idx="54">
                  <c:v>4.3998842135733272E-3</c:v>
                </c:pt>
                <c:pt idx="55">
                  <c:v>4.538771053998609E-3</c:v>
                </c:pt>
                <c:pt idx="56">
                  <c:v>4.7422015389577479E-3</c:v>
                </c:pt>
                <c:pt idx="57">
                  <c:v>4.3890384686312836E-3</c:v>
                </c:pt>
                <c:pt idx="58">
                  <c:v>4.5399695540786393E-3</c:v>
                </c:pt>
                <c:pt idx="59">
                  <c:v>4.2349373081332986E-3</c:v>
                </c:pt>
                <c:pt idx="60">
                  <c:v>4.6753844737084443E-3</c:v>
                </c:pt>
                <c:pt idx="61">
                  <c:v>4.7862646969038213E-3</c:v>
                </c:pt>
                <c:pt idx="62">
                  <c:v>4.2829295460874404E-3</c:v>
                </c:pt>
                <c:pt idx="63">
                  <c:v>4.3243653330045807E-3</c:v>
                </c:pt>
                <c:pt idx="64">
                  <c:v>4.4093178036605655E-3</c:v>
                </c:pt>
                <c:pt idx="65">
                  <c:v>4.5585173040864589E-3</c:v>
                </c:pt>
                <c:pt idx="66">
                  <c:v>4.3304735270417597E-3</c:v>
                </c:pt>
                <c:pt idx="67">
                  <c:v>4.3181860284174063E-3</c:v>
                </c:pt>
                <c:pt idx="68">
                  <c:v>4.4959191030345602E-3</c:v>
                </c:pt>
                <c:pt idx="69">
                  <c:v>4.4475477910235189E-3</c:v>
                </c:pt>
                <c:pt idx="70">
                  <c:v>4.4578358348616983E-3</c:v>
                </c:pt>
                <c:pt idx="71">
                  <c:v>4.3731668797473118E-3</c:v>
                </c:pt>
                <c:pt idx="72">
                  <c:v>4.1323402174321937E-3</c:v>
                </c:pt>
                <c:pt idx="73">
                  <c:v>4.2500708817692088E-3</c:v>
                </c:pt>
                <c:pt idx="74">
                  <c:v>4.7963861024380525E-3</c:v>
                </c:pt>
                <c:pt idx="75">
                  <c:v>4.7782183652417499E-3</c:v>
                </c:pt>
                <c:pt idx="76">
                  <c:v>4.4225649932977135E-3</c:v>
                </c:pt>
                <c:pt idx="77">
                  <c:v>4.351322038969296E-3</c:v>
                </c:pt>
                <c:pt idx="78">
                  <c:v>4.3956966773347761E-3</c:v>
                </c:pt>
                <c:pt idx="79">
                  <c:v>4.5293277427083814E-3</c:v>
                </c:pt>
                <c:pt idx="80">
                  <c:v>4.6637306953773308E-3</c:v>
                </c:pt>
                <c:pt idx="81">
                  <c:v>4.6641502569466555E-3</c:v>
                </c:pt>
                <c:pt idx="82">
                  <c:v>4.7683837201919323E-3</c:v>
                </c:pt>
                <c:pt idx="83">
                  <c:v>5.0538819607021503E-3</c:v>
                </c:pt>
                <c:pt idx="84">
                  <c:v>4.6755200117392422E-3</c:v>
                </c:pt>
                <c:pt idx="85">
                  <c:v>4.6062279998514413E-3</c:v>
                </c:pt>
                <c:pt idx="86">
                  <c:v>4.5370155505420158E-3</c:v>
                </c:pt>
                <c:pt idx="87">
                  <c:v>4.4678825166630043E-3</c:v>
                </c:pt>
                <c:pt idx="88">
                  <c:v>4.4261119081779052E-3</c:v>
                </c:pt>
                <c:pt idx="89">
                  <c:v>4.737510281443336E-3</c:v>
                </c:pt>
                <c:pt idx="90">
                  <c:v>4.7340736411455291E-3</c:v>
                </c:pt>
                <c:pt idx="91">
                  <c:v>4.5616685169345009E-3</c:v>
                </c:pt>
                <c:pt idx="92">
                  <c:v>4.9831295577404495E-3</c:v>
                </c:pt>
                <c:pt idx="93">
                  <c:v>4.7473004919813431E-3</c:v>
                </c:pt>
                <c:pt idx="94">
                  <c:v>4.5971027200818401E-3</c:v>
                </c:pt>
                <c:pt idx="95">
                  <c:v>4.7349019250898829E-3</c:v>
                </c:pt>
                <c:pt idx="96">
                  <c:v>4.5253933443139107E-3</c:v>
                </c:pt>
                <c:pt idx="97">
                  <c:v>4.7602671541566366E-3</c:v>
                </c:pt>
                <c:pt idx="98">
                  <c:v>4.791257546003346E-3</c:v>
                </c:pt>
                <c:pt idx="99">
                  <c:v>4.6284752240979207E-3</c:v>
                </c:pt>
                <c:pt idx="100">
                  <c:v>4.3925556687527288E-3</c:v>
                </c:pt>
                <c:pt idx="101">
                  <c:v>4.7294457338133439E-3</c:v>
                </c:pt>
                <c:pt idx="102">
                  <c:v>4.5065299445251738E-3</c:v>
                </c:pt>
                <c:pt idx="103">
                  <c:v>4.4814363857742564E-3</c:v>
                </c:pt>
                <c:pt idx="104">
                  <c:v>4.2548586373269606E-3</c:v>
                </c:pt>
                <c:pt idx="105">
                  <c:v>4.4496558342597822E-3</c:v>
                </c:pt>
                <c:pt idx="106">
                  <c:v>4.286151740038908E-3</c:v>
                </c:pt>
                <c:pt idx="107">
                  <c:v>4.3813002452955186E-3</c:v>
                </c:pt>
                <c:pt idx="108">
                  <c:v>4.4090712016776239E-3</c:v>
                </c:pt>
                <c:pt idx="109">
                  <c:v>4.2358409182936922E-3</c:v>
                </c:pt>
                <c:pt idx="110">
                  <c:v>4.1619493842857888E-3</c:v>
                </c:pt>
                <c:pt idx="111">
                  <c:v>4.6179939188357912E-3</c:v>
                </c:pt>
                <c:pt idx="112">
                  <c:v>4.1257540398925629E-3</c:v>
                </c:pt>
                <c:pt idx="113">
                  <c:v>4.0787722252095806E-3</c:v>
                </c:pt>
                <c:pt idx="114">
                  <c:v>4.4085037485480979E-3</c:v>
                </c:pt>
                <c:pt idx="115">
                  <c:v>4.0464368384782569E-3</c:v>
                </c:pt>
                <c:pt idx="116">
                  <c:v>3.9776889336051611E-3</c:v>
                </c:pt>
                <c:pt idx="117">
                  <c:v>4.2960763746911056E-3</c:v>
                </c:pt>
                <c:pt idx="118">
                  <c:v>4.2775648453516352E-3</c:v>
                </c:pt>
                <c:pt idx="119">
                  <c:v>4.1750781598928095E-3</c:v>
                </c:pt>
                <c:pt idx="120">
                  <c:v>4.209813995316493E-3</c:v>
                </c:pt>
                <c:pt idx="121">
                  <c:v>4.4237848630436141E-3</c:v>
                </c:pt>
                <c:pt idx="122">
                  <c:v>4.4429974399914371E-3</c:v>
                </c:pt>
                <c:pt idx="123">
                  <c:v>4.3690611260814071E-3</c:v>
                </c:pt>
                <c:pt idx="124">
                  <c:v>4.3546782415763473E-3</c:v>
                </c:pt>
                <c:pt idx="125">
                  <c:v>4.3925947383667346E-3</c:v>
                </c:pt>
                <c:pt idx="126">
                  <c:v>4.3874708757423398E-3</c:v>
                </c:pt>
                <c:pt idx="127">
                  <c:v>4.4315671353929234E-3</c:v>
                </c:pt>
                <c:pt idx="128">
                  <c:v>4.4474203552297715E-3</c:v>
                </c:pt>
                <c:pt idx="129">
                  <c:v>4.3305046895935687E-3</c:v>
                </c:pt>
                <c:pt idx="130">
                  <c:v>4.4549223031156064E-3</c:v>
                </c:pt>
                <c:pt idx="131">
                  <c:v>4.6574787564099022E-3</c:v>
                </c:pt>
                <c:pt idx="132">
                  <c:v>4.2527936198822275E-3</c:v>
                </c:pt>
                <c:pt idx="133">
                  <c:v>4.2298786700009266E-3</c:v>
                </c:pt>
                <c:pt idx="134">
                  <c:v>4.2730423763557082E-3</c:v>
                </c:pt>
                <c:pt idx="135">
                  <c:v>4.2809669642275361E-3</c:v>
                </c:pt>
                <c:pt idx="136">
                  <c:v>4.2726592314018281E-3</c:v>
                </c:pt>
                <c:pt idx="137">
                  <c:v>4.1551815964792618E-3</c:v>
                </c:pt>
                <c:pt idx="138">
                  <c:v>4.1830972877904288E-3</c:v>
                </c:pt>
                <c:pt idx="139">
                  <c:v>4.0275814577217205E-3</c:v>
                </c:pt>
                <c:pt idx="140">
                  <c:v>4.0597171293871139E-3</c:v>
                </c:pt>
                <c:pt idx="141">
                  <c:v>4.2334824269695146E-3</c:v>
                </c:pt>
                <c:pt idx="142">
                  <c:v>4.1491083017727278E-3</c:v>
                </c:pt>
                <c:pt idx="143">
                  <c:v>4.1784968125569187E-3</c:v>
                </c:pt>
                <c:pt idx="144">
                  <c:v>4.2876876984625318E-3</c:v>
                </c:pt>
                <c:pt idx="145">
                  <c:v>4.1209713264574888E-3</c:v>
                </c:pt>
                <c:pt idx="146">
                  <c:v>3.9693004392146874E-3</c:v>
                </c:pt>
                <c:pt idx="147">
                  <c:v>4.13894173440501E-3</c:v>
                </c:pt>
                <c:pt idx="148">
                  <c:v>4.2794073833319788E-3</c:v>
                </c:pt>
                <c:pt idx="149">
                  <c:v>4.3369556482217323E-3</c:v>
                </c:pt>
                <c:pt idx="150">
                  <c:v>4.3635641490869376E-3</c:v>
                </c:pt>
                <c:pt idx="151">
                  <c:v>4.3380669219003137E-3</c:v>
                </c:pt>
                <c:pt idx="152">
                  <c:v>4.5013775103313275E-3</c:v>
                </c:pt>
                <c:pt idx="153">
                  <c:v>4.1965087099078632E-3</c:v>
                </c:pt>
                <c:pt idx="154">
                  <c:v>4.1433604532907162E-3</c:v>
                </c:pt>
                <c:pt idx="155">
                  <c:v>4.234632303845221E-3</c:v>
                </c:pt>
                <c:pt idx="156">
                  <c:v>4.2904650275309378E-3</c:v>
                </c:pt>
                <c:pt idx="157">
                  <c:v>4.2836254670830546E-3</c:v>
                </c:pt>
                <c:pt idx="158">
                  <c:v>4.3130039504302182E-3</c:v>
                </c:pt>
                <c:pt idx="159">
                  <c:v>4.220296808148798E-3</c:v>
                </c:pt>
                <c:pt idx="160">
                  <c:v>4.4606584695761837E-3</c:v>
                </c:pt>
                <c:pt idx="161">
                  <c:v>4.2555105713000451E-3</c:v>
                </c:pt>
                <c:pt idx="162">
                  <c:v>4.2167590526240011E-3</c:v>
                </c:pt>
                <c:pt idx="163">
                  <c:v>4.0107594468682985E-3</c:v>
                </c:pt>
                <c:pt idx="164">
                  <c:v>4.6577866348314076E-3</c:v>
                </c:pt>
                <c:pt idx="165">
                  <c:v>4.3276260990282277E-3</c:v>
                </c:pt>
                <c:pt idx="166">
                  <c:v>4.3915095641613071E-3</c:v>
                </c:pt>
                <c:pt idx="167">
                  <c:v>4.3691707956863887E-3</c:v>
                </c:pt>
                <c:pt idx="168">
                  <c:v>4.5368293945144038E-3</c:v>
                </c:pt>
                <c:pt idx="169">
                  <c:v>4.3885036130981636E-3</c:v>
                </c:pt>
                <c:pt idx="170">
                  <c:v>4.3901126014983622E-3</c:v>
                </c:pt>
                <c:pt idx="171">
                  <c:v>4.513101983002833E-3</c:v>
                </c:pt>
                <c:pt idx="172">
                  <c:v>4.6707095538062486E-3</c:v>
                </c:pt>
                <c:pt idx="173">
                  <c:v>4.247409561897837E-3</c:v>
                </c:pt>
                <c:pt idx="174">
                  <c:v>4.2985122955980504E-3</c:v>
                </c:pt>
                <c:pt idx="175">
                  <c:v>4.3516423853044977E-3</c:v>
                </c:pt>
                <c:pt idx="176">
                  <c:v>4.4511617414843222E-3</c:v>
                </c:pt>
                <c:pt idx="177">
                  <c:v>4.3921767751412223E-3</c:v>
                </c:pt>
                <c:pt idx="178">
                  <c:v>4.3911867728996896E-3</c:v>
                </c:pt>
                <c:pt idx="179">
                  <c:v>4.1961963066118818E-3</c:v>
                </c:pt>
                <c:pt idx="180">
                  <c:v>4.3950648904054444E-3</c:v>
                </c:pt>
                <c:pt idx="181">
                  <c:v>4.2155725245765991E-3</c:v>
                </c:pt>
                <c:pt idx="182">
                  <c:v>4.2343279204330323E-3</c:v>
                </c:pt>
                <c:pt idx="183">
                  <c:v>4.5553690522139546E-3</c:v>
                </c:pt>
                <c:pt idx="184">
                  <c:v>4.3657013874582378E-3</c:v>
                </c:pt>
                <c:pt idx="185">
                  <c:v>4.1069554558041503E-3</c:v>
                </c:pt>
                <c:pt idx="186">
                  <c:v>4.4757112961396322E-3</c:v>
                </c:pt>
                <c:pt idx="187">
                  <c:v>4.6028586936855435E-3</c:v>
                </c:pt>
                <c:pt idx="188">
                  <c:v>4.4678267907729665E-3</c:v>
                </c:pt>
                <c:pt idx="189">
                  <c:v>4.6268481682949494E-3</c:v>
                </c:pt>
                <c:pt idx="190">
                  <c:v>4.4019519968130664E-3</c:v>
                </c:pt>
                <c:pt idx="191">
                  <c:v>4.6441071379616011E-3</c:v>
                </c:pt>
                <c:pt idx="192">
                  <c:v>4.3956448849505354E-3</c:v>
                </c:pt>
                <c:pt idx="193">
                  <c:v>4.7479635752415081E-3</c:v>
                </c:pt>
                <c:pt idx="194">
                  <c:v>4.3704063936577265E-3</c:v>
                </c:pt>
                <c:pt idx="195">
                  <c:v>4.1322840376654688E-3</c:v>
                </c:pt>
                <c:pt idx="196">
                  <c:v>4.265229367033007E-3</c:v>
                </c:pt>
                <c:pt idx="197">
                  <c:v>4.2759380884581826E-3</c:v>
                </c:pt>
                <c:pt idx="198">
                  <c:v>4.0455957806889509E-3</c:v>
                </c:pt>
                <c:pt idx="199">
                  <c:v>3.7525545035116056E-3</c:v>
                </c:pt>
                <c:pt idx="200">
                  <c:v>4.2081929420109947E-3</c:v>
                </c:pt>
                <c:pt idx="201">
                  <c:v>4.0116759165018338E-3</c:v>
                </c:pt>
                <c:pt idx="202">
                  <c:v>4.1825438209458108E-3</c:v>
                </c:pt>
                <c:pt idx="203">
                  <c:v>4.1034706485251387E-3</c:v>
                </c:pt>
                <c:pt idx="204">
                  <c:v>4.1139924131792923E-3</c:v>
                </c:pt>
                <c:pt idx="205">
                  <c:v>4.1171873450929911E-3</c:v>
                </c:pt>
                <c:pt idx="206">
                  <c:v>4.1776605101143359E-3</c:v>
                </c:pt>
                <c:pt idx="207">
                  <c:v>3.8145326510159376E-3</c:v>
                </c:pt>
                <c:pt idx="208">
                  <c:v>4.1038213505302989E-3</c:v>
                </c:pt>
                <c:pt idx="209">
                  <c:v>4.3718900508235544E-3</c:v>
                </c:pt>
                <c:pt idx="210">
                  <c:v>4.0079046501574752E-3</c:v>
                </c:pt>
                <c:pt idx="211">
                  <c:v>3.9169838521110048E-3</c:v>
                </c:pt>
                <c:pt idx="212">
                  <c:v>4.043972266891625E-3</c:v>
                </c:pt>
                <c:pt idx="213">
                  <c:v>3.7950898488844976E-3</c:v>
                </c:pt>
                <c:pt idx="214">
                  <c:v>4.0361498639992985E-3</c:v>
                </c:pt>
                <c:pt idx="215">
                  <c:v>4.0521376798907521E-3</c:v>
                </c:pt>
                <c:pt idx="216">
                  <c:v>4.2021458888039437E-3</c:v>
                </c:pt>
                <c:pt idx="217">
                  <c:v>4.1218008396423618E-3</c:v>
                </c:pt>
                <c:pt idx="218">
                  <c:v>3.6899684776562211E-3</c:v>
                </c:pt>
                <c:pt idx="219">
                  <c:v>3.9466591256550514E-3</c:v>
                </c:pt>
                <c:pt idx="220">
                  <c:v>4.1475750740166363E-3</c:v>
                </c:pt>
                <c:pt idx="221">
                  <c:v>3.8801383019592779E-3</c:v>
                </c:pt>
                <c:pt idx="222">
                  <c:v>4.0200329701834863E-3</c:v>
                </c:pt>
                <c:pt idx="223">
                  <c:v>3.9380749382993043E-3</c:v>
                </c:pt>
                <c:pt idx="224">
                  <c:v>3.9871319069399638E-3</c:v>
                </c:pt>
                <c:pt idx="225">
                  <c:v>3.8704411316219079E-3</c:v>
                </c:pt>
                <c:pt idx="226">
                  <c:v>3.9754288363467779E-3</c:v>
                </c:pt>
                <c:pt idx="227">
                  <c:v>4.1210701928917921E-3</c:v>
                </c:pt>
                <c:pt idx="228">
                  <c:v>4.0447284906771691E-3</c:v>
                </c:pt>
                <c:pt idx="229">
                  <c:v>4.1233501782289217E-3</c:v>
                </c:pt>
                <c:pt idx="230">
                  <c:v>4.1587065050383565E-3</c:v>
                </c:pt>
                <c:pt idx="231">
                  <c:v>3.8905451819307144E-3</c:v>
                </c:pt>
                <c:pt idx="232">
                  <c:v>3.9220464970536779E-3</c:v>
                </c:pt>
                <c:pt idx="233">
                  <c:v>3.8106587107604793E-3</c:v>
                </c:pt>
                <c:pt idx="234">
                  <c:v>3.8548378692880836E-3</c:v>
                </c:pt>
                <c:pt idx="235">
                  <c:v>3.9112260288730874E-3</c:v>
                </c:pt>
                <c:pt idx="236">
                  <c:v>3.972013196747573E-3</c:v>
                </c:pt>
                <c:pt idx="237">
                  <c:v>4.2021023489207075E-3</c:v>
                </c:pt>
                <c:pt idx="238">
                  <c:v>3.8780330684990336E-3</c:v>
                </c:pt>
                <c:pt idx="239">
                  <c:v>3.9637804383292046E-3</c:v>
                </c:pt>
                <c:pt idx="240">
                  <c:v>3.6998356389535678E-3</c:v>
                </c:pt>
                <c:pt idx="241">
                  <c:v>4.3003695899968917E-3</c:v>
                </c:pt>
                <c:pt idx="242">
                  <c:v>3.9081406724679468E-3</c:v>
                </c:pt>
                <c:pt idx="243">
                  <c:v>3.9577791419412043E-3</c:v>
                </c:pt>
                <c:pt idx="244">
                  <c:v>4.2288514294587555E-3</c:v>
                </c:pt>
                <c:pt idx="245">
                  <c:v>3.8877790323981584E-3</c:v>
                </c:pt>
                <c:pt idx="246">
                  <c:v>3.8461200109084831E-3</c:v>
                </c:pt>
                <c:pt idx="247">
                  <c:v>3.8970015661501578E-3</c:v>
                </c:pt>
                <c:pt idx="248">
                  <c:v>3.9218949839690239E-3</c:v>
                </c:pt>
                <c:pt idx="249">
                  <c:v>3.9703625761760711E-3</c:v>
                </c:pt>
                <c:pt idx="250">
                  <c:v>3.8012001953806433E-3</c:v>
                </c:pt>
                <c:pt idx="251">
                  <c:v>4.1292465596934917E-3</c:v>
                </c:pt>
                <c:pt idx="252">
                  <c:v>4.1204895215084828E-3</c:v>
                </c:pt>
                <c:pt idx="253">
                  <c:v>4.0085388994307398E-3</c:v>
                </c:pt>
                <c:pt idx="254">
                  <c:v>4.1881601572095308E-3</c:v>
                </c:pt>
                <c:pt idx="255">
                  <c:v>4.2894585041976683E-3</c:v>
                </c:pt>
                <c:pt idx="256">
                  <c:v>4.0487286833952099E-3</c:v>
                </c:pt>
                <c:pt idx="257">
                  <c:v>4.1265931147741464E-3</c:v>
                </c:pt>
                <c:pt idx="258">
                  <c:v>4.0063796959242757E-3</c:v>
                </c:pt>
                <c:pt idx="259">
                  <c:v>4.280020190416514E-3</c:v>
                </c:pt>
                <c:pt idx="260">
                  <c:v>4.1859759693972124E-3</c:v>
                </c:pt>
                <c:pt idx="261">
                  <c:v>4.0743202990770402E-3</c:v>
                </c:pt>
                <c:pt idx="262">
                  <c:v>3.8421339045858565E-3</c:v>
                </c:pt>
                <c:pt idx="263">
                  <c:v>4.0534875189966284E-3</c:v>
                </c:pt>
                <c:pt idx="264">
                  <c:v>3.8140422486681331E-3</c:v>
                </c:pt>
                <c:pt idx="265">
                  <c:v>4.01742626158873E-3</c:v>
                </c:pt>
                <c:pt idx="266">
                  <c:v>4.1064841562597218E-3</c:v>
                </c:pt>
                <c:pt idx="267">
                  <c:v>3.8634305701045753E-3</c:v>
                </c:pt>
                <c:pt idx="268">
                  <c:v>3.8228815464149248E-3</c:v>
                </c:pt>
                <c:pt idx="269">
                  <c:v>3.7604159247916816E-3</c:v>
                </c:pt>
                <c:pt idx="270">
                  <c:v>4.1105388272583204E-3</c:v>
                </c:pt>
                <c:pt idx="271">
                  <c:v>4.1795266345871617E-3</c:v>
                </c:pt>
                <c:pt idx="272">
                  <c:v>3.9061804058508078E-3</c:v>
                </c:pt>
                <c:pt idx="273">
                  <c:v>3.6456267463486438E-3</c:v>
                </c:pt>
                <c:pt idx="274">
                  <c:v>3.6670048969868092E-3</c:v>
                </c:pt>
                <c:pt idx="275">
                  <c:v>3.7693507950700396E-3</c:v>
                </c:pt>
                <c:pt idx="276">
                  <c:v>3.7222575629064177E-3</c:v>
                </c:pt>
                <c:pt idx="277">
                  <c:v>3.9126222143926713E-3</c:v>
                </c:pt>
                <c:pt idx="278">
                  <c:v>3.938456096913962E-3</c:v>
                </c:pt>
                <c:pt idx="279">
                  <c:v>3.6735413361537106E-3</c:v>
                </c:pt>
                <c:pt idx="280">
                  <c:v>3.9013349937447985E-3</c:v>
                </c:pt>
                <c:pt idx="281">
                  <c:v>3.8559415312816449E-3</c:v>
                </c:pt>
                <c:pt idx="282">
                  <c:v>3.8288730008736427E-3</c:v>
                </c:pt>
                <c:pt idx="283">
                  <c:v>4.0580467328445065E-3</c:v>
                </c:pt>
                <c:pt idx="284">
                  <c:v>4.2808172960133875E-3</c:v>
                </c:pt>
                <c:pt idx="285">
                  <c:v>3.7607093485017918E-3</c:v>
                </c:pt>
                <c:pt idx="286">
                  <c:v>3.6954539076750384E-3</c:v>
                </c:pt>
                <c:pt idx="287">
                  <c:v>3.6816872717055351E-3</c:v>
                </c:pt>
                <c:pt idx="288">
                  <c:v>3.8237553368227371E-3</c:v>
                </c:pt>
                <c:pt idx="289">
                  <c:v>3.9400373858913635E-3</c:v>
                </c:pt>
                <c:pt idx="290">
                  <c:v>4.0760192273455583E-3</c:v>
                </c:pt>
                <c:pt idx="291">
                  <c:v>4.0258590152320228E-3</c:v>
                </c:pt>
                <c:pt idx="292">
                  <c:v>3.7345272583618645E-3</c:v>
                </c:pt>
                <c:pt idx="293">
                  <c:v>3.7616776869759446E-3</c:v>
                </c:pt>
                <c:pt idx="294">
                  <c:v>4.2751492470818851E-3</c:v>
                </c:pt>
                <c:pt idx="295">
                  <c:v>4.1650107304665764E-3</c:v>
                </c:pt>
                <c:pt idx="296">
                  <c:v>3.9241657615654282E-3</c:v>
                </c:pt>
                <c:pt idx="297">
                  <c:v>4.1628991054419679E-3</c:v>
                </c:pt>
                <c:pt idx="298">
                  <c:v>4.3231187831749857E-3</c:v>
                </c:pt>
                <c:pt idx="299">
                  <c:v>4.5314618682889291E-3</c:v>
                </c:pt>
                <c:pt idx="300">
                  <c:v>4.3958829333647156E-3</c:v>
                </c:pt>
                <c:pt idx="301">
                  <c:v>4.4987553745191216E-3</c:v>
                </c:pt>
                <c:pt idx="302">
                  <c:v>4.4403826567728797E-3</c:v>
                </c:pt>
                <c:pt idx="303">
                  <c:v>4.4662190439798384E-3</c:v>
                </c:pt>
                <c:pt idx="304">
                  <c:v>4.3339231660543785E-3</c:v>
                </c:pt>
                <c:pt idx="305">
                  <c:v>4.5092095272911336E-3</c:v>
                </c:pt>
                <c:pt idx="306">
                  <c:v>4.4095433947842549E-3</c:v>
                </c:pt>
                <c:pt idx="307">
                  <c:v>4.5131181543611948E-3</c:v>
                </c:pt>
                <c:pt idx="308">
                  <c:v>4.4734581379532517E-3</c:v>
                </c:pt>
                <c:pt idx="309">
                  <c:v>4.7350438081231114E-3</c:v>
                </c:pt>
                <c:pt idx="310">
                  <c:v>4.4189448821673454E-3</c:v>
                </c:pt>
                <c:pt idx="311">
                  <c:v>4.8282503445594939E-3</c:v>
                </c:pt>
                <c:pt idx="312">
                  <c:v>4.4656137120192649E-3</c:v>
                </c:pt>
                <c:pt idx="313">
                  <c:v>4.5909432074055538E-3</c:v>
                </c:pt>
                <c:pt idx="314">
                  <c:v>4.5558045558045561E-3</c:v>
                </c:pt>
                <c:pt idx="315">
                  <c:v>4.5410191543187569E-3</c:v>
                </c:pt>
                <c:pt idx="316">
                  <c:v>4.3737539162631732E-3</c:v>
                </c:pt>
                <c:pt idx="317">
                  <c:v>4.7499820518343023E-3</c:v>
                </c:pt>
                <c:pt idx="318">
                  <c:v>4.5237838226827864E-3</c:v>
                </c:pt>
                <c:pt idx="319">
                  <c:v>4.7096462850095624E-3</c:v>
                </c:pt>
                <c:pt idx="320">
                  <c:v>4.4995441463022224E-3</c:v>
                </c:pt>
                <c:pt idx="321">
                  <c:v>4.4252745786829114E-3</c:v>
                </c:pt>
                <c:pt idx="322">
                  <c:v>4.6875416625929908E-3</c:v>
                </c:pt>
                <c:pt idx="323">
                  <c:v>4.4717580199041254E-3</c:v>
                </c:pt>
                <c:pt idx="324">
                  <c:v>4.4471622531816087E-3</c:v>
                </c:pt>
                <c:pt idx="325">
                  <c:v>4.5740124592949169E-3</c:v>
                </c:pt>
                <c:pt idx="326">
                  <c:v>4.2910663593567853E-3</c:v>
                </c:pt>
                <c:pt idx="327">
                  <c:v>4.329904233960521E-3</c:v>
                </c:pt>
                <c:pt idx="328">
                  <c:v>4.6980881737473399E-3</c:v>
                </c:pt>
                <c:pt idx="329">
                  <c:v>4.5767607198400357E-3</c:v>
                </c:pt>
                <c:pt idx="330">
                  <c:v>4.5872543556357325E-3</c:v>
                </c:pt>
                <c:pt idx="331">
                  <c:v>4.5034366237051843E-3</c:v>
                </c:pt>
                <c:pt idx="332">
                  <c:v>4.4522367442354693E-3</c:v>
                </c:pt>
                <c:pt idx="333">
                  <c:v>4.4693387778494157E-3</c:v>
                </c:pt>
                <c:pt idx="334">
                  <c:v>4.5180776564087031E-3</c:v>
                </c:pt>
                <c:pt idx="335">
                  <c:v>4.4884541659948761E-3</c:v>
                </c:pt>
                <c:pt idx="336">
                  <c:v>4.4736842105263155E-3</c:v>
                </c:pt>
                <c:pt idx="337">
                  <c:v>4.4280150155971872E-3</c:v>
                </c:pt>
                <c:pt idx="338">
                  <c:v>4.9598911330754909E-3</c:v>
                </c:pt>
                <c:pt idx="339">
                  <c:v>4.5563228235462059E-3</c:v>
                </c:pt>
                <c:pt idx="340">
                  <c:v>4.5821261421885445E-3</c:v>
                </c:pt>
                <c:pt idx="341">
                  <c:v>4.7772675395634321E-3</c:v>
                </c:pt>
                <c:pt idx="342">
                  <c:v>4.4309100573910066E-3</c:v>
                </c:pt>
                <c:pt idx="343">
                  <c:v>4.4788866613325179E-3</c:v>
                </c:pt>
                <c:pt idx="344">
                  <c:v>4.5023420776871201E-3</c:v>
                </c:pt>
                <c:pt idx="345">
                  <c:v>4.6944300956520187E-3</c:v>
                </c:pt>
                <c:pt idx="346">
                  <c:v>4.4932180325710025E-3</c:v>
                </c:pt>
                <c:pt idx="347">
                  <c:v>4.6328968815490161E-3</c:v>
                </c:pt>
                <c:pt idx="348">
                  <c:v>4.782746303748248E-3</c:v>
                </c:pt>
                <c:pt idx="349">
                  <c:v>4.7319628439649059E-3</c:v>
                </c:pt>
                <c:pt idx="350">
                  <c:v>4.6031447133038318E-3</c:v>
                </c:pt>
                <c:pt idx="351">
                  <c:v>4.6119457884163766E-3</c:v>
                </c:pt>
                <c:pt idx="352">
                  <c:v>4.4658469820285825E-3</c:v>
                </c:pt>
                <c:pt idx="353">
                  <c:v>4.5658169808337583E-3</c:v>
                </c:pt>
                <c:pt idx="354">
                  <c:v>4.5104644870743076E-3</c:v>
                </c:pt>
                <c:pt idx="355">
                  <c:v>4.927787656676931E-3</c:v>
                </c:pt>
                <c:pt idx="356">
                  <c:v>5.340023449893096E-3</c:v>
                </c:pt>
                <c:pt idx="357">
                  <c:v>4.9302317350487096E-3</c:v>
                </c:pt>
                <c:pt idx="358">
                  <c:v>4.997707473635947E-3</c:v>
                </c:pt>
                <c:pt idx="359">
                  <c:v>4.8766443286175232E-3</c:v>
                </c:pt>
                <c:pt idx="360">
                  <c:v>4.753065640779033E-3</c:v>
                </c:pt>
                <c:pt idx="361">
                  <c:v>4.7238691260430392E-3</c:v>
                </c:pt>
                <c:pt idx="362">
                  <c:v>4.8596382361930516E-3</c:v>
                </c:pt>
                <c:pt idx="363">
                  <c:v>4.7983186181142622E-3</c:v>
                </c:pt>
                <c:pt idx="364">
                  <c:v>4.4379259934309205E-3</c:v>
                </c:pt>
                <c:pt idx="365">
                  <c:v>4.8762283866152509E-3</c:v>
                </c:pt>
                <c:pt idx="366">
                  <c:v>4.8897019471231037E-3</c:v>
                </c:pt>
                <c:pt idx="367">
                  <c:v>4.8094144214296843E-3</c:v>
                </c:pt>
                <c:pt idx="368">
                  <c:v>4.6029438315421381E-3</c:v>
                </c:pt>
                <c:pt idx="369">
                  <c:v>4.9074667370246124E-3</c:v>
                </c:pt>
                <c:pt idx="370">
                  <c:v>4.9395020445421435E-3</c:v>
                </c:pt>
                <c:pt idx="371">
                  <c:v>4.7174827653758966E-3</c:v>
                </c:pt>
                <c:pt idx="372">
                  <c:v>4.8931510986936497E-3</c:v>
                </c:pt>
                <c:pt idx="373">
                  <c:v>4.7174563664918361E-3</c:v>
                </c:pt>
                <c:pt idx="374">
                  <c:v>4.6960939032020099E-3</c:v>
                </c:pt>
                <c:pt idx="375">
                  <c:v>4.8684395666244544E-3</c:v>
                </c:pt>
                <c:pt idx="376">
                  <c:v>4.4079896569169368E-3</c:v>
                </c:pt>
                <c:pt idx="377">
                  <c:v>4.7529548174745665E-3</c:v>
                </c:pt>
                <c:pt idx="378">
                  <c:v>4.8189200951931181E-3</c:v>
                </c:pt>
                <c:pt idx="379">
                  <c:v>4.7533059228803201E-3</c:v>
                </c:pt>
                <c:pt idx="380">
                  <c:v>4.7728362754182636E-3</c:v>
                </c:pt>
                <c:pt idx="381">
                  <c:v>4.9632113253236469E-3</c:v>
                </c:pt>
                <c:pt idx="382">
                  <c:v>4.9183815028901734E-3</c:v>
                </c:pt>
                <c:pt idx="383">
                  <c:v>4.8520022127005258E-3</c:v>
                </c:pt>
                <c:pt idx="384">
                  <c:v>4.7499283396055438E-3</c:v>
                </c:pt>
                <c:pt idx="385">
                  <c:v>4.5748226488167279E-3</c:v>
                </c:pt>
                <c:pt idx="386">
                  <c:v>4.819897887488875E-3</c:v>
                </c:pt>
                <c:pt idx="387">
                  <c:v>5.0643467712893995E-3</c:v>
                </c:pt>
                <c:pt idx="388">
                  <c:v>5.0495534536684631E-3</c:v>
                </c:pt>
                <c:pt idx="389">
                  <c:v>4.7953051643192489E-3</c:v>
                </c:pt>
                <c:pt idx="390">
                  <c:v>4.9583561085427882E-3</c:v>
                </c:pt>
                <c:pt idx="391">
                  <c:v>4.9425330248526007E-3</c:v>
                </c:pt>
                <c:pt idx="392">
                  <c:v>4.9394447549841623E-3</c:v>
                </c:pt>
                <c:pt idx="393">
                  <c:v>4.2768703339047158E-3</c:v>
                </c:pt>
                <c:pt idx="394">
                  <c:v>4.8407408211563934E-3</c:v>
                </c:pt>
                <c:pt idx="395">
                  <c:v>4.9564305533644519E-3</c:v>
                </c:pt>
                <c:pt idx="396">
                  <c:v>5.0821639586410639E-3</c:v>
                </c:pt>
                <c:pt idx="397">
                  <c:v>4.8723559445660106E-3</c:v>
                </c:pt>
                <c:pt idx="398">
                  <c:v>5.1993637909285365E-3</c:v>
                </c:pt>
                <c:pt idx="399">
                  <c:v>5.0369176324541656E-3</c:v>
                </c:pt>
                <c:pt idx="400">
                  <c:v>5.0282079436598385E-3</c:v>
                </c:pt>
                <c:pt idx="401">
                  <c:v>5.0725811832210222E-3</c:v>
                </c:pt>
                <c:pt idx="402">
                  <c:v>5.4772115668058159E-3</c:v>
                </c:pt>
                <c:pt idx="403">
                  <c:v>4.98998601821411E-3</c:v>
                </c:pt>
                <c:pt idx="404">
                  <c:v>4.7216681094508642E-3</c:v>
                </c:pt>
                <c:pt idx="405">
                  <c:v>5.0842261464162947E-3</c:v>
                </c:pt>
                <c:pt idx="406">
                  <c:v>5.2411291447704974E-3</c:v>
                </c:pt>
                <c:pt idx="407">
                  <c:v>5.0352439250602853E-3</c:v>
                </c:pt>
                <c:pt idx="408">
                  <c:v>5.0911532588899721E-3</c:v>
                </c:pt>
                <c:pt idx="409">
                  <c:v>4.6708514987608314E-3</c:v>
                </c:pt>
                <c:pt idx="410">
                  <c:v>4.7646774280237208E-3</c:v>
                </c:pt>
                <c:pt idx="411">
                  <c:v>4.7719805728162271E-3</c:v>
                </c:pt>
                <c:pt idx="412">
                  <c:v>4.5759439680330442E-3</c:v>
                </c:pt>
                <c:pt idx="413">
                  <c:v>4.8352503597252515E-3</c:v>
                </c:pt>
                <c:pt idx="414">
                  <c:v>4.9603085212784172E-3</c:v>
                </c:pt>
                <c:pt idx="415">
                  <c:v>4.7458670577797089E-3</c:v>
                </c:pt>
                <c:pt idx="416">
                  <c:v>4.9297104773211734E-3</c:v>
                </c:pt>
                <c:pt idx="417">
                  <c:v>4.9395861720463096E-3</c:v>
                </c:pt>
                <c:pt idx="418">
                  <c:v>4.9181358504800481E-3</c:v>
                </c:pt>
                <c:pt idx="419">
                  <c:v>4.5777307750415469E-3</c:v>
                </c:pt>
                <c:pt idx="420">
                  <c:v>4.6525539494477828E-3</c:v>
                </c:pt>
                <c:pt idx="421">
                  <c:v>4.7854697671118676E-3</c:v>
                </c:pt>
                <c:pt idx="422">
                  <c:v>4.3855789520944643E-3</c:v>
                </c:pt>
                <c:pt idx="423">
                  <c:v>4.6940686049387077E-3</c:v>
                </c:pt>
                <c:pt idx="424">
                  <c:v>4.8148754021484271E-3</c:v>
                </c:pt>
                <c:pt idx="425">
                  <c:v>4.5534932905484243E-3</c:v>
                </c:pt>
                <c:pt idx="426">
                  <c:v>4.7031427628442552E-3</c:v>
                </c:pt>
                <c:pt idx="427">
                  <c:v>4.8464833162193913E-3</c:v>
                </c:pt>
                <c:pt idx="428">
                  <c:v>4.6638862312715383E-3</c:v>
                </c:pt>
                <c:pt idx="429">
                  <c:v>4.8088917021949992E-3</c:v>
                </c:pt>
                <c:pt idx="430">
                  <c:v>4.7897025569664286E-3</c:v>
                </c:pt>
                <c:pt idx="431">
                  <c:v>4.5797483879360008E-3</c:v>
                </c:pt>
                <c:pt idx="432">
                  <c:v>4.479307097083972E-3</c:v>
                </c:pt>
                <c:pt idx="433">
                  <c:v>4.6138897885531858E-3</c:v>
                </c:pt>
                <c:pt idx="434">
                  <c:v>4.7094253773787217E-3</c:v>
                </c:pt>
                <c:pt idx="435">
                  <c:v>4.4293267275483418E-3</c:v>
                </c:pt>
                <c:pt idx="436">
                  <c:v>4.6779290341114436E-3</c:v>
                </c:pt>
                <c:pt idx="437">
                  <c:v>4.5453277156170648E-3</c:v>
                </c:pt>
                <c:pt idx="438">
                  <c:v>4.5924342411004741E-3</c:v>
                </c:pt>
                <c:pt idx="439">
                  <c:v>4.5276952124577051E-3</c:v>
                </c:pt>
                <c:pt idx="440">
                  <c:v>4.6241534356984276E-3</c:v>
                </c:pt>
                <c:pt idx="441">
                  <c:v>4.5295386425390069E-3</c:v>
                </c:pt>
                <c:pt idx="442">
                  <c:v>4.4398394719075834E-3</c:v>
                </c:pt>
                <c:pt idx="443">
                  <c:v>4.4102602258142519E-3</c:v>
                </c:pt>
                <c:pt idx="444">
                  <c:v>4.4439990525299271E-3</c:v>
                </c:pt>
                <c:pt idx="445">
                  <c:v>4.4837500116303953E-3</c:v>
                </c:pt>
                <c:pt idx="446">
                  <c:v>4.5203354726058567E-3</c:v>
                </c:pt>
                <c:pt idx="447">
                  <c:v>4.4068203650336219E-3</c:v>
                </c:pt>
                <c:pt idx="448">
                  <c:v>4.4508500174976519E-3</c:v>
                </c:pt>
                <c:pt idx="449">
                  <c:v>4.4423963133640556E-3</c:v>
                </c:pt>
                <c:pt idx="450">
                  <c:v>4.6660263041229492E-3</c:v>
                </c:pt>
                <c:pt idx="451">
                  <c:v>4.560060788603968E-3</c:v>
                </c:pt>
                <c:pt idx="452">
                  <c:v>4.6275646743978594E-3</c:v>
                </c:pt>
                <c:pt idx="453">
                  <c:v>4.5068924001605273E-3</c:v>
                </c:pt>
                <c:pt idx="454">
                  <c:v>4.6239228044733247E-3</c:v>
                </c:pt>
                <c:pt idx="455">
                  <c:v>4.5748912729637308E-3</c:v>
                </c:pt>
                <c:pt idx="456">
                  <c:v>4.4892660082533498E-3</c:v>
                </c:pt>
                <c:pt idx="457">
                  <c:v>4.7153493964759751E-3</c:v>
                </c:pt>
                <c:pt idx="458">
                  <c:v>4.553285072848896E-3</c:v>
                </c:pt>
                <c:pt idx="459">
                  <c:v>4.5171795528559404E-3</c:v>
                </c:pt>
                <c:pt idx="460">
                  <c:v>4.8100405809875322E-3</c:v>
                </c:pt>
                <c:pt idx="461">
                  <c:v>4.5776158783197756E-3</c:v>
                </c:pt>
                <c:pt idx="462">
                  <c:v>4.660006863863613E-3</c:v>
                </c:pt>
                <c:pt idx="463">
                  <c:v>4.8240915822908613E-3</c:v>
                </c:pt>
                <c:pt idx="464">
                  <c:v>4.7431416359944743E-3</c:v>
                </c:pt>
                <c:pt idx="465">
                  <c:v>4.6398891966758999E-3</c:v>
                </c:pt>
                <c:pt idx="466">
                  <c:v>4.6721212064670817E-3</c:v>
                </c:pt>
                <c:pt idx="467">
                  <c:v>4.7552356749336845E-3</c:v>
                </c:pt>
                <c:pt idx="468">
                  <c:v>4.9571327273899308E-3</c:v>
                </c:pt>
                <c:pt idx="469">
                  <c:v>4.6977732572923096E-3</c:v>
                </c:pt>
                <c:pt idx="470">
                  <c:v>4.6526311991484911E-3</c:v>
                </c:pt>
                <c:pt idx="471">
                  <c:v>4.7838877574111786E-3</c:v>
                </c:pt>
                <c:pt idx="472">
                  <c:v>4.5466303911511526E-3</c:v>
                </c:pt>
                <c:pt idx="473">
                  <c:v>4.6398265217430261E-3</c:v>
                </c:pt>
                <c:pt idx="474">
                  <c:v>4.7700293387497178E-3</c:v>
                </c:pt>
                <c:pt idx="475">
                  <c:v>4.6662028116748735E-3</c:v>
                </c:pt>
                <c:pt idx="476">
                  <c:v>4.6109381151794981E-3</c:v>
                </c:pt>
                <c:pt idx="477">
                  <c:v>4.6283747637219583E-3</c:v>
                </c:pt>
                <c:pt idx="478">
                  <c:v>4.6664161208346752E-3</c:v>
                </c:pt>
                <c:pt idx="479">
                  <c:v>4.5638479077857591E-3</c:v>
                </c:pt>
                <c:pt idx="480">
                  <c:v>4.7952718604407007E-3</c:v>
                </c:pt>
                <c:pt idx="481">
                  <c:v>4.6448579611982777E-3</c:v>
                </c:pt>
                <c:pt idx="482">
                  <c:v>4.6893906122558726E-3</c:v>
                </c:pt>
                <c:pt idx="483">
                  <c:v>4.7288491474495892E-3</c:v>
                </c:pt>
                <c:pt idx="484">
                  <c:v>4.7514679221798304E-3</c:v>
                </c:pt>
                <c:pt idx="485">
                  <c:v>4.4686693093792052E-3</c:v>
                </c:pt>
                <c:pt idx="486">
                  <c:v>4.761035118797597E-3</c:v>
                </c:pt>
                <c:pt idx="487">
                  <c:v>4.7558585663418805E-3</c:v>
                </c:pt>
                <c:pt idx="488">
                  <c:v>4.5232755069345909E-3</c:v>
                </c:pt>
                <c:pt idx="489">
                  <c:v>4.6511841549231082E-3</c:v>
                </c:pt>
                <c:pt idx="490">
                  <c:v>4.7300719132988963E-3</c:v>
                </c:pt>
                <c:pt idx="491">
                  <c:v>4.6961047529161665E-3</c:v>
                </c:pt>
                <c:pt idx="492">
                  <c:v>4.6145920884960549E-3</c:v>
                </c:pt>
                <c:pt idx="493">
                  <c:v>4.7438774866372822E-3</c:v>
                </c:pt>
                <c:pt idx="494">
                  <c:v>4.6894849224725886E-3</c:v>
                </c:pt>
                <c:pt idx="495">
                  <c:v>4.5334299691973182E-3</c:v>
                </c:pt>
                <c:pt idx="496">
                  <c:v>4.6931407942238266E-3</c:v>
                </c:pt>
                <c:pt idx="497">
                  <c:v>4.5011124422385763E-3</c:v>
                </c:pt>
                <c:pt idx="498">
                  <c:v>4.851290735169606E-3</c:v>
                </c:pt>
                <c:pt idx="499">
                  <c:v>5.0047694753577107E-3</c:v>
                </c:pt>
                <c:pt idx="500">
                  <c:v>5.0726090046098061E-3</c:v>
                </c:pt>
                <c:pt idx="501">
                  <c:v>5.0798890077803369E-3</c:v>
                </c:pt>
                <c:pt idx="502">
                  <c:v>5.3909651669085635E-3</c:v>
                </c:pt>
                <c:pt idx="503">
                  <c:v>5.9260999611432906E-3</c:v>
                </c:pt>
                <c:pt idx="504">
                  <c:v>6.0816330115677506E-3</c:v>
                </c:pt>
                <c:pt idx="505">
                  <c:v>5.4405892429631236E-3</c:v>
                </c:pt>
                <c:pt idx="506">
                  <c:v>5.3851157830207491E-3</c:v>
                </c:pt>
                <c:pt idx="507">
                  <c:v>5.3666234738214656E-3</c:v>
                </c:pt>
                <c:pt idx="508">
                  <c:v>5.3477987143671713E-3</c:v>
                </c:pt>
                <c:pt idx="509">
                  <c:v>5.3286324479781527E-3</c:v>
                </c:pt>
                <c:pt idx="510">
                  <c:v>5.3091153077418508E-3</c:v>
                </c:pt>
                <c:pt idx="511">
                  <c:v>5.2892375591142874E-3</c:v>
                </c:pt>
                <c:pt idx="512">
                  <c:v>5.2689891196249367E-3</c:v>
                </c:pt>
                <c:pt idx="513">
                  <c:v>5.2483595271450136E-3</c:v>
                </c:pt>
                <c:pt idx="514">
                  <c:v>5.2273379075847542E-3</c:v>
                </c:pt>
                <c:pt idx="515">
                  <c:v>5.2059129841069635E-3</c:v>
                </c:pt>
                <c:pt idx="516">
                  <c:v>5.1840730419810228E-3</c:v>
                </c:pt>
                <c:pt idx="517">
                  <c:v>5.1618058964130803E-3</c:v>
                </c:pt>
                <c:pt idx="518">
                  <c:v>5.1390988979881759E-3</c:v>
                </c:pt>
                <c:pt idx="519">
                  <c:v>5.1159388738021309E-3</c:v>
                </c:pt>
                <c:pt idx="520">
                  <c:v>5.0923121349509106E-3</c:v>
                </c:pt>
                <c:pt idx="521">
                  <c:v>5.0682044351134164E-3</c:v>
                </c:pt>
                <c:pt idx="522">
                  <c:v>5.043600926993427E-3</c:v>
                </c:pt>
                <c:pt idx="523">
                  <c:v>5.0184861654118482E-3</c:v>
                </c:pt>
                <c:pt idx="524">
                  <c:v>4.9928440387922053E-3</c:v>
                </c:pt>
                <c:pt idx="525">
                  <c:v>4.9666577675934196E-3</c:v>
                </c:pt>
                <c:pt idx="526">
                  <c:v>4.9399098426911427E-3</c:v>
                </c:pt>
                <c:pt idx="527">
                  <c:v>4.9125819978273928E-3</c:v>
                </c:pt>
                <c:pt idx="528">
                  <c:v>4.8846551675544633E-3</c:v>
                </c:pt>
                <c:pt idx="529">
                  <c:v>4.856109439821856E-3</c:v>
                </c:pt>
                <c:pt idx="530">
                  <c:v>4.826924009589873E-3</c:v>
                </c:pt>
                <c:pt idx="531">
                  <c:v>4.7970771320366016E-3</c:v>
                </c:pt>
                <c:pt idx="532">
                  <c:v>4.7665460621175671E-3</c:v>
                </c:pt>
                <c:pt idx="533">
                  <c:v>4.7353070004936895E-3</c:v>
                </c:pt>
                <c:pt idx="534">
                  <c:v>4.7033350327012518E-3</c:v>
                </c:pt>
                <c:pt idx="535">
                  <c:v>4.6706040597310917E-3</c:v>
                </c:pt>
                <c:pt idx="536">
                  <c:v>4.6370867290710148E-3</c:v>
                </c:pt>
                <c:pt idx="537">
                  <c:v>4.6027543567836796E-3</c:v>
                </c:pt>
                <c:pt idx="538">
                  <c:v>4.5675768497442414E-3</c:v>
                </c:pt>
                <c:pt idx="539">
                  <c:v>4.5315226128638921E-3</c:v>
                </c:pt>
                <c:pt idx="540">
                  <c:v>4.4945584558335047E-3</c:v>
                </c:pt>
                <c:pt idx="541">
                  <c:v>4.1900638914159636E-3</c:v>
                </c:pt>
                <c:pt idx="542">
                  <c:v>4.0283652410178341E-3</c:v>
                </c:pt>
                <c:pt idx="543">
                  <c:v>4.0439292723247521E-3</c:v>
                </c:pt>
                <c:pt idx="544">
                  <c:v>4.323089984678891E-3</c:v>
                </c:pt>
                <c:pt idx="545">
                  <c:v>4.3434900901424267E-3</c:v>
                </c:pt>
                <c:pt idx="546">
                  <c:v>4.1371466026623484E-3</c:v>
                </c:pt>
                <c:pt idx="547">
                  <c:v>4.5099713668558796E-3</c:v>
                </c:pt>
                <c:pt idx="548">
                  <c:v>4.5176665274355206E-3</c:v>
                </c:pt>
                <c:pt idx="549">
                  <c:v>4.5256912166693206E-3</c:v>
                </c:pt>
                <c:pt idx="550">
                  <c:v>4.5340670635090575E-3</c:v>
                </c:pt>
                <c:pt idx="551">
                  <c:v>4.3649070570477427E-3</c:v>
                </c:pt>
                <c:pt idx="552">
                  <c:v>4.4730355317741839E-3</c:v>
                </c:pt>
                <c:pt idx="553">
                  <c:v>4.3640545360633847E-3</c:v>
                </c:pt>
                <c:pt idx="554">
                  <c:v>4.82803922488622E-3</c:v>
                </c:pt>
                <c:pt idx="555">
                  <c:v>4.6792193463201116E-3</c:v>
                </c:pt>
                <c:pt idx="556">
                  <c:v>4.3793377674956621E-3</c:v>
                </c:pt>
                <c:pt idx="557">
                  <c:v>4.0879116666027683E-3</c:v>
                </c:pt>
                <c:pt idx="558">
                  <c:v>4.0639192598822538E-3</c:v>
                </c:pt>
                <c:pt idx="559">
                  <c:v>4.1749032829232202E-3</c:v>
                </c:pt>
                <c:pt idx="560">
                  <c:v>4.2374649169384816E-3</c:v>
                </c:pt>
                <c:pt idx="561">
                  <c:v>4.4061943462578084E-3</c:v>
                </c:pt>
                <c:pt idx="562">
                  <c:v>4.3296089385474858E-3</c:v>
                </c:pt>
                <c:pt idx="563">
                  <c:v>4.2818252294156882E-3</c:v>
                </c:pt>
                <c:pt idx="564">
                  <c:v>4.1267466637403202E-3</c:v>
                </c:pt>
                <c:pt idx="565">
                  <c:v>3.9276664363049989E-3</c:v>
                </c:pt>
                <c:pt idx="566">
                  <c:v>4.0015190052282044E-3</c:v>
                </c:pt>
                <c:pt idx="567">
                  <c:v>4.019681651968165E-3</c:v>
                </c:pt>
                <c:pt idx="568">
                  <c:v>3.697895401061579E-3</c:v>
                </c:pt>
                <c:pt idx="569">
                  <c:v>3.8215595070055608E-3</c:v>
                </c:pt>
                <c:pt idx="570">
                  <c:v>3.8732164658297685E-3</c:v>
                </c:pt>
                <c:pt idx="571">
                  <c:v>3.91954802259887E-3</c:v>
                </c:pt>
                <c:pt idx="572">
                  <c:v>3.6406867309761236E-3</c:v>
                </c:pt>
                <c:pt idx="573">
                  <c:v>3.9359518270151907E-3</c:v>
                </c:pt>
                <c:pt idx="574">
                  <c:v>3.632341331766693E-3</c:v>
                </c:pt>
                <c:pt idx="575">
                  <c:v>4.1305960920108827E-3</c:v>
                </c:pt>
                <c:pt idx="576">
                  <c:v>3.8671945294223502E-3</c:v>
                </c:pt>
                <c:pt idx="577">
                  <c:v>3.9654231119199274E-3</c:v>
                </c:pt>
                <c:pt idx="578">
                  <c:v>4.1752436469623825E-3</c:v>
                </c:pt>
                <c:pt idx="579">
                  <c:v>3.9336329696618216E-3</c:v>
                </c:pt>
                <c:pt idx="580">
                  <c:v>3.8110911814197746E-3</c:v>
                </c:pt>
                <c:pt idx="581">
                  <c:v>4.0220653243179302E-3</c:v>
                </c:pt>
                <c:pt idx="582">
                  <c:v>4.0342238450920692E-3</c:v>
                </c:pt>
                <c:pt idx="583">
                  <c:v>4.0431979307284927E-3</c:v>
                </c:pt>
                <c:pt idx="584">
                  <c:v>4.2909961482396784E-3</c:v>
                </c:pt>
                <c:pt idx="585">
                  <c:v>4.2082865417577874E-3</c:v>
                </c:pt>
                <c:pt idx="586">
                  <c:v>4.3800223781914355E-3</c:v>
                </c:pt>
                <c:pt idx="587">
                  <c:v>4.1616073559782888E-3</c:v>
                </c:pt>
                <c:pt idx="588">
                  <c:v>4.4708889401018203E-3</c:v>
                </c:pt>
                <c:pt idx="589">
                  <c:v>4.4202209236181332E-3</c:v>
                </c:pt>
                <c:pt idx="590">
                  <c:v>4.3699653966259369E-3</c:v>
                </c:pt>
                <c:pt idx="591">
                  <c:v>4.0617561428964314E-3</c:v>
                </c:pt>
                <c:pt idx="592">
                  <c:v>4.4558525486597068E-3</c:v>
                </c:pt>
                <c:pt idx="593">
                  <c:v>4.4284233068790759E-3</c:v>
                </c:pt>
                <c:pt idx="594">
                  <c:v>4.2124401177443867E-3</c:v>
                </c:pt>
                <c:pt idx="595">
                  <c:v>4.1988609208220484E-3</c:v>
                </c:pt>
                <c:pt idx="596">
                  <c:v>4.0230340753662263E-3</c:v>
                </c:pt>
                <c:pt idx="597">
                  <c:v>3.9077217449624713E-3</c:v>
                </c:pt>
                <c:pt idx="598">
                  <c:v>4.1599622846484174E-3</c:v>
                </c:pt>
                <c:pt idx="599">
                  <c:v>3.9778085435101026E-3</c:v>
                </c:pt>
                <c:pt idx="600">
                  <c:v>4.3656234674780067E-3</c:v>
                </c:pt>
                <c:pt idx="601">
                  <c:v>4.0564466833884873E-3</c:v>
                </c:pt>
                <c:pt idx="602">
                  <c:v>3.249127578774505E-3</c:v>
                </c:pt>
                <c:pt idx="603">
                  <c:v>1.9933772663191371E-3</c:v>
                </c:pt>
                <c:pt idx="604">
                  <c:v>4.2406226249915822E-3</c:v>
                </c:pt>
                <c:pt idx="605">
                  <c:v>4.2304729336164297E-3</c:v>
                </c:pt>
                <c:pt idx="606">
                  <c:v>4.6120506029005909E-3</c:v>
                </c:pt>
                <c:pt idx="607">
                  <c:v>4.4275918441487672E-3</c:v>
                </c:pt>
                <c:pt idx="608">
                  <c:v>4.2103639728562616E-3</c:v>
                </c:pt>
                <c:pt idx="609">
                  <c:v>4.1819467149737111E-3</c:v>
                </c:pt>
                <c:pt idx="610">
                  <c:v>4.1840574751967159E-3</c:v>
                </c:pt>
                <c:pt idx="611">
                  <c:v>3.9253761570626992E-3</c:v>
                </c:pt>
                <c:pt idx="612">
                  <c:v>3.9749162714315068E-3</c:v>
                </c:pt>
                <c:pt idx="613">
                  <c:v>4.0222401047293639E-3</c:v>
                </c:pt>
                <c:pt idx="614">
                  <c:v>4.0674931301171238E-3</c:v>
                </c:pt>
                <c:pt idx="615">
                  <c:v>4.1108083592142275E-3</c:v>
                </c:pt>
                <c:pt idx="616">
                  <c:v>4.1523076507019481E-3</c:v>
                </c:pt>
                <c:pt idx="617">
                  <c:v>4.1921028557302432E-3</c:v>
                </c:pt>
                <c:pt idx="618">
                  <c:v>4.2302968270214944E-3</c:v>
                </c:pt>
                <c:pt idx="619">
                  <c:v>4.1960727831388926E-3</c:v>
                </c:pt>
                <c:pt idx="620">
                  <c:v>4.4227091199175511E-3</c:v>
                </c:pt>
                <c:pt idx="621">
                  <c:v>4.4451256897608833E-3</c:v>
                </c:pt>
                <c:pt idx="622">
                  <c:v>4.6570833938337931E-3</c:v>
                </c:pt>
                <c:pt idx="623">
                  <c:v>4.7688036864291924E-3</c:v>
                </c:pt>
                <c:pt idx="624">
                  <c:v>4.939893582079748E-3</c:v>
                </c:pt>
                <c:pt idx="625">
                  <c:v>4.8885149347917545E-3</c:v>
                </c:pt>
                <c:pt idx="626">
                  <c:v>4.6234939759036142E-3</c:v>
                </c:pt>
                <c:pt idx="627">
                  <c:v>4.5306379341117677E-3</c:v>
                </c:pt>
                <c:pt idx="628">
                  <c:v>4.633003140855279E-3</c:v>
                </c:pt>
                <c:pt idx="629">
                  <c:v>4.2902323435262003E-3</c:v>
                </c:pt>
                <c:pt idx="630">
                  <c:v>4.5703387485671373E-3</c:v>
                </c:pt>
                <c:pt idx="631">
                  <c:v>4.6091717469809342E-3</c:v>
                </c:pt>
                <c:pt idx="632">
                  <c:v>4.324659823346861E-3</c:v>
                </c:pt>
                <c:pt idx="633">
                  <c:v>4.2506419549541864E-3</c:v>
                </c:pt>
                <c:pt idx="634">
                  <c:v>4.5493594292757627E-3</c:v>
                </c:pt>
                <c:pt idx="635">
                  <c:v>4.7206165703275529E-3</c:v>
                </c:pt>
                <c:pt idx="636">
                  <c:v>4.6690921690921688E-3</c:v>
                </c:pt>
                <c:pt idx="637">
                  <c:v>4.2602329123875978E-3</c:v>
                </c:pt>
                <c:pt idx="638">
                  <c:v>4.5189405730216951E-3</c:v>
                </c:pt>
                <c:pt idx="639">
                  <c:v>4.7209814050562385E-3</c:v>
                </c:pt>
                <c:pt idx="640">
                  <c:v>4.6510976963770887E-3</c:v>
                </c:pt>
                <c:pt idx="641">
                  <c:v>4.8932666731022478E-3</c:v>
                </c:pt>
                <c:pt idx="642">
                  <c:v>4.928318970652476E-3</c:v>
                </c:pt>
                <c:pt idx="643">
                  <c:v>5.1057235487225495E-3</c:v>
                </c:pt>
                <c:pt idx="644">
                  <c:v>5.2873309412089431E-3</c:v>
                </c:pt>
                <c:pt idx="645">
                  <c:v>5.392681563716621E-3</c:v>
                </c:pt>
                <c:pt idx="646">
                  <c:v>6.0467173618430963E-3</c:v>
                </c:pt>
                <c:pt idx="647">
                  <c:v>5.8470472550511141E-3</c:v>
                </c:pt>
                <c:pt idx="648">
                  <c:v>5.9521305298201009E-3</c:v>
                </c:pt>
                <c:pt idx="649">
                  <c:v>5.9248595439970837E-3</c:v>
                </c:pt>
                <c:pt idx="650">
                  <c:v>5.8112094395280237E-3</c:v>
                </c:pt>
                <c:pt idx="651">
                  <c:v>5.7858048748877554E-3</c:v>
                </c:pt>
                <c:pt idx="652">
                  <c:v>6.1189749283004904E-3</c:v>
                </c:pt>
                <c:pt idx="653">
                  <c:v>5.7231518214673942E-3</c:v>
                </c:pt>
                <c:pt idx="654">
                  <c:v>5.4970488450992241E-3</c:v>
                </c:pt>
                <c:pt idx="655">
                  <c:v>5.6753173300696314E-3</c:v>
                </c:pt>
                <c:pt idx="656">
                  <c:v>5.9494792820740088E-3</c:v>
                </c:pt>
                <c:pt idx="657">
                  <c:v>5.7240347761054501E-3</c:v>
                </c:pt>
                <c:pt idx="658">
                  <c:v>6.1275170906385156E-3</c:v>
                </c:pt>
                <c:pt idx="659">
                  <c:v>5.9791079115333236E-3</c:v>
                </c:pt>
                <c:pt idx="660">
                  <c:v>5.7497077745768486E-3</c:v>
                </c:pt>
                <c:pt idx="661">
                  <c:v>5.5576976039658499E-3</c:v>
                </c:pt>
                <c:pt idx="662">
                  <c:v>5.883808302025108E-3</c:v>
                </c:pt>
                <c:pt idx="663">
                  <c:v>5.432073695286972E-3</c:v>
                </c:pt>
                <c:pt idx="664">
                  <c:v>5.6087124203412246E-3</c:v>
                </c:pt>
                <c:pt idx="665">
                  <c:v>5.4648183309676107E-3</c:v>
                </c:pt>
                <c:pt idx="666">
                  <c:v>5.6507932135426344E-3</c:v>
                </c:pt>
                <c:pt idx="667">
                  <c:v>5.6761724508180315E-3</c:v>
                </c:pt>
                <c:pt idx="668">
                  <c:v>5.7757883804079079E-3</c:v>
                </c:pt>
                <c:pt idx="669">
                  <c:v>6.512077823710315E-3</c:v>
                </c:pt>
                <c:pt idx="670">
                  <c:v>6.1866823136798293E-3</c:v>
                </c:pt>
                <c:pt idx="671">
                  <c:v>6.0628797306200135E-3</c:v>
                </c:pt>
                <c:pt idx="672">
                  <c:v>5.9770262937654623E-3</c:v>
                </c:pt>
                <c:pt idx="673">
                  <c:v>6.413940465664604E-3</c:v>
                </c:pt>
                <c:pt idx="674">
                  <c:v>6.2579392443654052E-3</c:v>
                </c:pt>
                <c:pt idx="675">
                  <c:v>5.9528150525087519E-3</c:v>
                </c:pt>
                <c:pt idx="676">
                  <c:v>5.8750631110295127E-3</c:v>
                </c:pt>
                <c:pt idx="677">
                  <c:v>5.6954890691700696E-3</c:v>
                </c:pt>
                <c:pt idx="678">
                  <c:v>5.9119135979565579E-3</c:v>
                </c:pt>
                <c:pt idx="679">
                  <c:v>5.4216423411469847E-3</c:v>
                </c:pt>
                <c:pt idx="680">
                  <c:v>5.5755161308338142E-3</c:v>
                </c:pt>
                <c:pt idx="681">
                  <c:v>5.7426666044863121E-3</c:v>
                </c:pt>
                <c:pt idx="682">
                  <c:v>5.7286713286713283E-3</c:v>
                </c:pt>
                <c:pt idx="683">
                  <c:v>5.6029108909062368E-3</c:v>
                </c:pt>
                <c:pt idx="684">
                  <c:v>5.2609099350046425E-3</c:v>
                </c:pt>
                <c:pt idx="685">
                  <c:v>5.4916293547452354E-3</c:v>
                </c:pt>
                <c:pt idx="686">
                  <c:v>5.5534855993144309E-3</c:v>
                </c:pt>
                <c:pt idx="687">
                  <c:v>5.5322161467308787E-3</c:v>
                </c:pt>
                <c:pt idx="688">
                  <c:v>5.1351223883412721E-3</c:v>
                </c:pt>
                <c:pt idx="689">
                  <c:v>5.4082446184870797E-3</c:v>
                </c:pt>
                <c:pt idx="690">
                  <c:v>5.3148276659727043E-3</c:v>
                </c:pt>
                <c:pt idx="691">
                  <c:v>5.5194632363662456E-3</c:v>
                </c:pt>
                <c:pt idx="692">
                  <c:v>5.4613294025519371E-3</c:v>
                </c:pt>
                <c:pt idx="693">
                  <c:v>5.2806094486462785E-3</c:v>
                </c:pt>
                <c:pt idx="694">
                  <c:v>5.3384710177581179E-3</c:v>
                </c:pt>
                <c:pt idx="695">
                  <c:v>5.5447765997554046E-3</c:v>
                </c:pt>
                <c:pt idx="696">
                  <c:v>5.712732733286042E-3</c:v>
                </c:pt>
                <c:pt idx="697">
                  <c:v>5.5666608325580114E-3</c:v>
                </c:pt>
                <c:pt idx="698">
                  <c:v>5.2270520781813852E-3</c:v>
                </c:pt>
                <c:pt idx="699">
                  <c:v>5.4596146262277942E-3</c:v>
                </c:pt>
                <c:pt idx="700">
                  <c:v>5.6553424859214548E-3</c:v>
                </c:pt>
                <c:pt idx="701">
                  <c:v>5.1417870027815771E-3</c:v>
                </c:pt>
                <c:pt idx="702">
                  <c:v>5.5448944551055451E-3</c:v>
                </c:pt>
                <c:pt idx="703">
                  <c:v>5.5139059042951964E-3</c:v>
                </c:pt>
                <c:pt idx="704">
                  <c:v>5.6556041896060642E-3</c:v>
                </c:pt>
                <c:pt idx="705">
                  <c:v>5.4043652757160918E-3</c:v>
                </c:pt>
                <c:pt idx="706">
                  <c:v>5.5173671255356006E-3</c:v>
                </c:pt>
                <c:pt idx="707">
                  <c:v>5.8515729121011812E-3</c:v>
                </c:pt>
                <c:pt idx="708">
                  <c:v>5.6221461187214612E-3</c:v>
                </c:pt>
                <c:pt idx="709">
                  <c:v>5.593736017897092E-3</c:v>
                </c:pt>
                <c:pt idx="710">
                  <c:v>5.4553017496968784E-3</c:v>
                </c:pt>
                <c:pt idx="711">
                  <c:v>5.5075784279168139E-3</c:v>
                </c:pt>
                <c:pt idx="712">
                  <c:v>5.3955313194575675E-3</c:v>
                </c:pt>
                <c:pt idx="713">
                  <c:v>5.4921074989938735E-3</c:v>
                </c:pt>
                <c:pt idx="714">
                  <c:v>5.6155507559395249E-3</c:v>
                </c:pt>
                <c:pt idx="715">
                  <c:v>5.8629970320939404E-3</c:v>
                </c:pt>
                <c:pt idx="716">
                  <c:v>5.4027803774427327E-3</c:v>
                </c:pt>
                <c:pt idx="717">
                  <c:v>5.6443091817106319E-3</c:v>
                </c:pt>
                <c:pt idx="718">
                  <c:v>5.5561965793000613E-3</c:v>
                </c:pt>
                <c:pt idx="719">
                  <c:v>5.403985570693097E-3</c:v>
                </c:pt>
                <c:pt idx="720">
                  <c:v>5.6725763394322101E-3</c:v>
                </c:pt>
                <c:pt idx="721">
                  <c:v>5.6532040829196661E-3</c:v>
                </c:pt>
                <c:pt idx="722">
                  <c:v>5.5288850531312371E-3</c:v>
                </c:pt>
                <c:pt idx="723">
                  <c:v>5.2324801759357767E-3</c:v>
                </c:pt>
                <c:pt idx="724">
                  <c:v>5.3357324990505814E-3</c:v>
                </c:pt>
                <c:pt idx="725">
                  <c:v>5.2986010082987931E-3</c:v>
                </c:pt>
                <c:pt idx="726">
                  <c:v>5.2077941285217774E-3</c:v>
                </c:pt>
                <c:pt idx="727">
                  <c:v>5.309775638046731E-3</c:v>
                </c:pt>
                <c:pt idx="728">
                  <c:v>5.3723905598223199E-3</c:v>
                </c:pt>
                <c:pt idx="729">
                  <c:v>5.0144954643224536E-3</c:v>
                </c:pt>
                <c:pt idx="730">
                  <c:v>5.1023202666842949E-3</c:v>
                </c:pt>
                <c:pt idx="731">
                  <c:v>5.3972447631628609E-3</c:v>
                </c:pt>
                <c:pt idx="732">
                  <c:v>5.120754049195749E-3</c:v>
                </c:pt>
                <c:pt idx="733">
                  <c:v>5.149815271492191E-3</c:v>
                </c:pt>
                <c:pt idx="734">
                  <c:v>5.1150641747354196E-3</c:v>
                </c:pt>
                <c:pt idx="735">
                  <c:v>5.3714991687938878E-3</c:v>
                </c:pt>
                <c:pt idx="736">
                  <c:v>5.2523275594007794E-3</c:v>
                </c:pt>
                <c:pt idx="737">
                  <c:v>5.3377126185801572E-3</c:v>
                </c:pt>
                <c:pt idx="738">
                  <c:v>5.5236358948861017E-3</c:v>
                </c:pt>
                <c:pt idx="739">
                  <c:v>5.361556210157682E-3</c:v>
                </c:pt>
                <c:pt idx="740">
                  <c:v>5.2248605864364094E-3</c:v>
                </c:pt>
                <c:pt idx="741">
                  <c:v>5.3090550431318991E-3</c:v>
                </c:pt>
                <c:pt idx="742">
                  <c:v>5.5053485798598305E-3</c:v>
                </c:pt>
                <c:pt idx="743">
                  <c:v>5.3462112728630082E-3</c:v>
                </c:pt>
                <c:pt idx="744">
                  <c:v>5.5865453563413202E-3</c:v>
                </c:pt>
                <c:pt idx="745">
                  <c:v>5.2467236676554596E-3</c:v>
                </c:pt>
                <c:pt idx="746">
                  <c:v>5.2146820082538464E-3</c:v>
                </c:pt>
                <c:pt idx="747">
                  <c:v>5.2816740530908755E-3</c:v>
                </c:pt>
                <c:pt idx="748">
                  <c:v>5.2925674023492335E-3</c:v>
                </c:pt>
                <c:pt idx="749">
                  <c:v>5.1275820170109355E-3</c:v>
                </c:pt>
                <c:pt idx="750">
                  <c:v>4.7506217499434771E-3</c:v>
                </c:pt>
                <c:pt idx="751">
                  <c:v>4.8562247972400987E-3</c:v>
                </c:pt>
                <c:pt idx="752">
                  <c:v>4.8374919269009303E-3</c:v>
                </c:pt>
                <c:pt idx="753">
                  <c:v>5.0392185881308277E-3</c:v>
                </c:pt>
                <c:pt idx="754">
                  <c:v>4.9452937857810087E-3</c:v>
                </c:pt>
                <c:pt idx="755">
                  <c:v>5.0899444582607973E-3</c:v>
                </c:pt>
                <c:pt idx="756">
                  <c:v>4.8621210042529839E-3</c:v>
                </c:pt>
                <c:pt idx="757">
                  <c:v>5.000870912441213E-3</c:v>
                </c:pt>
                <c:pt idx="758">
                  <c:v>4.5905478416403906E-3</c:v>
                </c:pt>
                <c:pt idx="759">
                  <c:v>4.8846125488461256E-3</c:v>
                </c:pt>
                <c:pt idx="760">
                  <c:v>4.6653814376204899E-3</c:v>
                </c:pt>
                <c:pt idx="761">
                  <c:v>4.6652729384436698E-3</c:v>
                </c:pt>
                <c:pt idx="762">
                  <c:v>4.7609445068610224E-3</c:v>
                </c:pt>
                <c:pt idx="763">
                  <c:v>5.1237520403902368E-3</c:v>
                </c:pt>
                <c:pt idx="764">
                  <c:v>4.6571621301343636E-3</c:v>
                </c:pt>
                <c:pt idx="765">
                  <c:v>4.8737226663842859E-3</c:v>
                </c:pt>
                <c:pt idx="766">
                  <c:v>4.5202197288452548E-3</c:v>
                </c:pt>
                <c:pt idx="767">
                  <c:v>4.4492096049060436E-3</c:v>
                </c:pt>
                <c:pt idx="768">
                  <c:v>4.5331806791670268E-3</c:v>
                </c:pt>
                <c:pt idx="769">
                  <c:v>4.3807566870154233E-3</c:v>
                </c:pt>
                <c:pt idx="770">
                  <c:v>4.2126740278444555E-3</c:v>
                </c:pt>
                <c:pt idx="771">
                  <c:v>4.3636254429695476E-3</c:v>
                </c:pt>
                <c:pt idx="772">
                  <c:v>4.4405289329007445E-3</c:v>
                </c:pt>
                <c:pt idx="773">
                  <c:v>4.5400656910189879E-3</c:v>
                </c:pt>
                <c:pt idx="774">
                  <c:v>4.3985115773077354E-3</c:v>
                </c:pt>
                <c:pt idx="775">
                  <c:v>5.0418467960048558E-3</c:v>
                </c:pt>
                <c:pt idx="776">
                  <c:v>5.0093766261818965E-3</c:v>
                </c:pt>
                <c:pt idx="777">
                  <c:v>5.3107247374763302E-3</c:v>
                </c:pt>
                <c:pt idx="778">
                  <c:v>5.1370489907991718E-3</c:v>
                </c:pt>
                <c:pt idx="779">
                  <c:v>5.3511672671635157E-3</c:v>
                </c:pt>
                <c:pt idx="780">
                  <c:v>5.394455228709372E-3</c:v>
                </c:pt>
                <c:pt idx="781">
                  <c:v>5.3850863721681876E-3</c:v>
                </c:pt>
                <c:pt idx="782">
                  <c:v>5.2786926903642603E-3</c:v>
                </c:pt>
                <c:pt idx="783">
                  <c:v>5.079461266297867E-3</c:v>
                </c:pt>
                <c:pt idx="784">
                  <c:v>5.522780723083669E-3</c:v>
                </c:pt>
                <c:pt idx="785">
                  <c:v>4.8579621563160456E-3</c:v>
                </c:pt>
                <c:pt idx="786">
                  <c:v>5.3013768763640777E-3</c:v>
                </c:pt>
                <c:pt idx="787">
                  <c:v>5.0090428561436464E-3</c:v>
                </c:pt>
                <c:pt idx="788">
                  <c:v>4.7964466349354612E-3</c:v>
                </c:pt>
                <c:pt idx="789">
                  <c:v>5.2023235401441855E-3</c:v>
                </c:pt>
                <c:pt idx="790">
                  <c:v>4.6441609668079389E-3</c:v>
                </c:pt>
                <c:pt idx="791">
                  <c:v>4.6892229755549006E-3</c:v>
                </c:pt>
                <c:pt idx="792">
                  <c:v>4.891267298384348E-3</c:v>
                </c:pt>
                <c:pt idx="793">
                  <c:v>4.723185208530308E-3</c:v>
                </c:pt>
                <c:pt idx="794">
                  <c:v>4.7324238168940458E-3</c:v>
                </c:pt>
                <c:pt idx="795">
                  <c:v>4.9837659104037604E-3</c:v>
                </c:pt>
                <c:pt idx="796">
                  <c:v>5.264144798523592E-3</c:v>
                </c:pt>
                <c:pt idx="797">
                  <c:v>4.7659177886617355E-3</c:v>
                </c:pt>
                <c:pt idx="798">
                  <c:v>5.1394000504159315E-3</c:v>
                </c:pt>
                <c:pt idx="799">
                  <c:v>4.9695578719199263E-3</c:v>
                </c:pt>
                <c:pt idx="800">
                  <c:v>5.1171784516531879E-3</c:v>
                </c:pt>
                <c:pt idx="801">
                  <c:v>5.2227055327021864E-3</c:v>
                </c:pt>
                <c:pt idx="802">
                  <c:v>5.2097740894421389E-3</c:v>
                </c:pt>
                <c:pt idx="803">
                  <c:v>5.61703403808667E-3</c:v>
                </c:pt>
                <c:pt idx="804">
                  <c:v>5.4362704447130997E-3</c:v>
                </c:pt>
                <c:pt idx="805">
                  <c:v>5.4632062751582078E-3</c:v>
                </c:pt>
                <c:pt idx="806">
                  <c:v>5.5067313078245419E-3</c:v>
                </c:pt>
                <c:pt idx="807">
                  <c:v>5.3152454037689572E-3</c:v>
                </c:pt>
                <c:pt idx="808">
                  <c:v>5.3719983758415881E-3</c:v>
                </c:pt>
                <c:pt idx="809">
                  <c:v>4.9777565175795268E-3</c:v>
                </c:pt>
                <c:pt idx="810">
                  <c:v>4.7934732115205948E-3</c:v>
                </c:pt>
                <c:pt idx="811">
                  <c:v>5.3171207161344484E-3</c:v>
                </c:pt>
                <c:pt idx="812">
                  <c:v>5.4388144708560444E-3</c:v>
                </c:pt>
                <c:pt idx="813">
                  <c:v>5.2541458938386298E-3</c:v>
                </c:pt>
                <c:pt idx="814">
                  <c:v>5.357108982263113E-3</c:v>
                </c:pt>
                <c:pt idx="815">
                  <c:v>5.2622735037947737E-3</c:v>
                </c:pt>
                <c:pt idx="816">
                  <c:v>5.2334719465426029E-3</c:v>
                </c:pt>
                <c:pt idx="817">
                  <c:v>5.1755645477091763E-3</c:v>
                </c:pt>
                <c:pt idx="818">
                  <c:v>5.0218383958705575E-3</c:v>
                </c:pt>
                <c:pt idx="819">
                  <c:v>4.8524864528375058E-3</c:v>
                </c:pt>
                <c:pt idx="820">
                  <c:v>5.1278723871508716E-3</c:v>
                </c:pt>
                <c:pt idx="821">
                  <c:v>5.1079394821296866E-3</c:v>
                </c:pt>
                <c:pt idx="822">
                  <c:v>4.6025655303682253E-3</c:v>
                </c:pt>
                <c:pt idx="823">
                  <c:v>5.0740202581759219E-3</c:v>
                </c:pt>
                <c:pt idx="824">
                  <c:v>5.2864158797535192E-3</c:v>
                </c:pt>
                <c:pt idx="825">
                  <c:v>5.0252454975549636E-3</c:v>
                </c:pt>
                <c:pt idx="826">
                  <c:v>5.2753715966151202E-3</c:v>
                </c:pt>
                <c:pt idx="827">
                  <c:v>4.9309779216443368E-3</c:v>
                </c:pt>
                <c:pt idx="828">
                  <c:v>4.6693184812456792E-3</c:v>
                </c:pt>
                <c:pt idx="829">
                  <c:v>4.430287427597642E-3</c:v>
                </c:pt>
                <c:pt idx="830">
                  <c:v>4.2110710620881751E-3</c:v>
                </c:pt>
                <c:pt idx="831">
                  <c:v>4.0093036069611294E-3</c:v>
                </c:pt>
                <c:pt idx="832">
                  <c:v>3.8229814864247842E-3</c:v>
                </c:pt>
                <c:pt idx="833">
                  <c:v>3.6503965644427375E-3</c:v>
                </c:pt>
                <c:pt idx="834">
                  <c:v>3.4900836268085523E-3</c:v>
                </c:pt>
                <c:pt idx="835">
                  <c:v>3.4009991778916082E-3</c:v>
                </c:pt>
                <c:pt idx="836">
                  <c:v>3.2779726860704982E-3</c:v>
                </c:pt>
                <c:pt idx="837">
                  <c:v>5.4030053281714594E-3</c:v>
                </c:pt>
                <c:pt idx="838">
                  <c:v>5.0564841793181003E-3</c:v>
                </c:pt>
                <c:pt idx="839">
                  <c:v>5.0655867775407796E-3</c:v>
                </c:pt>
                <c:pt idx="840">
                  <c:v>5.1836546370037512E-3</c:v>
                </c:pt>
                <c:pt idx="841">
                  <c:v>5.3717346308158644E-3</c:v>
                </c:pt>
                <c:pt idx="842">
                  <c:v>5.5685384908722903E-3</c:v>
                </c:pt>
                <c:pt idx="843">
                  <c:v>5.2683107047196819E-3</c:v>
                </c:pt>
                <c:pt idx="844">
                  <c:v>5.7490013624104472E-3</c:v>
                </c:pt>
                <c:pt idx="845">
                  <c:v>5.36208655107096E-3</c:v>
                </c:pt>
                <c:pt idx="846">
                  <c:v>5.3689953321647329E-3</c:v>
                </c:pt>
                <c:pt idx="847">
                  <c:v>5.2021283559478947E-3</c:v>
                </c:pt>
                <c:pt idx="848">
                  <c:v>5.1234284751411211E-3</c:v>
                </c:pt>
                <c:pt idx="849">
                  <c:v>5.8445433644768383E-3</c:v>
                </c:pt>
                <c:pt idx="850">
                  <c:v>5.342954948863156E-3</c:v>
                </c:pt>
                <c:pt idx="851">
                  <c:v>5.2842981494327463E-3</c:v>
                </c:pt>
                <c:pt idx="852">
                  <c:v>5.4128309426960683E-3</c:v>
                </c:pt>
                <c:pt idx="853">
                  <c:v>5.3173327977505524E-3</c:v>
                </c:pt>
                <c:pt idx="854">
                  <c:v>4.4768033835469803E-3</c:v>
                </c:pt>
                <c:pt idx="855">
                  <c:v>3.5663784195355415E-3</c:v>
                </c:pt>
                <c:pt idx="856">
                  <c:v>4.9553434358336357E-3</c:v>
                </c:pt>
                <c:pt idx="857">
                  <c:v>3.1924220069707273E-3</c:v>
                </c:pt>
                <c:pt idx="858">
                  <c:v>5.2864183018356088E-3</c:v>
                </c:pt>
                <c:pt idx="859">
                  <c:v>5.0792711492467389E-3</c:v>
                </c:pt>
                <c:pt idx="860">
                  <c:v>5.3454880343819658E-3</c:v>
                </c:pt>
                <c:pt idx="861">
                  <c:v>5.2996779345919195E-3</c:v>
                </c:pt>
                <c:pt idx="862">
                  <c:v>5.1330028625287995E-3</c:v>
                </c:pt>
                <c:pt idx="863">
                  <c:v>4.1260731450974836E-3</c:v>
                </c:pt>
                <c:pt idx="864">
                  <c:v>4.2500547405298879E-3</c:v>
                </c:pt>
                <c:pt idx="865">
                  <c:v>4.749842397845149E-3</c:v>
                </c:pt>
                <c:pt idx="866">
                  <c:v>4.9235721868971108E-3</c:v>
                </c:pt>
                <c:pt idx="867">
                  <c:v>7.0526600742050029E-3</c:v>
                </c:pt>
                <c:pt idx="868">
                  <c:v>4.5425783461551274E-3</c:v>
                </c:pt>
                <c:pt idx="869">
                  <c:v>4.2944454658999411E-3</c:v>
                </c:pt>
                <c:pt idx="870">
                  <c:v>4.0691027649574461E-3</c:v>
                </c:pt>
                <c:pt idx="871">
                  <c:v>3.8635482994141494E-3</c:v>
                </c:pt>
                <c:pt idx="872">
                  <c:v>3.6752851753156456E-3</c:v>
                </c:pt>
                <c:pt idx="873">
                  <c:v>3.502219623062814E-3</c:v>
                </c:pt>
                <c:pt idx="874">
                  <c:v>4.7221995784374237E-3</c:v>
                </c:pt>
                <c:pt idx="875">
                  <c:v>4.6494472402433358E-3</c:v>
                </c:pt>
                <c:pt idx="876">
                  <c:v>4.9591941426106421E-3</c:v>
                </c:pt>
                <c:pt idx="877">
                  <c:v>5.1578087572617722E-3</c:v>
                </c:pt>
                <c:pt idx="878">
                  <c:v>5.1839449583253282E-3</c:v>
                </c:pt>
                <c:pt idx="879">
                  <c:v>5.1176073429316984E-3</c:v>
                </c:pt>
                <c:pt idx="880">
                  <c:v>5.0473448911021223E-3</c:v>
                </c:pt>
                <c:pt idx="881">
                  <c:v>4.9004705030763667E-3</c:v>
                </c:pt>
                <c:pt idx="882">
                  <c:v>4.984346314510479E-3</c:v>
                </c:pt>
                <c:pt idx="883">
                  <c:v>5.1783446232006774E-3</c:v>
                </c:pt>
                <c:pt idx="884">
                  <c:v>4.972103905453237E-3</c:v>
                </c:pt>
                <c:pt idx="885">
                  <c:v>5.2377057068617077E-3</c:v>
                </c:pt>
                <c:pt idx="886">
                  <c:v>5.5046978084934452E-3</c:v>
                </c:pt>
                <c:pt idx="887">
                  <c:v>5.2454208450601596E-3</c:v>
                </c:pt>
                <c:pt idx="888">
                  <c:v>5.291568535091851E-3</c:v>
                </c:pt>
                <c:pt idx="889">
                  <c:v>5.4685911770685101E-3</c:v>
                </c:pt>
                <c:pt idx="890">
                  <c:v>5.3446403401344825E-3</c:v>
                </c:pt>
                <c:pt idx="891">
                  <c:v>5.2023833523732726E-3</c:v>
                </c:pt>
                <c:pt idx="892">
                  <c:v>5.2055296460045853E-3</c:v>
                </c:pt>
                <c:pt idx="893">
                  <c:v>5.2084469160033437E-3</c:v>
                </c:pt>
                <c:pt idx="894">
                  <c:v>5.2111592906831398E-3</c:v>
                </c:pt>
                <c:pt idx="895">
                  <c:v>5.2136876240259427E-3</c:v>
                </c:pt>
                <c:pt idx="896">
                  <c:v>5.268987017248805E-3</c:v>
                </c:pt>
                <c:pt idx="897">
                  <c:v>4.92441951067477E-3</c:v>
                </c:pt>
                <c:pt idx="898">
                  <c:v>5.0418335609599338E-3</c:v>
                </c:pt>
                <c:pt idx="899">
                  <c:v>4.904722452361226E-3</c:v>
                </c:pt>
                <c:pt idx="900">
                  <c:v>5.2419532871208442E-3</c:v>
                </c:pt>
                <c:pt idx="901">
                  <c:v>4.9272428714537998E-3</c:v>
                </c:pt>
                <c:pt idx="902">
                  <c:v>5.0196645631693133E-3</c:v>
                </c:pt>
                <c:pt idx="903">
                  <c:v>4.9475277198049476E-3</c:v>
                </c:pt>
                <c:pt idx="904">
                  <c:v>4.8951760635049871E-3</c:v>
                </c:pt>
                <c:pt idx="905">
                  <c:v>5.1938070727193669E-3</c:v>
                </c:pt>
                <c:pt idx="906">
                  <c:v>5.2802237331414847E-3</c:v>
                </c:pt>
                <c:pt idx="907">
                  <c:v>4.9287651588365497E-3</c:v>
                </c:pt>
                <c:pt idx="908">
                  <c:v>5.0161171141263027E-3</c:v>
                </c:pt>
                <c:pt idx="909">
                  <c:v>5.7553740240451198E-3</c:v>
                </c:pt>
                <c:pt idx="910">
                  <c:v>5.5673526118682672E-3</c:v>
                </c:pt>
                <c:pt idx="911">
                  <c:v>4.9239619219335245E-3</c:v>
                </c:pt>
                <c:pt idx="912">
                  <c:v>4.6927095211720367E-3</c:v>
                </c:pt>
                <c:pt idx="913">
                  <c:v>4.8059803697785893E-3</c:v>
                </c:pt>
                <c:pt idx="914">
                  <c:v>4.6594666078906763E-3</c:v>
                </c:pt>
                <c:pt idx="915">
                  <c:v>4.8013673214667221E-3</c:v>
                </c:pt>
                <c:pt idx="916">
                  <c:v>4.8419898087425448E-3</c:v>
                </c:pt>
                <c:pt idx="917">
                  <c:v>4.6589092697539762E-3</c:v>
                </c:pt>
                <c:pt idx="918">
                  <c:v>5.1311875097859398E-3</c:v>
                </c:pt>
                <c:pt idx="919">
                  <c:v>4.9581021026332663E-3</c:v>
                </c:pt>
                <c:pt idx="920">
                  <c:v>4.9904418978648519E-3</c:v>
                </c:pt>
                <c:pt idx="921">
                  <c:v>5.0021077740877449E-3</c:v>
                </c:pt>
                <c:pt idx="922">
                  <c:v>4.9352148955777364E-3</c:v>
                </c:pt>
                <c:pt idx="923">
                  <c:v>5.2001184587204263E-3</c:v>
                </c:pt>
                <c:pt idx="924">
                  <c:v>4.8324667517428309E-3</c:v>
                </c:pt>
                <c:pt idx="925">
                  <c:v>4.7510254945739658E-3</c:v>
                </c:pt>
                <c:pt idx="926">
                  <c:v>4.8817720843341338E-3</c:v>
                </c:pt>
                <c:pt idx="927">
                  <c:v>5.1660992191779349E-3</c:v>
                </c:pt>
                <c:pt idx="928">
                  <c:v>5.5142875544773396E-3</c:v>
                </c:pt>
                <c:pt idx="929">
                  <c:v>5.0862861779821479E-3</c:v>
                </c:pt>
                <c:pt idx="930">
                  <c:v>4.7460047229392057E-3</c:v>
                </c:pt>
                <c:pt idx="931">
                  <c:v>5.0231674246791792E-3</c:v>
                </c:pt>
                <c:pt idx="932">
                  <c:v>4.6407168475209402E-3</c:v>
                </c:pt>
                <c:pt idx="933">
                  <c:v>5.1951659952771219E-3</c:v>
                </c:pt>
                <c:pt idx="934">
                  <c:v>4.7550240313175719E-3</c:v>
                </c:pt>
                <c:pt idx="935">
                  <c:v>4.9026631365830867E-3</c:v>
                </c:pt>
                <c:pt idx="936">
                  <c:v>4.6443827424177703E-3</c:v>
                </c:pt>
                <c:pt idx="937">
                  <c:v>4.4950177600352054E-3</c:v>
                </c:pt>
                <c:pt idx="938">
                  <c:v>4.5652689180415715E-3</c:v>
                </c:pt>
                <c:pt idx="939">
                  <c:v>4.5574294656729186E-3</c:v>
                </c:pt>
                <c:pt idx="940">
                  <c:v>4.5196037320473842E-3</c:v>
                </c:pt>
                <c:pt idx="941">
                  <c:v>4.6050254557398586E-3</c:v>
                </c:pt>
                <c:pt idx="942">
                  <c:v>4.7183336144375103E-3</c:v>
                </c:pt>
                <c:pt idx="943">
                  <c:v>4.6847921902108272E-3</c:v>
                </c:pt>
                <c:pt idx="944">
                  <c:v>4.5409775986073571E-3</c:v>
                </c:pt>
                <c:pt idx="945">
                  <c:v>5.1959507276997715E-3</c:v>
                </c:pt>
                <c:pt idx="946">
                  <c:v>4.6511120802442216E-3</c:v>
                </c:pt>
                <c:pt idx="947">
                  <c:v>4.6656369253134655E-3</c:v>
                </c:pt>
                <c:pt idx="948">
                  <c:v>4.4283960899487137E-3</c:v>
                </c:pt>
                <c:pt idx="949">
                  <c:v>4.8312567043485438E-3</c:v>
                </c:pt>
                <c:pt idx="950">
                  <c:v>4.8170692500589408E-3</c:v>
                </c:pt>
                <c:pt idx="951">
                  <c:v>4.7229103339355063E-3</c:v>
                </c:pt>
                <c:pt idx="952">
                  <c:v>4.7180406470702574E-3</c:v>
                </c:pt>
                <c:pt idx="953">
                  <c:v>4.7010114773858814E-3</c:v>
                </c:pt>
                <c:pt idx="954">
                  <c:v>4.8301968846366731E-3</c:v>
                </c:pt>
                <c:pt idx="955">
                  <c:v>5.1383721522858163E-3</c:v>
                </c:pt>
                <c:pt idx="956">
                  <c:v>5.0117437948327299E-3</c:v>
                </c:pt>
                <c:pt idx="957">
                  <c:v>5.0846897645426313E-3</c:v>
                </c:pt>
                <c:pt idx="958">
                  <c:v>5.1705310475705819E-3</c:v>
                </c:pt>
                <c:pt idx="959">
                  <c:v>5.3384649755265348E-3</c:v>
                </c:pt>
                <c:pt idx="960">
                  <c:v>4.7036107735131533E-3</c:v>
                </c:pt>
                <c:pt idx="961">
                  <c:v>5.0239634692411401E-3</c:v>
                </c:pt>
                <c:pt idx="962">
                  <c:v>5.3280000000000003E-3</c:v>
                </c:pt>
                <c:pt idx="963">
                  <c:v>5.3844186403396591E-3</c:v>
                </c:pt>
                <c:pt idx="964">
                  <c:v>5.2747519249813062E-3</c:v>
                </c:pt>
                <c:pt idx="965">
                  <c:v>5.2076102047900032E-3</c:v>
                </c:pt>
                <c:pt idx="966">
                  <c:v>5.3606729758149318E-3</c:v>
                </c:pt>
                <c:pt idx="967">
                  <c:v>5.4925743756267607E-3</c:v>
                </c:pt>
                <c:pt idx="968">
                  <c:v>5.5010616613239693E-3</c:v>
                </c:pt>
                <c:pt idx="969">
                  <c:v>5.5098453103932434E-3</c:v>
                </c:pt>
                <c:pt idx="970">
                  <c:v>5.5189411355116577E-3</c:v>
                </c:pt>
                <c:pt idx="971">
                  <c:v>5.5283660708377791E-3</c:v>
                </c:pt>
                <c:pt idx="972">
                  <c:v>5.5381383087880712E-3</c:v>
                </c:pt>
                <c:pt idx="973">
                  <c:v>5.5482774060607405E-3</c:v>
                </c:pt>
                <c:pt idx="974">
                  <c:v>5.5588044184535414E-3</c:v>
                </c:pt>
                <c:pt idx="975">
                  <c:v>5.6301925025329285E-3</c:v>
                </c:pt>
                <c:pt idx="976">
                  <c:v>4.9861208932344536E-3</c:v>
                </c:pt>
                <c:pt idx="977">
                  <c:v>5.6477930754101242E-3</c:v>
                </c:pt>
                <c:pt idx="978">
                  <c:v>5.5043963535107284E-3</c:v>
                </c:pt>
                <c:pt idx="979">
                  <c:v>5.3921351303422588E-3</c:v>
                </c:pt>
                <c:pt idx="980">
                  <c:v>5.1900154411846384E-3</c:v>
                </c:pt>
                <c:pt idx="981">
                  <c:v>5.0890198039173062E-3</c:v>
                </c:pt>
                <c:pt idx="982">
                  <c:v>5.4715119625092495E-3</c:v>
                </c:pt>
                <c:pt idx="983">
                  <c:v>5.3061553823034024E-3</c:v>
                </c:pt>
                <c:pt idx="984">
                  <c:v>5.5348889640401307E-3</c:v>
                </c:pt>
                <c:pt idx="985">
                  <c:v>5.3331511590836633E-3</c:v>
                </c:pt>
                <c:pt idx="986">
                  <c:v>5.0629842407631902E-3</c:v>
                </c:pt>
                <c:pt idx="987">
                  <c:v>5.2450421244321704E-3</c:v>
                </c:pt>
                <c:pt idx="988">
                  <c:v>5.1541036015785007E-3</c:v>
                </c:pt>
                <c:pt idx="989">
                  <c:v>4.9770119619171613E-3</c:v>
                </c:pt>
                <c:pt idx="990">
                  <c:v>5.0034703158505379E-3</c:v>
                </c:pt>
                <c:pt idx="991">
                  <c:v>4.8941079944618228E-3</c:v>
                </c:pt>
                <c:pt idx="992">
                  <c:v>4.5435935228970914E-3</c:v>
                </c:pt>
                <c:pt idx="993">
                  <c:v>4.7333467498490642E-3</c:v>
                </c:pt>
                <c:pt idx="994">
                  <c:v>5.0294182242720583E-3</c:v>
                </c:pt>
                <c:pt idx="995">
                  <c:v>5.1499676328849884E-3</c:v>
                </c:pt>
                <c:pt idx="996">
                  <c:v>5.3273026841713488E-3</c:v>
                </c:pt>
                <c:pt idx="997">
                  <c:v>5.1331640646102321E-3</c:v>
                </c:pt>
                <c:pt idx="998">
                  <c:v>5.1851133940686179E-3</c:v>
                </c:pt>
                <c:pt idx="999">
                  <c:v>5.0592697019637431E-3</c:v>
                </c:pt>
                <c:pt idx="1000">
                  <c:v>4.7707924657664691E-3</c:v>
                </c:pt>
                <c:pt idx="1001">
                  <c:v>4.5852536927356528E-3</c:v>
                </c:pt>
                <c:pt idx="1002">
                  <c:v>4.5964269807492455E-3</c:v>
                </c:pt>
                <c:pt idx="1003">
                  <c:v>5.0236157382026738E-3</c:v>
                </c:pt>
                <c:pt idx="1004">
                  <c:v>5.1937413713759777E-3</c:v>
                </c:pt>
                <c:pt idx="1005">
                  <c:v>5.3771799069052863E-3</c:v>
                </c:pt>
                <c:pt idx="1006">
                  <c:v>5.2257849772550762E-3</c:v>
                </c:pt>
                <c:pt idx="1007">
                  <c:v>5.1547838452255098E-3</c:v>
                </c:pt>
                <c:pt idx="1008">
                  <c:v>5.3331104238067374E-3</c:v>
                </c:pt>
                <c:pt idx="1009">
                  <c:v>5.2422446193833095E-3</c:v>
                </c:pt>
                <c:pt idx="1010">
                  <c:v>5.0322940383811165E-3</c:v>
                </c:pt>
                <c:pt idx="1011">
                  <c:v>5.2874566887441826E-3</c:v>
                </c:pt>
                <c:pt idx="1012">
                  <c:v>5.4001715218413701E-3</c:v>
                </c:pt>
                <c:pt idx="1013">
                  <c:v>5.4461518292740025E-3</c:v>
                </c:pt>
                <c:pt idx="1014">
                  <c:v>5.414301929625426E-3</c:v>
                </c:pt>
                <c:pt idx="1015">
                  <c:v>5.4722624753836433E-3</c:v>
                </c:pt>
                <c:pt idx="1016">
                  <c:v>5.5127445168938949E-3</c:v>
                </c:pt>
                <c:pt idx="1017">
                  <c:v>5.4802042721432105E-3</c:v>
                </c:pt>
                <c:pt idx="1018">
                  <c:v>5.2025985465756442E-3</c:v>
                </c:pt>
                <c:pt idx="1019">
                  <c:v>5.5819466437017897E-3</c:v>
                </c:pt>
                <c:pt idx="1020">
                  <c:v>5.1772681806394249E-3</c:v>
                </c:pt>
                <c:pt idx="1021">
                  <c:v>5.3749990380576517E-3</c:v>
                </c:pt>
                <c:pt idx="1022">
                  <c:v>5.2015761788814334E-3</c:v>
                </c:pt>
                <c:pt idx="1023">
                  <c:v>5.3041064349311573E-3</c:v>
                </c:pt>
                <c:pt idx="1024">
                  <c:v>5.3320579905849694E-3</c:v>
                </c:pt>
                <c:pt idx="1025">
                  <c:v>5.262225206823545E-3</c:v>
                </c:pt>
                <c:pt idx="1026">
                  <c:v>5.3273651189668144E-3</c:v>
                </c:pt>
                <c:pt idx="1027">
                  <c:v>5.4819514610285423E-3</c:v>
                </c:pt>
                <c:pt idx="1028">
                  <c:v>5.4209662615080801E-3</c:v>
                </c:pt>
                <c:pt idx="1029">
                  <c:v>5.4272239689291662E-3</c:v>
                </c:pt>
                <c:pt idx="1030">
                  <c:v>4.8675875417913076E-3</c:v>
                </c:pt>
                <c:pt idx="1031">
                  <c:v>5.0942929630613384E-3</c:v>
                </c:pt>
                <c:pt idx="1032">
                  <c:v>5.4850040529586599E-3</c:v>
                </c:pt>
                <c:pt idx="1033">
                  <c:v>5.2849082094889935E-3</c:v>
                </c:pt>
                <c:pt idx="1034">
                  <c:v>5.0664686748691842E-3</c:v>
                </c:pt>
                <c:pt idx="1035">
                  <c:v>5.1892183773567923E-3</c:v>
                </c:pt>
                <c:pt idx="1036">
                  <c:v>5.1303025722643572E-3</c:v>
                </c:pt>
                <c:pt idx="1037">
                  <c:v>5.0918248809513249E-3</c:v>
                </c:pt>
                <c:pt idx="1038">
                  <c:v>5.1713669761098155E-3</c:v>
                </c:pt>
                <c:pt idx="1039">
                  <c:v>4.994299551918267E-3</c:v>
                </c:pt>
                <c:pt idx="1040">
                  <c:v>5.1362589902378955E-3</c:v>
                </c:pt>
                <c:pt idx="1041">
                  <c:v>5.1262104670189651E-3</c:v>
                </c:pt>
                <c:pt idx="1042">
                  <c:v>4.901786980570132E-3</c:v>
                </c:pt>
                <c:pt idx="1043">
                  <c:v>5.0492295465583469E-3</c:v>
                </c:pt>
                <c:pt idx="1044">
                  <c:v>4.9570951133592264E-3</c:v>
                </c:pt>
                <c:pt idx="1045">
                  <c:v>5.4012956417846345E-3</c:v>
                </c:pt>
                <c:pt idx="1046">
                  <c:v>5.6983755713396712E-3</c:v>
                </c:pt>
                <c:pt idx="1047">
                  <c:v>5.9797703436554328E-3</c:v>
                </c:pt>
                <c:pt idx="1048">
                  <c:v>6.0006881276476786E-3</c:v>
                </c:pt>
                <c:pt idx="1049">
                  <c:v>6.0536423269463143E-3</c:v>
                </c:pt>
                <c:pt idx="1050">
                  <c:v>6.2016666309633473E-3</c:v>
                </c:pt>
                <c:pt idx="1051">
                  <c:v>6.3177079206239595E-3</c:v>
                </c:pt>
                <c:pt idx="1052">
                  <c:v>5.6931500465983225E-3</c:v>
                </c:pt>
                <c:pt idx="1053">
                  <c:v>5.7985228235863905E-3</c:v>
                </c:pt>
                <c:pt idx="1054">
                  <c:v>5.7236985011946996E-3</c:v>
                </c:pt>
                <c:pt idx="1055">
                  <c:v>5.8468328644873408E-3</c:v>
                </c:pt>
                <c:pt idx="1056">
                  <c:v>6.1552326785127088E-3</c:v>
                </c:pt>
                <c:pt idx="1057">
                  <c:v>5.8908256158078931E-3</c:v>
                </c:pt>
                <c:pt idx="1058">
                  <c:v>5.4115751309252048E-3</c:v>
                </c:pt>
                <c:pt idx="1059">
                  <c:v>6.1932489694733507E-3</c:v>
                </c:pt>
                <c:pt idx="1060">
                  <c:v>6.2748132269562018E-3</c:v>
                </c:pt>
                <c:pt idx="1061">
                  <c:v>6.0515684732803735E-3</c:v>
                </c:pt>
                <c:pt idx="1062">
                  <c:v>5.8367761211098879E-3</c:v>
                </c:pt>
                <c:pt idx="1063">
                  <c:v>6.0117238697411819E-3</c:v>
                </c:pt>
                <c:pt idx="1064">
                  <c:v>6.0116765777603184E-3</c:v>
                </c:pt>
                <c:pt idx="1065">
                  <c:v>6.0408570811744389E-3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72-284B-9F1E-41372F5BC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849088"/>
        <c:axId val="732139696"/>
      </c:scatterChart>
      <c:valAx>
        <c:axId val="670849088"/>
        <c:scaling>
          <c:orientation val="minMax"/>
          <c:max val="35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out"/>
        <c:tickLblPos val="nextTo"/>
        <c:spPr>
          <a:noFill/>
          <a:ln w="1270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732139696"/>
        <c:crosses val="autoZero"/>
        <c:crossBetween val="midCat"/>
      </c:valAx>
      <c:valAx>
        <c:axId val="732139696"/>
        <c:scaling>
          <c:orientation val="minMax"/>
          <c:max val="9.0000000000000028E-3"/>
          <c:min val="3.000000000000000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670849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693189773975076E-2"/>
          <c:y val="1.9844600520414302E-2"/>
          <c:w val="0.93263381309279036"/>
          <c:h val="0.88190895890563203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'XRF selectie'!$Y$2:$Y$1067</c:f>
              <c:numCache>
                <c:formatCode>General</c:formatCode>
                <c:ptCount val="1066"/>
                <c:pt idx="0">
                  <c:v>8.6873684200000003</c:v>
                </c:pt>
                <c:pt idx="1">
                  <c:v>8.7033157899999996</c:v>
                </c:pt>
                <c:pt idx="2">
                  <c:v>8.7192631600000006</c:v>
                </c:pt>
                <c:pt idx="3">
                  <c:v>8.7352105299999998</c:v>
                </c:pt>
                <c:pt idx="4">
                  <c:v>8.7511579000000008</c:v>
                </c:pt>
                <c:pt idx="5">
                  <c:v>8.7671052599999992</c:v>
                </c:pt>
                <c:pt idx="6">
                  <c:v>8.7830526300000002</c:v>
                </c:pt>
                <c:pt idx="7">
                  <c:v>8.7989999999999995</c:v>
                </c:pt>
                <c:pt idx="8">
                  <c:v>8.8149473700000005</c:v>
                </c:pt>
                <c:pt idx="9">
                  <c:v>8.8308947399999997</c:v>
                </c:pt>
                <c:pt idx="10">
                  <c:v>8.8468421100000008</c:v>
                </c:pt>
                <c:pt idx="11">
                  <c:v>8.8627894699999992</c:v>
                </c:pt>
                <c:pt idx="12">
                  <c:v>8.8787368400000002</c:v>
                </c:pt>
                <c:pt idx="13">
                  <c:v>8.8946842099999994</c:v>
                </c:pt>
                <c:pt idx="14">
                  <c:v>8.9106315800000004</c:v>
                </c:pt>
                <c:pt idx="15">
                  <c:v>8.9265789499999997</c:v>
                </c:pt>
                <c:pt idx="16">
                  <c:v>8.9425263200000007</c:v>
                </c:pt>
                <c:pt idx="17">
                  <c:v>8.9584736800000009</c:v>
                </c:pt>
                <c:pt idx="18">
                  <c:v>8.9744210500000001</c:v>
                </c:pt>
                <c:pt idx="19">
                  <c:v>8.9903684199999994</c:v>
                </c:pt>
                <c:pt idx="20">
                  <c:v>9.0063157900000004</c:v>
                </c:pt>
                <c:pt idx="21">
                  <c:v>9.0222631599999996</c:v>
                </c:pt>
                <c:pt idx="22">
                  <c:v>9.0382105300000006</c:v>
                </c:pt>
                <c:pt idx="23">
                  <c:v>9.0541578999999999</c:v>
                </c:pt>
                <c:pt idx="24">
                  <c:v>9.0701052600000001</c:v>
                </c:pt>
                <c:pt idx="25">
                  <c:v>9.0860526299999993</c:v>
                </c:pt>
                <c:pt idx="26">
                  <c:v>9.1020000000000003</c:v>
                </c:pt>
                <c:pt idx="27">
                  <c:v>9.1179473699999996</c:v>
                </c:pt>
                <c:pt idx="28">
                  <c:v>9.1338947400000006</c:v>
                </c:pt>
                <c:pt idx="29">
                  <c:v>9.1498421099999998</c:v>
                </c:pt>
                <c:pt idx="30">
                  <c:v>9.16578947</c:v>
                </c:pt>
                <c:pt idx="31">
                  <c:v>9.1817368399999992</c:v>
                </c:pt>
                <c:pt idx="32">
                  <c:v>9.1976842100000002</c:v>
                </c:pt>
                <c:pt idx="33">
                  <c:v>9.2136315799999995</c:v>
                </c:pt>
                <c:pt idx="34">
                  <c:v>9.2295789500000005</c:v>
                </c:pt>
                <c:pt idx="35">
                  <c:v>9.2455263199999997</c:v>
                </c:pt>
                <c:pt idx="36">
                  <c:v>9.2614736799999999</c:v>
                </c:pt>
                <c:pt idx="37">
                  <c:v>9.2774210499999992</c:v>
                </c:pt>
                <c:pt idx="38">
                  <c:v>9.2933684200000002</c:v>
                </c:pt>
                <c:pt idx="39">
                  <c:v>9.3093157899999994</c:v>
                </c:pt>
                <c:pt idx="40">
                  <c:v>9.3252631600000004</c:v>
                </c:pt>
                <c:pt idx="41">
                  <c:v>9.3412105299999997</c:v>
                </c:pt>
                <c:pt idx="42">
                  <c:v>9.3571579000000007</c:v>
                </c:pt>
                <c:pt idx="43">
                  <c:v>9.3731052600000009</c:v>
                </c:pt>
                <c:pt idx="44">
                  <c:v>9.3890526300000001</c:v>
                </c:pt>
                <c:pt idx="45">
                  <c:v>9.4049999999999994</c:v>
                </c:pt>
                <c:pt idx="46">
                  <c:v>9.4209473700000004</c:v>
                </c:pt>
                <c:pt idx="47">
                  <c:v>9.4368947399999996</c:v>
                </c:pt>
                <c:pt idx="48">
                  <c:v>9.4528421100000006</c:v>
                </c:pt>
                <c:pt idx="49">
                  <c:v>9.4687894700000008</c:v>
                </c:pt>
                <c:pt idx="50">
                  <c:v>9.4847368400000001</c:v>
                </c:pt>
                <c:pt idx="51">
                  <c:v>9.5006842099999993</c:v>
                </c:pt>
                <c:pt idx="52">
                  <c:v>9.5166315800000003</c:v>
                </c:pt>
                <c:pt idx="53">
                  <c:v>9.5325789499999996</c:v>
                </c:pt>
                <c:pt idx="54">
                  <c:v>9.5485263200000006</c:v>
                </c:pt>
                <c:pt idx="55">
                  <c:v>9.5644736800000008</c:v>
                </c:pt>
                <c:pt idx="56">
                  <c:v>9.58042105</c:v>
                </c:pt>
                <c:pt idx="57">
                  <c:v>9.5963684199999992</c:v>
                </c:pt>
                <c:pt idx="58">
                  <c:v>9.6123157900000002</c:v>
                </c:pt>
                <c:pt idx="59">
                  <c:v>9.6282631599999995</c:v>
                </c:pt>
                <c:pt idx="60">
                  <c:v>9.6442105300000005</c:v>
                </c:pt>
                <c:pt idx="61">
                  <c:v>9.6601578999999997</c:v>
                </c:pt>
                <c:pt idx="62">
                  <c:v>9.6761052599999999</c:v>
                </c:pt>
                <c:pt idx="63">
                  <c:v>9.6920526299999992</c:v>
                </c:pt>
                <c:pt idx="64">
                  <c:v>9.7080000000000002</c:v>
                </c:pt>
                <c:pt idx="65">
                  <c:v>9.7239473699999994</c:v>
                </c:pt>
                <c:pt idx="66">
                  <c:v>9.7398947400000004</c:v>
                </c:pt>
                <c:pt idx="67">
                  <c:v>9.7558421099999997</c:v>
                </c:pt>
                <c:pt idx="68">
                  <c:v>9.7717894699999999</c:v>
                </c:pt>
                <c:pt idx="69">
                  <c:v>9.7877368400000009</c:v>
                </c:pt>
                <c:pt idx="70">
                  <c:v>9.8036842100000001</c:v>
                </c:pt>
                <c:pt idx="71">
                  <c:v>9.8196315799999994</c:v>
                </c:pt>
                <c:pt idx="72">
                  <c:v>9.8355789500000004</c:v>
                </c:pt>
                <c:pt idx="73">
                  <c:v>9.8515263199999996</c:v>
                </c:pt>
                <c:pt idx="74">
                  <c:v>9.8674736799999998</c:v>
                </c:pt>
                <c:pt idx="75">
                  <c:v>9.8834210500000008</c:v>
                </c:pt>
                <c:pt idx="76">
                  <c:v>9.8993684200000001</c:v>
                </c:pt>
                <c:pt idx="77">
                  <c:v>9.9153157899999993</c:v>
                </c:pt>
                <c:pt idx="78">
                  <c:v>9.9312631600000003</c:v>
                </c:pt>
                <c:pt idx="79">
                  <c:v>9.9472105299999996</c:v>
                </c:pt>
                <c:pt idx="80">
                  <c:v>9.9631579000000006</c:v>
                </c:pt>
                <c:pt idx="81">
                  <c:v>9.9791052600000008</c:v>
                </c:pt>
                <c:pt idx="82">
                  <c:v>9.99505263</c:v>
                </c:pt>
                <c:pt idx="83">
                  <c:v>10.010999999999999</c:v>
                </c:pt>
                <c:pt idx="84">
                  <c:v>10.026947399999999</c:v>
                </c:pt>
                <c:pt idx="85">
                  <c:v>10.0428947</c:v>
                </c:pt>
                <c:pt idx="86">
                  <c:v>10.0588421</c:v>
                </c:pt>
                <c:pt idx="87">
                  <c:v>10.0747895</c:v>
                </c:pt>
                <c:pt idx="88">
                  <c:v>10.0907368</c:v>
                </c:pt>
                <c:pt idx="89">
                  <c:v>10.1066842</c:v>
                </c:pt>
                <c:pt idx="90">
                  <c:v>10.1226316</c:v>
                </c:pt>
                <c:pt idx="91">
                  <c:v>10.138579</c:v>
                </c:pt>
                <c:pt idx="92">
                  <c:v>10.154526300000001</c:v>
                </c:pt>
                <c:pt idx="93">
                  <c:v>10.170473700000001</c:v>
                </c:pt>
                <c:pt idx="94">
                  <c:v>10.1864211</c:v>
                </c:pt>
                <c:pt idx="95">
                  <c:v>10.202368399999999</c:v>
                </c:pt>
                <c:pt idx="96">
                  <c:v>10.218315799999999</c:v>
                </c:pt>
                <c:pt idx="97">
                  <c:v>10.234263199999999</c:v>
                </c:pt>
                <c:pt idx="98">
                  <c:v>10.2502105</c:v>
                </c:pt>
                <c:pt idx="99">
                  <c:v>10.2661579</c:v>
                </c:pt>
                <c:pt idx="100">
                  <c:v>10.2821053</c:v>
                </c:pt>
                <c:pt idx="101">
                  <c:v>10.2980526</c:v>
                </c:pt>
                <c:pt idx="102">
                  <c:v>10.314</c:v>
                </c:pt>
                <c:pt idx="103">
                  <c:v>10.3299474</c:v>
                </c:pt>
                <c:pt idx="104">
                  <c:v>10.345894700000001</c:v>
                </c:pt>
                <c:pt idx="105">
                  <c:v>10.3618421</c:v>
                </c:pt>
                <c:pt idx="106">
                  <c:v>10.3777895</c:v>
                </c:pt>
                <c:pt idx="107">
                  <c:v>10.393736799999999</c:v>
                </c:pt>
                <c:pt idx="108">
                  <c:v>10.409684199999999</c:v>
                </c:pt>
                <c:pt idx="109">
                  <c:v>10.425631600000001</c:v>
                </c:pt>
                <c:pt idx="110">
                  <c:v>10.441579000000001</c:v>
                </c:pt>
                <c:pt idx="111">
                  <c:v>10.4575263</c:v>
                </c:pt>
                <c:pt idx="112">
                  <c:v>10.4734737</c:v>
                </c:pt>
                <c:pt idx="113">
                  <c:v>10.489421099999999</c:v>
                </c:pt>
                <c:pt idx="114">
                  <c:v>10.5053684</c:v>
                </c:pt>
                <c:pt idx="115">
                  <c:v>10.5213158</c:v>
                </c:pt>
                <c:pt idx="116">
                  <c:v>10.5372632</c:v>
                </c:pt>
                <c:pt idx="117">
                  <c:v>10.5532105</c:v>
                </c:pt>
                <c:pt idx="118">
                  <c:v>10.5691579</c:v>
                </c:pt>
                <c:pt idx="119">
                  <c:v>10.5851053</c:v>
                </c:pt>
                <c:pt idx="120">
                  <c:v>10.601052599999999</c:v>
                </c:pt>
                <c:pt idx="121">
                  <c:v>10.617000000000001</c:v>
                </c:pt>
                <c:pt idx="122">
                  <c:v>10.632947400000001</c:v>
                </c:pt>
                <c:pt idx="123">
                  <c:v>10.6488947</c:v>
                </c:pt>
                <c:pt idx="124">
                  <c:v>10.6648421</c:v>
                </c:pt>
                <c:pt idx="125">
                  <c:v>10.680789499999999</c:v>
                </c:pt>
                <c:pt idx="126">
                  <c:v>10.6967368</c:v>
                </c:pt>
                <c:pt idx="127">
                  <c:v>10.7126842</c:v>
                </c:pt>
                <c:pt idx="128">
                  <c:v>10.7286316</c:v>
                </c:pt>
                <c:pt idx="129">
                  <c:v>10.744579</c:v>
                </c:pt>
                <c:pt idx="130">
                  <c:v>10.7605263</c:v>
                </c:pt>
                <c:pt idx="131">
                  <c:v>10.7764737</c:v>
                </c:pt>
                <c:pt idx="132">
                  <c:v>10.7924211</c:v>
                </c:pt>
                <c:pt idx="133">
                  <c:v>10.808368400000001</c:v>
                </c:pt>
                <c:pt idx="134">
                  <c:v>10.824315800000001</c:v>
                </c:pt>
                <c:pt idx="135">
                  <c:v>10.840263200000001</c:v>
                </c:pt>
                <c:pt idx="136">
                  <c:v>10.8562105</c:v>
                </c:pt>
                <c:pt idx="137">
                  <c:v>10.872157899999999</c:v>
                </c:pt>
                <c:pt idx="138">
                  <c:v>10.888105299999999</c:v>
                </c:pt>
                <c:pt idx="139">
                  <c:v>10.9040526</c:v>
                </c:pt>
                <c:pt idx="140">
                  <c:v>10.92</c:v>
                </c:pt>
                <c:pt idx="141">
                  <c:v>10.9359474</c:v>
                </c:pt>
                <c:pt idx="142">
                  <c:v>10.9518947</c:v>
                </c:pt>
                <c:pt idx="143">
                  <c:v>10.9678421</c:v>
                </c:pt>
                <c:pt idx="144">
                  <c:v>10.9837895</c:v>
                </c:pt>
                <c:pt idx="145">
                  <c:v>10.999736800000001</c:v>
                </c:pt>
                <c:pt idx="146">
                  <c:v>11.015684200000001</c:v>
                </c:pt>
                <c:pt idx="147">
                  <c:v>11.031631600000001</c:v>
                </c:pt>
                <c:pt idx="148">
                  <c:v>11.047579000000001</c:v>
                </c:pt>
                <c:pt idx="149">
                  <c:v>11.063526299999999</c:v>
                </c:pt>
                <c:pt idx="150">
                  <c:v>11.079473699999999</c:v>
                </c:pt>
                <c:pt idx="151">
                  <c:v>11.095421099999999</c:v>
                </c:pt>
                <c:pt idx="152">
                  <c:v>11.1113684</c:v>
                </c:pt>
                <c:pt idx="153">
                  <c:v>11.1273158</c:v>
                </c:pt>
                <c:pt idx="154">
                  <c:v>11.1432632</c:v>
                </c:pt>
                <c:pt idx="155">
                  <c:v>11.1592105</c:v>
                </c:pt>
                <c:pt idx="156">
                  <c:v>11.1751579</c:v>
                </c:pt>
                <c:pt idx="157">
                  <c:v>11.1911053</c:v>
                </c:pt>
                <c:pt idx="158">
                  <c:v>11.207052600000001</c:v>
                </c:pt>
                <c:pt idx="159">
                  <c:v>11.223000000000001</c:v>
                </c:pt>
                <c:pt idx="160">
                  <c:v>11.238947400000001</c:v>
                </c:pt>
                <c:pt idx="161">
                  <c:v>11.254894699999999</c:v>
                </c:pt>
                <c:pt idx="162">
                  <c:v>11.270842099999999</c:v>
                </c:pt>
                <c:pt idx="163">
                  <c:v>11.286789499999999</c:v>
                </c:pt>
                <c:pt idx="164">
                  <c:v>11.3027368</c:v>
                </c:pt>
                <c:pt idx="165">
                  <c:v>11.3186842</c:v>
                </c:pt>
                <c:pt idx="166">
                  <c:v>11.3346316</c:v>
                </c:pt>
                <c:pt idx="167">
                  <c:v>11.350579</c:v>
                </c:pt>
                <c:pt idx="168">
                  <c:v>11.3665263</c:v>
                </c:pt>
                <c:pt idx="169">
                  <c:v>11.3824737</c:v>
                </c:pt>
                <c:pt idx="170">
                  <c:v>11.3984211</c:v>
                </c:pt>
                <c:pt idx="171">
                  <c:v>11.414368400000001</c:v>
                </c:pt>
                <c:pt idx="172">
                  <c:v>11.430315800000001</c:v>
                </c:pt>
                <c:pt idx="173">
                  <c:v>11.446263200000001</c:v>
                </c:pt>
                <c:pt idx="174">
                  <c:v>11.462210499999999</c:v>
                </c:pt>
                <c:pt idx="175">
                  <c:v>11.478157899999999</c:v>
                </c:pt>
                <c:pt idx="176">
                  <c:v>11.494105299999999</c:v>
                </c:pt>
                <c:pt idx="177">
                  <c:v>11.5100526</c:v>
                </c:pt>
                <c:pt idx="178">
                  <c:v>11.526</c:v>
                </c:pt>
                <c:pt idx="179">
                  <c:v>11.5446214</c:v>
                </c:pt>
                <c:pt idx="180">
                  <c:v>11.5632427</c:v>
                </c:pt>
                <c:pt idx="181">
                  <c:v>11.581864100000001</c:v>
                </c:pt>
                <c:pt idx="182">
                  <c:v>11.6004854</c:v>
                </c:pt>
                <c:pt idx="183">
                  <c:v>11.619106800000001</c:v>
                </c:pt>
                <c:pt idx="184">
                  <c:v>11.6377282</c:v>
                </c:pt>
                <c:pt idx="185">
                  <c:v>11.656349499999999</c:v>
                </c:pt>
                <c:pt idx="186">
                  <c:v>11.6749709</c:v>
                </c:pt>
                <c:pt idx="187">
                  <c:v>11.693592199999999</c:v>
                </c:pt>
                <c:pt idx="188">
                  <c:v>11.7122136</c:v>
                </c:pt>
                <c:pt idx="189">
                  <c:v>11.730835000000001</c:v>
                </c:pt>
                <c:pt idx="190">
                  <c:v>11.7494563</c:v>
                </c:pt>
                <c:pt idx="191">
                  <c:v>11.768077699999999</c:v>
                </c:pt>
                <c:pt idx="192">
                  <c:v>11.786699</c:v>
                </c:pt>
                <c:pt idx="193">
                  <c:v>11.805320399999999</c:v>
                </c:pt>
                <c:pt idx="194">
                  <c:v>11.8239418</c:v>
                </c:pt>
                <c:pt idx="195">
                  <c:v>11.8425631</c:v>
                </c:pt>
                <c:pt idx="196">
                  <c:v>11.8611845</c:v>
                </c:pt>
                <c:pt idx="197">
                  <c:v>11.8798058</c:v>
                </c:pt>
                <c:pt idx="198">
                  <c:v>11.8984272</c:v>
                </c:pt>
                <c:pt idx="199">
                  <c:v>11.9170485</c:v>
                </c:pt>
                <c:pt idx="200">
                  <c:v>11.935669900000001</c:v>
                </c:pt>
                <c:pt idx="201">
                  <c:v>11.9542913</c:v>
                </c:pt>
                <c:pt idx="202">
                  <c:v>11.972912600000001</c:v>
                </c:pt>
                <c:pt idx="203">
                  <c:v>11.991534</c:v>
                </c:pt>
                <c:pt idx="204">
                  <c:v>12.010155299999999</c:v>
                </c:pt>
                <c:pt idx="205">
                  <c:v>12.0287767</c:v>
                </c:pt>
                <c:pt idx="206">
                  <c:v>12.047398100000001</c:v>
                </c:pt>
                <c:pt idx="207">
                  <c:v>12.0660194</c:v>
                </c:pt>
                <c:pt idx="208">
                  <c:v>12.084640800000001</c:v>
                </c:pt>
                <c:pt idx="209">
                  <c:v>12.1032621</c:v>
                </c:pt>
                <c:pt idx="210">
                  <c:v>12.121883499999999</c:v>
                </c:pt>
                <c:pt idx="211">
                  <c:v>12.1405049</c:v>
                </c:pt>
                <c:pt idx="212">
                  <c:v>12.159126199999999</c:v>
                </c:pt>
                <c:pt idx="213">
                  <c:v>12.1777476</c:v>
                </c:pt>
                <c:pt idx="214">
                  <c:v>12.1963689</c:v>
                </c:pt>
                <c:pt idx="215">
                  <c:v>12.2149903</c:v>
                </c:pt>
                <c:pt idx="216">
                  <c:v>12.233611700000001</c:v>
                </c:pt>
                <c:pt idx="217">
                  <c:v>12.252233</c:v>
                </c:pt>
                <c:pt idx="218">
                  <c:v>12.270854399999999</c:v>
                </c:pt>
                <c:pt idx="219">
                  <c:v>12.289475700000001</c:v>
                </c:pt>
                <c:pt idx="220">
                  <c:v>12.308097099999999</c:v>
                </c:pt>
                <c:pt idx="221">
                  <c:v>12.3267185</c:v>
                </c:pt>
                <c:pt idx="222">
                  <c:v>12.3453398</c:v>
                </c:pt>
                <c:pt idx="223">
                  <c:v>12.3639612</c:v>
                </c:pt>
                <c:pt idx="224">
                  <c:v>12.3825825</c:v>
                </c:pt>
                <c:pt idx="225">
                  <c:v>12.401203900000001</c:v>
                </c:pt>
                <c:pt idx="226">
                  <c:v>12.4198252</c:v>
                </c:pt>
                <c:pt idx="227">
                  <c:v>12.438446600000001</c:v>
                </c:pt>
                <c:pt idx="228">
                  <c:v>12.457068</c:v>
                </c:pt>
                <c:pt idx="229">
                  <c:v>12.475689300000001</c:v>
                </c:pt>
                <c:pt idx="230">
                  <c:v>12.486911900000001</c:v>
                </c:pt>
                <c:pt idx="231">
                  <c:v>12.4907358</c:v>
                </c:pt>
                <c:pt idx="232">
                  <c:v>12.494559600000001</c:v>
                </c:pt>
                <c:pt idx="233">
                  <c:v>12.4983834</c:v>
                </c:pt>
                <c:pt idx="234">
                  <c:v>12.5022073</c:v>
                </c:pt>
                <c:pt idx="235">
                  <c:v>12.5060311</c:v>
                </c:pt>
                <c:pt idx="236">
                  <c:v>12.509854900000001</c:v>
                </c:pt>
                <c:pt idx="237">
                  <c:v>12.513678799999999</c:v>
                </c:pt>
                <c:pt idx="238">
                  <c:v>12.5175026</c:v>
                </c:pt>
                <c:pt idx="239">
                  <c:v>12.5213264</c:v>
                </c:pt>
                <c:pt idx="240">
                  <c:v>12.5251503</c:v>
                </c:pt>
                <c:pt idx="241">
                  <c:v>12.528974099999999</c:v>
                </c:pt>
                <c:pt idx="242">
                  <c:v>12.5327979</c:v>
                </c:pt>
                <c:pt idx="243">
                  <c:v>12.536621800000001</c:v>
                </c:pt>
                <c:pt idx="244">
                  <c:v>12.5404456</c:v>
                </c:pt>
                <c:pt idx="245">
                  <c:v>12.544269399999999</c:v>
                </c:pt>
                <c:pt idx="246">
                  <c:v>12.5480933</c:v>
                </c:pt>
                <c:pt idx="247">
                  <c:v>12.551917100000001</c:v>
                </c:pt>
                <c:pt idx="248">
                  <c:v>12.5557409</c:v>
                </c:pt>
                <c:pt idx="249">
                  <c:v>12.5595648</c:v>
                </c:pt>
                <c:pt idx="250">
                  <c:v>12.5633886</c:v>
                </c:pt>
                <c:pt idx="251">
                  <c:v>12.567212400000001</c:v>
                </c:pt>
                <c:pt idx="252">
                  <c:v>12.571036299999999</c:v>
                </c:pt>
                <c:pt idx="253">
                  <c:v>12.5748601</c:v>
                </c:pt>
                <c:pt idx="254">
                  <c:v>12.5786839</c:v>
                </c:pt>
                <c:pt idx="255">
                  <c:v>12.5825078</c:v>
                </c:pt>
                <c:pt idx="256">
                  <c:v>12.586331599999999</c:v>
                </c:pt>
                <c:pt idx="257">
                  <c:v>12.5901554</c:v>
                </c:pt>
                <c:pt idx="258">
                  <c:v>12.593979300000001</c:v>
                </c:pt>
                <c:pt idx="259">
                  <c:v>12.5978031</c:v>
                </c:pt>
                <c:pt idx="260">
                  <c:v>12.601626899999999</c:v>
                </c:pt>
                <c:pt idx="261">
                  <c:v>12.6054508</c:v>
                </c:pt>
                <c:pt idx="262">
                  <c:v>12.609274599999999</c:v>
                </c:pt>
                <c:pt idx="263">
                  <c:v>12.6130985</c:v>
                </c:pt>
                <c:pt idx="264">
                  <c:v>12.616922300000001</c:v>
                </c:pt>
                <c:pt idx="265">
                  <c:v>12.6207461</c:v>
                </c:pt>
                <c:pt idx="266">
                  <c:v>12.62457</c:v>
                </c:pt>
                <c:pt idx="267">
                  <c:v>12.6283938</c:v>
                </c:pt>
                <c:pt idx="268">
                  <c:v>12.632217600000001</c:v>
                </c:pt>
                <c:pt idx="269">
                  <c:v>12.636041499999999</c:v>
                </c:pt>
                <c:pt idx="270">
                  <c:v>12.6398653</c:v>
                </c:pt>
                <c:pt idx="271">
                  <c:v>12.6436891</c:v>
                </c:pt>
                <c:pt idx="272">
                  <c:v>12.647513</c:v>
                </c:pt>
                <c:pt idx="273">
                  <c:v>12.651336799999999</c:v>
                </c:pt>
                <c:pt idx="274">
                  <c:v>12.6551606</c:v>
                </c:pt>
                <c:pt idx="275">
                  <c:v>12.658984500000001</c:v>
                </c:pt>
                <c:pt idx="276">
                  <c:v>12.6628083</c:v>
                </c:pt>
                <c:pt idx="277">
                  <c:v>12.666632099999999</c:v>
                </c:pt>
                <c:pt idx="278">
                  <c:v>12.670456</c:v>
                </c:pt>
                <c:pt idx="279">
                  <c:v>12.674279800000001</c:v>
                </c:pt>
                <c:pt idx="280">
                  <c:v>12.6781036</c:v>
                </c:pt>
                <c:pt idx="281">
                  <c:v>12.6819275</c:v>
                </c:pt>
                <c:pt idx="282">
                  <c:v>12.6857513</c:v>
                </c:pt>
                <c:pt idx="283">
                  <c:v>12.689575100000001</c:v>
                </c:pt>
                <c:pt idx="284">
                  <c:v>12.693398999999999</c:v>
                </c:pt>
                <c:pt idx="285">
                  <c:v>12.6972228</c:v>
                </c:pt>
                <c:pt idx="286">
                  <c:v>12.7010466</c:v>
                </c:pt>
                <c:pt idx="287">
                  <c:v>12.7048705</c:v>
                </c:pt>
                <c:pt idx="288">
                  <c:v>12.708694299999999</c:v>
                </c:pt>
                <c:pt idx="289">
                  <c:v>12.7125181</c:v>
                </c:pt>
                <c:pt idx="290">
                  <c:v>12.716341999999999</c:v>
                </c:pt>
                <c:pt idx="291">
                  <c:v>12.7201658</c:v>
                </c:pt>
                <c:pt idx="292">
                  <c:v>12.723989599999999</c:v>
                </c:pt>
                <c:pt idx="293">
                  <c:v>12.7278135</c:v>
                </c:pt>
                <c:pt idx="294">
                  <c:v>12.731637299999999</c:v>
                </c:pt>
                <c:pt idx="295">
                  <c:v>12.7354611</c:v>
                </c:pt>
                <c:pt idx="296">
                  <c:v>12.739285000000001</c:v>
                </c:pt>
                <c:pt idx="297">
                  <c:v>12.7431088</c:v>
                </c:pt>
                <c:pt idx="298">
                  <c:v>12.746932599999999</c:v>
                </c:pt>
                <c:pt idx="299">
                  <c:v>12.7507565</c:v>
                </c:pt>
                <c:pt idx="300">
                  <c:v>12.754580300000001</c:v>
                </c:pt>
                <c:pt idx="301">
                  <c:v>12.758404199999999</c:v>
                </c:pt>
                <c:pt idx="302">
                  <c:v>12.762228</c:v>
                </c:pt>
                <c:pt idx="303">
                  <c:v>12.7660518</c:v>
                </c:pt>
                <c:pt idx="304">
                  <c:v>12.7698757</c:v>
                </c:pt>
                <c:pt idx="305">
                  <c:v>12.773699499999999</c:v>
                </c:pt>
                <c:pt idx="306">
                  <c:v>12.7775233</c:v>
                </c:pt>
                <c:pt idx="307">
                  <c:v>12.781347200000001</c:v>
                </c:pt>
                <c:pt idx="308">
                  <c:v>12.785171</c:v>
                </c:pt>
                <c:pt idx="309">
                  <c:v>12.788994799999999</c:v>
                </c:pt>
                <c:pt idx="310">
                  <c:v>12.7928187</c:v>
                </c:pt>
                <c:pt idx="311">
                  <c:v>12.796642500000001</c:v>
                </c:pt>
                <c:pt idx="312">
                  <c:v>12.8004663</c:v>
                </c:pt>
                <c:pt idx="313">
                  <c:v>12.804290200000001</c:v>
                </c:pt>
                <c:pt idx="314">
                  <c:v>12.808114</c:v>
                </c:pt>
                <c:pt idx="315">
                  <c:v>12.811937800000001</c:v>
                </c:pt>
                <c:pt idx="316">
                  <c:v>12.815761699999999</c:v>
                </c:pt>
                <c:pt idx="317">
                  <c:v>12.819585500000001</c:v>
                </c:pt>
                <c:pt idx="318">
                  <c:v>12.8234093</c:v>
                </c:pt>
                <c:pt idx="319">
                  <c:v>12.8272332</c:v>
                </c:pt>
                <c:pt idx="320">
                  <c:v>12.831056999999999</c:v>
                </c:pt>
                <c:pt idx="321">
                  <c:v>12.834880800000001</c:v>
                </c:pt>
                <c:pt idx="322">
                  <c:v>12.838704699999999</c:v>
                </c:pt>
                <c:pt idx="323">
                  <c:v>12.8425285</c:v>
                </c:pt>
                <c:pt idx="324">
                  <c:v>12.8463523</c:v>
                </c:pt>
                <c:pt idx="325">
                  <c:v>12.8501762</c:v>
                </c:pt>
                <c:pt idx="326">
                  <c:v>12.853999999999999</c:v>
                </c:pt>
                <c:pt idx="327">
                  <c:v>12.859033999999999</c:v>
                </c:pt>
                <c:pt idx="328">
                  <c:v>12.864068</c:v>
                </c:pt>
                <c:pt idx="329">
                  <c:v>12.869102</c:v>
                </c:pt>
                <c:pt idx="330">
                  <c:v>12.874136099999999</c:v>
                </c:pt>
                <c:pt idx="331">
                  <c:v>12.8791701</c:v>
                </c:pt>
                <c:pt idx="332">
                  <c:v>12.8842041</c:v>
                </c:pt>
                <c:pt idx="333">
                  <c:v>12.8892381</c:v>
                </c:pt>
                <c:pt idx="334">
                  <c:v>12.8942721</c:v>
                </c:pt>
                <c:pt idx="335">
                  <c:v>12.8993061</c:v>
                </c:pt>
                <c:pt idx="336">
                  <c:v>12.904340100000001</c:v>
                </c:pt>
                <c:pt idx="337">
                  <c:v>12.9093742</c:v>
                </c:pt>
                <c:pt idx="338">
                  <c:v>12.9144082</c:v>
                </c:pt>
                <c:pt idx="339">
                  <c:v>12.919442200000001</c:v>
                </c:pt>
                <c:pt idx="340">
                  <c:v>12.924476200000001</c:v>
                </c:pt>
                <c:pt idx="341">
                  <c:v>12.929510199999999</c:v>
                </c:pt>
                <c:pt idx="342">
                  <c:v>12.934544199999999</c:v>
                </c:pt>
                <c:pt idx="343">
                  <c:v>12.9395782</c:v>
                </c:pt>
                <c:pt idx="344">
                  <c:v>12.9446122</c:v>
                </c:pt>
                <c:pt idx="345">
                  <c:v>12.949646299999999</c:v>
                </c:pt>
                <c:pt idx="346">
                  <c:v>12.9546803</c:v>
                </c:pt>
                <c:pt idx="347">
                  <c:v>12.9597143</c:v>
                </c:pt>
                <c:pt idx="348">
                  <c:v>12.9647483</c:v>
                </c:pt>
                <c:pt idx="349">
                  <c:v>12.9697823</c:v>
                </c:pt>
                <c:pt idx="350">
                  <c:v>12.974816300000001</c:v>
                </c:pt>
                <c:pt idx="351">
                  <c:v>12.979850300000001</c:v>
                </c:pt>
                <c:pt idx="352">
                  <c:v>12.9848844</c:v>
                </c:pt>
                <c:pt idx="353">
                  <c:v>12.989918400000001</c:v>
                </c:pt>
                <c:pt idx="354">
                  <c:v>12.994952400000001</c:v>
                </c:pt>
                <c:pt idx="355">
                  <c:v>12.999986399999999</c:v>
                </c:pt>
                <c:pt idx="356">
                  <c:v>13.005020399999999</c:v>
                </c:pt>
                <c:pt idx="357">
                  <c:v>13.0100544</c:v>
                </c:pt>
                <c:pt idx="358">
                  <c:v>13.0150884</c:v>
                </c:pt>
                <c:pt idx="359">
                  <c:v>13.020122499999999</c:v>
                </c:pt>
                <c:pt idx="360">
                  <c:v>13.0251565</c:v>
                </c:pt>
                <c:pt idx="361">
                  <c:v>13.0301905</c:v>
                </c:pt>
                <c:pt idx="362">
                  <c:v>13.0352245</c:v>
                </c:pt>
                <c:pt idx="363">
                  <c:v>13.0402585</c:v>
                </c:pt>
                <c:pt idx="364">
                  <c:v>13.0452925</c:v>
                </c:pt>
                <c:pt idx="365">
                  <c:v>13.050326500000001</c:v>
                </c:pt>
                <c:pt idx="366">
                  <c:v>13.055360500000001</c:v>
                </c:pt>
                <c:pt idx="367">
                  <c:v>13.0603946</c:v>
                </c:pt>
                <c:pt idx="368">
                  <c:v>13.065428600000001</c:v>
                </c:pt>
                <c:pt idx="369">
                  <c:v>13.070462600000001</c:v>
                </c:pt>
                <c:pt idx="370">
                  <c:v>13.075496599999999</c:v>
                </c:pt>
                <c:pt idx="371">
                  <c:v>13.080530599999999</c:v>
                </c:pt>
                <c:pt idx="372">
                  <c:v>13.0855646</c:v>
                </c:pt>
                <c:pt idx="373">
                  <c:v>13.0905986</c:v>
                </c:pt>
                <c:pt idx="374">
                  <c:v>13.095632699999999</c:v>
                </c:pt>
                <c:pt idx="375">
                  <c:v>13.1006667</c:v>
                </c:pt>
                <c:pt idx="376">
                  <c:v>13.1057007</c:v>
                </c:pt>
                <c:pt idx="377">
                  <c:v>13.1107347</c:v>
                </c:pt>
                <c:pt idx="378">
                  <c:v>13.1157687</c:v>
                </c:pt>
                <c:pt idx="379">
                  <c:v>13.1208027</c:v>
                </c:pt>
                <c:pt idx="380">
                  <c:v>13.125836700000001</c:v>
                </c:pt>
                <c:pt idx="381">
                  <c:v>13.1308708</c:v>
                </c:pt>
                <c:pt idx="382">
                  <c:v>13.1359048</c:v>
                </c:pt>
                <c:pt idx="383">
                  <c:v>13.140938800000001</c:v>
                </c:pt>
                <c:pt idx="384">
                  <c:v>13.145972799999999</c:v>
                </c:pt>
                <c:pt idx="385">
                  <c:v>13.151006799999999</c:v>
                </c:pt>
                <c:pt idx="386">
                  <c:v>13.1560408</c:v>
                </c:pt>
                <c:pt idx="387">
                  <c:v>13.1610748</c:v>
                </c:pt>
                <c:pt idx="388">
                  <c:v>13.1661088</c:v>
                </c:pt>
                <c:pt idx="389">
                  <c:v>13.1711429</c:v>
                </c:pt>
                <c:pt idx="390">
                  <c:v>13.1761769</c:v>
                </c:pt>
                <c:pt idx="391">
                  <c:v>13.1812109</c:v>
                </c:pt>
                <c:pt idx="392">
                  <c:v>13.1862449</c:v>
                </c:pt>
                <c:pt idx="393">
                  <c:v>13.1912789</c:v>
                </c:pt>
                <c:pt idx="394">
                  <c:v>13.196312900000001</c:v>
                </c:pt>
                <c:pt idx="395">
                  <c:v>13.201346900000001</c:v>
                </c:pt>
                <c:pt idx="396">
                  <c:v>13.206381</c:v>
                </c:pt>
                <c:pt idx="397">
                  <c:v>13.211415000000001</c:v>
                </c:pt>
                <c:pt idx="398">
                  <c:v>13.216449000000001</c:v>
                </c:pt>
                <c:pt idx="399">
                  <c:v>13.221482999999999</c:v>
                </c:pt>
                <c:pt idx="400">
                  <c:v>13.224729999999999</c:v>
                </c:pt>
                <c:pt idx="401">
                  <c:v>13.226190000000001</c:v>
                </c:pt>
                <c:pt idx="402">
                  <c:v>13.227650000000001</c:v>
                </c:pt>
                <c:pt idx="403">
                  <c:v>13.22911</c:v>
                </c:pt>
                <c:pt idx="404">
                  <c:v>13.23057</c:v>
                </c:pt>
                <c:pt idx="405">
                  <c:v>13.23203</c:v>
                </c:pt>
                <c:pt idx="406">
                  <c:v>13.23349</c:v>
                </c:pt>
                <c:pt idx="407">
                  <c:v>13.23495</c:v>
                </c:pt>
                <c:pt idx="408">
                  <c:v>13.236409999999999</c:v>
                </c:pt>
                <c:pt idx="409">
                  <c:v>13.237869999999999</c:v>
                </c:pt>
                <c:pt idx="410">
                  <c:v>13.239330000000001</c:v>
                </c:pt>
                <c:pt idx="411">
                  <c:v>13.240790000000001</c:v>
                </c:pt>
                <c:pt idx="412">
                  <c:v>13.24225</c:v>
                </c:pt>
                <c:pt idx="413">
                  <c:v>13.24371</c:v>
                </c:pt>
                <c:pt idx="414">
                  <c:v>13.24517</c:v>
                </c:pt>
                <c:pt idx="415">
                  <c:v>13.24663</c:v>
                </c:pt>
                <c:pt idx="416">
                  <c:v>13.248089999999999</c:v>
                </c:pt>
                <c:pt idx="417">
                  <c:v>13.249549999999999</c:v>
                </c:pt>
                <c:pt idx="418">
                  <c:v>13.251010000000001</c:v>
                </c:pt>
                <c:pt idx="419">
                  <c:v>13.252470000000001</c:v>
                </c:pt>
                <c:pt idx="420">
                  <c:v>13.25393</c:v>
                </c:pt>
                <c:pt idx="421">
                  <c:v>13.25539</c:v>
                </c:pt>
                <c:pt idx="422">
                  <c:v>13.25685</c:v>
                </c:pt>
                <c:pt idx="423">
                  <c:v>13.25831</c:v>
                </c:pt>
                <c:pt idx="424">
                  <c:v>13.25977</c:v>
                </c:pt>
                <c:pt idx="425">
                  <c:v>13.261229999999999</c:v>
                </c:pt>
                <c:pt idx="426">
                  <c:v>13.262689999999999</c:v>
                </c:pt>
                <c:pt idx="427">
                  <c:v>13.264150000000001</c:v>
                </c:pt>
                <c:pt idx="428">
                  <c:v>13.265610000000001</c:v>
                </c:pt>
                <c:pt idx="429">
                  <c:v>13.26707</c:v>
                </c:pt>
                <c:pt idx="430">
                  <c:v>13.26853</c:v>
                </c:pt>
                <c:pt idx="431">
                  <c:v>13.26999</c:v>
                </c:pt>
                <c:pt idx="432">
                  <c:v>13.27145</c:v>
                </c:pt>
                <c:pt idx="433">
                  <c:v>13.27291</c:v>
                </c:pt>
                <c:pt idx="434">
                  <c:v>13.274369999999999</c:v>
                </c:pt>
                <c:pt idx="435">
                  <c:v>13.275829999999999</c:v>
                </c:pt>
                <c:pt idx="436">
                  <c:v>13.277290000000001</c:v>
                </c:pt>
                <c:pt idx="437">
                  <c:v>13.27875</c:v>
                </c:pt>
                <c:pt idx="438">
                  <c:v>13.28021</c:v>
                </c:pt>
                <c:pt idx="439">
                  <c:v>13.28167</c:v>
                </c:pt>
                <c:pt idx="440">
                  <c:v>13.28313</c:v>
                </c:pt>
                <c:pt idx="441">
                  <c:v>13.28459</c:v>
                </c:pt>
                <c:pt idx="442">
                  <c:v>13.286049999999999</c:v>
                </c:pt>
                <c:pt idx="443">
                  <c:v>13.287509999999999</c:v>
                </c:pt>
                <c:pt idx="444">
                  <c:v>13.288970000000001</c:v>
                </c:pt>
                <c:pt idx="445">
                  <c:v>13.290430000000001</c:v>
                </c:pt>
                <c:pt idx="446">
                  <c:v>13.29189</c:v>
                </c:pt>
                <c:pt idx="447">
                  <c:v>13.29335</c:v>
                </c:pt>
                <c:pt idx="448">
                  <c:v>13.29481</c:v>
                </c:pt>
                <c:pt idx="449">
                  <c:v>13.29627</c:v>
                </c:pt>
                <c:pt idx="450">
                  <c:v>13.2978983</c:v>
                </c:pt>
                <c:pt idx="451">
                  <c:v>13.2996949</c:v>
                </c:pt>
                <c:pt idx="452">
                  <c:v>13.301491499999999</c:v>
                </c:pt>
                <c:pt idx="453">
                  <c:v>13.3032881</c:v>
                </c:pt>
                <c:pt idx="454">
                  <c:v>13.305084799999999</c:v>
                </c:pt>
                <c:pt idx="455">
                  <c:v>13.3068814</c:v>
                </c:pt>
                <c:pt idx="456">
                  <c:v>13.308678</c:v>
                </c:pt>
                <c:pt idx="457">
                  <c:v>13.310474599999999</c:v>
                </c:pt>
                <c:pt idx="458">
                  <c:v>13.3122712</c:v>
                </c:pt>
                <c:pt idx="459">
                  <c:v>13.3140678</c:v>
                </c:pt>
                <c:pt idx="460">
                  <c:v>13.315864400000001</c:v>
                </c:pt>
                <c:pt idx="461">
                  <c:v>13.317660999999999</c:v>
                </c:pt>
                <c:pt idx="462">
                  <c:v>13.3194576</c:v>
                </c:pt>
                <c:pt idx="463">
                  <c:v>13.3212542</c:v>
                </c:pt>
                <c:pt idx="464">
                  <c:v>13.3230509</c:v>
                </c:pt>
                <c:pt idx="465">
                  <c:v>13.324847500000001</c:v>
                </c:pt>
                <c:pt idx="466">
                  <c:v>13.326644099999999</c:v>
                </c:pt>
                <c:pt idx="467">
                  <c:v>13.3284407</c:v>
                </c:pt>
                <c:pt idx="468">
                  <c:v>13.3302373</c:v>
                </c:pt>
                <c:pt idx="469">
                  <c:v>13.332033900000001</c:v>
                </c:pt>
                <c:pt idx="470">
                  <c:v>13.333830499999999</c:v>
                </c:pt>
                <c:pt idx="471">
                  <c:v>13.3356271</c:v>
                </c:pt>
                <c:pt idx="472">
                  <c:v>13.3374237</c:v>
                </c:pt>
                <c:pt idx="473">
                  <c:v>13.339220299999999</c:v>
                </c:pt>
                <c:pt idx="474">
                  <c:v>13.341017000000001</c:v>
                </c:pt>
                <c:pt idx="475">
                  <c:v>13.342813599999999</c:v>
                </c:pt>
                <c:pt idx="476">
                  <c:v>13.3446102</c:v>
                </c:pt>
                <c:pt idx="477">
                  <c:v>13.3464068</c:v>
                </c:pt>
                <c:pt idx="478">
                  <c:v>13.348203399999999</c:v>
                </c:pt>
                <c:pt idx="479">
                  <c:v>13.35</c:v>
                </c:pt>
                <c:pt idx="480">
                  <c:v>13.3705</c:v>
                </c:pt>
                <c:pt idx="481">
                  <c:v>13.391</c:v>
                </c:pt>
                <c:pt idx="482">
                  <c:v>13.4115</c:v>
                </c:pt>
                <c:pt idx="483">
                  <c:v>13.432</c:v>
                </c:pt>
                <c:pt idx="484">
                  <c:v>13.452500000000001</c:v>
                </c:pt>
                <c:pt idx="485">
                  <c:v>13.473000000000001</c:v>
                </c:pt>
                <c:pt idx="486">
                  <c:v>13.493499999999999</c:v>
                </c:pt>
                <c:pt idx="487">
                  <c:v>13.513999999999999</c:v>
                </c:pt>
                <c:pt idx="488">
                  <c:v>13.5345</c:v>
                </c:pt>
                <c:pt idx="489">
                  <c:v>13.555</c:v>
                </c:pt>
                <c:pt idx="490">
                  <c:v>13.5755</c:v>
                </c:pt>
                <c:pt idx="491">
                  <c:v>13.596</c:v>
                </c:pt>
                <c:pt idx="492">
                  <c:v>13.6165</c:v>
                </c:pt>
                <c:pt idx="493">
                  <c:v>13.637</c:v>
                </c:pt>
                <c:pt idx="494">
                  <c:v>13.657500000000001</c:v>
                </c:pt>
                <c:pt idx="495">
                  <c:v>13.678000000000001</c:v>
                </c:pt>
                <c:pt idx="496">
                  <c:v>13.698499999999999</c:v>
                </c:pt>
                <c:pt idx="497">
                  <c:v>13.718999999999999</c:v>
                </c:pt>
                <c:pt idx="498">
                  <c:v>13.7395</c:v>
                </c:pt>
                <c:pt idx="499">
                  <c:v>13.76</c:v>
                </c:pt>
                <c:pt idx="500">
                  <c:v>13.7805</c:v>
                </c:pt>
                <c:pt idx="501">
                  <c:v>13.801</c:v>
                </c:pt>
                <c:pt idx="502">
                  <c:v>13.8215</c:v>
                </c:pt>
                <c:pt idx="503">
                  <c:v>13.842000000000001</c:v>
                </c:pt>
                <c:pt idx="504">
                  <c:v>13.862500000000001</c:v>
                </c:pt>
                <c:pt idx="505">
                  <c:v>13.882999999999999</c:v>
                </c:pt>
                <c:pt idx="506">
                  <c:v>13.9212364</c:v>
                </c:pt>
                <c:pt idx="507">
                  <c:v>13.959472699999999</c:v>
                </c:pt>
                <c:pt idx="508">
                  <c:v>13.9977091</c:v>
                </c:pt>
                <c:pt idx="509">
                  <c:v>14.0359455</c:v>
                </c:pt>
                <c:pt idx="510">
                  <c:v>14.0741818</c:v>
                </c:pt>
                <c:pt idx="511">
                  <c:v>14.1124182</c:v>
                </c:pt>
                <c:pt idx="512">
                  <c:v>14.150654599999999</c:v>
                </c:pt>
                <c:pt idx="513">
                  <c:v>14.188890900000001</c:v>
                </c:pt>
                <c:pt idx="514">
                  <c:v>14.227127299999999</c:v>
                </c:pt>
                <c:pt idx="515">
                  <c:v>14.265363600000001</c:v>
                </c:pt>
                <c:pt idx="516">
                  <c:v>14.303599999999999</c:v>
                </c:pt>
                <c:pt idx="517">
                  <c:v>14.3418364</c:v>
                </c:pt>
                <c:pt idx="518">
                  <c:v>14.380072699999999</c:v>
                </c:pt>
                <c:pt idx="519">
                  <c:v>14.4183091</c:v>
                </c:pt>
                <c:pt idx="520">
                  <c:v>14.456545500000001</c:v>
                </c:pt>
                <c:pt idx="521">
                  <c:v>14.4947818</c:v>
                </c:pt>
                <c:pt idx="522">
                  <c:v>14.533018200000001</c:v>
                </c:pt>
                <c:pt idx="523">
                  <c:v>14.5712546</c:v>
                </c:pt>
                <c:pt idx="524">
                  <c:v>14.609490900000001</c:v>
                </c:pt>
                <c:pt idx="525">
                  <c:v>14.6477273</c:v>
                </c:pt>
                <c:pt idx="526">
                  <c:v>14.685963599999999</c:v>
                </c:pt>
                <c:pt idx="527">
                  <c:v>14.7242</c:v>
                </c:pt>
                <c:pt idx="528">
                  <c:v>14.7624364</c:v>
                </c:pt>
                <c:pt idx="529">
                  <c:v>14.8006727</c:v>
                </c:pt>
                <c:pt idx="530">
                  <c:v>14.8389091</c:v>
                </c:pt>
                <c:pt idx="531">
                  <c:v>14.877145499999999</c:v>
                </c:pt>
                <c:pt idx="532">
                  <c:v>14.9153818</c:v>
                </c:pt>
                <c:pt idx="533">
                  <c:v>14.953618199999999</c:v>
                </c:pt>
                <c:pt idx="534">
                  <c:v>14.9918546</c:v>
                </c:pt>
                <c:pt idx="535">
                  <c:v>15.030090899999999</c:v>
                </c:pt>
                <c:pt idx="536">
                  <c:v>15.0683273</c:v>
                </c:pt>
                <c:pt idx="537">
                  <c:v>15.106563599999999</c:v>
                </c:pt>
                <c:pt idx="538">
                  <c:v>15.1448</c:v>
                </c:pt>
                <c:pt idx="539">
                  <c:v>15.183036400000001</c:v>
                </c:pt>
                <c:pt idx="540">
                  <c:v>15.2212727</c:v>
                </c:pt>
                <c:pt idx="541">
                  <c:v>15.259509100000001</c:v>
                </c:pt>
                <c:pt idx="542">
                  <c:v>15.2977455</c:v>
                </c:pt>
                <c:pt idx="543">
                  <c:v>15.335981800000001</c:v>
                </c:pt>
                <c:pt idx="544">
                  <c:v>15.3742182</c:v>
                </c:pt>
                <c:pt idx="545">
                  <c:v>15.4124546</c:v>
                </c:pt>
                <c:pt idx="546">
                  <c:v>15.4506909</c:v>
                </c:pt>
                <c:pt idx="547">
                  <c:v>15.4889273</c:v>
                </c:pt>
                <c:pt idx="548">
                  <c:v>15.5271636</c:v>
                </c:pt>
                <c:pt idx="549">
                  <c:v>15.5654</c:v>
                </c:pt>
                <c:pt idx="550">
                  <c:v>15.603636399999999</c:v>
                </c:pt>
                <c:pt idx="551">
                  <c:v>15.6418727</c:v>
                </c:pt>
                <c:pt idx="552">
                  <c:v>15.680109099999999</c:v>
                </c:pt>
                <c:pt idx="553">
                  <c:v>15.7183455</c:v>
                </c:pt>
                <c:pt idx="554">
                  <c:v>15.756581799999999</c:v>
                </c:pt>
                <c:pt idx="555">
                  <c:v>15.7948182</c:v>
                </c:pt>
                <c:pt idx="556">
                  <c:v>15.833054600000001</c:v>
                </c:pt>
                <c:pt idx="557">
                  <c:v>15.8712909</c:v>
                </c:pt>
                <c:pt idx="558">
                  <c:v>15.909527300000001</c:v>
                </c:pt>
                <c:pt idx="559">
                  <c:v>15.9477636</c:v>
                </c:pt>
                <c:pt idx="560">
                  <c:v>15.986000000000001</c:v>
                </c:pt>
                <c:pt idx="561">
                  <c:v>16.021599999999999</c:v>
                </c:pt>
                <c:pt idx="562">
                  <c:v>16.057200000000002</c:v>
                </c:pt>
                <c:pt idx="563">
                  <c:v>16.0928</c:v>
                </c:pt>
                <c:pt idx="564">
                  <c:v>16.128399999999999</c:v>
                </c:pt>
                <c:pt idx="565">
                  <c:v>16.164000000000001</c:v>
                </c:pt>
                <c:pt idx="566">
                  <c:v>16.1996</c:v>
                </c:pt>
                <c:pt idx="567">
                  <c:v>16.235199999999999</c:v>
                </c:pt>
                <c:pt idx="568">
                  <c:v>16.270800000000001</c:v>
                </c:pt>
                <c:pt idx="569">
                  <c:v>16.3064</c:v>
                </c:pt>
                <c:pt idx="570">
                  <c:v>16.341999999999999</c:v>
                </c:pt>
                <c:pt idx="571">
                  <c:v>16.4141111</c:v>
                </c:pt>
                <c:pt idx="572">
                  <c:v>16.4862222</c:v>
                </c:pt>
                <c:pt idx="573">
                  <c:v>16.558333300000001</c:v>
                </c:pt>
                <c:pt idx="574">
                  <c:v>16.630444399999998</c:v>
                </c:pt>
                <c:pt idx="575">
                  <c:v>16.7025556</c:v>
                </c:pt>
                <c:pt idx="576">
                  <c:v>16.774666700000001</c:v>
                </c:pt>
                <c:pt idx="577">
                  <c:v>16.846777800000002</c:v>
                </c:pt>
                <c:pt idx="578">
                  <c:v>16.918888899999999</c:v>
                </c:pt>
                <c:pt idx="579">
                  <c:v>16.991</c:v>
                </c:pt>
                <c:pt idx="580">
                  <c:v>17.013833300000002</c:v>
                </c:pt>
                <c:pt idx="581">
                  <c:v>17.036666700000001</c:v>
                </c:pt>
                <c:pt idx="582">
                  <c:v>17.0595</c:v>
                </c:pt>
                <c:pt idx="583">
                  <c:v>17.082333299999998</c:v>
                </c:pt>
                <c:pt idx="584">
                  <c:v>17.105166700000002</c:v>
                </c:pt>
                <c:pt idx="585">
                  <c:v>17.128</c:v>
                </c:pt>
                <c:pt idx="586">
                  <c:v>17.150833299999999</c:v>
                </c:pt>
                <c:pt idx="587">
                  <c:v>17.173666699999998</c:v>
                </c:pt>
                <c:pt idx="588">
                  <c:v>17.1965</c:v>
                </c:pt>
                <c:pt idx="589">
                  <c:v>17.219333299999999</c:v>
                </c:pt>
                <c:pt idx="590">
                  <c:v>17.242166699999999</c:v>
                </c:pt>
                <c:pt idx="591">
                  <c:v>17.265000000000001</c:v>
                </c:pt>
                <c:pt idx="592">
                  <c:v>17.287833299999999</c:v>
                </c:pt>
                <c:pt idx="593">
                  <c:v>17.310666699999999</c:v>
                </c:pt>
                <c:pt idx="594">
                  <c:v>17.333500000000001</c:v>
                </c:pt>
                <c:pt idx="595">
                  <c:v>17.356333299999999</c:v>
                </c:pt>
                <c:pt idx="596">
                  <c:v>17.379166699999999</c:v>
                </c:pt>
                <c:pt idx="597">
                  <c:v>17.402000000000001</c:v>
                </c:pt>
                <c:pt idx="598">
                  <c:v>17.4248333</c:v>
                </c:pt>
                <c:pt idx="599">
                  <c:v>17.447666699999999</c:v>
                </c:pt>
                <c:pt idx="600">
                  <c:v>17.470500000000001</c:v>
                </c:pt>
                <c:pt idx="601">
                  <c:v>17.4933333</c:v>
                </c:pt>
                <c:pt idx="602">
                  <c:v>17.516166699999999</c:v>
                </c:pt>
                <c:pt idx="603">
                  <c:v>17.539000000000001</c:v>
                </c:pt>
                <c:pt idx="604">
                  <c:v>17.5618333</c:v>
                </c:pt>
                <c:pt idx="605">
                  <c:v>17.5846667</c:v>
                </c:pt>
                <c:pt idx="606">
                  <c:v>17.607500000000002</c:v>
                </c:pt>
                <c:pt idx="607">
                  <c:v>17.6303333</c:v>
                </c:pt>
                <c:pt idx="608">
                  <c:v>17.6531667</c:v>
                </c:pt>
                <c:pt idx="609">
                  <c:v>17.675999999999998</c:v>
                </c:pt>
                <c:pt idx="610">
                  <c:v>17.742061899999999</c:v>
                </c:pt>
                <c:pt idx="611">
                  <c:v>17.808123699999999</c:v>
                </c:pt>
                <c:pt idx="612">
                  <c:v>17.874185600000001</c:v>
                </c:pt>
                <c:pt idx="613">
                  <c:v>17.940247400000001</c:v>
                </c:pt>
                <c:pt idx="614">
                  <c:v>18.006309300000002</c:v>
                </c:pt>
                <c:pt idx="615">
                  <c:v>18.072371100000002</c:v>
                </c:pt>
                <c:pt idx="616">
                  <c:v>18.138432999999999</c:v>
                </c:pt>
                <c:pt idx="617">
                  <c:v>18.2044949</c:v>
                </c:pt>
                <c:pt idx="618">
                  <c:v>18.2705567</c:v>
                </c:pt>
                <c:pt idx="619">
                  <c:v>18.336618600000001</c:v>
                </c:pt>
                <c:pt idx="620">
                  <c:v>18.402680400000001</c:v>
                </c:pt>
                <c:pt idx="621">
                  <c:v>18.468742299999999</c:v>
                </c:pt>
                <c:pt idx="622">
                  <c:v>18.534804099999999</c:v>
                </c:pt>
                <c:pt idx="623">
                  <c:v>18.600866</c:v>
                </c:pt>
                <c:pt idx="624">
                  <c:v>18.6669278</c:v>
                </c:pt>
                <c:pt idx="625">
                  <c:v>18.732989700000001</c:v>
                </c:pt>
                <c:pt idx="626">
                  <c:v>18.799051599999999</c:v>
                </c:pt>
                <c:pt idx="627">
                  <c:v>18.865113399999998</c:v>
                </c:pt>
                <c:pt idx="628">
                  <c:v>18.9311753</c:v>
                </c:pt>
                <c:pt idx="629">
                  <c:v>18.9972371</c:v>
                </c:pt>
                <c:pt idx="630">
                  <c:v>19.063299000000001</c:v>
                </c:pt>
                <c:pt idx="631">
                  <c:v>19.129360800000001</c:v>
                </c:pt>
                <c:pt idx="632">
                  <c:v>19.195422700000002</c:v>
                </c:pt>
                <c:pt idx="633">
                  <c:v>19.261484500000002</c:v>
                </c:pt>
                <c:pt idx="634">
                  <c:v>19.327546399999999</c:v>
                </c:pt>
                <c:pt idx="635">
                  <c:v>19.3936083</c:v>
                </c:pt>
                <c:pt idx="636">
                  <c:v>19.4596701</c:v>
                </c:pt>
                <c:pt idx="637">
                  <c:v>19.525732000000001</c:v>
                </c:pt>
                <c:pt idx="638">
                  <c:v>19.591793800000001</c:v>
                </c:pt>
                <c:pt idx="639">
                  <c:v>19.657855699999999</c:v>
                </c:pt>
                <c:pt idx="640">
                  <c:v>19.723917499999999</c:v>
                </c:pt>
                <c:pt idx="641">
                  <c:v>19.7899794</c:v>
                </c:pt>
                <c:pt idx="642">
                  <c:v>19.8560412</c:v>
                </c:pt>
                <c:pt idx="643">
                  <c:v>19.922103100000001</c:v>
                </c:pt>
                <c:pt idx="644">
                  <c:v>19.988164999999999</c:v>
                </c:pt>
                <c:pt idx="645">
                  <c:v>20.054226799999999</c:v>
                </c:pt>
                <c:pt idx="646">
                  <c:v>20.1202887</c:v>
                </c:pt>
                <c:pt idx="647">
                  <c:v>20.1863505</c:v>
                </c:pt>
                <c:pt idx="648">
                  <c:v>20.252412400000001</c:v>
                </c:pt>
                <c:pt idx="649">
                  <c:v>20.318474200000001</c:v>
                </c:pt>
                <c:pt idx="650">
                  <c:v>20.384536099999998</c:v>
                </c:pt>
                <c:pt idx="651">
                  <c:v>20.450597900000002</c:v>
                </c:pt>
                <c:pt idx="652">
                  <c:v>20.516659799999999</c:v>
                </c:pt>
                <c:pt idx="653">
                  <c:v>20.5827217</c:v>
                </c:pt>
                <c:pt idx="654">
                  <c:v>20.6487835</c:v>
                </c:pt>
                <c:pt idx="655">
                  <c:v>20.714845400000002</c:v>
                </c:pt>
                <c:pt idx="656">
                  <c:v>20.780907200000001</c:v>
                </c:pt>
                <c:pt idx="657">
                  <c:v>20.846969099999999</c:v>
                </c:pt>
                <c:pt idx="658">
                  <c:v>20.913030899999999</c:v>
                </c:pt>
                <c:pt idx="659">
                  <c:v>20.9790928</c:v>
                </c:pt>
                <c:pt idx="660">
                  <c:v>21.0451546</c:v>
                </c:pt>
                <c:pt idx="661">
                  <c:v>21.111216500000001</c:v>
                </c:pt>
                <c:pt idx="662">
                  <c:v>21.177278399999999</c:v>
                </c:pt>
                <c:pt idx="663">
                  <c:v>21.243340199999999</c:v>
                </c:pt>
                <c:pt idx="664">
                  <c:v>21.3094021</c:v>
                </c:pt>
                <c:pt idx="665">
                  <c:v>21.3754639</c:v>
                </c:pt>
                <c:pt idx="666">
                  <c:v>21.441525800000001</c:v>
                </c:pt>
                <c:pt idx="667">
                  <c:v>21.507587600000001</c:v>
                </c:pt>
                <c:pt idx="668">
                  <c:v>21.573649499999998</c:v>
                </c:pt>
                <c:pt idx="669">
                  <c:v>21.639711299999998</c:v>
                </c:pt>
                <c:pt idx="670">
                  <c:v>21.705773199999999</c:v>
                </c:pt>
                <c:pt idx="671">
                  <c:v>21.771835100000001</c:v>
                </c:pt>
                <c:pt idx="672">
                  <c:v>21.8378969</c:v>
                </c:pt>
                <c:pt idx="673">
                  <c:v>21.903958800000002</c:v>
                </c:pt>
                <c:pt idx="674">
                  <c:v>21.970020600000002</c:v>
                </c:pt>
                <c:pt idx="675">
                  <c:v>22.036082499999999</c:v>
                </c:pt>
                <c:pt idx="676">
                  <c:v>22.102144299999999</c:v>
                </c:pt>
                <c:pt idx="677">
                  <c:v>22.1682062</c:v>
                </c:pt>
                <c:pt idx="678">
                  <c:v>22.234268</c:v>
                </c:pt>
                <c:pt idx="679">
                  <c:v>22.300329900000001</c:v>
                </c:pt>
                <c:pt idx="680">
                  <c:v>22.366391799999999</c:v>
                </c:pt>
                <c:pt idx="681">
                  <c:v>22.432453599999999</c:v>
                </c:pt>
                <c:pt idx="682">
                  <c:v>22.4985155</c:v>
                </c:pt>
                <c:pt idx="683">
                  <c:v>22.5645773</c:v>
                </c:pt>
                <c:pt idx="684">
                  <c:v>22.630639200000001</c:v>
                </c:pt>
                <c:pt idx="685">
                  <c:v>22.696701000000001</c:v>
                </c:pt>
                <c:pt idx="686">
                  <c:v>22.762762899999998</c:v>
                </c:pt>
                <c:pt idx="687">
                  <c:v>22.828824699999998</c:v>
                </c:pt>
                <c:pt idx="688">
                  <c:v>22.8948866</c:v>
                </c:pt>
                <c:pt idx="689">
                  <c:v>22.960948500000001</c:v>
                </c:pt>
                <c:pt idx="690">
                  <c:v>23.027010300000001</c:v>
                </c:pt>
                <c:pt idx="691">
                  <c:v>23.093072200000002</c:v>
                </c:pt>
                <c:pt idx="692">
                  <c:v>23.159134000000002</c:v>
                </c:pt>
                <c:pt idx="693">
                  <c:v>23.225195899999999</c:v>
                </c:pt>
                <c:pt idx="694">
                  <c:v>23.291257699999999</c:v>
                </c:pt>
                <c:pt idx="695">
                  <c:v>23.3573196</c:v>
                </c:pt>
                <c:pt idx="696">
                  <c:v>23.4233814</c:v>
                </c:pt>
                <c:pt idx="697">
                  <c:v>23.489443300000001</c:v>
                </c:pt>
                <c:pt idx="698">
                  <c:v>23.555505199999999</c:v>
                </c:pt>
                <c:pt idx="699">
                  <c:v>23.621566999999999</c:v>
                </c:pt>
                <c:pt idx="700">
                  <c:v>23.6876289</c:v>
                </c:pt>
                <c:pt idx="701">
                  <c:v>23.7536907</c:v>
                </c:pt>
                <c:pt idx="702">
                  <c:v>23.819752600000001</c:v>
                </c:pt>
                <c:pt idx="703">
                  <c:v>23.885814400000001</c:v>
                </c:pt>
                <c:pt idx="704">
                  <c:v>23.951876299999999</c:v>
                </c:pt>
                <c:pt idx="705">
                  <c:v>24.017938099999999</c:v>
                </c:pt>
                <c:pt idx="706">
                  <c:v>24.084</c:v>
                </c:pt>
                <c:pt idx="707">
                  <c:v>24.135461500000002</c:v>
                </c:pt>
                <c:pt idx="708">
                  <c:v>24.186923100000001</c:v>
                </c:pt>
                <c:pt idx="709">
                  <c:v>24.2383846</c:v>
                </c:pt>
                <c:pt idx="710">
                  <c:v>24.289846199999999</c:v>
                </c:pt>
                <c:pt idx="711">
                  <c:v>24.341307700000002</c:v>
                </c:pt>
                <c:pt idx="712">
                  <c:v>24.3927692</c:v>
                </c:pt>
                <c:pt idx="713">
                  <c:v>24.4442308</c:v>
                </c:pt>
                <c:pt idx="714">
                  <c:v>24.495692300000002</c:v>
                </c:pt>
                <c:pt idx="715">
                  <c:v>24.547153900000001</c:v>
                </c:pt>
                <c:pt idx="716">
                  <c:v>24.5986154</c:v>
                </c:pt>
                <c:pt idx="717">
                  <c:v>24.650076899999998</c:v>
                </c:pt>
                <c:pt idx="718">
                  <c:v>24.701538500000002</c:v>
                </c:pt>
                <c:pt idx="719">
                  <c:v>24.753</c:v>
                </c:pt>
                <c:pt idx="720">
                  <c:v>24.804461499999999</c:v>
                </c:pt>
                <c:pt idx="721">
                  <c:v>24.855923099999998</c:v>
                </c:pt>
                <c:pt idx="722">
                  <c:v>24.9073846</c:v>
                </c:pt>
                <c:pt idx="723">
                  <c:v>24.9588462</c:v>
                </c:pt>
                <c:pt idx="724">
                  <c:v>25.010307699999998</c:v>
                </c:pt>
                <c:pt idx="725">
                  <c:v>25.061769200000001</c:v>
                </c:pt>
                <c:pt idx="726">
                  <c:v>25.1132308</c:v>
                </c:pt>
                <c:pt idx="727">
                  <c:v>25.164692299999999</c:v>
                </c:pt>
                <c:pt idx="728">
                  <c:v>25.216153899999998</c:v>
                </c:pt>
                <c:pt idx="729">
                  <c:v>25.2676154</c:v>
                </c:pt>
                <c:pt idx="730">
                  <c:v>25.319076899999999</c:v>
                </c:pt>
                <c:pt idx="731">
                  <c:v>25.370538499999999</c:v>
                </c:pt>
                <c:pt idx="732">
                  <c:v>25.422000000000001</c:v>
                </c:pt>
                <c:pt idx="733">
                  <c:v>25.473461499999999</c:v>
                </c:pt>
                <c:pt idx="734">
                  <c:v>25.524923099999999</c:v>
                </c:pt>
                <c:pt idx="735">
                  <c:v>25.576384600000001</c:v>
                </c:pt>
                <c:pt idx="736">
                  <c:v>25.6278462</c:v>
                </c:pt>
                <c:pt idx="737">
                  <c:v>25.679307699999999</c:v>
                </c:pt>
                <c:pt idx="738">
                  <c:v>25.730769200000001</c:v>
                </c:pt>
                <c:pt idx="739">
                  <c:v>25.782230800000001</c:v>
                </c:pt>
                <c:pt idx="740">
                  <c:v>25.833692299999999</c:v>
                </c:pt>
                <c:pt idx="741">
                  <c:v>25.885153899999999</c:v>
                </c:pt>
                <c:pt idx="742">
                  <c:v>25.936615400000001</c:v>
                </c:pt>
                <c:pt idx="743">
                  <c:v>25.988076899999999</c:v>
                </c:pt>
                <c:pt idx="744">
                  <c:v>26.039538499999999</c:v>
                </c:pt>
                <c:pt idx="745">
                  <c:v>26.091000000000001</c:v>
                </c:pt>
                <c:pt idx="746">
                  <c:v>26.1424615</c:v>
                </c:pt>
                <c:pt idx="747">
                  <c:v>26.193923099999999</c:v>
                </c:pt>
                <c:pt idx="748">
                  <c:v>26.245384600000001</c:v>
                </c:pt>
                <c:pt idx="749">
                  <c:v>26.296846200000001</c:v>
                </c:pt>
                <c:pt idx="750">
                  <c:v>26.348307699999999</c:v>
                </c:pt>
                <c:pt idx="751">
                  <c:v>26.399769200000001</c:v>
                </c:pt>
                <c:pt idx="752">
                  <c:v>26.451230800000001</c:v>
                </c:pt>
                <c:pt idx="753">
                  <c:v>26.5026923</c:v>
                </c:pt>
                <c:pt idx="754">
                  <c:v>26.554153899999999</c:v>
                </c:pt>
                <c:pt idx="755">
                  <c:v>26.605615400000001</c:v>
                </c:pt>
                <c:pt idx="756">
                  <c:v>26.6570769</c:v>
                </c:pt>
                <c:pt idx="757">
                  <c:v>26.7085385</c:v>
                </c:pt>
                <c:pt idx="758">
                  <c:v>26.76</c:v>
                </c:pt>
                <c:pt idx="759">
                  <c:v>26.8114615</c:v>
                </c:pt>
                <c:pt idx="760">
                  <c:v>26.8629231</c:v>
                </c:pt>
                <c:pt idx="761">
                  <c:v>26.914384600000002</c:v>
                </c:pt>
                <c:pt idx="762">
                  <c:v>26.965846200000001</c:v>
                </c:pt>
                <c:pt idx="763">
                  <c:v>27.0173077</c:v>
                </c:pt>
                <c:pt idx="764">
                  <c:v>27.068769199999998</c:v>
                </c:pt>
                <c:pt idx="765">
                  <c:v>27.120230800000002</c:v>
                </c:pt>
                <c:pt idx="766">
                  <c:v>27.1716923</c:v>
                </c:pt>
                <c:pt idx="767">
                  <c:v>27.2231539</c:v>
                </c:pt>
                <c:pt idx="768">
                  <c:v>27.274615399999998</c:v>
                </c:pt>
                <c:pt idx="769">
                  <c:v>27.3260769</c:v>
                </c:pt>
                <c:pt idx="770">
                  <c:v>27.3775385</c:v>
                </c:pt>
                <c:pt idx="771">
                  <c:v>27.428999999999998</c:v>
                </c:pt>
                <c:pt idx="772">
                  <c:v>27.480461500000001</c:v>
                </c:pt>
                <c:pt idx="773">
                  <c:v>27.5319231</c:v>
                </c:pt>
                <c:pt idx="774">
                  <c:v>27.583384599999999</c:v>
                </c:pt>
                <c:pt idx="775">
                  <c:v>27.634846199999998</c:v>
                </c:pt>
                <c:pt idx="776">
                  <c:v>27.6863077</c:v>
                </c:pt>
                <c:pt idx="777">
                  <c:v>27.737769199999999</c:v>
                </c:pt>
                <c:pt idx="778">
                  <c:v>27.789230799999999</c:v>
                </c:pt>
                <c:pt idx="779">
                  <c:v>27.840692300000001</c:v>
                </c:pt>
                <c:pt idx="780">
                  <c:v>27.8921539</c:v>
                </c:pt>
                <c:pt idx="781">
                  <c:v>27.943615399999999</c:v>
                </c:pt>
                <c:pt idx="782">
                  <c:v>27.995076900000001</c:v>
                </c:pt>
                <c:pt idx="783">
                  <c:v>28.0465385</c:v>
                </c:pt>
                <c:pt idx="784">
                  <c:v>28.097999999999999</c:v>
                </c:pt>
                <c:pt idx="785">
                  <c:v>28.126127700000001</c:v>
                </c:pt>
                <c:pt idx="786">
                  <c:v>28.154255299999999</c:v>
                </c:pt>
                <c:pt idx="787">
                  <c:v>28.182383000000002</c:v>
                </c:pt>
                <c:pt idx="788">
                  <c:v>28.210510599999999</c:v>
                </c:pt>
                <c:pt idx="789">
                  <c:v>28.238638300000002</c:v>
                </c:pt>
                <c:pt idx="790">
                  <c:v>28.266766000000001</c:v>
                </c:pt>
                <c:pt idx="791">
                  <c:v>28.294893600000002</c:v>
                </c:pt>
                <c:pt idx="792">
                  <c:v>28.323021300000001</c:v>
                </c:pt>
                <c:pt idx="793">
                  <c:v>28.351148899999998</c:v>
                </c:pt>
                <c:pt idx="794">
                  <c:v>28.379276600000001</c:v>
                </c:pt>
                <c:pt idx="795">
                  <c:v>28.4074043</c:v>
                </c:pt>
                <c:pt idx="796">
                  <c:v>28.435531900000001</c:v>
                </c:pt>
                <c:pt idx="797">
                  <c:v>28.4636596</c:v>
                </c:pt>
                <c:pt idx="798">
                  <c:v>28.491787200000001</c:v>
                </c:pt>
                <c:pt idx="799">
                  <c:v>28.5199149</c:v>
                </c:pt>
                <c:pt idx="800">
                  <c:v>28.548042599999999</c:v>
                </c:pt>
                <c:pt idx="801">
                  <c:v>28.5761702</c:v>
                </c:pt>
                <c:pt idx="802">
                  <c:v>28.604297899999999</c:v>
                </c:pt>
                <c:pt idx="803">
                  <c:v>28.6324255</c:v>
                </c:pt>
                <c:pt idx="804">
                  <c:v>28.660553199999999</c:v>
                </c:pt>
                <c:pt idx="805">
                  <c:v>28.688680900000001</c:v>
                </c:pt>
                <c:pt idx="806">
                  <c:v>28.716808499999999</c:v>
                </c:pt>
                <c:pt idx="807">
                  <c:v>28.744936200000001</c:v>
                </c:pt>
                <c:pt idx="808">
                  <c:v>28.773063799999999</c:v>
                </c:pt>
                <c:pt idx="809">
                  <c:v>28.801191500000002</c:v>
                </c:pt>
                <c:pt idx="810">
                  <c:v>28.8293192</c:v>
                </c:pt>
                <c:pt idx="811">
                  <c:v>28.857446800000002</c:v>
                </c:pt>
                <c:pt idx="812">
                  <c:v>28.885574500000001</c:v>
                </c:pt>
                <c:pt idx="813">
                  <c:v>28.913702099999998</c:v>
                </c:pt>
                <c:pt idx="814">
                  <c:v>28.941829800000001</c:v>
                </c:pt>
                <c:pt idx="815">
                  <c:v>28.9699575</c:v>
                </c:pt>
                <c:pt idx="816">
                  <c:v>28.998085100000001</c:v>
                </c:pt>
                <c:pt idx="817">
                  <c:v>29.0262128</c:v>
                </c:pt>
                <c:pt idx="818">
                  <c:v>29.054340400000001</c:v>
                </c:pt>
                <c:pt idx="819">
                  <c:v>29.0824681</c:v>
                </c:pt>
                <c:pt idx="820">
                  <c:v>29.110595700000001</c:v>
                </c:pt>
                <c:pt idx="821">
                  <c:v>29.1387234</c:v>
                </c:pt>
                <c:pt idx="822">
                  <c:v>29.166851099999999</c:v>
                </c:pt>
                <c:pt idx="823">
                  <c:v>29.1949787</c:v>
                </c:pt>
                <c:pt idx="824">
                  <c:v>29.223106399999999</c:v>
                </c:pt>
                <c:pt idx="825">
                  <c:v>29.251234</c:v>
                </c:pt>
                <c:pt idx="826">
                  <c:v>29.279361699999999</c:v>
                </c:pt>
                <c:pt idx="827">
                  <c:v>29.307489400000001</c:v>
                </c:pt>
                <c:pt idx="828">
                  <c:v>29.335616999999999</c:v>
                </c:pt>
                <c:pt idx="829">
                  <c:v>29.363744700000002</c:v>
                </c:pt>
                <c:pt idx="830">
                  <c:v>29.391872299999999</c:v>
                </c:pt>
                <c:pt idx="831">
                  <c:v>29.42</c:v>
                </c:pt>
                <c:pt idx="832">
                  <c:v>29.448127700000001</c:v>
                </c:pt>
                <c:pt idx="833">
                  <c:v>29.476255299999998</c:v>
                </c:pt>
                <c:pt idx="834">
                  <c:v>29.504383000000001</c:v>
                </c:pt>
                <c:pt idx="835">
                  <c:v>29.532510599999998</c:v>
                </c:pt>
                <c:pt idx="836">
                  <c:v>29.560638300000001</c:v>
                </c:pt>
                <c:pt idx="837">
                  <c:v>29.588766</c:v>
                </c:pt>
                <c:pt idx="838">
                  <c:v>29.616893600000001</c:v>
                </c:pt>
                <c:pt idx="839">
                  <c:v>29.6450213</c:v>
                </c:pt>
                <c:pt idx="840">
                  <c:v>29.673148900000001</c:v>
                </c:pt>
                <c:pt idx="841">
                  <c:v>29.7012766</c:v>
                </c:pt>
                <c:pt idx="842">
                  <c:v>29.729404299999999</c:v>
                </c:pt>
                <c:pt idx="843">
                  <c:v>29.7575319</c:v>
                </c:pt>
                <c:pt idx="844">
                  <c:v>29.785659599999999</c:v>
                </c:pt>
                <c:pt idx="845">
                  <c:v>29.8137872</c:v>
                </c:pt>
                <c:pt idx="846">
                  <c:v>29.841914899999999</c:v>
                </c:pt>
                <c:pt idx="847">
                  <c:v>29.870042600000001</c:v>
                </c:pt>
                <c:pt idx="848">
                  <c:v>29.898170199999999</c:v>
                </c:pt>
                <c:pt idx="849">
                  <c:v>29.926297900000002</c:v>
                </c:pt>
                <c:pt idx="850">
                  <c:v>29.954425499999999</c:v>
                </c:pt>
                <c:pt idx="851">
                  <c:v>29.982553200000002</c:v>
                </c:pt>
                <c:pt idx="852">
                  <c:v>30.010680900000001</c:v>
                </c:pt>
                <c:pt idx="853">
                  <c:v>30.038808499999998</c:v>
                </c:pt>
                <c:pt idx="854">
                  <c:v>30.066936200000001</c:v>
                </c:pt>
                <c:pt idx="855">
                  <c:v>30.095063799999998</c:v>
                </c:pt>
                <c:pt idx="856">
                  <c:v>30.123191500000001</c:v>
                </c:pt>
                <c:pt idx="857">
                  <c:v>30.1513192</c:v>
                </c:pt>
                <c:pt idx="858">
                  <c:v>30.179446800000001</c:v>
                </c:pt>
                <c:pt idx="859">
                  <c:v>30.2075745</c:v>
                </c:pt>
                <c:pt idx="860">
                  <c:v>30.235702100000001</c:v>
                </c:pt>
                <c:pt idx="861">
                  <c:v>30.2638298</c:v>
                </c:pt>
                <c:pt idx="862">
                  <c:v>30.291957499999999</c:v>
                </c:pt>
                <c:pt idx="863">
                  <c:v>30.3200851</c:v>
                </c:pt>
                <c:pt idx="864">
                  <c:v>30.348212799999999</c:v>
                </c:pt>
                <c:pt idx="865">
                  <c:v>30.3763404</c:v>
                </c:pt>
                <c:pt idx="866">
                  <c:v>30.404468099999999</c:v>
                </c:pt>
                <c:pt idx="867">
                  <c:v>30.4325957</c:v>
                </c:pt>
                <c:pt idx="868">
                  <c:v>30.460723399999999</c:v>
                </c:pt>
                <c:pt idx="869">
                  <c:v>30.488851100000002</c:v>
                </c:pt>
                <c:pt idx="870">
                  <c:v>30.516978699999999</c:v>
                </c:pt>
                <c:pt idx="871">
                  <c:v>30.545106400000002</c:v>
                </c:pt>
                <c:pt idx="872">
                  <c:v>30.573233999999999</c:v>
                </c:pt>
                <c:pt idx="873">
                  <c:v>30.601361699999998</c:v>
                </c:pt>
                <c:pt idx="874">
                  <c:v>30.629489400000001</c:v>
                </c:pt>
                <c:pt idx="875">
                  <c:v>30.657616999999998</c:v>
                </c:pt>
                <c:pt idx="876">
                  <c:v>30.685744700000001</c:v>
                </c:pt>
                <c:pt idx="877">
                  <c:v>30.713872299999998</c:v>
                </c:pt>
                <c:pt idx="878">
                  <c:v>30.742000000000001</c:v>
                </c:pt>
                <c:pt idx="879">
                  <c:v>30.7541619</c:v>
                </c:pt>
                <c:pt idx="880">
                  <c:v>30.766323799999999</c:v>
                </c:pt>
                <c:pt idx="881">
                  <c:v>30.778485700000001</c:v>
                </c:pt>
                <c:pt idx="882">
                  <c:v>30.7906476</c:v>
                </c:pt>
                <c:pt idx="883">
                  <c:v>30.802809499999999</c:v>
                </c:pt>
                <c:pt idx="884">
                  <c:v>30.814971400000001</c:v>
                </c:pt>
                <c:pt idx="885">
                  <c:v>30.8271333</c:v>
                </c:pt>
                <c:pt idx="886">
                  <c:v>30.839295199999999</c:v>
                </c:pt>
                <c:pt idx="887">
                  <c:v>30.851457100000001</c:v>
                </c:pt>
                <c:pt idx="888">
                  <c:v>30.863619100000001</c:v>
                </c:pt>
                <c:pt idx="889">
                  <c:v>30.875781</c:v>
                </c:pt>
                <c:pt idx="890">
                  <c:v>30.887942899999999</c:v>
                </c:pt>
                <c:pt idx="891">
                  <c:v>30.900104800000001</c:v>
                </c:pt>
                <c:pt idx="892">
                  <c:v>30.9122667</c:v>
                </c:pt>
                <c:pt idx="893">
                  <c:v>30.924428599999999</c:v>
                </c:pt>
                <c:pt idx="894">
                  <c:v>30.936590500000001</c:v>
                </c:pt>
                <c:pt idx="895">
                  <c:v>30.9487524</c:v>
                </c:pt>
                <c:pt idx="896">
                  <c:v>30.960914299999999</c:v>
                </c:pt>
                <c:pt idx="897">
                  <c:v>30.973076200000001</c:v>
                </c:pt>
                <c:pt idx="898">
                  <c:v>30.9852381</c:v>
                </c:pt>
                <c:pt idx="899">
                  <c:v>30.997399999999999</c:v>
                </c:pt>
                <c:pt idx="900">
                  <c:v>31.009561900000001</c:v>
                </c:pt>
                <c:pt idx="901">
                  <c:v>31.0217238</c:v>
                </c:pt>
                <c:pt idx="902">
                  <c:v>31.033885699999999</c:v>
                </c:pt>
                <c:pt idx="903">
                  <c:v>31.046047600000001</c:v>
                </c:pt>
                <c:pt idx="904">
                  <c:v>31.0582095</c:v>
                </c:pt>
                <c:pt idx="905">
                  <c:v>31.070371399999999</c:v>
                </c:pt>
                <c:pt idx="906">
                  <c:v>31.082533300000001</c:v>
                </c:pt>
                <c:pt idx="907">
                  <c:v>31.0946952</c:v>
                </c:pt>
                <c:pt idx="908">
                  <c:v>31.106857099999999</c:v>
                </c:pt>
                <c:pt idx="909">
                  <c:v>31.119019099999999</c:v>
                </c:pt>
                <c:pt idx="910">
                  <c:v>31.131181000000002</c:v>
                </c:pt>
                <c:pt idx="911">
                  <c:v>31.1433429</c:v>
                </c:pt>
                <c:pt idx="912">
                  <c:v>31.155504799999999</c:v>
                </c:pt>
                <c:pt idx="913">
                  <c:v>31.167666700000002</c:v>
                </c:pt>
                <c:pt idx="914">
                  <c:v>31.1798286</c:v>
                </c:pt>
                <c:pt idx="915">
                  <c:v>31.191990499999999</c:v>
                </c:pt>
                <c:pt idx="916">
                  <c:v>31.204152400000002</c:v>
                </c:pt>
                <c:pt idx="917">
                  <c:v>31.216314300000001</c:v>
                </c:pt>
                <c:pt idx="918">
                  <c:v>31.228476199999999</c:v>
                </c:pt>
                <c:pt idx="919">
                  <c:v>31.240638100000002</c:v>
                </c:pt>
                <c:pt idx="920">
                  <c:v>31.252800000000001</c:v>
                </c:pt>
                <c:pt idx="921">
                  <c:v>31.264961899999999</c:v>
                </c:pt>
                <c:pt idx="922">
                  <c:v>31.277123799999998</c:v>
                </c:pt>
                <c:pt idx="923">
                  <c:v>31.289285700000001</c:v>
                </c:pt>
                <c:pt idx="924">
                  <c:v>31.301447599999999</c:v>
                </c:pt>
                <c:pt idx="925">
                  <c:v>31.313609499999998</c:v>
                </c:pt>
                <c:pt idx="926">
                  <c:v>31.325771400000001</c:v>
                </c:pt>
                <c:pt idx="927">
                  <c:v>31.3379333</c:v>
                </c:pt>
                <c:pt idx="928">
                  <c:v>31.350095199999998</c:v>
                </c:pt>
                <c:pt idx="929">
                  <c:v>31.362257100000001</c:v>
                </c:pt>
                <c:pt idx="930">
                  <c:v>31.374419100000001</c:v>
                </c:pt>
                <c:pt idx="931">
                  <c:v>31.386581</c:v>
                </c:pt>
                <c:pt idx="932">
                  <c:v>31.398742899999998</c:v>
                </c:pt>
                <c:pt idx="933">
                  <c:v>31.410904800000001</c:v>
                </c:pt>
                <c:pt idx="934">
                  <c:v>31.4230667</c:v>
                </c:pt>
                <c:pt idx="935">
                  <c:v>31.435228599999999</c:v>
                </c:pt>
                <c:pt idx="936">
                  <c:v>31.447390500000001</c:v>
                </c:pt>
                <c:pt idx="937">
                  <c:v>31.4595524</c:v>
                </c:pt>
                <c:pt idx="938">
                  <c:v>31.471714299999999</c:v>
                </c:pt>
                <c:pt idx="939">
                  <c:v>31.483876200000001</c:v>
                </c:pt>
                <c:pt idx="940">
                  <c:v>31.4960381</c:v>
                </c:pt>
                <c:pt idx="941">
                  <c:v>31.508199999999999</c:v>
                </c:pt>
                <c:pt idx="942">
                  <c:v>31.520361900000001</c:v>
                </c:pt>
                <c:pt idx="943">
                  <c:v>31.5325238</c:v>
                </c:pt>
                <c:pt idx="944">
                  <c:v>31.544685699999999</c:v>
                </c:pt>
                <c:pt idx="945">
                  <c:v>31.556847600000001</c:v>
                </c:pt>
                <c:pt idx="946">
                  <c:v>31.5690095</c:v>
                </c:pt>
                <c:pt idx="947">
                  <c:v>31.581171399999999</c:v>
                </c:pt>
                <c:pt idx="948">
                  <c:v>31.593333300000001</c:v>
                </c:pt>
                <c:pt idx="949">
                  <c:v>31.6054952</c:v>
                </c:pt>
                <c:pt idx="950">
                  <c:v>31.617657099999999</c:v>
                </c:pt>
                <c:pt idx="951">
                  <c:v>31.629819099999999</c:v>
                </c:pt>
                <c:pt idx="952">
                  <c:v>31.641981000000001</c:v>
                </c:pt>
                <c:pt idx="953">
                  <c:v>31.6541429</c:v>
                </c:pt>
                <c:pt idx="954">
                  <c:v>31.666304799999999</c:v>
                </c:pt>
                <c:pt idx="955">
                  <c:v>31.678466700000001</c:v>
                </c:pt>
                <c:pt idx="956">
                  <c:v>31.6906286</c:v>
                </c:pt>
                <c:pt idx="957">
                  <c:v>31.702790499999999</c:v>
                </c:pt>
                <c:pt idx="958">
                  <c:v>31.714952400000001</c:v>
                </c:pt>
                <c:pt idx="959">
                  <c:v>31.7271143</c:v>
                </c:pt>
                <c:pt idx="960">
                  <c:v>31.739276199999999</c:v>
                </c:pt>
                <c:pt idx="961">
                  <c:v>31.751438100000001</c:v>
                </c:pt>
                <c:pt idx="962">
                  <c:v>31.7636</c:v>
                </c:pt>
                <c:pt idx="963">
                  <c:v>31.775761899999999</c:v>
                </c:pt>
                <c:pt idx="964">
                  <c:v>31.787923800000002</c:v>
                </c:pt>
                <c:pt idx="965">
                  <c:v>31.8000857</c:v>
                </c:pt>
                <c:pt idx="966">
                  <c:v>31.812247599999999</c:v>
                </c:pt>
                <c:pt idx="967">
                  <c:v>31.824409500000002</c:v>
                </c:pt>
                <c:pt idx="968">
                  <c:v>31.8365714</c:v>
                </c:pt>
                <c:pt idx="969">
                  <c:v>31.848733299999999</c:v>
                </c:pt>
                <c:pt idx="970">
                  <c:v>31.860895200000002</c:v>
                </c:pt>
                <c:pt idx="971">
                  <c:v>31.8730571</c:v>
                </c:pt>
                <c:pt idx="972">
                  <c:v>31.8852191</c:v>
                </c:pt>
                <c:pt idx="973">
                  <c:v>31.897380999999999</c:v>
                </c:pt>
                <c:pt idx="974">
                  <c:v>31.909542900000002</c:v>
                </c:pt>
                <c:pt idx="975">
                  <c:v>31.921704800000001</c:v>
                </c:pt>
                <c:pt idx="976">
                  <c:v>31.933866699999999</c:v>
                </c:pt>
                <c:pt idx="977">
                  <c:v>31.946028600000002</c:v>
                </c:pt>
                <c:pt idx="978">
                  <c:v>31.958190500000001</c:v>
                </c:pt>
                <c:pt idx="979">
                  <c:v>31.970352399999999</c:v>
                </c:pt>
                <c:pt idx="980">
                  <c:v>31.982514299999998</c:v>
                </c:pt>
                <c:pt idx="981">
                  <c:v>31.994676200000001</c:v>
                </c:pt>
                <c:pt idx="982">
                  <c:v>32.006838100000003</c:v>
                </c:pt>
                <c:pt idx="983">
                  <c:v>32.018999999999998</c:v>
                </c:pt>
                <c:pt idx="984">
                  <c:v>32.048000000000002</c:v>
                </c:pt>
                <c:pt idx="985">
                  <c:v>32.076999999999998</c:v>
                </c:pt>
                <c:pt idx="986">
                  <c:v>32.106000000000002</c:v>
                </c:pt>
                <c:pt idx="987">
                  <c:v>32.134999999999998</c:v>
                </c:pt>
                <c:pt idx="988">
                  <c:v>32.164000000000001</c:v>
                </c:pt>
                <c:pt idx="989">
                  <c:v>32.192999999999998</c:v>
                </c:pt>
                <c:pt idx="990">
                  <c:v>32.222000000000001</c:v>
                </c:pt>
                <c:pt idx="991">
                  <c:v>32.250999999999998</c:v>
                </c:pt>
                <c:pt idx="992">
                  <c:v>32.28</c:v>
                </c:pt>
                <c:pt idx="993">
                  <c:v>32.308999999999997</c:v>
                </c:pt>
                <c:pt idx="994">
                  <c:v>32.338000000000001</c:v>
                </c:pt>
                <c:pt idx="995">
                  <c:v>32.366999999999997</c:v>
                </c:pt>
                <c:pt idx="996">
                  <c:v>32.396000000000001</c:v>
                </c:pt>
                <c:pt idx="997">
                  <c:v>32.424999999999997</c:v>
                </c:pt>
                <c:pt idx="998">
                  <c:v>32.454000000000001</c:v>
                </c:pt>
                <c:pt idx="999">
                  <c:v>32.482999999999997</c:v>
                </c:pt>
                <c:pt idx="1000">
                  <c:v>32.512</c:v>
                </c:pt>
                <c:pt idx="1001">
                  <c:v>32.540999999999997</c:v>
                </c:pt>
                <c:pt idx="1002">
                  <c:v>32.57</c:v>
                </c:pt>
                <c:pt idx="1003">
                  <c:v>32.598999999999997</c:v>
                </c:pt>
                <c:pt idx="1004">
                  <c:v>32.628</c:v>
                </c:pt>
                <c:pt idx="1005">
                  <c:v>32.656999999999996</c:v>
                </c:pt>
                <c:pt idx="1006">
                  <c:v>32.686</c:v>
                </c:pt>
                <c:pt idx="1007">
                  <c:v>32.715000000000003</c:v>
                </c:pt>
                <c:pt idx="1008">
                  <c:v>32.744</c:v>
                </c:pt>
                <c:pt idx="1009">
                  <c:v>32.773000000000003</c:v>
                </c:pt>
                <c:pt idx="1010">
                  <c:v>32.802</c:v>
                </c:pt>
                <c:pt idx="1011">
                  <c:v>32.831000000000003</c:v>
                </c:pt>
                <c:pt idx="1012">
                  <c:v>32.86</c:v>
                </c:pt>
                <c:pt idx="1013">
                  <c:v>32.889000000000003</c:v>
                </c:pt>
                <c:pt idx="1014">
                  <c:v>32.917999999999999</c:v>
                </c:pt>
                <c:pt idx="1015">
                  <c:v>32.947000000000003</c:v>
                </c:pt>
                <c:pt idx="1016">
                  <c:v>32.975999999999999</c:v>
                </c:pt>
                <c:pt idx="1017">
                  <c:v>33.005000000000003</c:v>
                </c:pt>
                <c:pt idx="1018">
                  <c:v>33.033999999999999</c:v>
                </c:pt>
                <c:pt idx="1019">
                  <c:v>33.063000000000002</c:v>
                </c:pt>
                <c:pt idx="1020">
                  <c:v>33.091999999999999</c:v>
                </c:pt>
                <c:pt idx="1021">
                  <c:v>33.121000000000002</c:v>
                </c:pt>
                <c:pt idx="1022">
                  <c:v>33.15</c:v>
                </c:pt>
                <c:pt idx="1023">
                  <c:v>33.179000000000002</c:v>
                </c:pt>
                <c:pt idx="1024">
                  <c:v>33.207999999999998</c:v>
                </c:pt>
                <c:pt idx="1025">
                  <c:v>33.237000000000002</c:v>
                </c:pt>
                <c:pt idx="1026">
                  <c:v>33.265999999999998</c:v>
                </c:pt>
                <c:pt idx="1027">
                  <c:v>33.295000000000002</c:v>
                </c:pt>
                <c:pt idx="1028">
                  <c:v>33.323999999999998</c:v>
                </c:pt>
                <c:pt idx="1029">
                  <c:v>33.353000000000002</c:v>
                </c:pt>
                <c:pt idx="1030">
                  <c:v>33.381999999999998</c:v>
                </c:pt>
                <c:pt idx="1031">
                  <c:v>33.411000000000001</c:v>
                </c:pt>
                <c:pt idx="1032">
                  <c:v>33.44</c:v>
                </c:pt>
                <c:pt idx="1033">
                  <c:v>33.469000000000001</c:v>
                </c:pt>
                <c:pt idx="1034">
                  <c:v>33.497999999999998</c:v>
                </c:pt>
                <c:pt idx="1035">
                  <c:v>33.527000000000001</c:v>
                </c:pt>
                <c:pt idx="1036">
                  <c:v>33.555999999999997</c:v>
                </c:pt>
                <c:pt idx="1037">
                  <c:v>33.585000000000001</c:v>
                </c:pt>
                <c:pt idx="1038">
                  <c:v>33.613999999999997</c:v>
                </c:pt>
                <c:pt idx="1039">
                  <c:v>33.643000000000001</c:v>
                </c:pt>
                <c:pt idx="1040">
                  <c:v>33.671999999999997</c:v>
                </c:pt>
                <c:pt idx="1041">
                  <c:v>33.701000000000001</c:v>
                </c:pt>
                <c:pt idx="1042">
                  <c:v>33.729999999999997</c:v>
                </c:pt>
                <c:pt idx="1043">
                  <c:v>33.759</c:v>
                </c:pt>
                <c:pt idx="1044">
                  <c:v>33.787999999999997</c:v>
                </c:pt>
                <c:pt idx="1045">
                  <c:v>33.817</c:v>
                </c:pt>
                <c:pt idx="1046">
                  <c:v>33.845999999999997</c:v>
                </c:pt>
                <c:pt idx="1047">
                  <c:v>33.875</c:v>
                </c:pt>
                <c:pt idx="1048">
                  <c:v>33.904000000000003</c:v>
                </c:pt>
                <c:pt idx="1049">
                  <c:v>33.933</c:v>
                </c:pt>
                <c:pt idx="1050">
                  <c:v>33.962000000000003</c:v>
                </c:pt>
                <c:pt idx="1051">
                  <c:v>33.991</c:v>
                </c:pt>
                <c:pt idx="1052">
                  <c:v>34.020000000000003</c:v>
                </c:pt>
                <c:pt idx="1053">
                  <c:v>34.048999999999999</c:v>
                </c:pt>
                <c:pt idx="1054">
                  <c:v>34.078000000000003</c:v>
                </c:pt>
                <c:pt idx="1055">
                  <c:v>34.106999999999999</c:v>
                </c:pt>
                <c:pt idx="1056">
                  <c:v>34.136000000000003</c:v>
                </c:pt>
                <c:pt idx="1057">
                  <c:v>34.164999999999999</c:v>
                </c:pt>
                <c:pt idx="1058">
                  <c:v>34.194000000000003</c:v>
                </c:pt>
                <c:pt idx="1059">
                  <c:v>34.222999999999999</c:v>
                </c:pt>
                <c:pt idx="1060">
                  <c:v>34.252000000000002</c:v>
                </c:pt>
                <c:pt idx="1061">
                  <c:v>34.280999999999999</c:v>
                </c:pt>
                <c:pt idx="1062">
                  <c:v>34.31</c:v>
                </c:pt>
                <c:pt idx="1063">
                  <c:v>34.338999999999999</c:v>
                </c:pt>
                <c:pt idx="1064">
                  <c:v>34.368000000000002</c:v>
                </c:pt>
                <c:pt idx="1065">
                  <c:v>34.396999999999998</c:v>
                </c:pt>
              </c:numCache>
            </c:numRef>
          </c:xVal>
          <c:yVal>
            <c:numRef>
              <c:f>'XRF selectie'!$T:$T</c:f>
              <c:numCache>
                <c:formatCode>General</c:formatCode>
                <c:ptCount val="1048576"/>
                <c:pt idx="0">
                  <c:v>0</c:v>
                </c:pt>
                <c:pt idx="2">
                  <c:v>1.2007184544674683</c:v>
                </c:pt>
                <c:pt idx="3">
                  <c:v>1.2249034793224851</c:v>
                </c:pt>
                <c:pt idx="4">
                  <c:v>1.2509364473548226</c:v>
                </c:pt>
                <c:pt idx="5">
                  <c:v>1.2646114801454607</c:v>
                </c:pt>
                <c:pt idx="6">
                  <c:v>1.2962595263983177</c:v>
                </c:pt>
                <c:pt idx="7">
                  <c:v>1.2947969661674348</c:v>
                </c:pt>
                <c:pt idx="8">
                  <c:v>1.280639655366836</c:v>
                </c:pt>
                <c:pt idx="9">
                  <c:v>1.2859090477511381</c:v>
                </c:pt>
                <c:pt idx="10">
                  <c:v>1.2966406742574632</c:v>
                </c:pt>
                <c:pt idx="11">
                  <c:v>1.3101076946983812</c:v>
                </c:pt>
                <c:pt idx="12">
                  <c:v>1.2730918757209455</c:v>
                </c:pt>
                <c:pt idx="13">
                  <c:v>1.2456044573789207</c:v>
                </c:pt>
                <c:pt idx="14">
                  <c:v>1.2374661325834397</c:v>
                </c:pt>
                <c:pt idx="15">
                  <c:v>1.2525252220920899</c:v>
                </c:pt>
                <c:pt idx="16">
                  <c:v>1.2581997511565011</c:v>
                </c:pt>
                <c:pt idx="17">
                  <c:v>1.2817238137738338</c:v>
                </c:pt>
                <c:pt idx="18">
                  <c:v>1.3036013836419693</c:v>
                </c:pt>
                <c:pt idx="19">
                  <c:v>1.2797685626703414</c:v>
                </c:pt>
                <c:pt idx="20">
                  <c:v>1.3203791187740574</c:v>
                </c:pt>
                <c:pt idx="21">
                  <c:v>1.3257380339906317</c:v>
                </c:pt>
                <c:pt idx="22">
                  <c:v>1.4221732502260238</c:v>
                </c:pt>
                <c:pt idx="23">
                  <c:v>1.4114783195577358</c:v>
                </c:pt>
                <c:pt idx="24">
                  <c:v>1.3887765395589506</c:v>
                </c:pt>
                <c:pt idx="25">
                  <c:v>1.3550099867996768</c:v>
                </c:pt>
                <c:pt idx="26">
                  <c:v>1.3260592581285497</c:v>
                </c:pt>
                <c:pt idx="27">
                  <c:v>1.3385788641800793</c:v>
                </c:pt>
                <c:pt idx="28">
                  <c:v>1.3557566384073587</c:v>
                </c:pt>
                <c:pt idx="29">
                  <c:v>1.3704438304211433</c:v>
                </c:pt>
                <c:pt idx="30">
                  <c:v>1.3678124757715697</c:v>
                </c:pt>
                <c:pt idx="31">
                  <c:v>1.3578600849307267</c:v>
                </c:pt>
                <c:pt idx="32">
                  <c:v>1.3575119394477355</c:v>
                </c:pt>
                <c:pt idx="33">
                  <c:v>1.3490087108445807</c:v>
                </c:pt>
                <c:pt idx="34">
                  <c:v>1.2868948390364199</c:v>
                </c:pt>
                <c:pt idx="35">
                  <c:v>1.2725593575084302</c:v>
                </c:pt>
                <c:pt idx="36">
                  <c:v>1.2992983532668825</c:v>
                </c:pt>
                <c:pt idx="37">
                  <c:v>1.3662358756319026</c:v>
                </c:pt>
                <c:pt idx="38">
                  <c:v>1.3607502575152364</c:v>
                </c:pt>
                <c:pt idx="39">
                  <c:v>1.3282847204200066</c:v>
                </c:pt>
                <c:pt idx="40">
                  <c:v>1.2724680274203228</c:v>
                </c:pt>
                <c:pt idx="41">
                  <c:v>1.2261044701174013</c:v>
                </c:pt>
                <c:pt idx="42">
                  <c:v>1.2056776273328287</c:v>
                </c:pt>
                <c:pt idx="43">
                  <c:v>1.2180050301889622</c:v>
                </c:pt>
                <c:pt idx="44">
                  <c:v>1.2587142376301221</c:v>
                </c:pt>
                <c:pt idx="45">
                  <c:v>1.1681406123765727</c:v>
                </c:pt>
                <c:pt idx="46">
                  <c:v>1.1898532147237717</c:v>
                </c:pt>
                <c:pt idx="47">
                  <c:v>1.1875606215040835</c:v>
                </c:pt>
                <c:pt idx="48">
                  <c:v>1.2527980170810042</c:v>
                </c:pt>
                <c:pt idx="49">
                  <c:v>1.1953902300004022</c:v>
                </c:pt>
                <c:pt idx="50">
                  <c:v>1.202762871635545</c:v>
                </c:pt>
                <c:pt idx="51">
                  <c:v>1.2615816336793684</c:v>
                </c:pt>
                <c:pt idx="52">
                  <c:v>1.3432009665318987</c:v>
                </c:pt>
                <c:pt idx="53">
                  <c:v>1.3130620664238013</c:v>
                </c:pt>
                <c:pt idx="54">
                  <c:v>1.2967295748321013</c:v>
                </c:pt>
                <c:pt idx="55">
                  <c:v>1.2826282330181416</c:v>
                </c:pt>
                <c:pt idx="56">
                  <c:v>1.295182627201318</c:v>
                </c:pt>
                <c:pt idx="57">
                  <c:v>1.2794444776384841</c:v>
                </c:pt>
                <c:pt idx="58">
                  <c:v>1.2454278570225392</c:v>
                </c:pt>
                <c:pt idx="59">
                  <c:v>1.2343264713568067</c:v>
                </c:pt>
                <c:pt idx="60">
                  <c:v>1.237448487769103</c:v>
                </c:pt>
                <c:pt idx="61">
                  <c:v>1.2373282145771987</c:v>
                </c:pt>
                <c:pt idx="62">
                  <c:v>1.2392097102549302</c:v>
                </c:pt>
                <c:pt idx="63">
                  <c:v>1.2349800334854308</c:v>
                </c:pt>
                <c:pt idx="64">
                  <c:v>1.2302811687880106</c:v>
                </c:pt>
                <c:pt idx="65">
                  <c:v>1.2198671508297469</c:v>
                </c:pt>
                <c:pt idx="66">
                  <c:v>1.2053245286719441</c:v>
                </c:pt>
                <c:pt idx="67">
                  <c:v>1.1846978765678253</c:v>
                </c:pt>
                <c:pt idx="68">
                  <c:v>1.1504840257896571</c:v>
                </c:pt>
                <c:pt idx="69">
                  <c:v>1.1553580179108838</c:v>
                </c:pt>
                <c:pt idx="70">
                  <c:v>1.1696429503698198</c:v>
                </c:pt>
                <c:pt idx="71">
                  <c:v>1.208730438597134</c:v>
                </c:pt>
                <c:pt idx="72">
                  <c:v>1.2282978671074003</c:v>
                </c:pt>
                <c:pt idx="73">
                  <c:v>1.2061391076775041</c:v>
                </c:pt>
                <c:pt idx="74">
                  <c:v>1.2038161414463375</c:v>
                </c:pt>
                <c:pt idx="75">
                  <c:v>1.2091925640967596</c:v>
                </c:pt>
                <c:pt idx="76">
                  <c:v>1.2469804196589667</c:v>
                </c:pt>
                <c:pt idx="77">
                  <c:v>1.2373695792899022</c:v>
                </c:pt>
                <c:pt idx="78">
                  <c:v>1.246923996398307</c:v>
                </c:pt>
                <c:pt idx="79">
                  <c:v>1.2464491385299803</c:v>
                </c:pt>
                <c:pt idx="80">
                  <c:v>1.2817977818553135</c:v>
                </c:pt>
                <c:pt idx="81">
                  <c:v>1.285499877583661</c:v>
                </c:pt>
                <c:pt idx="82">
                  <c:v>1.2925363733048227</c:v>
                </c:pt>
                <c:pt idx="83">
                  <c:v>1.2782374579488731</c:v>
                </c:pt>
                <c:pt idx="84">
                  <c:v>1.2643107174672874</c:v>
                </c:pt>
                <c:pt idx="85">
                  <c:v>1.2565333956414229</c:v>
                </c:pt>
                <c:pt idx="86">
                  <c:v>1.2619862786744953</c:v>
                </c:pt>
                <c:pt idx="87">
                  <c:v>1.2611100110926279</c:v>
                </c:pt>
                <c:pt idx="88">
                  <c:v>1.2576533814017281</c:v>
                </c:pt>
                <c:pt idx="89">
                  <c:v>1.25630265410938</c:v>
                </c:pt>
                <c:pt idx="90">
                  <c:v>1.26928633199476</c:v>
                </c:pt>
                <c:pt idx="91">
                  <c:v>1.2816889362645096</c:v>
                </c:pt>
                <c:pt idx="92">
                  <c:v>1.2929053459733344</c:v>
                </c:pt>
                <c:pt idx="93">
                  <c:v>1.2883869078990837</c:v>
                </c:pt>
                <c:pt idx="94">
                  <c:v>1.276951771601486</c:v>
                </c:pt>
                <c:pt idx="95">
                  <c:v>1.2785048221206059</c:v>
                </c:pt>
                <c:pt idx="96">
                  <c:v>1.2844442218536825</c:v>
                </c:pt>
                <c:pt idx="97">
                  <c:v>1.3035114952811124</c:v>
                </c:pt>
                <c:pt idx="98">
                  <c:v>1.2872239211498284</c:v>
                </c:pt>
                <c:pt idx="99">
                  <c:v>1.2544499172195911</c:v>
                </c:pt>
                <c:pt idx="100">
                  <c:v>1.2413095024156282</c:v>
                </c:pt>
                <c:pt idx="101">
                  <c:v>1.2405781408120105</c:v>
                </c:pt>
                <c:pt idx="102">
                  <c:v>1.247767791537624</c:v>
                </c:pt>
                <c:pt idx="103">
                  <c:v>1.2433631277805708</c:v>
                </c:pt>
                <c:pt idx="104">
                  <c:v>1.2318391380384819</c:v>
                </c:pt>
                <c:pt idx="105">
                  <c:v>1.2352577129088202</c:v>
                </c:pt>
                <c:pt idx="106">
                  <c:v>1.1760682884748792</c:v>
                </c:pt>
                <c:pt idx="107">
                  <c:v>1.186098183885065</c:v>
                </c:pt>
                <c:pt idx="108">
                  <c:v>1.1928269022141438</c:v>
                </c:pt>
                <c:pt idx="109">
                  <c:v>1.2531599692241218</c:v>
                </c:pt>
                <c:pt idx="110">
                  <c:v>1.2515755668227733</c:v>
                </c:pt>
                <c:pt idx="111">
                  <c:v>1.2417054950087556</c:v>
                </c:pt>
                <c:pt idx="112">
                  <c:v>1.2434915055961169</c:v>
                </c:pt>
                <c:pt idx="113">
                  <c:v>1.250833287354473</c:v>
                </c:pt>
                <c:pt idx="114">
                  <c:v>1.2561675557919318</c:v>
                </c:pt>
                <c:pt idx="115">
                  <c:v>1.2622266223350689</c:v>
                </c:pt>
                <c:pt idx="116">
                  <c:v>1.2812234001131693</c:v>
                </c:pt>
                <c:pt idx="117">
                  <c:v>1.3022822793904263</c:v>
                </c:pt>
                <c:pt idx="118">
                  <c:v>1.3008361872093275</c:v>
                </c:pt>
                <c:pt idx="119">
                  <c:v>1.3033722524537339</c:v>
                </c:pt>
                <c:pt idx="120">
                  <c:v>1.3035188858679401</c:v>
                </c:pt>
                <c:pt idx="121">
                  <c:v>1.3054648771353419</c:v>
                </c:pt>
                <c:pt idx="122">
                  <c:v>1.2715913396047438</c:v>
                </c:pt>
                <c:pt idx="123">
                  <c:v>1.2443725249990718</c:v>
                </c:pt>
                <c:pt idx="124">
                  <c:v>1.2389975717210031</c:v>
                </c:pt>
                <c:pt idx="125">
                  <c:v>1.2435343898643465</c:v>
                </c:pt>
                <c:pt idx="126">
                  <c:v>1.2448251757798869</c:v>
                </c:pt>
                <c:pt idx="127">
                  <c:v>1.2454724447369439</c:v>
                </c:pt>
                <c:pt idx="128">
                  <c:v>1.2457953196968157</c:v>
                </c:pt>
                <c:pt idx="129">
                  <c:v>1.2725745730863609</c:v>
                </c:pt>
                <c:pt idx="130">
                  <c:v>1.2692017402869864</c:v>
                </c:pt>
                <c:pt idx="131">
                  <c:v>1.2801666976565063</c:v>
                </c:pt>
                <c:pt idx="132">
                  <c:v>1.2660874231639978</c:v>
                </c:pt>
                <c:pt idx="133">
                  <c:v>1.2547545957189685</c:v>
                </c:pt>
                <c:pt idx="134">
                  <c:v>1.2412336664886443</c:v>
                </c:pt>
                <c:pt idx="135">
                  <c:v>1.2120765133791129</c:v>
                </c:pt>
                <c:pt idx="136">
                  <c:v>1.1704362251055442</c:v>
                </c:pt>
                <c:pt idx="137">
                  <c:v>1.1775760240564048</c:v>
                </c:pt>
                <c:pt idx="138">
                  <c:v>1.183678008068288</c:v>
                </c:pt>
                <c:pt idx="139">
                  <c:v>1.2219749804492699</c:v>
                </c:pt>
                <c:pt idx="140">
                  <c:v>1.2206442864691078</c:v>
                </c:pt>
                <c:pt idx="141">
                  <c:v>1.2076689547977422</c:v>
                </c:pt>
                <c:pt idx="142">
                  <c:v>1.212448754983148</c:v>
                </c:pt>
                <c:pt idx="143">
                  <c:v>1.18604756522888</c:v>
                </c:pt>
                <c:pt idx="144">
                  <c:v>1.2099421422871346</c:v>
                </c:pt>
                <c:pt idx="145">
                  <c:v>1.1978111747142919</c:v>
                </c:pt>
                <c:pt idx="146">
                  <c:v>1.2041924533480615</c:v>
                </c:pt>
                <c:pt idx="147">
                  <c:v>1.1960786133979944</c:v>
                </c:pt>
                <c:pt idx="148">
                  <c:v>1.1317586396737582</c:v>
                </c:pt>
                <c:pt idx="149">
                  <c:v>1.0715370383511333</c:v>
                </c:pt>
                <c:pt idx="150">
                  <c:v>1.0450909138231506</c:v>
                </c:pt>
                <c:pt idx="151">
                  <c:v>1.0785457824545353</c:v>
                </c:pt>
                <c:pt idx="152">
                  <c:v>1.1239299742979256</c:v>
                </c:pt>
                <c:pt idx="153">
                  <c:v>1.1202100229641305</c:v>
                </c:pt>
                <c:pt idx="154">
                  <c:v>1.1264611725121831</c:v>
                </c:pt>
                <c:pt idx="155">
                  <c:v>1.1231643868361256</c:v>
                </c:pt>
                <c:pt idx="156">
                  <c:v>1.1129222102384688</c:v>
                </c:pt>
                <c:pt idx="157">
                  <c:v>1.1171912933121437</c:v>
                </c:pt>
                <c:pt idx="158">
                  <c:v>1.1043385971720265</c:v>
                </c:pt>
                <c:pt idx="159">
                  <c:v>1.1081010276239511</c:v>
                </c:pt>
                <c:pt idx="160">
                  <c:v>1.1083376900158965</c:v>
                </c:pt>
                <c:pt idx="161">
                  <c:v>1.0944637002888182</c:v>
                </c:pt>
                <c:pt idx="162">
                  <c:v>1.0616438401844599</c:v>
                </c:pt>
                <c:pt idx="163">
                  <c:v>1.0226240447410586</c:v>
                </c:pt>
                <c:pt idx="164">
                  <c:v>1.033028323474996</c:v>
                </c:pt>
                <c:pt idx="165">
                  <c:v>1.0518120865841967</c:v>
                </c:pt>
                <c:pt idx="166">
                  <c:v>1.0453481536804832</c:v>
                </c:pt>
                <c:pt idx="167">
                  <c:v>1.0268383844520756</c:v>
                </c:pt>
                <c:pt idx="168">
                  <c:v>1.0060776585110414</c:v>
                </c:pt>
                <c:pt idx="169">
                  <c:v>0.99805956412161778</c:v>
                </c:pt>
                <c:pt idx="170">
                  <c:v>0.9803402745368377</c:v>
                </c:pt>
                <c:pt idx="171">
                  <c:v>0.94490166693171418</c:v>
                </c:pt>
                <c:pt idx="172">
                  <c:v>0.9268611919167139</c:v>
                </c:pt>
                <c:pt idx="173">
                  <c:v>0.92458512355969791</c:v>
                </c:pt>
                <c:pt idx="174">
                  <c:v>0.9453536860252546</c:v>
                </c:pt>
                <c:pt idx="175">
                  <c:v>0.93375931065791118</c:v>
                </c:pt>
                <c:pt idx="176">
                  <c:v>0.93049780562472817</c:v>
                </c:pt>
                <c:pt idx="177">
                  <c:v>0.92652848490957218</c:v>
                </c:pt>
                <c:pt idx="178">
                  <c:v>0.92123583113104068</c:v>
                </c:pt>
                <c:pt idx="179">
                  <c:v>0.86105400795456155</c:v>
                </c:pt>
                <c:pt idx="180">
                  <c:v>0.79886357200310998</c:v>
                </c:pt>
                <c:pt idx="181">
                  <c:v>0.71280132758905712</c:v>
                </c:pt>
                <c:pt idx="182">
                  <c:v>0.67576296725057194</c:v>
                </c:pt>
                <c:pt idx="183">
                  <c:v>0.57521260318546774</c:v>
                </c:pt>
                <c:pt idx="184">
                  <c:v>0.63412962310305587</c:v>
                </c:pt>
                <c:pt idx="185">
                  <c:v>0.65838357575141659</c:v>
                </c:pt>
                <c:pt idx="186">
                  <c:v>0.76286283876470529</c:v>
                </c:pt>
                <c:pt idx="187">
                  <c:v>0.74159950513273687</c:v>
                </c:pt>
                <c:pt idx="188">
                  <c:v>0.70327676847550469</c:v>
                </c:pt>
                <c:pt idx="189">
                  <c:v>0.68182796749520191</c:v>
                </c:pt>
                <c:pt idx="190">
                  <c:v>0.69636532925998151</c:v>
                </c:pt>
                <c:pt idx="191">
                  <c:v>0.70371021346636853</c:v>
                </c:pt>
                <c:pt idx="192">
                  <c:v>0.69830519598119822</c:v>
                </c:pt>
                <c:pt idx="193">
                  <c:v>0.63162952530607763</c:v>
                </c:pt>
                <c:pt idx="194">
                  <c:v>0.5423902556321889</c:v>
                </c:pt>
                <c:pt idx="195">
                  <c:v>0.51801096040494743</c:v>
                </c:pt>
                <c:pt idx="196">
                  <c:v>0.60561781749525989</c:v>
                </c:pt>
                <c:pt idx="197">
                  <c:v>0.69344832347886831</c:v>
                </c:pt>
                <c:pt idx="198">
                  <c:v>0.72411444254187673</c:v>
                </c:pt>
                <c:pt idx="199">
                  <c:v>0.72482820270159054</c:v>
                </c:pt>
                <c:pt idx="200">
                  <c:v>0.73358227709441415</c:v>
                </c:pt>
                <c:pt idx="201">
                  <c:v>0.56696272879852883</c:v>
                </c:pt>
                <c:pt idx="202">
                  <c:v>0.5182689751560009</c:v>
                </c:pt>
                <c:pt idx="203">
                  <c:v>0.58585671813091078</c:v>
                </c:pt>
                <c:pt idx="204">
                  <c:v>0.85223552684367687</c:v>
                </c:pt>
                <c:pt idx="205">
                  <c:v>0.9369490003324582</c:v>
                </c:pt>
                <c:pt idx="206">
                  <c:v>0.98015827747961604</c:v>
                </c:pt>
                <c:pt idx="207">
                  <c:v>0.98404803234839855</c:v>
                </c:pt>
                <c:pt idx="208">
                  <c:v>1.0016869695239581</c:v>
                </c:pt>
                <c:pt idx="209">
                  <c:v>0.98869408120506774</c:v>
                </c:pt>
                <c:pt idx="210">
                  <c:v>0.96738378473984177</c:v>
                </c:pt>
                <c:pt idx="211">
                  <c:v>0.94360413430508583</c:v>
                </c:pt>
                <c:pt idx="212">
                  <c:v>0.94352448319192384</c:v>
                </c:pt>
                <c:pt idx="213">
                  <c:v>0.95873791818913789</c:v>
                </c:pt>
                <c:pt idx="214">
                  <c:v>0.96259604492548279</c:v>
                </c:pt>
                <c:pt idx="215">
                  <c:v>0.95372811457024242</c:v>
                </c:pt>
                <c:pt idx="216">
                  <c:v>0.92176562192507516</c:v>
                </c:pt>
                <c:pt idx="217">
                  <c:v>0.93454041442706559</c:v>
                </c:pt>
                <c:pt idx="218">
                  <c:v>0.94712314784483642</c:v>
                </c:pt>
                <c:pt idx="219">
                  <c:v>0.96056328532646873</c:v>
                </c:pt>
                <c:pt idx="220">
                  <c:v>0.95771785593680836</c:v>
                </c:pt>
                <c:pt idx="221">
                  <c:v>0.96107395684408081</c:v>
                </c:pt>
                <c:pt idx="222">
                  <c:v>0.96962095317644226</c:v>
                </c:pt>
                <c:pt idx="223">
                  <c:v>0.95672647398215505</c:v>
                </c:pt>
                <c:pt idx="224">
                  <c:v>0.93780568396649266</c:v>
                </c:pt>
                <c:pt idx="225">
                  <c:v>0.92264358911310851</c:v>
                </c:pt>
                <c:pt idx="226">
                  <c:v>0.91635907832039198</c:v>
                </c:pt>
                <c:pt idx="227">
                  <c:v>0.90267724694177265</c:v>
                </c:pt>
                <c:pt idx="228">
                  <c:v>0.8953322162424282</c:v>
                </c:pt>
                <c:pt idx="229">
                  <c:v>0.90146935762374236</c:v>
                </c:pt>
                <c:pt idx="230">
                  <c:v>0.91295716383998526</c:v>
                </c:pt>
                <c:pt idx="231">
                  <c:v>0.91036318902447799</c:v>
                </c:pt>
                <c:pt idx="232">
                  <c:v>0.91566022533385338</c:v>
                </c:pt>
                <c:pt idx="233">
                  <c:v>0.8977764898817292</c:v>
                </c:pt>
                <c:pt idx="234">
                  <c:v>0.89148136600109096</c:v>
                </c:pt>
                <c:pt idx="235">
                  <c:v>0.85793069901060337</c:v>
                </c:pt>
                <c:pt idx="236">
                  <c:v>0.84907075895531159</c:v>
                </c:pt>
                <c:pt idx="237">
                  <c:v>0.83370285470200056</c:v>
                </c:pt>
                <c:pt idx="238">
                  <c:v>0.81495376865144298</c:v>
                </c:pt>
                <c:pt idx="239">
                  <c:v>0.80169594809912681</c:v>
                </c:pt>
                <c:pt idx="240">
                  <c:v>0.79897565813806537</c:v>
                </c:pt>
                <c:pt idx="241">
                  <c:v>0.79874346098173732</c:v>
                </c:pt>
                <c:pt idx="242">
                  <c:v>0.78367772521203027</c:v>
                </c:pt>
                <c:pt idx="243">
                  <c:v>0.75870253006031552</c:v>
                </c:pt>
                <c:pt idx="244">
                  <c:v>0.65977303434593704</c:v>
                </c:pt>
                <c:pt idx="245">
                  <c:v>0.62685132541054811</c:v>
                </c:pt>
                <c:pt idx="246">
                  <c:v>0.59399610269560477</c:v>
                </c:pt>
                <c:pt idx="247">
                  <c:v>0.65270483782799793</c:v>
                </c:pt>
                <c:pt idx="248">
                  <c:v>0.64202284989173164</c:v>
                </c:pt>
                <c:pt idx="249">
                  <c:v>0.62760935168450704</c:v>
                </c:pt>
                <c:pt idx="250">
                  <c:v>0.60458372240668989</c:v>
                </c:pt>
                <c:pt idx="251">
                  <c:v>0.58813391306405549</c:v>
                </c:pt>
                <c:pt idx="252">
                  <c:v>0.58478470202050492</c:v>
                </c:pt>
                <c:pt idx="253">
                  <c:v>0.5817032524329625</c:v>
                </c:pt>
                <c:pt idx="254">
                  <c:v>0.57525989453575754</c:v>
                </c:pt>
                <c:pt idx="255">
                  <c:v>0.56549171800983522</c:v>
                </c:pt>
                <c:pt idx="256">
                  <c:v>0.55986899438856985</c:v>
                </c:pt>
                <c:pt idx="257">
                  <c:v>0.56355141610614723</c:v>
                </c:pt>
                <c:pt idx="258">
                  <c:v>0.55217118057260561</c:v>
                </c:pt>
                <c:pt idx="259">
                  <c:v>0.54652890334709658</c:v>
                </c:pt>
                <c:pt idx="260">
                  <c:v>0.5019671742871602</c:v>
                </c:pt>
                <c:pt idx="261">
                  <c:v>0.48581046426371138</c:v>
                </c:pt>
                <c:pt idx="262">
                  <c:v>0.44587693077173823</c:v>
                </c:pt>
                <c:pt idx="263">
                  <c:v>0.31689972972762936</c:v>
                </c:pt>
                <c:pt idx="264">
                  <c:v>0.13575758141160243</c:v>
                </c:pt>
                <c:pt idx="265">
                  <c:v>-3.1248578873288895E-2</c:v>
                </c:pt>
                <c:pt idx="266">
                  <c:v>-9.4097683178200678E-2</c:v>
                </c:pt>
                <c:pt idx="267">
                  <c:v>-9.7365520383539406E-2</c:v>
                </c:pt>
                <c:pt idx="268">
                  <c:v>-9.6671026376118893E-2</c:v>
                </c:pt>
                <c:pt idx="269">
                  <c:v>-8.792470453817984E-2</c:v>
                </c:pt>
                <c:pt idx="270">
                  <c:v>-0.10715412494041489</c:v>
                </c:pt>
                <c:pt idx="271">
                  <c:v>-0.16386763600766938</c:v>
                </c:pt>
                <c:pt idx="272">
                  <c:v>-0.18325024668303172</c:v>
                </c:pt>
                <c:pt idx="273">
                  <c:v>-0.20957086494358315</c:v>
                </c:pt>
                <c:pt idx="274">
                  <c:v>-0.21782545167678521</c:v>
                </c:pt>
                <c:pt idx="275">
                  <c:v>-0.23241940411054404</c:v>
                </c:pt>
                <c:pt idx="276">
                  <c:v>-0.24693068953668598</c:v>
                </c:pt>
                <c:pt idx="277">
                  <c:v>-0.23556274535824684</c:v>
                </c:pt>
                <c:pt idx="278">
                  <c:v>-0.25209986307813215</c:v>
                </c:pt>
                <c:pt idx="279">
                  <c:v>-0.26235451974119034</c:v>
                </c:pt>
                <c:pt idx="280">
                  <c:v>-0.29583723873842616</c:v>
                </c:pt>
                <c:pt idx="281">
                  <c:v>-0.31250249118071527</c:v>
                </c:pt>
                <c:pt idx="282">
                  <c:v>-0.35183242952405053</c:v>
                </c:pt>
                <c:pt idx="283">
                  <c:v>-0.44953506518488112</c:v>
                </c:pt>
                <c:pt idx="284">
                  <c:v>-0.55957397244821061</c:v>
                </c:pt>
                <c:pt idx="285">
                  <c:v>-0.59237905456824735</c:v>
                </c:pt>
                <c:pt idx="286">
                  <c:v>-0.51165057037208783</c:v>
                </c:pt>
                <c:pt idx="287">
                  <c:v>-0.41494749675282039</c:v>
                </c:pt>
                <c:pt idx="288">
                  <c:v>-0.35058675226774111</c:v>
                </c:pt>
                <c:pt idx="289">
                  <c:v>-0.34179121874799923</c:v>
                </c:pt>
                <c:pt idx="290">
                  <c:v>-0.37014080018029621</c:v>
                </c:pt>
                <c:pt idx="291">
                  <c:v>-0.39236495635103469</c:v>
                </c:pt>
                <c:pt idx="292">
                  <c:v>-0.41392595783253511</c:v>
                </c:pt>
                <c:pt idx="293">
                  <c:v>-0.43173783278288691</c:v>
                </c:pt>
                <c:pt idx="294">
                  <c:v>-0.5149022093990453</c:v>
                </c:pt>
                <c:pt idx="295">
                  <c:v>-0.59053697219747336</c:v>
                </c:pt>
                <c:pt idx="296">
                  <c:v>-0.61030779105552113</c:v>
                </c:pt>
                <c:pt idx="297">
                  <c:v>-0.5842148326298231</c:v>
                </c:pt>
                <c:pt idx="298">
                  <c:v>-0.57994941802895461</c:v>
                </c:pt>
                <c:pt idx="299">
                  <c:v>-0.63083295100431813</c:v>
                </c:pt>
                <c:pt idx="300">
                  <c:v>-0.67146414290417622</c:v>
                </c:pt>
                <c:pt idx="301">
                  <c:v>-0.71786586585061318</c:v>
                </c:pt>
                <c:pt idx="302">
                  <c:v>-0.75861414227686519</c:v>
                </c:pt>
                <c:pt idx="303">
                  <c:v>-0.81756898384441179</c:v>
                </c:pt>
                <c:pt idx="304">
                  <c:v>-0.85077189102756101</c:v>
                </c:pt>
                <c:pt idx="305">
                  <c:v>-0.87394211131719757</c:v>
                </c:pt>
                <c:pt idx="306">
                  <c:v>-0.88248865200093674</c:v>
                </c:pt>
                <c:pt idx="307">
                  <c:v>-0.89998887228076319</c:v>
                </c:pt>
                <c:pt idx="308">
                  <c:v>-0.89272449432829093</c:v>
                </c:pt>
                <c:pt idx="309">
                  <c:v>-0.91314543411212934</c:v>
                </c:pt>
                <c:pt idx="310">
                  <c:v>-0.94636907833445783</c:v>
                </c:pt>
                <c:pt idx="311">
                  <c:v>-0.97537441924500456</c:v>
                </c:pt>
                <c:pt idx="312">
                  <c:v>-0.99242757088149514</c:v>
                </c:pt>
                <c:pt idx="313">
                  <c:v>-1.0124835735694504</c:v>
                </c:pt>
                <c:pt idx="314">
                  <c:v>-1.0296925632311276</c:v>
                </c:pt>
                <c:pt idx="315">
                  <c:v>-1.081737501084528</c:v>
                </c:pt>
                <c:pt idx="316">
                  <c:v>-1.0967172824447062</c:v>
                </c:pt>
                <c:pt idx="317">
                  <c:v>-1.0963374514194901</c:v>
                </c:pt>
                <c:pt idx="318">
                  <c:v>-1.0700136083879006</c:v>
                </c:pt>
                <c:pt idx="319">
                  <c:v>-1.0445942032212594</c:v>
                </c:pt>
                <c:pt idx="320">
                  <c:v>-1.0531391390914719</c:v>
                </c:pt>
                <c:pt idx="321">
                  <c:v>-1.0387302095360491</c:v>
                </c:pt>
                <c:pt idx="322">
                  <c:v>-1.0528492100257492</c:v>
                </c:pt>
                <c:pt idx="323">
                  <c:v>-1.0365728934965726</c:v>
                </c:pt>
                <c:pt idx="324">
                  <c:v>-1.0332580492508801</c:v>
                </c:pt>
                <c:pt idx="325">
                  <c:v>-1.0098173408498912</c:v>
                </c:pt>
                <c:pt idx="326">
                  <c:v>-1.0809753916973186</c:v>
                </c:pt>
                <c:pt idx="327">
                  <c:v>-1.071892472546395</c:v>
                </c:pt>
                <c:pt idx="328">
                  <c:v>-1.0593204038979953</c:v>
                </c:pt>
                <c:pt idx="329">
                  <c:v>-0.98855236391926915</c:v>
                </c:pt>
                <c:pt idx="330">
                  <c:v>-1.000826450544136</c:v>
                </c:pt>
                <c:pt idx="331">
                  <c:v>-1.0020236223896759</c:v>
                </c:pt>
                <c:pt idx="332">
                  <c:v>-1.0083153042280613</c:v>
                </c:pt>
                <c:pt idx="333">
                  <c:v>-1.0031937566328994</c:v>
                </c:pt>
                <c:pt idx="334">
                  <c:v>-1.0167613183886377</c:v>
                </c:pt>
                <c:pt idx="335">
                  <c:v>-1.0278013889165323</c:v>
                </c:pt>
                <c:pt idx="336">
                  <c:v>-1.0357815239559089</c:v>
                </c:pt>
                <c:pt idx="337">
                  <c:v>-1.0315523158559567</c:v>
                </c:pt>
                <c:pt idx="338">
                  <c:v>-1.0131549722584106</c:v>
                </c:pt>
                <c:pt idx="339">
                  <c:v>-1.0134550679938359</c:v>
                </c:pt>
                <c:pt idx="340">
                  <c:v>-1.0227162540729982</c:v>
                </c:pt>
                <c:pt idx="341">
                  <c:v>-1.0163928568967731</c:v>
                </c:pt>
                <c:pt idx="342">
                  <c:v>-1.006024874433525</c:v>
                </c:pt>
                <c:pt idx="343">
                  <c:v>-0.98058054559426766</c:v>
                </c:pt>
                <c:pt idx="344">
                  <c:v>-0.96102968190143834</c:v>
                </c:pt>
                <c:pt idx="345">
                  <c:v>-0.94935430504521057</c:v>
                </c:pt>
                <c:pt idx="346">
                  <c:v>-0.94404002819752897</c:v>
                </c:pt>
                <c:pt idx="347">
                  <c:v>-0.95906347538614012</c:v>
                </c:pt>
                <c:pt idx="348">
                  <c:v>-0.94692813717348656</c:v>
                </c:pt>
                <c:pt idx="349">
                  <c:v>-0.94216387577744609</c:v>
                </c:pt>
                <c:pt idx="350">
                  <c:v>-0.93853475613631743</c:v>
                </c:pt>
                <c:pt idx="351">
                  <c:v>-0.93744729508804869</c:v>
                </c:pt>
                <c:pt idx="352">
                  <c:v>-0.92731584504337838</c:v>
                </c:pt>
                <c:pt idx="353">
                  <c:v>-0.91717926569105979</c:v>
                </c:pt>
                <c:pt idx="354">
                  <c:v>-0.92721100698889725</c:v>
                </c:pt>
                <c:pt idx="355">
                  <c:v>-0.92788028162730729</c:v>
                </c:pt>
                <c:pt idx="356">
                  <c:v>-0.90962459275812757</c:v>
                </c:pt>
                <c:pt idx="357">
                  <c:v>-0.88395099075356276</c:v>
                </c:pt>
                <c:pt idx="358">
                  <c:v>-0.87559475464689296</c:v>
                </c:pt>
                <c:pt idx="359">
                  <c:v>-0.86515138501836508</c:v>
                </c:pt>
                <c:pt idx="360">
                  <c:v>-0.85732856805894153</c:v>
                </c:pt>
                <c:pt idx="361">
                  <c:v>-0.84667338206195852</c:v>
                </c:pt>
                <c:pt idx="362">
                  <c:v>-0.88091761711022809</c:v>
                </c:pt>
                <c:pt idx="363">
                  <c:v>-0.91133086044780587</c:v>
                </c:pt>
                <c:pt idx="364">
                  <c:v>-0.94592653079641897</c:v>
                </c:pt>
                <c:pt idx="365">
                  <c:v>-0.93380905727686647</c:v>
                </c:pt>
                <c:pt idx="366">
                  <c:v>-0.91872499945410191</c:v>
                </c:pt>
                <c:pt idx="367">
                  <c:v>-0.89506829241418728</c:v>
                </c:pt>
                <c:pt idx="368">
                  <c:v>-0.89710996194450388</c:v>
                </c:pt>
                <c:pt idx="369">
                  <c:v>-0.90854696257643808</c:v>
                </c:pt>
                <c:pt idx="370">
                  <c:v>-0.89071413505271135</c:v>
                </c:pt>
                <c:pt idx="371">
                  <c:v>-0.86231442046008711</c:v>
                </c:pt>
                <c:pt idx="372">
                  <c:v>-0.83728913590902032</c:v>
                </c:pt>
                <c:pt idx="373">
                  <c:v>-0.8500499760349175</c:v>
                </c:pt>
                <c:pt idx="374">
                  <c:v>-0.86689501614604003</c:v>
                </c:pt>
                <c:pt idx="375">
                  <c:v>-0.86353573964149177</c:v>
                </c:pt>
                <c:pt idx="376">
                  <c:v>-0.86494579436222951</c:v>
                </c:pt>
                <c:pt idx="377">
                  <c:v>-0.85248305458291407</c:v>
                </c:pt>
                <c:pt idx="378">
                  <c:v>-0.8638100394806365</c:v>
                </c:pt>
                <c:pt idx="379">
                  <c:v>-0.86440008356340448</c:v>
                </c:pt>
                <c:pt idx="380">
                  <c:v>-0.86721951686039167</c:v>
                </c:pt>
                <c:pt idx="381">
                  <c:v>-0.8582456011661096</c:v>
                </c:pt>
                <c:pt idx="382">
                  <c:v>-0.83909242455852773</c:v>
                </c:pt>
                <c:pt idx="383">
                  <c:v>-0.84766312617157258</c:v>
                </c:pt>
                <c:pt idx="384">
                  <c:v>-0.84029770399659787</c:v>
                </c:pt>
                <c:pt idx="385">
                  <c:v>-0.85108016353166815</c:v>
                </c:pt>
                <c:pt idx="386">
                  <c:v>-0.85595231883900313</c:v>
                </c:pt>
                <c:pt idx="387">
                  <c:v>-0.85674402286455076</c:v>
                </c:pt>
                <c:pt idx="388">
                  <c:v>-0.85350667698326455</c:v>
                </c:pt>
                <c:pt idx="389">
                  <c:v>-0.84132243766093273</c:v>
                </c:pt>
                <c:pt idx="390">
                  <c:v>-0.76379622647825995</c:v>
                </c:pt>
                <c:pt idx="391">
                  <c:v>-0.7285720967251107</c:v>
                </c:pt>
                <c:pt idx="392">
                  <c:v>-0.69592861607258383</c:v>
                </c:pt>
                <c:pt idx="393">
                  <c:v>-0.74581360274452779</c:v>
                </c:pt>
                <c:pt idx="394">
                  <c:v>-0.76858276308660434</c:v>
                </c:pt>
                <c:pt idx="395">
                  <c:v>-0.7879394840406011</c:v>
                </c:pt>
                <c:pt idx="396">
                  <c:v>-0.81541628408391509</c:v>
                </c:pt>
                <c:pt idx="397">
                  <c:v>-0.83131990409052126</c:v>
                </c:pt>
                <c:pt idx="398">
                  <c:v>-0.8371165921742808</c:v>
                </c:pt>
                <c:pt idx="399">
                  <c:v>-0.83945299033059195</c:v>
                </c:pt>
                <c:pt idx="400">
                  <c:v>-0.83297172971848221</c:v>
                </c:pt>
                <c:pt idx="401">
                  <c:v>-0.82398027811999508</c:v>
                </c:pt>
                <c:pt idx="402">
                  <c:v>-0.80563259175001711</c:v>
                </c:pt>
                <c:pt idx="403">
                  <c:v>-0.79471656913031741</c:v>
                </c:pt>
                <c:pt idx="404">
                  <c:v>-0.7933534642389608</c:v>
                </c:pt>
                <c:pt idx="405">
                  <c:v>-0.79627964893559089</c:v>
                </c:pt>
                <c:pt idx="406">
                  <c:v>-0.79526927508559686</c:v>
                </c:pt>
                <c:pt idx="407">
                  <c:v>-0.79977916866636589</c:v>
                </c:pt>
                <c:pt idx="408">
                  <c:v>-0.79051213461638126</c:v>
                </c:pt>
                <c:pt idx="409">
                  <c:v>-0.8205432275851795</c:v>
                </c:pt>
                <c:pt idx="410">
                  <c:v>-0.84865292365412104</c:v>
                </c:pt>
                <c:pt idx="411">
                  <c:v>-0.85712619015728597</c:v>
                </c:pt>
                <c:pt idx="412">
                  <c:v>-0.82407633070572006</c:v>
                </c:pt>
                <c:pt idx="413">
                  <c:v>-0.78050516255624691</c:v>
                </c:pt>
                <c:pt idx="414">
                  <c:v>-0.73670974269491341</c:v>
                </c:pt>
                <c:pt idx="415">
                  <c:v>-0.69823923153325917</c:v>
                </c:pt>
                <c:pt idx="416">
                  <c:v>-0.6416815997932227</c:v>
                </c:pt>
                <c:pt idx="417">
                  <c:v>-0.6161379444988605</c:v>
                </c:pt>
                <c:pt idx="418">
                  <c:v>-0.62331444112070533</c:v>
                </c:pt>
                <c:pt idx="419">
                  <c:v>-0.61617924619375886</c:v>
                </c:pt>
                <c:pt idx="420">
                  <c:v>-0.65714992764748714</c:v>
                </c:pt>
                <c:pt idx="421">
                  <c:v>-0.64996084826302258</c:v>
                </c:pt>
                <c:pt idx="422">
                  <c:v>-0.61876229875799715</c:v>
                </c:pt>
                <c:pt idx="423">
                  <c:v>-0.55641400825911613</c:v>
                </c:pt>
                <c:pt idx="424">
                  <c:v>-0.56355804564733258</c:v>
                </c:pt>
                <c:pt idx="425">
                  <c:v>-0.58253118627252287</c:v>
                </c:pt>
                <c:pt idx="426">
                  <c:v>-0.56859079160742576</c:v>
                </c:pt>
                <c:pt idx="427">
                  <c:v>-0.49513410370573058</c:v>
                </c:pt>
                <c:pt idx="428">
                  <c:v>-0.46531673697757481</c:v>
                </c:pt>
                <c:pt idx="429">
                  <c:v>-0.44133731168481322</c:v>
                </c:pt>
                <c:pt idx="430">
                  <c:v>-0.40713198265618261</c:v>
                </c:pt>
                <c:pt idx="431">
                  <c:v>-0.39112884554198318</c:v>
                </c:pt>
                <c:pt idx="432">
                  <c:v>-0.36352497990887828</c:v>
                </c:pt>
                <c:pt idx="433">
                  <c:v>-0.37194511940296088</c:v>
                </c:pt>
                <c:pt idx="434">
                  <c:v>-0.36119783434758562</c:v>
                </c:pt>
                <c:pt idx="435">
                  <c:v>-0.37567359149171198</c:v>
                </c:pt>
                <c:pt idx="436">
                  <c:v>-0.354482915733354</c:v>
                </c:pt>
                <c:pt idx="437">
                  <c:v>-0.34680663126166539</c:v>
                </c:pt>
                <c:pt idx="438">
                  <c:v>-0.34258530072905047</c:v>
                </c:pt>
                <c:pt idx="439">
                  <c:v>-0.35915733601316063</c:v>
                </c:pt>
                <c:pt idx="440">
                  <c:v>-0.35434935379782523</c:v>
                </c:pt>
                <c:pt idx="441">
                  <c:v>-0.35208920590334869</c:v>
                </c:pt>
                <c:pt idx="442">
                  <c:v>-0.336873335880644</c:v>
                </c:pt>
                <c:pt idx="443">
                  <c:v>-0.34024548134431382</c:v>
                </c:pt>
                <c:pt idx="444">
                  <c:v>-0.34229750002563114</c:v>
                </c:pt>
                <c:pt idx="445">
                  <c:v>-0.32551690500764902</c:v>
                </c:pt>
                <c:pt idx="446">
                  <c:v>-0.31597896323999802</c:v>
                </c:pt>
                <c:pt idx="447">
                  <c:v>-0.29810759494887956</c:v>
                </c:pt>
                <c:pt idx="448">
                  <c:v>-0.30072664130108856</c:v>
                </c:pt>
                <c:pt idx="449">
                  <c:v>-0.29294324853952497</c:v>
                </c:pt>
                <c:pt idx="450">
                  <c:v>-0.32209713503928744</c:v>
                </c:pt>
                <c:pt idx="451">
                  <c:v>-0.42896739569001446</c:v>
                </c:pt>
                <c:pt idx="452">
                  <c:v>-0.63326870050651995</c:v>
                </c:pt>
                <c:pt idx="453">
                  <c:v>-0.65740762179525969</c:v>
                </c:pt>
                <c:pt idx="454">
                  <c:v>-0.55170822665866126</c:v>
                </c:pt>
                <c:pt idx="455">
                  <c:v>-0.35387898145239571</c:v>
                </c:pt>
                <c:pt idx="456">
                  <c:v>-0.30032508688187121</c:v>
                </c:pt>
                <c:pt idx="457">
                  <c:v>-0.30428716535061273</c:v>
                </c:pt>
                <c:pt idx="458">
                  <c:v>-0.31433621602706302</c:v>
                </c:pt>
                <c:pt idx="459">
                  <c:v>-0.30424663225906906</c:v>
                </c:pt>
                <c:pt idx="460">
                  <c:v>-0.33108203980869044</c:v>
                </c:pt>
                <c:pt idx="461">
                  <c:v>-0.40029005319410116</c:v>
                </c:pt>
                <c:pt idx="462">
                  <c:v>-0.52767257615996799</c:v>
                </c:pt>
                <c:pt idx="463">
                  <c:v>-0.53693422757857079</c:v>
                </c:pt>
                <c:pt idx="464">
                  <c:v>-0.50612194725254778</c:v>
                </c:pt>
                <c:pt idx="465">
                  <c:v>-0.45151747629919248</c:v>
                </c:pt>
                <c:pt idx="466">
                  <c:v>-0.45551720075479302</c:v>
                </c:pt>
                <c:pt idx="467">
                  <c:v>-0.41884963408040171</c:v>
                </c:pt>
                <c:pt idx="468">
                  <c:v>-0.36446956222378857</c:v>
                </c:pt>
                <c:pt idx="469">
                  <c:v>-0.32865354039353684</c:v>
                </c:pt>
                <c:pt idx="470">
                  <c:v>-0.34976791547069258</c:v>
                </c:pt>
                <c:pt idx="471">
                  <c:v>-0.3946092531609402</c:v>
                </c:pt>
                <c:pt idx="472">
                  <c:v>-0.43113564078076722</c:v>
                </c:pt>
                <c:pt idx="473">
                  <c:v>-0.45935220597741466</c:v>
                </c:pt>
                <c:pt idx="474">
                  <c:v>-0.45917874992142349</c:v>
                </c:pt>
                <c:pt idx="475">
                  <c:v>-0.49930764586483267</c:v>
                </c:pt>
                <c:pt idx="476">
                  <c:v>-0.49188194902011412</c:v>
                </c:pt>
                <c:pt idx="477">
                  <c:v>-0.49419148330129398</c:v>
                </c:pt>
                <c:pt idx="478">
                  <c:v>-0.48548849655133702</c:v>
                </c:pt>
                <c:pt idx="479">
                  <c:v>-0.50707289026912228</c:v>
                </c:pt>
                <c:pt idx="480">
                  <c:v>-0.50296345839632139</c:v>
                </c:pt>
                <c:pt idx="481">
                  <c:v>-0.47323540315461621</c:v>
                </c:pt>
                <c:pt idx="482">
                  <c:v>-0.46572545054158687</c:v>
                </c:pt>
                <c:pt idx="483">
                  <c:v>-0.45993079634645256</c:v>
                </c:pt>
                <c:pt idx="484">
                  <c:v>-0.46404337790014849</c:v>
                </c:pt>
                <c:pt idx="485">
                  <c:v>-0.46240000569950251</c:v>
                </c:pt>
                <c:pt idx="486">
                  <c:v>-0.43257927873405905</c:v>
                </c:pt>
                <c:pt idx="487">
                  <c:v>-0.42844344919547012</c:v>
                </c:pt>
                <c:pt idx="488">
                  <c:v>-0.40742730252335163</c:v>
                </c:pt>
                <c:pt idx="489">
                  <c:v>-0.40699455956324931</c:v>
                </c:pt>
                <c:pt idx="490">
                  <c:v>-0.38253474806301635</c:v>
                </c:pt>
                <c:pt idx="491">
                  <c:v>-0.34669335745631019</c:v>
                </c:pt>
                <c:pt idx="492">
                  <c:v>-0.35646470971583727</c:v>
                </c:pt>
                <c:pt idx="493">
                  <c:v>-0.3629502637068045</c:v>
                </c:pt>
                <c:pt idx="494">
                  <c:v>-0.40294440598548853</c:v>
                </c:pt>
                <c:pt idx="495">
                  <c:v>-0.3831407935187523</c:v>
                </c:pt>
                <c:pt idx="496">
                  <c:v>-0.36206057058257318</c:v>
                </c:pt>
                <c:pt idx="497">
                  <c:v>-0.35981089914238162</c:v>
                </c:pt>
                <c:pt idx="498">
                  <c:v>-0.47937008158223104</c:v>
                </c:pt>
                <c:pt idx="499">
                  <c:v>-0.56045118668053762</c:v>
                </c:pt>
                <c:pt idx="500">
                  <c:v>-0.55267256512441632</c:v>
                </c:pt>
                <c:pt idx="501">
                  <c:v>-0.48518675083913454</c:v>
                </c:pt>
                <c:pt idx="502">
                  <c:v>-0.48907729097606545</c:v>
                </c:pt>
                <c:pt idx="503">
                  <c:v>-0.57579382843353255</c:v>
                </c:pt>
                <c:pt idx="504">
                  <c:v>-0.63599010989063398</c:v>
                </c:pt>
                <c:pt idx="505">
                  <c:v>-0.54934391812576866</c:v>
                </c:pt>
                <c:pt idx="506">
                  <c:v>-0.41050883276371392</c:v>
                </c:pt>
                <c:pt idx="507">
                  <c:v>-0.28256455839979594</c:v>
                </c:pt>
                <c:pt idx="508">
                  <c:v>-0.26918165247259829</c:v>
                </c:pt>
                <c:pt idx="509">
                  <c:v>-0.27424942257140628</c:v>
                </c:pt>
                <c:pt idx="510">
                  <c:v>-0.27942936840841598</c:v>
                </c:pt>
                <c:pt idx="511">
                  <c:v>-0.28472532881898727</c:v>
                </c:pt>
                <c:pt idx="512">
                  <c:v>-0.29014132252756591</c:v>
                </c:pt>
                <c:pt idx="513">
                  <c:v>-0.29568155992517547</c:v>
                </c:pt>
                <c:pt idx="514">
                  <c:v>-0.3013504544378382</c:v>
                </c:pt>
                <c:pt idx="515">
                  <c:v>-0.30715263520090286</c:v>
                </c:pt>
                <c:pt idx="516">
                  <c:v>-0.31309296074383275</c:v>
                </c:pt>
                <c:pt idx="517">
                  <c:v>-0.3191765332423937</c:v>
                </c:pt>
                <c:pt idx="518">
                  <c:v>-0.32540871524375214</c:v>
                </c:pt>
                <c:pt idx="519">
                  <c:v>-0.33179514554542849</c:v>
                </c:pt>
                <c:pt idx="520">
                  <c:v>-0.33834175859237031</c:v>
                </c:pt>
                <c:pt idx="521">
                  <c:v>-0.34505480407904104</c:v>
                </c:pt>
                <c:pt idx="522">
                  <c:v>-0.35194086867359403</c:v>
                </c:pt>
                <c:pt idx="523">
                  <c:v>-0.35900689963843746</c:v>
                </c:pt>
                <c:pt idx="524">
                  <c:v>-0.36626022995568097</c:v>
                </c:pt>
                <c:pt idx="525">
                  <c:v>-0.37370860713029347</c:v>
                </c:pt>
                <c:pt idx="526">
                  <c:v>-0.38136022217576021</c:v>
                </c:pt>
                <c:pt idx="527">
                  <c:v>-0.38922374367972462</c:v>
                </c:pt>
                <c:pt idx="528">
                  <c:v>-0.39730835349405363</c:v>
                </c:pt>
                <c:pt idx="529">
                  <c:v>-0.40562378630160495</c:v>
                </c:pt>
                <c:pt idx="530">
                  <c:v>-0.41418037303197169</c:v>
                </c:pt>
                <c:pt idx="531">
                  <c:v>-0.42298908792470091</c:v>
                </c:pt>
                <c:pt idx="532">
                  <c:v>-0.43206160188507331</c:v>
                </c:pt>
                <c:pt idx="533">
                  <c:v>-0.44141033859759754</c:v>
                </c:pt>
                <c:pt idx="534">
                  <c:v>-0.45104853914850773</c:v>
                </c:pt>
                <c:pt idx="535">
                  <c:v>-0.46099033176789056</c:v>
                </c:pt>
                <c:pt idx="536">
                  <c:v>-0.47125080963024102</c:v>
                </c:pt>
                <c:pt idx="537">
                  <c:v>-0.48184611726435822</c:v>
                </c:pt>
                <c:pt idx="538">
                  <c:v>-0.49279354599463127</c:v>
                </c:pt>
                <c:pt idx="539">
                  <c:v>-0.50411164210651993</c:v>
                </c:pt>
                <c:pt idx="540">
                  <c:v>-0.51582032470255257</c:v>
                </c:pt>
                <c:pt idx="541">
                  <c:v>-0.58901867604677483</c:v>
                </c:pt>
                <c:pt idx="542">
                  <c:v>-0.54239048228057252</c:v>
                </c:pt>
                <c:pt idx="543">
                  <c:v>-0.5083661431327311</c:v>
                </c:pt>
                <c:pt idx="544">
                  <c:v>-0.43121670050132238</c:v>
                </c:pt>
                <c:pt idx="545">
                  <c:v>-0.46090076328241647</c:v>
                </c:pt>
                <c:pt idx="546">
                  <c:v>-0.47687118007708817</c:v>
                </c:pt>
                <c:pt idx="547">
                  <c:v>-0.46069222882967198</c:v>
                </c:pt>
                <c:pt idx="548">
                  <c:v>-0.44684283974894073</c:v>
                </c:pt>
                <c:pt idx="549">
                  <c:v>-0.42275794277375095</c:v>
                </c:pt>
                <c:pt idx="550">
                  <c:v>-0.40076451506052929</c:v>
                </c:pt>
                <c:pt idx="551">
                  <c:v>-0.40997696942460821</c:v>
                </c:pt>
                <c:pt idx="552">
                  <c:v>-0.42924161933752164</c:v>
                </c:pt>
                <c:pt idx="553">
                  <c:v>-0.44957009068414822</c:v>
                </c:pt>
                <c:pt idx="554">
                  <c:v>-0.46364261455075195</c:v>
                </c:pt>
                <c:pt idx="555">
                  <c:v>-0.48865664538528525</c:v>
                </c:pt>
                <c:pt idx="556">
                  <c:v>-0.59566456013663627</c:v>
                </c:pt>
                <c:pt idx="557">
                  <c:v>-0.69382314791960376</c:v>
                </c:pt>
                <c:pt idx="558">
                  <c:v>-0.74600348997840404</c:v>
                </c:pt>
                <c:pt idx="559">
                  <c:v>-0.73830634522027294</c:v>
                </c:pt>
                <c:pt idx="560">
                  <c:v>-0.72852671461673835</c:v>
                </c:pt>
                <c:pt idx="561">
                  <c:v>-0.7555351778110696</c:v>
                </c:pt>
                <c:pt idx="562">
                  <c:v>-0.75222127856569954</c:v>
                </c:pt>
                <c:pt idx="563">
                  <c:v>-0.74400366634157844</c:v>
                </c:pt>
                <c:pt idx="564">
                  <c:v>-0.75881786667750217</c:v>
                </c:pt>
                <c:pt idx="565">
                  <c:v>-0.75125013060901324</c:v>
                </c:pt>
                <c:pt idx="566">
                  <c:v>-0.78034647940312774</c:v>
                </c:pt>
                <c:pt idx="567">
                  <c:v>-0.80087901560101482</c:v>
                </c:pt>
                <c:pt idx="568">
                  <c:v>-0.89018663152710664</c:v>
                </c:pt>
                <c:pt idx="569">
                  <c:v>-1.004285889800286</c:v>
                </c:pt>
                <c:pt idx="570">
                  <c:v>-1.0881230370067698</c:v>
                </c:pt>
                <c:pt idx="571">
                  <c:v>-1.1174415566588882</c:v>
                </c:pt>
                <c:pt idx="572">
                  <c:v>-1.0784908468904399</c:v>
                </c:pt>
                <c:pt idx="573">
                  <c:v>-1.0417271532714683</c:v>
                </c:pt>
                <c:pt idx="574">
                  <c:v>-1.0819174493254822</c:v>
                </c:pt>
                <c:pt idx="575">
                  <c:v>-1.1165917264724856</c:v>
                </c:pt>
                <c:pt idx="576">
                  <c:v>-1.154549701714872</c:v>
                </c:pt>
                <c:pt idx="577">
                  <c:v>-1.176720040640501</c:v>
                </c:pt>
                <c:pt idx="578">
                  <c:v>-1.2300208250123854</c:v>
                </c:pt>
                <c:pt idx="579">
                  <c:v>-1.3147879087052239</c:v>
                </c:pt>
                <c:pt idx="580">
                  <c:v>-1.4018437373194468</c:v>
                </c:pt>
                <c:pt idx="581">
                  <c:v>-1.4675931485803531</c:v>
                </c:pt>
                <c:pt idx="582">
                  <c:v>-1.5660458458302287</c:v>
                </c:pt>
                <c:pt idx="583">
                  <c:v>-1.6592740470703014</c:v>
                </c:pt>
                <c:pt idx="584">
                  <c:v>-1.7524792038172015</c:v>
                </c:pt>
                <c:pt idx="585">
                  <c:v>-1.8004055839654498</c:v>
                </c:pt>
                <c:pt idx="586">
                  <c:v>-1.8092095666101733</c:v>
                </c:pt>
                <c:pt idx="587">
                  <c:v>-1.8486404446828828</c:v>
                </c:pt>
                <c:pt idx="588">
                  <c:v>-1.8683187133062376</c:v>
                </c:pt>
                <c:pt idx="589">
                  <c:v>-1.8876305364601729</c:v>
                </c:pt>
                <c:pt idx="590">
                  <c:v>-1.8563147619254752</c:v>
                </c:pt>
                <c:pt idx="591">
                  <c:v>-1.8740987465604722</c:v>
                </c:pt>
                <c:pt idx="592">
                  <c:v>-1.8824618067302812</c:v>
                </c:pt>
                <c:pt idx="593">
                  <c:v>-1.9167087139608565</c:v>
                </c:pt>
                <c:pt idx="594">
                  <c:v>-1.8830971679378592</c:v>
                </c:pt>
                <c:pt idx="595">
                  <c:v>-1.8887209656906851</c:v>
                </c:pt>
                <c:pt idx="596">
                  <c:v>-1.9039860045297463</c:v>
                </c:pt>
                <c:pt idx="597">
                  <c:v>-1.9262145785973006</c:v>
                </c:pt>
                <c:pt idx="598">
                  <c:v>-1.9124839377259224</c:v>
                </c:pt>
                <c:pt idx="599">
                  <c:v>-1.8954186888340312</c:v>
                </c:pt>
                <c:pt idx="600">
                  <c:v>-1.9126239847353774</c:v>
                </c:pt>
                <c:pt idx="601">
                  <c:v>-1.9545546778288425</c:v>
                </c:pt>
                <c:pt idx="602">
                  <c:v>-1.9806622481705911</c:v>
                </c:pt>
                <c:pt idx="603">
                  <c:v>-1.9758531801591703</c:v>
                </c:pt>
                <c:pt idx="604">
                  <c:v>-1.9770036819884058</c:v>
                </c:pt>
                <c:pt idx="605">
                  <c:v>-1.968481686914102</c:v>
                </c:pt>
                <c:pt idx="606">
                  <c:v>-1.989546233549192</c:v>
                </c:pt>
                <c:pt idx="607">
                  <c:v>-1.9702548780374094</c:v>
                </c:pt>
                <c:pt idx="608">
                  <c:v>-1.9598161592244112</c:v>
                </c:pt>
                <c:pt idx="609">
                  <c:v>-1.9249564611590335</c:v>
                </c:pt>
                <c:pt idx="610">
                  <c:v>-1.9172512451257937</c:v>
                </c:pt>
                <c:pt idx="611">
                  <c:v>-1.8957215985877232</c:v>
                </c:pt>
                <c:pt idx="612">
                  <c:v>-1.8839702632859232</c:v>
                </c:pt>
                <c:pt idx="613">
                  <c:v>-1.8651494938372004</c:v>
                </c:pt>
                <c:pt idx="614">
                  <c:v>-1.8646108937806518</c:v>
                </c:pt>
                <c:pt idx="615">
                  <c:v>-1.864092849837762</c:v>
                </c:pt>
                <c:pt idx="616">
                  <c:v>-1.8635942068260896</c:v>
                </c:pt>
                <c:pt idx="617">
                  <c:v>-1.86311389462127</c:v>
                </c:pt>
                <c:pt idx="618">
                  <c:v>-1.8626509203210633</c:v>
                </c:pt>
                <c:pt idx="619">
                  <c:v>-1.8715197806921273</c:v>
                </c:pt>
                <c:pt idx="620">
                  <c:v>-1.9029219404765809</c:v>
                </c:pt>
                <c:pt idx="621">
                  <c:v>-1.9487137030741526</c:v>
                </c:pt>
                <c:pt idx="622">
                  <c:v>-2.0343449821121431</c:v>
                </c:pt>
                <c:pt idx="623">
                  <c:v>-2.0725996004575693</c:v>
                </c:pt>
                <c:pt idx="624">
                  <c:v>-2.0892758044642772</c:v>
                </c:pt>
                <c:pt idx="625">
                  <c:v>-2.0690289619116853</c:v>
                </c:pt>
                <c:pt idx="626">
                  <c:v>-2.0741786942400782</c:v>
                </c:pt>
                <c:pt idx="627">
                  <c:v>-2.0992480399345372</c:v>
                </c:pt>
                <c:pt idx="628">
                  <c:v>-2.0897880337482451</c:v>
                </c:pt>
                <c:pt idx="629">
                  <c:v>-2.0476399720608653</c:v>
                </c:pt>
                <c:pt idx="630">
                  <c:v>-2.0351590161105872</c:v>
                </c:pt>
                <c:pt idx="631">
                  <c:v>-2.063024772361985</c:v>
                </c:pt>
                <c:pt idx="632">
                  <c:v>-2.134777203585438</c:v>
                </c:pt>
                <c:pt idx="633">
                  <c:v>-2.1614334883062534</c:v>
                </c:pt>
                <c:pt idx="634">
                  <c:v>-2.1416627303240929</c:v>
                </c:pt>
                <c:pt idx="635">
                  <c:v>-2.12616329145665</c:v>
                </c:pt>
                <c:pt idx="636">
                  <c:v>-2.053838572647344</c:v>
                </c:pt>
                <c:pt idx="637">
                  <c:v>-2.0432081251989227</c:v>
                </c:pt>
                <c:pt idx="638">
                  <c:v>-2.0352126112130851</c:v>
                </c:pt>
                <c:pt idx="639">
                  <c:v>-2.0739062820220791</c:v>
                </c:pt>
                <c:pt idx="640">
                  <c:v>-2.0682567005590555</c:v>
                </c:pt>
                <c:pt idx="641">
                  <c:v>-2.0447614103597913</c:v>
                </c:pt>
                <c:pt idx="642">
                  <c:v>-2.0509613187001334</c:v>
                </c:pt>
                <c:pt idx="643">
                  <c:v>-2.0632909540634405</c:v>
                </c:pt>
                <c:pt idx="644">
                  <c:v>-2.0456002002162488</c:v>
                </c:pt>
                <c:pt idx="645">
                  <c:v>-2.0059795079097911</c:v>
                </c:pt>
                <c:pt idx="646">
                  <c:v>-1.977560690506061</c:v>
                </c:pt>
                <c:pt idx="647">
                  <c:v>-1.9427160784280491</c:v>
                </c:pt>
                <c:pt idx="648">
                  <c:v>-1.9181022959612284</c:v>
                </c:pt>
                <c:pt idx="649">
                  <c:v>-1.898348159482165</c:v>
                </c:pt>
                <c:pt idx="650">
                  <c:v>-1.9098471911570465</c:v>
                </c:pt>
                <c:pt idx="651">
                  <c:v>-1.8991120442108798</c:v>
                </c:pt>
                <c:pt idx="652">
                  <c:v>-1.856690037614219</c:v>
                </c:pt>
                <c:pt idx="653">
                  <c:v>-1.8049583500844191</c:v>
                </c:pt>
                <c:pt idx="654">
                  <c:v>-1.768511356876483</c:v>
                </c:pt>
                <c:pt idx="655">
                  <c:v>-1.7368445541875446</c:v>
                </c:pt>
                <c:pt idx="656">
                  <c:v>-1.7276252449530933</c:v>
                </c:pt>
                <c:pt idx="657">
                  <c:v>-1.7520829302628442</c:v>
                </c:pt>
                <c:pt idx="658">
                  <c:v>-1.7424184794037654</c:v>
                </c:pt>
                <c:pt idx="659">
                  <c:v>-1.7593362948544959</c:v>
                </c:pt>
                <c:pt idx="660">
                  <c:v>-1.7375469550318616</c:v>
                </c:pt>
                <c:pt idx="661">
                  <c:v>-1.7504345510720187</c:v>
                </c:pt>
                <c:pt idx="662">
                  <c:v>-1.7513552965133883</c:v>
                </c:pt>
                <c:pt idx="663">
                  <c:v>-1.7611548528008443</c:v>
                </c:pt>
                <c:pt idx="664">
                  <c:v>-1.7897800782743201</c:v>
                </c:pt>
                <c:pt idx="665">
                  <c:v>-1.7847595202263375</c:v>
                </c:pt>
                <c:pt idx="666">
                  <c:v>-1.780677594021068</c:v>
                </c:pt>
                <c:pt idx="667">
                  <c:v>-1.7356117826115025</c:v>
                </c:pt>
                <c:pt idx="668">
                  <c:v>-1.7729009069757986</c:v>
                </c:pt>
                <c:pt idx="669">
                  <c:v>-1.7547812903702411</c:v>
                </c:pt>
                <c:pt idx="670">
                  <c:v>-1.768385270276486</c:v>
                </c:pt>
                <c:pt idx="671">
                  <c:v>-1.7605977393318042</c:v>
                </c:pt>
                <c:pt idx="672">
                  <c:v>-1.7605798601297877</c:v>
                </c:pt>
                <c:pt idx="673">
                  <c:v>-1.7619554312442876</c:v>
                </c:pt>
                <c:pt idx="674">
                  <c:v>-1.7330007557885903</c:v>
                </c:pt>
                <c:pt idx="675">
                  <c:v>-1.7502760429395565</c:v>
                </c:pt>
                <c:pt idx="676">
                  <c:v>-1.7861497405496098</c:v>
                </c:pt>
                <c:pt idx="677">
                  <c:v>-1.773715120338428</c:v>
                </c:pt>
                <c:pt idx="678">
                  <c:v>-1.7816504114964948</c:v>
                </c:pt>
                <c:pt idx="679">
                  <c:v>-1.7640543880651087</c:v>
                </c:pt>
                <c:pt idx="680">
                  <c:v>-1.7832982897202303</c:v>
                </c:pt>
                <c:pt idx="681">
                  <c:v>-1.7861030374143876</c:v>
                </c:pt>
                <c:pt idx="682">
                  <c:v>-1.7877035429833967</c:v>
                </c:pt>
                <c:pt idx="683">
                  <c:v>-1.786808841671305</c:v>
                </c:pt>
                <c:pt idx="684">
                  <c:v>-1.790801203118763</c:v>
                </c:pt>
                <c:pt idx="685">
                  <c:v>-1.7985653928341563</c:v>
                </c:pt>
                <c:pt idx="686">
                  <c:v>-1.8097639118452797</c:v>
                </c:pt>
                <c:pt idx="687">
                  <c:v>-1.8009380318126949</c:v>
                </c:pt>
                <c:pt idx="688">
                  <c:v>-1.8136746003616506</c:v>
                </c:pt>
                <c:pt idx="689">
                  <c:v>-1.833797331978354</c:v>
                </c:pt>
                <c:pt idx="690">
                  <c:v>-1.8811815806050269</c:v>
                </c:pt>
                <c:pt idx="691">
                  <c:v>-1.8951814670342877</c:v>
                </c:pt>
                <c:pt idx="692">
                  <c:v>-1.8867564404251205</c:v>
                </c:pt>
                <c:pt idx="693">
                  <c:v>-1.9102032307066832</c:v>
                </c:pt>
                <c:pt idx="694">
                  <c:v>-1.9365488331502674</c:v>
                </c:pt>
                <c:pt idx="695">
                  <c:v>-1.9761523948038329</c:v>
                </c:pt>
                <c:pt idx="696">
                  <c:v>-1.944945149106112</c:v>
                </c:pt>
                <c:pt idx="697">
                  <c:v>-1.948926454675038</c:v>
                </c:pt>
                <c:pt idx="698">
                  <c:v>-1.9680838424757117</c:v>
                </c:pt>
                <c:pt idx="699">
                  <c:v>-1.9808653428947596</c:v>
                </c:pt>
                <c:pt idx="700">
                  <c:v>-1.97357735662342</c:v>
                </c:pt>
                <c:pt idx="701">
                  <c:v>-1.9493277141887664</c:v>
                </c:pt>
                <c:pt idx="702">
                  <c:v>-1.9414875680641286</c:v>
                </c:pt>
                <c:pt idx="703">
                  <c:v>-1.9537417981721168</c:v>
                </c:pt>
                <c:pt idx="704">
                  <c:v>-1.9459400308354666</c:v>
                </c:pt>
                <c:pt idx="705">
                  <c:v>-1.9707748559680276</c:v>
                </c:pt>
                <c:pt idx="706">
                  <c:v>-1.9481349046984064</c:v>
                </c:pt>
                <c:pt idx="707">
                  <c:v>-1.9309542471216987</c:v>
                </c:pt>
                <c:pt idx="708">
                  <c:v>-1.8878168441290242</c:v>
                </c:pt>
                <c:pt idx="709">
                  <c:v>-1.8725505939307669</c:v>
                </c:pt>
                <c:pt idx="710">
                  <c:v>-1.8745167385348627</c:v>
                </c:pt>
                <c:pt idx="711">
                  <c:v>-1.8882322697898684</c:v>
                </c:pt>
                <c:pt idx="712">
                  <c:v>-1.931034351672049</c:v>
                </c:pt>
                <c:pt idx="713">
                  <c:v>-1.9068253500499985</c:v>
                </c:pt>
                <c:pt idx="714">
                  <c:v>-1.8558976871507682</c:v>
                </c:pt>
                <c:pt idx="715">
                  <c:v>-1.7848355713072361</c:v>
                </c:pt>
                <c:pt idx="716">
                  <c:v>-1.8007476872320296</c:v>
                </c:pt>
                <c:pt idx="717">
                  <c:v>-1.8066144575785605</c:v>
                </c:pt>
                <c:pt idx="718">
                  <c:v>-1.7837409921291858</c:v>
                </c:pt>
                <c:pt idx="719">
                  <c:v>-1.7679595745890893</c:v>
                </c:pt>
                <c:pt idx="720">
                  <c:v>-1.7707016732267942</c:v>
                </c:pt>
                <c:pt idx="721">
                  <c:v>-1.8096441687304619</c:v>
                </c:pt>
                <c:pt idx="722">
                  <c:v>-1.8117856689634779</c:v>
                </c:pt>
                <c:pt idx="723">
                  <c:v>-1.8131474875956002</c:v>
                </c:pt>
                <c:pt idx="724">
                  <c:v>-1.809568480633964</c:v>
                </c:pt>
                <c:pt idx="725">
                  <c:v>-1.8084934851020502</c:v>
                </c:pt>
                <c:pt idx="726">
                  <c:v>-1.8325102450178437</c:v>
                </c:pt>
                <c:pt idx="727">
                  <c:v>-1.8493675821884563</c:v>
                </c:pt>
                <c:pt idx="728">
                  <c:v>-1.8855036514781673</c:v>
                </c:pt>
                <c:pt idx="729">
                  <c:v>-1.903772777348868</c:v>
                </c:pt>
                <c:pt idx="730">
                  <c:v>-1.8503888394033821</c:v>
                </c:pt>
                <c:pt idx="731">
                  <c:v>-1.7330156058429669</c:v>
                </c:pt>
                <c:pt idx="732">
                  <c:v>-1.642450873769622</c:v>
                </c:pt>
                <c:pt idx="733">
                  <c:v>-1.667679430666908</c:v>
                </c:pt>
                <c:pt idx="734">
                  <c:v>-1.7507842369863653</c:v>
                </c:pt>
                <c:pt idx="735">
                  <c:v>-1.7726834110213006</c:v>
                </c:pt>
                <c:pt idx="736">
                  <c:v>-1.7876318281782961</c:v>
                </c:pt>
                <c:pt idx="737">
                  <c:v>-1.7117365736811501</c:v>
                </c:pt>
                <c:pt idx="738">
                  <c:v>-1.6539023902104546</c:v>
                </c:pt>
                <c:pt idx="739">
                  <c:v>-1.5704393713838891</c:v>
                </c:pt>
                <c:pt idx="740">
                  <c:v>-1.5680776503514462</c:v>
                </c:pt>
                <c:pt idx="741">
                  <c:v>-1.597461903637061</c:v>
                </c:pt>
                <c:pt idx="742">
                  <c:v>-1.6299731948814629</c:v>
                </c:pt>
                <c:pt idx="743">
                  <c:v>-1.651466793837115</c:v>
                </c:pt>
                <c:pt idx="744">
                  <c:v>-1.6534229217503871</c:v>
                </c:pt>
                <c:pt idx="745">
                  <c:v>-1.6062399594748171</c:v>
                </c:pt>
                <c:pt idx="746">
                  <c:v>-1.5840408364028995</c:v>
                </c:pt>
                <c:pt idx="747">
                  <c:v>-1.5715075637724676</c:v>
                </c:pt>
                <c:pt idx="748">
                  <c:v>-1.6049094784575131</c:v>
                </c:pt>
                <c:pt idx="749">
                  <c:v>-1.579551953969103</c:v>
                </c:pt>
                <c:pt idx="750">
                  <c:v>-1.5774805364177009</c:v>
                </c:pt>
                <c:pt idx="751">
                  <c:v>-1.5848024237061662</c:v>
                </c:pt>
                <c:pt idx="752">
                  <c:v>-1.6258606757661627</c:v>
                </c:pt>
                <c:pt idx="753">
                  <c:v>-1.6609701601116804</c:v>
                </c:pt>
                <c:pt idx="754">
                  <c:v>-1.6541890816720191</c:v>
                </c:pt>
                <c:pt idx="755">
                  <c:v>-1.6531347470480757</c:v>
                </c:pt>
                <c:pt idx="756">
                  <c:v>-1.6428563610629023</c:v>
                </c:pt>
                <c:pt idx="757">
                  <c:v>-1.6439098458610053</c:v>
                </c:pt>
                <c:pt idx="758">
                  <c:v>-1.6612619149664785</c:v>
                </c:pt>
                <c:pt idx="759">
                  <c:v>-1.6550161803559209</c:v>
                </c:pt>
                <c:pt idx="760">
                  <c:v>-1.6829585775423703</c:v>
                </c:pt>
                <c:pt idx="761">
                  <c:v>-1.6702897867935953</c:v>
                </c:pt>
                <c:pt idx="762">
                  <c:v>-1.6545377469934397</c:v>
                </c:pt>
                <c:pt idx="763">
                  <c:v>-1.620219809822762</c:v>
                </c:pt>
                <c:pt idx="764">
                  <c:v>-1.6142945865310612</c:v>
                </c:pt>
                <c:pt idx="765">
                  <c:v>-1.601906646358022</c:v>
                </c:pt>
                <c:pt idx="766">
                  <c:v>-1.5148006407969925</c:v>
                </c:pt>
                <c:pt idx="767">
                  <c:v>-1.4294102483977982</c:v>
                </c:pt>
                <c:pt idx="768">
                  <c:v>-1.3765837979002606</c:v>
                </c:pt>
                <c:pt idx="769">
                  <c:v>-1.4037084936247775</c:v>
                </c:pt>
                <c:pt idx="770">
                  <c:v>-1.4034393300855326</c:v>
                </c:pt>
                <c:pt idx="771">
                  <c:v>-1.3874902775585884</c:v>
                </c:pt>
                <c:pt idx="772">
                  <c:v>-1.3771401369781326</c:v>
                </c:pt>
                <c:pt idx="773">
                  <c:v>-1.4161189073584595</c:v>
                </c:pt>
                <c:pt idx="774">
                  <c:v>-1.4231749969030021</c:v>
                </c:pt>
                <c:pt idx="775">
                  <c:v>-1.4328162661710373</c:v>
                </c:pt>
                <c:pt idx="776">
                  <c:v>-1.3609251341164539</c:v>
                </c:pt>
                <c:pt idx="777">
                  <c:v>-1.3503309591525208</c:v>
                </c:pt>
                <c:pt idx="778">
                  <c:v>-1.3289489182483445</c:v>
                </c:pt>
                <c:pt idx="779">
                  <c:v>-1.369608741500306</c:v>
                </c:pt>
                <c:pt idx="780">
                  <c:v>-1.3736418063660485</c:v>
                </c:pt>
                <c:pt idx="781">
                  <c:v>-1.3824922619487443</c:v>
                </c:pt>
                <c:pt idx="782">
                  <c:v>-1.3636705000642122</c:v>
                </c:pt>
                <c:pt idx="783">
                  <c:v>-1.3564101950731489</c:v>
                </c:pt>
                <c:pt idx="784">
                  <c:v>-1.3437123843008345</c:v>
                </c:pt>
                <c:pt idx="785">
                  <c:v>-1.3296085995816176</c:v>
                </c:pt>
                <c:pt idx="786">
                  <c:v>-1.3287833805350904</c:v>
                </c:pt>
                <c:pt idx="787">
                  <c:v>-1.3357044441079093</c:v>
                </c:pt>
                <c:pt idx="788">
                  <c:v>-1.3718969300485782</c:v>
                </c:pt>
                <c:pt idx="789">
                  <c:v>-1.3975577980037592</c:v>
                </c:pt>
                <c:pt idx="790">
                  <c:v>-1.4338331521006709</c:v>
                </c:pt>
                <c:pt idx="791">
                  <c:v>-1.430276425659595</c:v>
                </c:pt>
                <c:pt idx="792">
                  <c:v>-1.4246114352584314</c:v>
                </c:pt>
                <c:pt idx="793">
                  <c:v>-1.4011379344779453</c:v>
                </c:pt>
                <c:pt idx="794">
                  <c:v>-1.4095747367140141</c:v>
                </c:pt>
                <c:pt idx="795">
                  <c:v>-1.4073246751237651</c:v>
                </c:pt>
                <c:pt idx="796">
                  <c:v>-1.3805803898586613</c:v>
                </c:pt>
                <c:pt idx="797">
                  <c:v>-1.3606009628629809</c:v>
                </c:pt>
                <c:pt idx="798">
                  <c:v>-1.3669017809429989</c:v>
                </c:pt>
                <c:pt idx="799">
                  <c:v>-1.3920525794203817</c:v>
                </c:pt>
                <c:pt idx="800">
                  <c:v>-1.3756743350212062</c:v>
                </c:pt>
                <c:pt idx="801">
                  <c:v>-1.3415604032128561</c:v>
                </c:pt>
                <c:pt idx="802">
                  <c:v>-1.3036736107053606</c:v>
                </c:pt>
                <c:pt idx="803">
                  <c:v>-1.2874705574505265</c:v>
                </c:pt>
                <c:pt idx="804">
                  <c:v>-1.2647010581759088</c:v>
                </c:pt>
                <c:pt idx="805">
                  <c:v>-1.2189068875721978</c:v>
                </c:pt>
                <c:pt idx="806">
                  <c:v>-1.1859118627610565</c:v>
                </c:pt>
                <c:pt idx="807">
                  <c:v>-1.1440423251240406</c:v>
                </c:pt>
                <c:pt idx="808">
                  <c:v>-1.1384062276910469</c:v>
                </c:pt>
                <c:pt idx="809">
                  <c:v>-1.2235838637887462</c:v>
                </c:pt>
                <c:pt idx="810">
                  <c:v>-1.2995183778192219</c:v>
                </c:pt>
                <c:pt idx="811">
                  <c:v>-1.3573882904820795</c:v>
                </c:pt>
                <c:pt idx="812">
                  <c:v>-1.2937905171726427</c:v>
                </c:pt>
                <c:pt idx="813">
                  <c:v>-1.2541742663320574</c:v>
                </c:pt>
                <c:pt idx="814">
                  <c:v>-1.2232845654947715</c:v>
                </c:pt>
                <c:pt idx="815">
                  <c:v>-1.2124611688434423</c:v>
                </c:pt>
                <c:pt idx="816">
                  <c:v>-1.1989902596960242</c:v>
                </c:pt>
                <c:pt idx="817">
                  <c:v>-1.162262459120595</c:v>
                </c:pt>
                <c:pt idx="818">
                  <c:v>-1.1892603664636641</c:v>
                </c:pt>
                <c:pt idx="819">
                  <c:v>-1.263763295787985</c:v>
                </c:pt>
                <c:pt idx="820">
                  <c:v>-1.3639299199293384</c:v>
                </c:pt>
                <c:pt idx="821">
                  <c:v>-1.4296532582270869</c:v>
                </c:pt>
                <c:pt idx="822">
                  <c:v>-1.4102639110225905</c:v>
                </c:pt>
                <c:pt idx="823">
                  <c:v>-1.3353605750205604</c:v>
                </c:pt>
                <c:pt idx="824">
                  <c:v>-1.2166256772189901</c:v>
                </c:pt>
                <c:pt idx="825">
                  <c:v>-1.1895449653319998</c:v>
                </c:pt>
                <c:pt idx="826">
                  <c:v>-1.2358426958079873</c:v>
                </c:pt>
                <c:pt idx="827">
                  <c:v>-1.245113923635113</c:v>
                </c:pt>
                <c:pt idx="828">
                  <c:v>-1.194294984170347</c:v>
                </c:pt>
                <c:pt idx="829">
                  <c:v>-1.1045290318730396</c:v>
                </c:pt>
                <c:pt idx="830">
                  <c:v>-1.0641144937370177</c:v>
                </c:pt>
                <c:pt idx="831">
                  <c:v>-1.0251275001316069</c:v>
                </c:pt>
                <c:pt idx="832">
                  <c:v>-0.98746544308217865</c:v>
                </c:pt>
                <c:pt idx="833">
                  <c:v>-0.95103637397364038</c:v>
                </c:pt>
                <c:pt idx="834">
                  <c:v>-0.91575757652992007</c:v>
                </c:pt>
                <c:pt idx="835">
                  <c:v>-0.92647727056292839</c:v>
                </c:pt>
                <c:pt idx="836">
                  <c:v>-1.0091259393719534</c:v>
                </c:pt>
                <c:pt idx="837">
                  <c:v>-1.3139580268550697</c:v>
                </c:pt>
                <c:pt idx="838">
                  <c:v>-1.5242155400934028</c:v>
                </c:pt>
                <c:pt idx="839">
                  <c:v>-1.7314039741899567</c:v>
                </c:pt>
                <c:pt idx="840">
                  <c:v>-1.7166444185382745</c:v>
                </c:pt>
                <c:pt idx="841">
                  <c:v>-1.6860946609056617</c:v>
                </c:pt>
                <c:pt idx="842">
                  <c:v>-1.5023658748401456</c:v>
                </c:pt>
                <c:pt idx="843">
                  <c:v>-1.3519882805768306</c:v>
                </c:pt>
                <c:pt idx="844">
                  <c:v>-1.2405649443760842</c:v>
                </c:pt>
                <c:pt idx="845">
                  <c:v>-1.2368750622246416</c:v>
                </c:pt>
                <c:pt idx="846">
                  <c:v>-1.1813787327619341</c:v>
                </c:pt>
                <c:pt idx="847">
                  <c:v>-1.1992802411587022</c:v>
                </c:pt>
                <c:pt idx="848">
                  <c:v>-1.2138723323114078</c:v>
                </c:pt>
                <c:pt idx="849">
                  <c:v>-1.2844056108892017</c:v>
                </c:pt>
                <c:pt idx="850">
                  <c:v>-1.3042503064513531</c:v>
                </c:pt>
                <c:pt idx="851">
                  <c:v>-1.3203104602551108</c:v>
                </c:pt>
                <c:pt idx="852">
                  <c:v>-1.3402235193433256</c:v>
                </c:pt>
                <c:pt idx="853">
                  <c:v>-1.3214919841835362</c:v>
                </c:pt>
                <c:pt idx="854">
                  <c:v>-1.3020880841036013</c:v>
                </c:pt>
                <c:pt idx="855">
                  <c:v>-1.2593079414720518</c:v>
                </c:pt>
                <c:pt idx="856">
                  <c:v>-1.280438791538242</c:v>
                </c:pt>
                <c:pt idx="857">
                  <c:v>-1.3079324998036184</c:v>
                </c:pt>
                <c:pt idx="858">
                  <c:v>-1.3324378983719598</c:v>
                </c:pt>
                <c:pt idx="859">
                  <c:v>-1.3619683159666913</c:v>
                </c:pt>
                <c:pt idx="860">
                  <c:v>-1.4182725139470236</c:v>
                </c:pt>
                <c:pt idx="861">
                  <c:v>-1.4404782791010291</c:v>
                </c:pt>
                <c:pt idx="862">
                  <c:v>-1.4023665091024935</c:v>
                </c:pt>
                <c:pt idx="863">
                  <c:v>-1.3408423420094693</c:v>
                </c:pt>
                <c:pt idx="864">
                  <c:v>-1.3788771533699649</c:v>
                </c:pt>
                <c:pt idx="865">
                  <c:v>-1.4997649197059848</c:v>
                </c:pt>
                <c:pt idx="866">
                  <c:v>-1.5863273434543574</c:v>
                </c:pt>
                <c:pt idx="867">
                  <c:v>-1.5912834379659735</c:v>
                </c:pt>
                <c:pt idx="868">
                  <c:v>-1.6234437023779658</c:v>
                </c:pt>
                <c:pt idx="869">
                  <c:v>-1.6631291632820375</c:v>
                </c:pt>
                <c:pt idx="870">
                  <c:v>-1.7008705335744791</c:v>
                </c:pt>
                <c:pt idx="871">
                  <c:v>-1.6578921529544035</c:v>
                </c:pt>
                <c:pt idx="872">
                  <c:v>-1.6111244745300206</c:v>
                </c:pt>
                <c:pt idx="873">
                  <c:v>-1.5599823692788852</c:v>
                </c:pt>
                <c:pt idx="874">
                  <c:v>-1.4962833340667865</c:v>
                </c:pt>
                <c:pt idx="875">
                  <c:v>-1.4909836954771578</c:v>
                </c:pt>
                <c:pt idx="876">
                  <c:v>-1.4461255692405572</c:v>
                </c:pt>
                <c:pt idx="877">
                  <c:v>-1.4383753782071906</c:v>
                </c:pt>
                <c:pt idx="878">
                  <c:v>-1.3916586400630153</c:v>
                </c:pt>
                <c:pt idx="879">
                  <c:v>-1.4157042482827809</c:v>
                </c:pt>
                <c:pt idx="880">
                  <c:v>-1.4184751687316384</c:v>
                </c:pt>
                <c:pt idx="881">
                  <c:v>-1.4230939410082384</c:v>
                </c:pt>
                <c:pt idx="882">
                  <c:v>-1.4308144728406635</c:v>
                </c:pt>
                <c:pt idx="883">
                  <c:v>-1.4301902848478543</c:v>
                </c:pt>
                <c:pt idx="884">
                  <c:v>-1.4070145199854505</c:v>
                </c:pt>
                <c:pt idx="885">
                  <c:v>-1.3678328484632811</c:v>
                </c:pt>
                <c:pt idx="886">
                  <c:v>-1.3489380596189779</c:v>
                </c:pt>
                <c:pt idx="887">
                  <c:v>-1.350582494769718</c:v>
                </c:pt>
                <c:pt idx="888">
                  <c:v>-1.3502406341199222</c:v>
                </c:pt>
                <c:pt idx="889">
                  <c:v>-1.3503758633247909</c:v>
                </c:pt>
                <c:pt idx="890">
                  <c:v>-1.3813395309296732</c:v>
                </c:pt>
                <c:pt idx="891">
                  <c:v>-1.4747360012696538</c:v>
                </c:pt>
                <c:pt idx="892">
                  <c:v>-1.5328762452655018</c:v>
                </c:pt>
                <c:pt idx="893">
                  <c:v>-1.5222652035492397</c:v>
                </c:pt>
                <c:pt idx="894">
                  <c:v>-1.4151742582312634</c:v>
                </c:pt>
                <c:pt idx="895">
                  <c:v>-1.3057790102295765</c:v>
                </c:pt>
                <c:pt idx="896">
                  <c:v>-1.2546366735170162</c:v>
                </c:pt>
                <c:pt idx="897">
                  <c:v>-1.2179152497829955</c:v>
                </c:pt>
                <c:pt idx="898">
                  <c:v>-1.229348029801552</c:v>
                </c:pt>
                <c:pt idx="899">
                  <c:v>-1.2202284240824464</c:v>
                </c:pt>
                <c:pt idx="900">
                  <c:v>-1.2422872766551167</c:v>
                </c:pt>
                <c:pt idx="901">
                  <c:v>-1.1911331819472222</c:v>
                </c:pt>
                <c:pt idx="902">
                  <c:v>-1.1469425846222692</c:v>
                </c:pt>
                <c:pt idx="903">
                  <c:v>-1.1149405163231936</c:v>
                </c:pt>
                <c:pt idx="904">
                  <c:v>-1.1511066616039656</c:v>
                </c:pt>
                <c:pt idx="905">
                  <c:v>-1.1172703861220634</c:v>
                </c:pt>
                <c:pt idx="906">
                  <c:v>-1.0364552728505598</c:v>
                </c:pt>
                <c:pt idx="907">
                  <c:v>-1.0199316714236775</c:v>
                </c:pt>
                <c:pt idx="908">
                  <c:v>-1.041384668199302</c:v>
                </c:pt>
                <c:pt idx="909">
                  <c:v>-0.77420522430894445</c:v>
                </c:pt>
                <c:pt idx="910">
                  <c:v>-0.62562065393643451</c:v>
                </c:pt>
                <c:pt idx="911">
                  <c:v>-0.67780513999707892</c:v>
                </c:pt>
                <c:pt idx="912">
                  <c:v>-0.98553487660467842</c:v>
                </c:pt>
                <c:pt idx="913">
                  <c:v>-1.0811528674935045</c:v>
                </c:pt>
                <c:pt idx="914">
                  <c:v>-0.97005450292801554</c:v>
                </c:pt>
                <c:pt idx="915">
                  <c:v>-0.87041237014725292</c:v>
                </c:pt>
                <c:pt idx="916">
                  <c:v>-0.93029692076691495</c:v>
                </c:pt>
                <c:pt idx="917">
                  <c:v>-0.96091700854090245</c:v>
                </c:pt>
                <c:pt idx="918">
                  <c:v>-0.97154631932509083</c:v>
                </c:pt>
                <c:pt idx="919">
                  <c:v>-0.88420058291701242</c:v>
                </c:pt>
                <c:pt idx="920">
                  <c:v>-0.62428004547406057</c:v>
                </c:pt>
                <c:pt idx="921">
                  <c:v>-0.45011015990843828</c:v>
                </c:pt>
                <c:pt idx="922">
                  <c:v>-0.1867232441387979</c:v>
                </c:pt>
                <c:pt idx="923">
                  <c:v>-0.35881597660650538</c:v>
                </c:pt>
                <c:pt idx="924">
                  <c:v>-0.5137038469798586</c:v>
                </c:pt>
                <c:pt idx="925">
                  <c:v>-0.75418502110113383</c:v>
                </c:pt>
                <c:pt idx="926">
                  <c:v>-0.82882961557036083</c:v>
                </c:pt>
                <c:pt idx="927">
                  <c:v>-0.9335126828327075</c:v>
                </c:pt>
                <c:pt idx="928">
                  <c:v>-1.0416553398115025</c:v>
                </c:pt>
                <c:pt idx="929">
                  <c:v>-1.1200515263170312</c:v>
                </c:pt>
                <c:pt idx="930">
                  <c:v>-1.1775772662413866</c:v>
                </c:pt>
                <c:pt idx="931">
                  <c:v>-1.1431206234006499</c:v>
                </c:pt>
                <c:pt idx="932">
                  <c:v>-1.2299644885698806</c:v>
                </c:pt>
                <c:pt idx="933">
                  <c:v>-1.1115521240984361</c:v>
                </c:pt>
                <c:pt idx="934">
                  <c:v>-0.88447807014018609</c:v>
                </c:pt>
                <c:pt idx="935">
                  <c:v>-0.53353561307969122</c:v>
                </c:pt>
                <c:pt idx="936">
                  <c:v>-0.41965188080895155</c:v>
                </c:pt>
                <c:pt idx="937">
                  <c:v>-0.5327514797946129</c:v>
                </c:pt>
                <c:pt idx="938">
                  <c:v>-0.57432971559979273</c:v>
                </c:pt>
                <c:pt idx="939">
                  <c:v>-0.72060809812264826</c:v>
                </c:pt>
                <c:pt idx="940">
                  <c:v>-0.92141130971025031</c:v>
                </c:pt>
                <c:pt idx="941">
                  <c:v>-0.86393926418257905</c:v>
                </c:pt>
                <c:pt idx="942">
                  <c:v>-0.54095139782587076</c:v>
                </c:pt>
                <c:pt idx="943">
                  <c:v>-0.26110009759047653</c:v>
                </c:pt>
                <c:pt idx="944">
                  <c:v>-0.36358083841404448</c:v>
                </c:pt>
                <c:pt idx="945">
                  <c:v>-0.50221556078512808</c:v>
                </c:pt>
                <c:pt idx="946">
                  <c:v>-0.5976953974027821</c:v>
                </c:pt>
                <c:pt idx="947">
                  <c:v>-0.74082859407676771</c:v>
                </c:pt>
                <c:pt idx="948">
                  <c:v>-0.7615193701494819</c:v>
                </c:pt>
                <c:pt idx="949">
                  <c:v>-0.62954288578298512</c:v>
                </c:pt>
                <c:pt idx="950">
                  <c:v>-0.40177021739335211</c:v>
                </c:pt>
                <c:pt idx="951">
                  <c:v>-0.35680664309244498</c:v>
                </c:pt>
                <c:pt idx="952">
                  <c:v>-0.50920582266104386</c:v>
                </c:pt>
                <c:pt idx="953">
                  <c:v>-0.54211798149842227</c:v>
                </c:pt>
                <c:pt idx="954">
                  <c:v>-0.46336689960040073</c:v>
                </c:pt>
                <c:pt idx="955">
                  <c:v>-0.20307460015088208</c:v>
                </c:pt>
                <c:pt idx="956">
                  <c:v>-0.20219833213552837</c:v>
                </c:pt>
                <c:pt idx="957">
                  <c:v>-0.4313540716696232</c:v>
                </c:pt>
                <c:pt idx="958">
                  <c:v>-0.7032306757895791</c:v>
                </c:pt>
                <c:pt idx="959">
                  <c:v>-0.83315663212130031</c:v>
                </c:pt>
                <c:pt idx="960">
                  <c:v>-0.89966491511762425</c:v>
                </c:pt>
                <c:pt idx="961">
                  <c:v>-0.94439832266098411</c:v>
                </c:pt>
                <c:pt idx="962">
                  <c:v>-1.0129720232700199</c:v>
                </c:pt>
                <c:pt idx="963">
                  <c:v>-1.0416809048005782</c:v>
                </c:pt>
                <c:pt idx="964">
                  <c:v>-1.0777376945714019</c:v>
                </c:pt>
                <c:pt idx="965">
                  <c:v>-1.0953059082149792</c:v>
                </c:pt>
                <c:pt idx="966">
                  <c:v>-1.0577089783981422</c:v>
                </c:pt>
                <c:pt idx="967">
                  <c:v>-0.85991249192231389</c:v>
                </c:pt>
                <c:pt idx="968">
                  <c:v>-0.64648828163453032</c:v>
                </c:pt>
                <c:pt idx="969">
                  <c:v>-0.49375365505055452</c:v>
                </c:pt>
                <c:pt idx="970">
                  <c:v>-0.48966583404811415</c:v>
                </c:pt>
                <c:pt idx="971">
                  <c:v>-0.48553292048607849</c:v>
                </c:pt>
                <c:pt idx="972">
                  <c:v>-0.4813541280119637</c:v>
                </c:pt>
                <c:pt idx="973">
                  <c:v>-0.47712865164743173</c:v>
                </c:pt>
                <c:pt idx="974">
                  <c:v>-0.47285566611718394</c:v>
                </c:pt>
                <c:pt idx="975">
                  <c:v>-0.5857525769421591</c:v>
                </c:pt>
                <c:pt idx="976">
                  <c:v>-0.67145173719621687</c:v>
                </c:pt>
                <c:pt idx="977">
                  <c:v>-0.70807108841724153</c:v>
                </c:pt>
                <c:pt idx="978">
                  <c:v>-0.64891927591894671</c:v>
                </c:pt>
                <c:pt idx="979">
                  <c:v>-0.48920401022431131</c:v>
                </c:pt>
                <c:pt idx="980">
                  <c:v>-0.31922025602788479</c:v>
                </c:pt>
                <c:pt idx="981">
                  <c:v>-0.23484029712262644</c:v>
                </c:pt>
                <c:pt idx="982">
                  <c:v>-0.37859853198039045</c:v>
                </c:pt>
                <c:pt idx="983">
                  <c:v>-0.5916587186417599</c:v>
                </c:pt>
                <c:pt idx="984">
                  <c:v>-0.71342713526558599</c:v>
                </c:pt>
                <c:pt idx="985">
                  <c:v>-0.75650374899504758</c:v>
                </c:pt>
                <c:pt idx="986">
                  <c:v>-0.76774947029137885</c:v>
                </c:pt>
                <c:pt idx="987">
                  <c:v>-0.78736753214111266</c:v>
                </c:pt>
                <c:pt idx="988">
                  <c:v>-0.76587248219955362</c:v>
                </c:pt>
                <c:pt idx="989">
                  <c:v>-0.81277219796587608</c:v>
                </c:pt>
                <c:pt idx="990">
                  <c:v>-0.84442474754324748</c:v>
                </c:pt>
                <c:pt idx="991">
                  <c:v>-0.80517813344822475</c:v>
                </c:pt>
                <c:pt idx="992">
                  <c:v>-0.61161819689586938</c:v>
                </c:pt>
                <c:pt idx="993">
                  <c:v>-0.45811092325084229</c:v>
                </c:pt>
                <c:pt idx="994">
                  <c:v>-0.74280455149595281</c:v>
                </c:pt>
                <c:pt idx="995">
                  <c:v>-1.0183902671097309</c:v>
                </c:pt>
                <c:pt idx="996">
                  <c:v>-1.150024177380339</c:v>
                </c:pt>
                <c:pt idx="997">
                  <c:v>-0.96867593455741263</c:v>
                </c:pt>
                <c:pt idx="998">
                  <c:v>-0.8821502784007893</c:v>
                </c:pt>
                <c:pt idx="999">
                  <c:v>-0.88140958223807953</c:v>
                </c:pt>
                <c:pt idx="1000">
                  <c:v>-0.91882054742862318</c:v>
                </c:pt>
                <c:pt idx="1001">
                  <c:v>-1.1173583348012499</c:v>
                </c:pt>
                <c:pt idx="1002">
                  <c:v>-1.204088545589008</c:v>
                </c:pt>
                <c:pt idx="1003">
                  <c:v>-1.1879672269528612</c:v>
                </c:pt>
                <c:pt idx="1004">
                  <c:v>-1.0054853233259169</c:v>
                </c:pt>
                <c:pt idx="1005">
                  <c:v>-0.96140212828889327</c:v>
                </c:pt>
                <c:pt idx="1006">
                  <c:v>-0.96021519967716307</c:v>
                </c:pt>
                <c:pt idx="1007">
                  <c:v>-0.9786453003779485</c:v>
                </c:pt>
                <c:pt idx="1008">
                  <c:v>-0.95913330457060575</c:v>
                </c:pt>
                <c:pt idx="1009">
                  <c:v>-0.9361033376415927</c:v>
                </c:pt>
                <c:pt idx="1010">
                  <c:v>-0.94331737610577893</c:v>
                </c:pt>
                <c:pt idx="1011">
                  <c:v>-0.91553582905150999</c:v>
                </c:pt>
                <c:pt idx="1012">
                  <c:v>-0.92519545422138483</c:v>
                </c:pt>
                <c:pt idx="1013">
                  <c:v>-0.87005765900061682</c:v>
                </c:pt>
                <c:pt idx="1014">
                  <c:v>-0.94454220524422683</c:v>
                </c:pt>
                <c:pt idx="1015">
                  <c:v>-0.93562400568246507</c:v>
                </c:pt>
                <c:pt idx="1016">
                  <c:v>-0.98328020325369625</c:v>
                </c:pt>
                <c:pt idx="1017">
                  <c:v>-0.92476751864418094</c:v>
                </c:pt>
                <c:pt idx="1018">
                  <c:v>-0.9168061877930942</c:v>
                </c:pt>
                <c:pt idx="1019">
                  <c:v>-0.93622223213894173</c:v>
                </c:pt>
                <c:pt idx="1020">
                  <c:v>-0.97486855451017052</c:v>
                </c:pt>
                <c:pt idx="1021">
                  <c:v>-0.98347488282087048</c:v>
                </c:pt>
                <c:pt idx="1022">
                  <c:v>-0.96401486396787017</c:v>
                </c:pt>
                <c:pt idx="1023">
                  <c:v>-0.9348309022288287</c:v>
                </c:pt>
                <c:pt idx="1024">
                  <c:v>-0.94248338079109206</c:v>
                </c:pt>
                <c:pt idx="1025">
                  <c:v>-0.89387082507426985</c:v>
                </c:pt>
                <c:pt idx="1026">
                  <c:v>-0.87091509569757808</c:v>
                </c:pt>
                <c:pt idx="1027">
                  <c:v>-0.8283855395086559</c:v>
                </c:pt>
                <c:pt idx="1028">
                  <c:v>-0.84276891859509229</c:v>
                </c:pt>
                <c:pt idx="1029">
                  <c:v>-0.81945953029926122</c:v>
                </c:pt>
                <c:pt idx="1030">
                  <c:v>-0.83115596074257159</c:v>
                </c:pt>
                <c:pt idx="1031">
                  <c:v>-0.81444710097391881</c:v>
                </c:pt>
                <c:pt idx="1032">
                  <c:v>-0.80704258245463356</c:v>
                </c:pt>
                <c:pt idx="1033">
                  <c:v>-0.73546287752364325</c:v>
                </c:pt>
                <c:pt idx="1034">
                  <c:v>-0.73220431635821059</c:v>
                </c:pt>
                <c:pt idx="1035">
                  <c:v>-0.77367348054494867</c:v>
                </c:pt>
                <c:pt idx="1036">
                  <c:v>-0.86193524775332653</c:v>
                </c:pt>
                <c:pt idx="1037">
                  <c:v>-0.89634963038357596</c:v>
                </c:pt>
                <c:pt idx="1038">
                  <c:v>-0.95276932966853656</c:v>
                </c:pt>
                <c:pt idx="1039">
                  <c:v>-0.96132842647611783</c:v>
                </c:pt>
                <c:pt idx="1040">
                  <c:v>-0.98482664674973641</c:v>
                </c:pt>
                <c:pt idx="1041">
                  <c:v>-1.0212354338102694</c:v>
                </c:pt>
                <c:pt idx="1042">
                  <c:v>-1.037719634954372</c:v>
                </c:pt>
                <c:pt idx="1043">
                  <c:v>-0.99043928356161082</c:v>
                </c:pt>
                <c:pt idx="1044">
                  <c:v>-0.95058572555035992</c:v>
                </c:pt>
                <c:pt idx="1045">
                  <c:v>-0.95765667104561203</c:v>
                </c:pt>
                <c:pt idx="1046">
                  <c:v>-1.2083513312564442</c:v>
                </c:pt>
                <c:pt idx="1047">
                  <c:v>-1.0119640835347425</c:v>
                </c:pt>
                <c:pt idx="1048">
                  <c:v>-0.65127085518205885</c:v>
                </c:pt>
                <c:pt idx="1049">
                  <c:v>-8.6795742024535036E-2</c:v>
                </c:pt>
                <c:pt idx="1050">
                  <c:v>8.4003403704758797E-2</c:v>
                </c:pt>
                <c:pt idx="1051">
                  <c:v>-2.7239601716665209E-3</c:v>
                </c:pt>
                <c:pt idx="1052">
                  <c:v>-1.9573051941507793E-2</c:v>
                </c:pt>
                <c:pt idx="1053">
                  <c:v>-7.2238625010185034E-2</c:v>
                </c:pt>
                <c:pt idx="1054">
                  <c:v>-0.25025068237079207</c:v>
                </c:pt>
                <c:pt idx="1055">
                  <c:v>-0.47294449537700983</c:v>
                </c:pt>
                <c:pt idx="1056">
                  <c:v>-0.75271127958605477</c:v>
                </c:pt>
                <c:pt idx="1057">
                  <c:v>-0.85090167088271984</c:v>
                </c:pt>
                <c:pt idx="1058">
                  <c:v>-1.0335427848490859</c:v>
                </c:pt>
                <c:pt idx="1059">
                  <c:v>-1.0675248567645184</c:v>
                </c:pt>
                <c:pt idx="1060">
                  <c:v>-1.0869459244966453</c:v>
                </c:pt>
                <c:pt idx="1061">
                  <c:v>-1.0470574327743585</c:v>
                </c:pt>
                <c:pt idx="1062">
                  <c:v>-0.96636003191071707</c:v>
                </c:pt>
                <c:pt idx="1063">
                  <c:v>-0.93260474385085157</c:v>
                </c:pt>
                <c:pt idx="1064">
                  <c:v>-0.94002180594807605</c:v>
                </c:pt>
                <c:pt idx="1065">
                  <c:v>-1.0892586148464518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2F-433B-8F85-1AA2F26C5E10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15"/>
            <c:spPr>
              <a:noFill/>
              <a:ln w="57150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9-105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921-476C-8B50-4B442341A98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9-015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5921-476C-8B50-4B442341A98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8-145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5921-476C-8B50-4B442341A98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8-075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5921-476C-8B50-4B442341A98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8-020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5921-476C-8B50-4B442341A98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7-025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5921-476C-8B50-4B442341A98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6a-075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5921-476C-8B50-4B442341A98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6a-010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5921-476C-8B50-4B442341A98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6-125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5921-476C-8B50-4B442341A98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6-090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5921-476C-8B50-4B442341A98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6-020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5921-476C-8B50-4B442341A984}"/>
                </c:ext>
              </c:extLst>
            </c:dLbl>
            <c:dLbl>
              <c:idx val="11"/>
              <c:tx>
                <c:rich>
                  <a:bodyPr rot="0" spcFirstLastPara="1" vertOverflow="overflow" horzOverflow="overflow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="1">
                        <a:solidFill>
                          <a:sysClr val="windowText" lastClr="000000"/>
                        </a:solidFill>
                      </a:rPr>
                      <a:t>4-060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showDataLabelsRange val="0"/>
                </c:ext>
                <c:ext xmlns:c16="http://schemas.microsoft.com/office/drawing/2014/chart" uri="{C3380CC4-5D6E-409C-BE32-E72D297353CC}">
                  <c16:uniqueId val="{0000000E-5921-476C-8B50-4B442341A98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4-005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5921-476C-8B50-4B442341A98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/>
                      <a:t>3-031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5921-476C-8B50-4B442341A98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n-US"/>
                      <a:t>2-025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5921-476C-8B50-4B442341A9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('XRF selectie'!$Y$103,'XRF selectie'!$Y$193,'XRF selectie'!$Y$213,'XRF selectie'!$Y$283,'XRF selectie'!$Y$338,'XRF selectie'!$Y$484,'XRF selectie'!$Y$544,'XRF selectie'!$Y$609,'XRF selectie'!$Y$643,'XRF selectie'!$Y$678,'XRF selectie'!$Y$748,'XRF selectie'!$Y$835,'XRF selectie'!$Y$890,'XRF selectie'!$Y$942,'XRF selectie'!$Y$1023)</c:f>
              <c:numCache>
                <c:formatCode>General</c:formatCode>
                <c:ptCount val="15"/>
                <c:pt idx="0">
                  <c:v>10.2980526</c:v>
                </c:pt>
                <c:pt idx="1">
                  <c:v>11.768077699999999</c:v>
                </c:pt>
                <c:pt idx="2">
                  <c:v>12.1405049</c:v>
                </c:pt>
                <c:pt idx="3">
                  <c:v>12.6819275</c:v>
                </c:pt>
                <c:pt idx="4">
                  <c:v>12.904340100000001</c:v>
                </c:pt>
                <c:pt idx="5">
                  <c:v>13.4115</c:v>
                </c:pt>
                <c:pt idx="6">
                  <c:v>15.2977455</c:v>
                </c:pt>
                <c:pt idx="7">
                  <c:v>17.6303333</c:v>
                </c:pt>
                <c:pt idx="8">
                  <c:v>19.7899794</c:v>
                </c:pt>
                <c:pt idx="9">
                  <c:v>22.102144299999999</c:v>
                </c:pt>
                <c:pt idx="10">
                  <c:v>26.1424615</c:v>
                </c:pt>
                <c:pt idx="11">
                  <c:v>29.476255299999998</c:v>
                </c:pt>
                <c:pt idx="12">
                  <c:v>30.863619100000001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('XRF selectie'!$T$103,'XRF selectie'!$T$193,'XRF selectie'!$T$213,'XRF selectie'!$T$283,'XRF selectie'!$T$338,'XRF selectie'!$T$484,'XRF selectie'!$T$544,'XRF selectie'!$T$609,'XRF selectie'!$T$643,'XRF selectie'!$T$678,'XRF selectie'!$T$748,'XRF selectie'!$T$835,'XRF selectie'!$T$890,'XRF selectie'!$T$942,'XRF selectie'!$T$1023)</c:f>
              <c:numCache>
                <c:formatCode>General</c:formatCode>
                <c:ptCount val="15"/>
                <c:pt idx="0">
                  <c:v>1.247767791537624</c:v>
                </c:pt>
                <c:pt idx="1">
                  <c:v>0.69830519598119822</c:v>
                </c:pt>
                <c:pt idx="2">
                  <c:v>0.94352448319192384</c:v>
                </c:pt>
                <c:pt idx="3">
                  <c:v>-0.35183242952405053</c:v>
                </c:pt>
                <c:pt idx="4">
                  <c:v>-1.0315523158559567</c:v>
                </c:pt>
                <c:pt idx="5">
                  <c:v>-0.45993079634645256</c:v>
                </c:pt>
                <c:pt idx="6">
                  <c:v>-0.5083661431327311</c:v>
                </c:pt>
                <c:pt idx="7">
                  <c:v>-1.9598161592244112</c:v>
                </c:pt>
                <c:pt idx="8">
                  <c:v>-2.0509613187001334</c:v>
                </c:pt>
                <c:pt idx="9">
                  <c:v>-1.773715120338428</c:v>
                </c:pt>
                <c:pt idx="10">
                  <c:v>-1.5715075637724676</c:v>
                </c:pt>
                <c:pt idx="11">
                  <c:v>-0.91575757652992007</c:v>
                </c:pt>
                <c:pt idx="12">
                  <c:v>-1.3503758633247909</c:v>
                </c:pt>
                <c:pt idx="13">
                  <c:v>-0.86393926418257905</c:v>
                </c:pt>
                <c:pt idx="14">
                  <c:v>-0.96401486396787017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21-476C-8B50-4B442341A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849088"/>
        <c:axId val="73213969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'XRF samples'!$Y$2:$Y$16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10.2980526</c:v>
                      </c:pt>
                      <c:pt idx="1">
                        <c:v>11.768077699999999</c:v>
                      </c:pt>
                      <c:pt idx="2">
                        <c:v>12.1405049</c:v>
                      </c:pt>
                      <c:pt idx="3">
                        <c:v>12.6819275</c:v>
                      </c:pt>
                      <c:pt idx="4">
                        <c:v>12.904340100000001</c:v>
                      </c:pt>
                      <c:pt idx="5">
                        <c:v>13.4115</c:v>
                      </c:pt>
                      <c:pt idx="6">
                        <c:v>15.2977455</c:v>
                      </c:pt>
                      <c:pt idx="7">
                        <c:v>17.6303333</c:v>
                      </c:pt>
                      <c:pt idx="8">
                        <c:v>19.7899794</c:v>
                      </c:pt>
                      <c:pt idx="9">
                        <c:v>22.102144299999999</c:v>
                      </c:pt>
                      <c:pt idx="10">
                        <c:v>26.1424615</c:v>
                      </c:pt>
                      <c:pt idx="11">
                        <c:v>29.476255299999998</c:v>
                      </c:pt>
                      <c:pt idx="12">
                        <c:v>30.863619100000001</c:v>
                      </c:pt>
                      <c:pt idx="13">
                        <c:v>31.4960381</c:v>
                      </c:pt>
                      <c:pt idx="14">
                        <c:v>33.121000000000002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'XRF samples'!$T$1:$T$16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0</c:v>
                      </c:pt>
                      <c:pt idx="1">
                        <c:v>0.94408901712885041</c:v>
                      </c:pt>
                      <c:pt idx="2">
                        <c:v>0.9375661704192314</c:v>
                      </c:pt>
                      <c:pt idx="3">
                        <c:v>0.41573791833812135</c:v>
                      </c:pt>
                      <c:pt idx="4">
                        <c:v>-0.14181589770270375</c:v>
                      </c:pt>
                      <c:pt idx="5">
                        <c:v>-0.61870546704901697</c:v>
                      </c:pt>
                      <c:pt idx="6">
                        <c:v>-0.63691565655264959</c:v>
                      </c:pt>
                      <c:pt idx="7">
                        <c:v>-0.94204294297966096</c:v>
                      </c:pt>
                      <c:pt idx="8">
                        <c:v>-1.4516293214330522</c:v>
                      </c:pt>
                      <c:pt idx="9">
                        <c:v>-1.9317111061209387</c:v>
                      </c:pt>
                      <c:pt idx="10">
                        <c:v>-1.8135296565834829</c:v>
                      </c:pt>
                      <c:pt idx="11">
                        <c:v>-1.4403604749861554</c:v>
                      </c:pt>
                      <c:pt idx="12">
                        <c:v>-1.2843028038601634</c:v>
                      </c:pt>
                      <c:pt idx="13">
                        <c:v>-1.1897315615390827</c:v>
                      </c:pt>
                      <c:pt idx="14">
                        <c:v>-1.1961038536760809</c:v>
                      </c:pt>
                      <c:pt idx="15">
                        <c:v>-1.1202203155084132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5921-476C-8B50-4B442341A984}"/>
                  </c:ext>
                </c:extLst>
              </c15:ser>
            </c15:filteredScatterSeries>
          </c:ext>
        </c:extLst>
      </c:scatterChart>
      <c:valAx>
        <c:axId val="670849088"/>
        <c:scaling>
          <c:orientation val="minMax"/>
          <c:max val="35"/>
          <c:min val="8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2000" baseline="0"/>
                  <a:t>Age (ka BP)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out"/>
        <c:tickLblPos val="low"/>
        <c:spPr>
          <a:noFill/>
          <a:ln w="1270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732139696"/>
        <c:crosses val="autoZero"/>
        <c:crossBetween val="midCat"/>
        <c:majorUnit val="1"/>
      </c:valAx>
      <c:valAx>
        <c:axId val="73213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2000" baseline="0"/>
                  <a:t>ln(Ti/Ca)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670849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'XRF selectie'!$Y$2:$Y$1067</c:f>
              <c:numCache>
                <c:formatCode>General</c:formatCode>
                <c:ptCount val="1066"/>
                <c:pt idx="0">
                  <c:v>8.6873684200000003</c:v>
                </c:pt>
                <c:pt idx="1">
                  <c:v>8.7033157899999996</c:v>
                </c:pt>
                <c:pt idx="2">
                  <c:v>8.7192631600000006</c:v>
                </c:pt>
                <c:pt idx="3">
                  <c:v>8.7352105299999998</c:v>
                </c:pt>
                <c:pt idx="4">
                  <c:v>8.7511579000000008</c:v>
                </c:pt>
                <c:pt idx="5">
                  <c:v>8.7671052599999992</c:v>
                </c:pt>
                <c:pt idx="6">
                  <c:v>8.7830526300000002</c:v>
                </c:pt>
                <c:pt idx="7">
                  <c:v>8.7989999999999995</c:v>
                </c:pt>
                <c:pt idx="8">
                  <c:v>8.8149473700000005</c:v>
                </c:pt>
                <c:pt idx="9">
                  <c:v>8.8308947399999997</c:v>
                </c:pt>
                <c:pt idx="10">
                  <c:v>8.8468421100000008</c:v>
                </c:pt>
                <c:pt idx="11">
                  <c:v>8.8627894699999992</c:v>
                </c:pt>
                <c:pt idx="12">
                  <c:v>8.8787368400000002</c:v>
                </c:pt>
                <c:pt idx="13">
                  <c:v>8.8946842099999994</c:v>
                </c:pt>
                <c:pt idx="14">
                  <c:v>8.9106315800000004</c:v>
                </c:pt>
                <c:pt idx="15">
                  <c:v>8.9265789499999997</c:v>
                </c:pt>
                <c:pt idx="16">
                  <c:v>8.9425263200000007</c:v>
                </c:pt>
                <c:pt idx="17">
                  <c:v>8.9584736800000009</c:v>
                </c:pt>
                <c:pt idx="18">
                  <c:v>8.9744210500000001</c:v>
                </c:pt>
                <c:pt idx="19">
                  <c:v>8.9903684199999994</c:v>
                </c:pt>
                <c:pt idx="20">
                  <c:v>9.0063157900000004</c:v>
                </c:pt>
                <c:pt idx="21">
                  <c:v>9.0222631599999996</c:v>
                </c:pt>
                <c:pt idx="22">
                  <c:v>9.0382105300000006</c:v>
                </c:pt>
                <c:pt idx="23">
                  <c:v>9.0541578999999999</c:v>
                </c:pt>
                <c:pt idx="24">
                  <c:v>9.0701052600000001</c:v>
                </c:pt>
                <c:pt idx="25">
                  <c:v>9.0860526299999993</c:v>
                </c:pt>
                <c:pt idx="26">
                  <c:v>9.1020000000000003</c:v>
                </c:pt>
                <c:pt idx="27">
                  <c:v>9.1179473699999996</c:v>
                </c:pt>
                <c:pt idx="28">
                  <c:v>9.1338947400000006</c:v>
                </c:pt>
                <c:pt idx="29">
                  <c:v>9.1498421099999998</c:v>
                </c:pt>
                <c:pt idx="30">
                  <c:v>9.16578947</c:v>
                </c:pt>
                <c:pt idx="31">
                  <c:v>9.1817368399999992</c:v>
                </c:pt>
                <c:pt idx="32">
                  <c:v>9.1976842100000002</c:v>
                </c:pt>
                <c:pt idx="33">
                  <c:v>9.2136315799999995</c:v>
                </c:pt>
                <c:pt idx="34">
                  <c:v>9.2295789500000005</c:v>
                </c:pt>
                <c:pt idx="35">
                  <c:v>9.2455263199999997</c:v>
                </c:pt>
                <c:pt idx="36">
                  <c:v>9.2614736799999999</c:v>
                </c:pt>
                <c:pt idx="37">
                  <c:v>9.2774210499999992</c:v>
                </c:pt>
                <c:pt idx="38">
                  <c:v>9.2933684200000002</c:v>
                </c:pt>
                <c:pt idx="39">
                  <c:v>9.3093157899999994</c:v>
                </c:pt>
                <c:pt idx="40">
                  <c:v>9.3252631600000004</c:v>
                </c:pt>
                <c:pt idx="41">
                  <c:v>9.3412105299999997</c:v>
                </c:pt>
                <c:pt idx="42">
                  <c:v>9.3571579000000007</c:v>
                </c:pt>
                <c:pt idx="43">
                  <c:v>9.3731052600000009</c:v>
                </c:pt>
                <c:pt idx="44">
                  <c:v>9.3890526300000001</c:v>
                </c:pt>
                <c:pt idx="45">
                  <c:v>9.4049999999999994</c:v>
                </c:pt>
                <c:pt idx="46">
                  <c:v>9.4209473700000004</c:v>
                </c:pt>
                <c:pt idx="47">
                  <c:v>9.4368947399999996</c:v>
                </c:pt>
                <c:pt idx="48">
                  <c:v>9.4528421100000006</c:v>
                </c:pt>
                <c:pt idx="49">
                  <c:v>9.4687894700000008</c:v>
                </c:pt>
                <c:pt idx="50">
                  <c:v>9.4847368400000001</c:v>
                </c:pt>
                <c:pt idx="51">
                  <c:v>9.5006842099999993</c:v>
                </c:pt>
                <c:pt idx="52">
                  <c:v>9.5166315800000003</c:v>
                </c:pt>
                <c:pt idx="53">
                  <c:v>9.5325789499999996</c:v>
                </c:pt>
                <c:pt idx="54">
                  <c:v>9.5485263200000006</c:v>
                </c:pt>
                <c:pt idx="55">
                  <c:v>9.5644736800000008</c:v>
                </c:pt>
                <c:pt idx="56">
                  <c:v>9.58042105</c:v>
                </c:pt>
                <c:pt idx="57">
                  <c:v>9.5963684199999992</c:v>
                </c:pt>
                <c:pt idx="58">
                  <c:v>9.6123157900000002</c:v>
                </c:pt>
                <c:pt idx="59">
                  <c:v>9.6282631599999995</c:v>
                </c:pt>
                <c:pt idx="60">
                  <c:v>9.6442105300000005</c:v>
                </c:pt>
                <c:pt idx="61">
                  <c:v>9.6601578999999997</c:v>
                </c:pt>
                <c:pt idx="62">
                  <c:v>9.6761052599999999</c:v>
                </c:pt>
                <c:pt idx="63">
                  <c:v>9.6920526299999992</c:v>
                </c:pt>
                <c:pt idx="64">
                  <c:v>9.7080000000000002</c:v>
                </c:pt>
                <c:pt idx="65">
                  <c:v>9.7239473699999994</c:v>
                </c:pt>
                <c:pt idx="66">
                  <c:v>9.7398947400000004</c:v>
                </c:pt>
                <c:pt idx="67">
                  <c:v>9.7558421099999997</c:v>
                </c:pt>
                <c:pt idx="68">
                  <c:v>9.7717894699999999</c:v>
                </c:pt>
                <c:pt idx="69">
                  <c:v>9.7877368400000009</c:v>
                </c:pt>
                <c:pt idx="70">
                  <c:v>9.8036842100000001</c:v>
                </c:pt>
                <c:pt idx="71">
                  <c:v>9.8196315799999994</c:v>
                </c:pt>
                <c:pt idx="72">
                  <c:v>9.8355789500000004</c:v>
                </c:pt>
                <c:pt idx="73">
                  <c:v>9.8515263199999996</c:v>
                </c:pt>
                <c:pt idx="74">
                  <c:v>9.8674736799999998</c:v>
                </c:pt>
                <c:pt idx="75">
                  <c:v>9.8834210500000008</c:v>
                </c:pt>
                <c:pt idx="76">
                  <c:v>9.8993684200000001</c:v>
                </c:pt>
                <c:pt idx="77">
                  <c:v>9.9153157899999993</c:v>
                </c:pt>
                <c:pt idx="78">
                  <c:v>9.9312631600000003</c:v>
                </c:pt>
                <c:pt idx="79">
                  <c:v>9.9472105299999996</c:v>
                </c:pt>
                <c:pt idx="80">
                  <c:v>9.9631579000000006</c:v>
                </c:pt>
                <c:pt idx="81">
                  <c:v>9.9791052600000008</c:v>
                </c:pt>
                <c:pt idx="82">
                  <c:v>9.99505263</c:v>
                </c:pt>
                <c:pt idx="83">
                  <c:v>10.010999999999999</c:v>
                </c:pt>
                <c:pt idx="84">
                  <c:v>10.026947399999999</c:v>
                </c:pt>
                <c:pt idx="85">
                  <c:v>10.0428947</c:v>
                </c:pt>
                <c:pt idx="86">
                  <c:v>10.0588421</c:v>
                </c:pt>
                <c:pt idx="87">
                  <c:v>10.0747895</c:v>
                </c:pt>
                <c:pt idx="88">
                  <c:v>10.0907368</c:v>
                </c:pt>
                <c:pt idx="89">
                  <c:v>10.1066842</c:v>
                </c:pt>
                <c:pt idx="90">
                  <c:v>10.1226316</c:v>
                </c:pt>
                <c:pt idx="91">
                  <c:v>10.138579</c:v>
                </c:pt>
                <c:pt idx="92">
                  <c:v>10.154526300000001</c:v>
                </c:pt>
                <c:pt idx="93">
                  <c:v>10.170473700000001</c:v>
                </c:pt>
                <c:pt idx="94">
                  <c:v>10.1864211</c:v>
                </c:pt>
                <c:pt idx="95">
                  <c:v>10.202368399999999</c:v>
                </c:pt>
                <c:pt idx="96">
                  <c:v>10.218315799999999</c:v>
                </c:pt>
                <c:pt idx="97">
                  <c:v>10.234263199999999</c:v>
                </c:pt>
                <c:pt idx="98">
                  <c:v>10.2502105</c:v>
                </c:pt>
                <c:pt idx="99">
                  <c:v>10.2661579</c:v>
                </c:pt>
                <c:pt idx="100">
                  <c:v>10.2821053</c:v>
                </c:pt>
                <c:pt idx="101">
                  <c:v>10.2980526</c:v>
                </c:pt>
                <c:pt idx="102">
                  <c:v>10.314</c:v>
                </c:pt>
                <c:pt idx="103">
                  <c:v>10.3299474</c:v>
                </c:pt>
                <c:pt idx="104">
                  <c:v>10.345894700000001</c:v>
                </c:pt>
                <c:pt idx="105">
                  <c:v>10.3618421</c:v>
                </c:pt>
                <c:pt idx="106">
                  <c:v>10.3777895</c:v>
                </c:pt>
                <c:pt idx="107">
                  <c:v>10.393736799999999</c:v>
                </c:pt>
                <c:pt idx="108">
                  <c:v>10.409684199999999</c:v>
                </c:pt>
                <c:pt idx="109">
                  <c:v>10.425631600000001</c:v>
                </c:pt>
                <c:pt idx="110">
                  <c:v>10.441579000000001</c:v>
                </c:pt>
                <c:pt idx="111">
                  <c:v>10.4575263</c:v>
                </c:pt>
                <c:pt idx="112">
                  <c:v>10.4734737</c:v>
                </c:pt>
                <c:pt idx="113">
                  <c:v>10.489421099999999</c:v>
                </c:pt>
                <c:pt idx="114">
                  <c:v>10.5053684</c:v>
                </c:pt>
                <c:pt idx="115">
                  <c:v>10.5213158</c:v>
                </c:pt>
                <c:pt idx="116">
                  <c:v>10.5372632</c:v>
                </c:pt>
                <c:pt idx="117">
                  <c:v>10.5532105</c:v>
                </c:pt>
                <c:pt idx="118">
                  <c:v>10.5691579</c:v>
                </c:pt>
                <c:pt idx="119">
                  <c:v>10.5851053</c:v>
                </c:pt>
                <c:pt idx="120">
                  <c:v>10.601052599999999</c:v>
                </c:pt>
                <c:pt idx="121">
                  <c:v>10.617000000000001</c:v>
                </c:pt>
                <c:pt idx="122">
                  <c:v>10.632947400000001</c:v>
                </c:pt>
                <c:pt idx="123">
                  <c:v>10.6488947</c:v>
                </c:pt>
                <c:pt idx="124">
                  <c:v>10.6648421</c:v>
                </c:pt>
                <c:pt idx="125">
                  <c:v>10.680789499999999</c:v>
                </c:pt>
                <c:pt idx="126">
                  <c:v>10.6967368</c:v>
                </c:pt>
                <c:pt idx="127">
                  <c:v>10.7126842</c:v>
                </c:pt>
                <c:pt idx="128">
                  <c:v>10.7286316</c:v>
                </c:pt>
                <c:pt idx="129">
                  <c:v>10.744579</c:v>
                </c:pt>
                <c:pt idx="130">
                  <c:v>10.7605263</c:v>
                </c:pt>
                <c:pt idx="131">
                  <c:v>10.7764737</c:v>
                </c:pt>
                <c:pt idx="132">
                  <c:v>10.7924211</c:v>
                </c:pt>
                <c:pt idx="133">
                  <c:v>10.808368400000001</c:v>
                </c:pt>
                <c:pt idx="134">
                  <c:v>10.824315800000001</c:v>
                </c:pt>
                <c:pt idx="135">
                  <c:v>10.840263200000001</c:v>
                </c:pt>
                <c:pt idx="136">
                  <c:v>10.8562105</c:v>
                </c:pt>
                <c:pt idx="137">
                  <c:v>10.872157899999999</c:v>
                </c:pt>
                <c:pt idx="138">
                  <c:v>10.888105299999999</c:v>
                </c:pt>
                <c:pt idx="139">
                  <c:v>10.9040526</c:v>
                </c:pt>
                <c:pt idx="140">
                  <c:v>10.92</c:v>
                </c:pt>
                <c:pt idx="141">
                  <c:v>10.9359474</c:v>
                </c:pt>
                <c:pt idx="142">
                  <c:v>10.9518947</c:v>
                </c:pt>
                <c:pt idx="143">
                  <c:v>10.9678421</c:v>
                </c:pt>
                <c:pt idx="144">
                  <c:v>10.9837895</c:v>
                </c:pt>
                <c:pt idx="145">
                  <c:v>10.999736800000001</c:v>
                </c:pt>
                <c:pt idx="146">
                  <c:v>11.015684200000001</c:v>
                </c:pt>
                <c:pt idx="147">
                  <c:v>11.031631600000001</c:v>
                </c:pt>
                <c:pt idx="148">
                  <c:v>11.047579000000001</c:v>
                </c:pt>
                <c:pt idx="149">
                  <c:v>11.063526299999999</c:v>
                </c:pt>
                <c:pt idx="150">
                  <c:v>11.079473699999999</c:v>
                </c:pt>
                <c:pt idx="151">
                  <c:v>11.095421099999999</c:v>
                </c:pt>
                <c:pt idx="152">
                  <c:v>11.1113684</c:v>
                </c:pt>
                <c:pt idx="153">
                  <c:v>11.1273158</c:v>
                </c:pt>
                <c:pt idx="154">
                  <c:v>11.1432632</c:v>
                </c:pt>
                <c:pt idx="155">
                  <c:v>11.1592105</c:v>
                </c:pt>
                <c:pt idx="156">
                  <c:v>11.1751579</c:v>
                </c:pt>
                <c:pt idx="157">
                  <c:v>11.1911053</c:v>
                </c:pt>
                <c:pt idx="158">
                  <c:v>11.207052600000001</c:v>
                </c:pt>
                <c:pt idx="159">
                  <c:v>11.223000000000001</c:v>
                </c:pt>
                <c:pt idx="160">
                  <c:v>11.238947400000001</c:v>
                </c:pt>
                <c:pt idx="161">
                  <c:v>11.254894699999999</c:v>
                </c:pt>
                <c:pt idx="162">
                  <c:v>11.270842099999999</c:v>
                </c:pt>
                <c:pt idx="163">
                  <c:v>11.286789499999999</c:v>
                </c:pt>
                <c:pt idx="164">
                  <c:v>11.3027368</c:v>
                </c:pt>
                <c:pt idx="165">
                  <c:v>11.3186842</c:v>
                </c:pt>
                <c:pt idx="166">
                  <c:v>11.3346316</c:v>
                </c:pt>
                <c:pt idx="167">
                  <c:v>11.350579</c:v>
                </c:pt>
                <c:pt idx="168">
                  <c:v>11.3665263</c:v>
                </c:pt>
                <c:pt idx="169">
                  <c:v>11.3824737</c:v>
                </c:pt>
                <c:pt idx="170">
                  <c:v>11.3984211</c:v>
                </c:pt>
                <c:pt idx="171">
                  <c:v>11.414368400000001</c:v>
                </c:pt>
                <c:pt idx="172">
                  <c:v>11.430315800000001</c:v>
                </c:pt>
                <c:pt idx="173">
                  <c:v>11.446263200000001</c:v>
                </c:pt>
                <c:pt idx="174">
                  <c:v>11.462210499999999</c:v>
                </c:pt>
                <c:pt idx="175">
                  <c:v>11.478157899999999</c:v>
                </c:pt>
                <c:pt idx="176">
                  <c:v>11.494105299999999</c:v>
                </c:pt>
                <c:pt idx="177">
                  <c:v>11.5100526</c:v>
                </c:pt>
                <c:pt idx="178">
                  <c:v>11.526</c:v>
                </c:pt>
                <c:pt idx="179">
                  <c:v>11.5446214</c:v>
                </c:pt>
                <c:pt idx="180">
                  <c:v>11.5632427</c:v>
                </c:pt>
                <c:pt idx="181">
                  <c:v>11.581864100000001</c:v>
                </c:pt>
                <c:pt idx="182">
                  <c:v>11.6004854</c:v>
                </c:pt>
                <c:pt idx="183">
                  <c:v>11.619106800000001</c:v>
                </c:pt>
                <c:pt idx="184">
                  <c:v>11.6377282</c:v>
                </c:pt>
                <c:pt idx="185">
                  <c:v>11.656349499999999</c:v>
                </c:pt>
                <c:pt idx="186">
                  <c:v>11.6749709</c:v>
                </c:pt>
                <c:pt idx="187">
                  <c:v>11.693592199999999</c:v>
                </c:pt>
                <c:pt idx="188">
                  <c:v>11.7122136</c:v>
                </c:pt>
                <c:pt idx="189">
                  <c:v>11.730835000000001</c:v>
                </c:pt>
                <c:pt idx="190">
                  <c:v>11.7494563</c:v>
                </c:pt>
                <c:pt idx="191">
                  <c:v>11.768077699999999</c:v>
                </c:pt>
                <c:pt idx="192">
                  <c:v>11.786699</c:v>
                </c:pt>
                <c:pt idx="193">
                  <c:v>11.805320399999999</c:v>
                </c:pt>
                <c:pt idx="194">
                  <c:v>11.8239418</c:v>
                </c:pt>
                <c:pt idx="195">
                  <c:v>11.8425631</c:v>
                </c:pt>
                <c:pt idx="196">
                  <c:v>11.8611845</c:v>
                </c:pt>
                <c:pt idx="197">
                  <c:v>11.8798058</c:v>
                </c:pt>
                <c:pt idx="198">
                  <c:v>11.8984272</c:v>
                </c:pt>
                <c:pt idx="199">
                  <c:v>11.9170485</c:v>
                </c:pt>
                <c:pt idx="200">
                  <c:v>11.935669900000001</c:v>
                </c:pt>
                <c:pt idx="201">
                  <c:v>11.9542913</c:v>
                </c:pt>
                <c:pt idx="202">
                  <c:v>11.972912600000001</c:v>
                </c:pt>
                <c:pt idx="203">
                  <c:v>11.991534</c:v>
                </c:pt>
                <c:pt idx="204">
                  <c:v>12.010155299999999</c:v>
                </c:pt>
                <c:pt idx="205">
                  <c:v>12.0287767</c:v>
                </c:pt>
                <c:pt idx="206">
                  <c:v>12.047398100000001</c:v>
                </c:pt>
                <c:pt idx="207">
                  <c:v>12.0660194</c:v>
                </c:pt>
                <c:pt idx="208">
                  <c:v>12.084640800000001</c:v>
                </c:pt>
                <c:pt idx="209">
                  <c:v>12.1032621</c:v>
                </c:pt>
                <c:pt idx="210">
                  <c:v>12.121883499999999</c:v>
                </c:pt>
                <c:pt idx="211">
                  <c:v>12.1405049</c:v>
                </c:pt>
                <c:pt idx="212">
                  <c:v>12.159126199999999</c:v>
                </c:pt>
                <c:pt idx="213">
                  <c:v>12.1777476</c:v>
                </c:pt>
                <c:pt idx="214">
                  <c:v>12.1963689</c:v>
                </c:pt>
                <c:pt idx="215">
                  <c:v>12.2149903</c:v>
                </c:pt>
                <c:pt idx="216">
                  <c:v>12.233611700000001</c:v>
                </c:pt>
                <c:pt idx="217">
                  <c:v>12.252233</c:v>
                </c:pt>
                <c:pt idx="218">
                  <c:v>12.270854399999999</c:v>
                </c:pt>
                <c:pt idx="219">
                  <c:v>12.289475700000001</c:v>
                </c:pt>
                <c:pt idx="220">
                  <c:v>12.308097099999999</c:v>
                </c:pt>
                <c:pt idx="221">
                  <c:v>12.3267185</c:v>
                </c:pt>
                <c:pt idx="222">
                  <c:v>12.3453398</c:v>
                </c:pt>
                <c:pt idx="223">
                  <c:v>12.3639612</c:v>
                </c:pt>
                <c:pt idx="224">
                  <c:v>12.3825825</c:v>
                </c:pt>
                <c:pt idx="225">
                  <c:v>12.401203900000001</c:v>
                </c:pt>
                <c:pt idx="226">
                  <c:v>12.4198252</c:v>
                </c:pt>
                <c:pt idx="227">
                  <c:v>12.438446600000001</c:v>
                </c:pt>
                <c:pt idx="228">
                  <c:v>12.457068</c:v>
                </c:pt>
                <c:pt idx="229">
                  <c:v>12.475689300000001</c:v>
                </c:pt>
                <c:pt idx="230">
                  <c:v>12.486911900000001</c:v>
                </c:pt>
                <c:pt idx="231">
                  <c:v>12.4907358</c:v>
                </c:pt>
                <c:pt idx="232">
                  <c:v>12.494559600000001</c:v>
                </c:pt>
                <c:pt idx="233">
                  <c:v>12.4983834</c:v>
                </c:pt>
                <c:pt idx="234">
                  <c:v>12.5022073</c:v>
                </c:pt>
                <c:pt idx="235">
                  <c:v>12.5060311</c:v>
                </c:pt>
                <c:pt idx="236">
                  <c:v>12.509854900000001</c:v>
                </c:pt>
                <c:pt idx="237">
                  <c:v>12.513678799999999</c:v>
                </c:pt>
                <c:pt idx="238">
                  <c:v>12.5175026</c:v>
                </c:pt>
                <c:pt idx="239">
                  <c:v>12.5213264</c:v>
                </c:pt>
                <c:pt idx="240">
                  <c:v>12.5251503</c:v>
                </c:pt>
                <c:pt idx="241">
                  <c:v>12.528974099999999</c:v>
                </c:pt>
                <c:pt idx="242">
                  <c:v>12.5327979</c:v>
                </c:pt>
                <c:pt idx="243">
                  <c:v>12.536621800000001</c:v>
                </c:pt>
                <c:pt idx="244">
                  <c:v>12.5404456</c:v>
                </c:pt>
                <c:pt idx="245">
                  <c:v>12.544269399999999</c:v>
                </c:pt>
                <c:pt idx="246">
                  <c:v>12.5480933</c:v>
                </c:pt>
                <c:pt idx="247">
                  <c:v>12.551917100000001</c:v>
                </c:pt>
                <c:pt idx="248">
                  <c:v>12.5557409</c:v>
                </c:pt>
                <c:pt idx="249">
                  <c:v>12.5595648</c:v>
                </c:pt>
                <c:pt idx="250">
                  <c:v>12.5633886</c:v>
                </c:pt>
                <c:pt idx="251">
                  <c:v>12.567212400000001</c:v>
                </c:pt>
                <c:pt idx="252">
                  <c:v>12.571036299999999</c:v>
                </c:pt>
                <c:pt idx="253">
                  <c:v>12.5748601</c:v>
                </c:pt>
                <c:pt idx="254">
                  <c:v>12.5786839</c:v>
                </c:pt>
                <c:pt idx="255">
                  <c:v>12.5825078</c:v>
                </c:pt>
                <c:pt idx="256">
                  <c:v>12.586331599999999</c:v>
                </c:pt>
                <c:pt idx="257">
                  <c:v>12.5901554</c:v>
                </c:pt>
                <c:pt idx="258">
                  <c:v>12.593979300000001</c:v>
                </c:pt>
                <c:pt idx="259">
                  <c:v>12.5978031</c:v>
                </c:pt>
                <c:pt idx="260">
                  <c:v>12.601626899999999</c:v>
                </c:pt>
                <c:pt idx="261">
                  <c:v>12.6054508</c:v>
                </c:pt>
                <c:pt idx="262">
                  <c:v>12.609274599999999</c:v>
                </c:pt>
                <c:pt idx="263">
                  <c:v>12.6130985</c:v>
                </c:pt>
                <c:pt idx="264">
                  <c:v>12.616922300000001</c:v>
                </c:pt>
                <c:pt idx="265">
                  <c:v>12.6207461</c:v>
                </c:pt>
                <c:pt idx="266">
                  <c:v>12.62457</c:v>
                </c:pt>
                <c:pt idx="267">
                  <c:v>12.6283938</c:v>
                </c:pt>
                <c:pt idx="268">
                  <c:v>12.632217600000001</c:v>
                </c:pt>
                <c:pt idx="269">
                  <c:v>12.636041499999999</c:v>
                </c:pt>
                <c:pt idx="270">
                  <c:v>12.6398653</c:v>
                </c:pt>
                <c:pt idx="271">
                  <c:v>12.6436891</c:v>
                </c:pt>
                <c:pt idx="272">
                  <c:v>12.647513</c:v>
                </c:pt>
                <c:pt idx="273">
                  <c:v>12.651336799999999</c:v>
                </c:pt>
                <c:pt idx="274">
                  <c:v>12.6551606</c:v>
                </c:pt>
                <c:pt idx="275">
                  <c:v>12.658984500000001</c:v>
                </c:pt>
                <c:pt idx="276">
                  <c:v>12.6628083</c:v>
                </c:pt>
                <c:pt idx="277">
                  <c:v>12.666632099999999</c:v>
                </c:pt>
                <c:pt idx="278">
                  <c:v>12.670456</c:v>
                </c:pt>
                <c:pt idx="279">
                  <c:v>12.674279800000001</c:v>
                </c:pt>
                <c:pt idx="280">
                  <c:v>12.6781036</c:v>
                </c:pt>
                <c:pt idx="281">
                  <c:v>12.6819275</c:v>
                </c:pt>
                <c:pt idx="282">
                  <c:v>12.6857513</c:v>
                </c:pt>
                <c:pt idx="283">
                  <c:v>12.689575100000001</c:v>
                </c:pt>
                <c:pt idx="284">
                  <c:v>12.693398999999999</c:v>
                </c:pt>
                <c:pt idx="285">
                  <c:v>12.6972228</c:v>
                </c:pt>
                <c:pt idx="286">
                  <c:v>12.7010466</c:v>
                </c:pt>
                <c:pt idx="287">
                  <c:v>12.7048705</c:v>
                </c:pt>
                <c:pt idx="288">
                  <c:v>12.708694299999999</c:v>
                </c:pt>
                <c:pt idx="289">
                  <c:v>12.7125181</c:v>
                </c:pt>
                <c:pt idx="290">
                  <c:v>12.716341999999999</c:v>
                </c:pt>
                <c:pt idx="291">
                  <c:v>12.7201658</c:v>
                </c:pt>
                <c:pt idx="292">
                  <c:v>12.723989599999999</c:v>
                </c:pt>
                <c:pt idx="293">
                  <c:v>12.7278135</c:v>
                </c:pt>
                <c:pt idx="294">
                  <c:v>12.731637299999999</c:v>
                </c:pt>
                <c:pt idx="295">
                  <c:v>12.7354611</c:v>
                </c:pt>
                <c:pt idx="296">
                  <c:v>12.739285000000001</c:v>
                </c:pt>
                <c:pt idx="297">
                  <c:v>12.7431088</c:v>
                </c:pt>
                <c:pt idx="298">
                  <c:v>12.746932599999999</c:v>
                </c:pt>
                <c:pt idx="299">
                  <c:v>12.7507565</c:v>
                </c:pt>
                <c:pt idx="300">
                  <c:v>12.754580300000001</c:v>
                </c:pt>
                <c:pt idx="301">
                  <c:v>12.758404199999999</c:v>
                </c:pt>
                <c:pt idx="302">
                  <c:v>12.762228</c:v>
                </c:pt>
                <c:pt idx="303">
                  <c:v>12.7660518</c:v>
                </c:pt>
                <c:pt idx="304">
                  <c:v>12.7698757</c:v>
                </c:pt>
                <c:pt idx="305">
                  <c:v>12.773699499999999</c:v>
                </c:pt>
                <c:pt idx="306">
                  <c:v>12.7775233</c:v>
                </c:pt>
                <c:pt idx="307">
                  <c:v>12.781347200000001</c:v>
                </c:pt>
                <c:pt idx="308">
                  <c:v>12.785171</c:v>
                </c:pt>
                <c:pt idx="309">
                  <c:v>12.788994799999999</c:v>
                </c:pt>
                <c:pt idx="310">
                  <c:v>12.7928187</c:v>
                </c:pt>
                <c:pt idx="311">
                  <c:v>12.796642500000001</c:v>
                </c:pt>
                <c:pt idx="312">
                  <c:v>12.8004663</c:v>
                </c:pt>
                <c:pt idx="313">
                  <c:v>12.804290200000001</c:v>
                </c:pt>
                <c:pt idx="314">
                  <c:v>12.808114</c:v>
                </c:pt>
                <c:pt idx="315">
                  <c:v>12.811937800000001</c:v>
                </c:pt>
                <c:pt idx="316">
                  <c:v>12.815761699999999</c:v>
                </c:pt>
                <c:pt idx="317">
                  <c:v>12.819585500000001</c:v>
                </c:pt>
                <c:pt idx="318">
                  <c:v>12.8234093</c:v>
                </c:pt>
                <c:pt idx="319">
                  <c:v>12.8272332</c:v>
                </c:pt>
                <c:pt idx="320">
                  <c:v>12.831056999999999</c:v>
                </c:pt>
                <c:pt idx="321">
                  <c:v>12.834880800000001</c:v>
                </c:pt>
                <c:pt idx="322">
                  <c:v>12.838704699999999</c:v>
                </c:pt>
                <c:pt idx="323">
                  <c:v>12.8425285</c:v>
                </c:pt>
                <c:pt idx="324">
                  <c:v>12.8463523</c:v>
                </c:pt>
                <c:pt idx="325">
                  <c:v>12.8501762</c:v>
                </c:pt>
                <c:pt idx="326">
                  <c:v>12.853999999999999</c:v>
                </c:pt>
                <c:pt idx="327">
                  <c:v>12.859033999999999</c:v>
                </c:pt>
                <c:pt idx="328">
                  <c:v>12.864068</c:v>
                </c:pt>
                <c:pt idx="329">
                  <c:v>12.869102</c:v>
                </c:pt>
                <c:pt idx="330">
                  <c:v>12.874136099999999</c:v>
                </c:pt>
                <c:pt idx="331">
                  <c:v>12.8791701</c:v>
                </c:pt>
                <c:pt idx="332">
                  <c:v>12.8842041</c:v>
                </c:pt>
                <c:pt idx="333">
                  <c:v>12.8892381</c:v>
                </c:pt>
                <c:pt idx="334">
                  <c:v>12.8942721</c:v>
                </c:pt>
                <c:pt idx="335">
                  <c:v>12.8993061</c:v>
                </c:pt>
                <c:pt idx="336">
                  <c:v>12.904340100000001</c:v>
                </c:pt>
                <c:pt idx="337">
                  <c:v>12.9093742</c:v>
                </c:pt>
                <c:pt idx="338">
                  <c:v>12.9144082</c:v>
                </c:pt>
                <c:pt idx="339">
                  <c:v>12.919442200000001</c:v>
                </c:pt>
                <c:pt idx="340">
                  <c:v>12.924476200000001</c:v>
                </c:pt>
                <c:pt idx="341">
                  <c:v>12.929510199999999</c:v>
                </c:pt>
                <c:pt idx="342">
                  <c:v>12.934544199999999</c:v>
                </c:pt>
                <c:pt idx="343">
                  <c:v>12.9395782</c:v>
                </c:pt>
                <c:pt idx="344">
                  <c:v>12.9446122</c:v>
                </c:pt>
                <c:pt idx="345">
                  <c:v>12.949646299999999</c:v>
                </c:pt>
                <c:pt idx="346">
                  <c:v>12.9546803</c:v>
                </c:pt>
                <c:pt idx="347">
                  <c:v>12.9597143</c:v>
                </c:pt>
                <c:pt idx="348">
                  <c:v>12.9647483</c:v>
                </c:pt>
                <c:pt idx="349">
                  <c:v>12.9697823</c:v>
                </c:pt>
                <c:pt idx="350">
                  <c:v>12.974816300000001</c:v>
                </c:pt>
                <c:pt idx="351">
                  <c:v>12.979850300000001</c:v>
                </c:pt>
                <c:pt idx="352">
                  <c:v>12.9848844</c:v>
                </c:pt>
                <c:pt idx="353">
                  <c:v>12.989918400000001</c:v>
                </c:pt>
                <c:pt idx="354">
                  <c:v>12.994952400000001</c:v>
                </c:pt>
                <c:pt idx="355">
                  <c:v>12.999986399999999</c:v>
                </c:pt>
                <c:pt idx="356">
                  <c:v>13.005020399999999</c:v>
                </c:pt>
                <c:pt idx="357">
                  <c:v>13.0100544</c:v>
                </c:pt>
                <c:pt idx="358">
                  <c:v>13.0150884</c:v>
                </c:pt>
                <c:pt idx="359">
                  <c:v>13.020122499999999</c:v>
                </c:pt>
                <c:pt idx="360">
                  <c:v>13.0251565</c:v>
                </c:pt>
                <c:pt idx="361">
                  <c:v>13.0301905</c:v>
                </c:pt>
                <c:pt idx="362">
                  <c:v>13.0352245</c:v>
                </c:pt>
                <c:pt idx="363">
                  <c:v>13.0402585</c:v>
                </c:pt>
                <c:pt idx="364">
                  <c:v>13.0452925</c:v>
                </c:pt>
                <c:pt idx="365">
                  <c:v>13.050326500000001</c:v>
                </c:pt>
                <c:pt idx="366">
                  <c:v>13.055360500000001</c:v>
                </c:pt>
                <c:pt idx="367">
                  <c:v>13.0603946</c:v>
                </c:pt>
                <c:pt idx="368">
                  <c:v>13.065428600000001</c:v>
                </c:pt>
                <c:pt idx="369">
                  <c:v>13.070462600000001</c:v>
                </c:pt>
                <c:pt idx="370">
                  <c:v>13.075496599999999</c:v>
                </c:pt>
                <c:pt idx="371">
                  <c:v>13.080530599999999</c:v>
                </c:pt>
                <c:pt idx="372">
                  <c:v>13.0855646</c:v>
                </c:pt>
                <c:pt idx="373">
                  <c:v>13.0905986</c:v>
                </c:pt>
                <c:pt idx="374">
                  <c:v>13.095632699999999</c:v>
                </c:pt>
                <c:pt idx="375">
                  <c:v>13.1006667</c:v>
                </c:pt>
                <c:pt idx="376">
                  <c:v>13.1057007</c:v>
                </c:pt>
                <c:pt idx="377">
                  <c:v>13.1107347</c:v>
                </c:pt>
                <c:pt idx="378">
                  <c:v>13.1157687</c:v>
                </c:pt>
                <c:pt idx="379">
                  <c:v>13.1208027</c:v>
                </c:pt>
                <c:pt idx="380">
                  <c:v>13.125836700000001</c:v>
                </c:pt>
                <c:pt idx="381">
                  <c:v>13.1308708</c:v>
                </c:pt>
                <c:pt idx="382">
                  <c:v>13.1359048</c:v>
                </c:pt>
                <c:pt idx="383">
                  <c:v>13.140938800000001</c:v>
                </c:pt>
                <c:pt idx="384">
                  <c:v>13.145972799999999</c:v>
                </c:pt>
                <c:pt idx="385">
                  <c:v>13.151006799999999</c:v>
                </c:pt>
                <c:pt idx="386">
                  <c:v>13.1560408</c:v>
                </c:pt>
                <c:pt idx="387">
                  <c:v>13.1610748</c:v>
                </c:pt>
                <c:pt idx="388">
                  <c:v>13.1661088</c:v>
                </c:pt>
                <c:pt idx="389">
                  <c:v>13.1711429</c:v>
                </c:pt>
                <c:pt idx="390">
                  <c:v>13.1761769</c:v>
                </c:pt>
                <c:pt idx="391">
                  <c:v>13.1812109</c:v>
                </c:pt>
                <c:pt idx="392">
                  <c:v>13.1862449</c:v>
                </c:pt>
                <c:pt idx="393">
                  <c:v>13.1912789</c:v>
                </c:pt>
                <c:pt idx="394">
                  <c:v>13.196312900000001</c:v>
                </c:pt>
                <c:pt idx="395">
                  <c:v>13.201346900000001</c:v>
                </c:pt>
                <c:pt idx="396">
                  <c:v>13.206381</c:v>
                </c:pt>
                <c:pt idx="397">
                  <c:v>13.211415000000001</c:v>
                </c:pt>
                <c:pt idx="398">
                  <c:v>13.216449000000001</c:v>
                </c:pt>
                <c:pt idx="399">
                  <c:v>13.221482999999999</c:v>
                </c:pt>
                <c:pt idx="400">
                  <c:v>13.224729999999999</c:v>
                </c:pt>
                <c:pt idx="401">
                  <c:v>13.226190000000001</c:v>
                </c:pt>
                <c:pt idx="402">
                  <c:v>13.227650000000001</c:v>
                </c:pt>
                <c:pt idx="403">
                  <c:v>13.22911</c:v>
                </c:pt>
                <c:pt idx="404">
                  <c:v>13.23057</c:v>
                </c:pt>
                <c:pt idx="405">
                  <c:v>13.23203</c:v>
                </c:pt>
                <c:pt idx="406">
                  <c:v>13.23349</c:v>
                </c:pt>
                <c:pt idx="407">
                  <c:v>13.23495</c:v>
                </c:pt>
                <c:pt idx="408">
                  <c:v>13.236409999999999</c:v>
                </c:pt>
                <c:pt idx="409">
                  <c:v>13.237869999999999</c:v>
                </c:pt>
                <c:pt idx="410">
                  <c:v>13.239330000000001</c:v>
                </c:pt>
                <c:pt idx="411">
                  <c:v>13.240790000000001</c:v>
                </c:pt>
                <c:pt idx="412">
                  <c:v>13.24225</c:v>
                </c:pt>
                <c:pt idx="413">
                  <c:v>13.24371</c:v>
                </c:pt>
                <c:pt idx="414">
                  <c:v>13.24517</c:v>
                </c:pt>
                <c:pt idx="415">
                  <c:v>13.24663</c:v>
                </c:pt>
                <c:pt idx="416">
                  <c:v>13.248089999999999</c:v>
                </c:pt>
                <c:pt idx="417">
                  <c:v>13.249549999999999</c:v>
                </c:pt>
                <c:pt idx="418">
                  <c:v>13.251010000000001</c:v>
                </c:pt>
                <c:pt idx="419">
                  <c:v>13.252470000000001</c:v>
                </c:pt>
                <c:pt idx="420">
                  <c:v>13.25393</c:v>
                </c:pt>
                <c:pt idx="421">
                  <c:v>13.25539</c:v>
                </c:pt>
                <c:pt idx="422">
                  <c:v>13.25685</c:v>
                </c:pt>
                <c:pt idx="423">
                  <c:v>13.25831</c:v>
                </c:pt>
                <c:pt idx="424">
                  <c:v>13.25977</c:v>
                </c:pt>
                <c:pt idx="425">
                  <c:v>13.261229999999999</c:v>
                </c:pt>
                <c:pt idx="426">
                  <c:v>13.262689999999999</c:v>
                </c:pt>
                <c:pt idx="427">
                  <c:v>13.264150000000001</c:v>
                </c:pt>
                <c:pt idx="428">
                  <c:v>13.265610000000001</c:v>
                </c:pt>
                <c:pt idx="429">
                  <c:v>13.26707</c:v>
                </c:pt>
                <c:pt idx="430">
                  <c:v>13.26853</c:v>
                </c:pt>
                <c:pt idx="431">
                  <c:v>13.26999</c:v>
                </c:pt>
                <c:pt idx="432">
                  <c:v>13.27145</c:v>
                </c:pt>
                <c:pt idx="433">
                  <c:v>13.27291</c:v>
                </c:pt>
                <c:pt idx="434">
                  <c:v>13.274369999999999</c:v>
                </c:pt>
                <c:pt idx="435">
                  <c:v>13.275829999999999</c:v>
                </c:pt>
                <c:pt idx="436">
                  <c:v>13.277290000000001</c:v>
                </c:pt>
                <c:pt idx="437">
                  <c:v>13.27875</c:v>
                </c:pt>
                <c:pt idx="438">
                  <c:v>13.28021</c:v>
                </c:pt>
                <c:pt idx="439">
                  <c:v>13.28167</c:v>
                </c:pt>
                <c:pt idx="440">
                  <c:v>13.28313</c:v>
                </c:pt>
                <c:pt idx="441">
                  <c:v>13.28459</c:v>
                </c:pt>
                <c:pt idx="442">
                  <c:v>13.286049999999999</c:v>
                </c:pt>
                <c:pt idx="443">
                  <c:v>13.287509999999999</c:v>
                </c:pt>
                <c:pt idx="444">
                  <c:v>13.288970000000001</c:v>
                </c:pt>
                <c:pt idx="445">
                  <c:v>13.290430000000001</c:v>
                </c:pt>
                <c:pt idx="446">
                  <c:v>13.29189</c:v>
                </c:pt>
                <c:pt idx="447">
                  <c:v>13.29335</c:v>
                </c:pt>
                <c:pt idx="448">
                  <c:v>13.29481</c:v>
                </c:pt>
                <c:pt idx="449">
                  <c:v>13.29627</c:v>
                </c:pt>
                <c:pt idx="450">
                  <c:v>13.2978983</c:v>
                </c:pt>
                <c:pt idx="451">
                  <c:v>13.2996949</c:v>
                </c:pt>
                <c:pt idx="452">
                  <c:v>13.301491499999999</c:v>
                </c:pt>
                <c:pt idx="453">
                  <c:v>13.3032881</c:v>
                </c:pt>
                <c:pt idx="454">
                  <c:v>13.305084799999999</c:v>
                </c:pt>
                <c:pt idx="455">
                  <c:v>13.3068814</c:v>
                </c:pt>
                <c:pt idx="456">
                  <c:v>13.308678</c:v>
                </c:pt>
                <c:pt idx="457">
                  <c:v>13.310474599999999</c:v>
                </c:pt>
                <c:pt idx="458">
                  <c:v>13.3122712</c:v>
                </c:pt>
                <c:pt idx="459">
                  <c:v>13.3140678</c:v>
                </c:pt>
                <c:pt idx="460">
                  <c:v>13.315864400000001</c:v>
                </c:pt>
                <c:pt idx="461">
                  <c:v>13.317660999999999</c:v>
                </c:pt>
                <c:pt idx="462">
                  <c:v>13.3194576</c:v>
                </c:pt>
                <c:pt idx="463">
                  <c:v>13.3212542</c:v>
                </c:pt>
                <c:pt idx="464">
                  <c:v>13.3230509</c:v>
                </c:pt>
                <c:pt idx="465">
                  <c:v>13.324847500000001</c:v>
                </c:pt>
                <c:pt idx="466">
                  <c:v>13.326644099999999</c:v>
                </c:pt>
                <c:pt idx="467">
                  <c:v>13.3284407</c:v>
                </c:pt>
                <c:pt idx="468">
                  <c:v>13.3302373</c:v>
                </c:pt>
                <c:pt idx="469">
                  <c:v>13.332033900000001</c:v>
                </c:pt>
                <c:pt idx="470">
                  <c:v>13.333830499999999</c:v>
                </c:pt>
                <c:pt idx="471">
                  <c:v>13.3356271</c:v>
                </c:pt>
                <c:pt idx="472">
                  <c:v>13.3374237</c:v>
                </c:pt>
                <c:pt idx="473">
                  <c:v>13.339220299999999</c:v>
                </c:pt>
                <c:pt idx="474">
                  <c:v>13.341017000000001</c:v>
                </c:pt>
                <c:pt idx="475">
                  <c:v>13.342813599999999</c:v>
                </c:pt>
                <c:pt idx="476">
                  <c:v>13.3446102</c:v>
                </c:pt>
                <c:pt idx="477">
                  <c:v>13.3464068</c:v>
                </c:pt>
                <c:pt idx="478">
                  <c:v>13.348203399999999</c:v>
                </c:pt>
                <c:pt idx="479">
                  <c:v>13.35</c:v>
                </c:pt>
                <c:pt idx="480">
                  <c:v>13.3705</c:v>
                </c:pt>
                <c:pt idx="481">
                  <c:v>13.391</c:v>
                </c:pt>
                <c:pt idx="482">
                  <c:v>13.4115</c:v>
                </c:pt>
                <c:pt idx="483">
                  <c:v>13.432</c:v>
                </c:pt>
                <c:pt idx="484">
                  <c:v>13.452500000000001</c:v>
                </c:pt>
                <c:pt idx="485">
                  <c:v>13.473000000000001</c:v>
                </c:pt>
                <c:pt idx="486">
                  <c:v>13.493499999999999</c:v>
                </c:pt>
                <c:pt idx="487">
                  <c:v>13.513999999999999</c:v>
                </c:pt>
                <c:pt idx="488">
                  <c:v>13.5345</c:v>
                </c:pt>
                <c:pt idx="489">
                  <c:v>13.555</c:v>
                </c:pt>
                <c:pt idx="490">
                  <c:v>13.5755</c:v>
                </c:pt>
                <c:pt idx="491">
                  <c:v>13.596</c:v>
                </c:pt>
                <c:pt idx="492">
                  <c:v>13.6165</c:v>
                </c:pt>
                <c:pt idx="493">
                  <c:v>13.637</c:v>
                </c:pt>
                <c:pt idx="494">
                  <c:v>13.657500000000001</c:v>
                </c:pt>
                <c:pt idx="495">
                  <c:v>13.678000000000001</c:v>
                </c:pt>
                <c:pt idx="496">
                  <c:v>13.698499999999999</c:v>
                </c:pt>
                <c:pt idx="497">
                  <c:v>13.718999999999999</c:v>
                </c:pt>
                <c:pt idx="498">
                  <c:v>13.7395</c:v>
                </c:pt>
                <c:pt idx="499">
                  <c:v>13.76</c:v>
                </c:pt>
                <c:pt idx="500">
                  <c:v>13.7805</c:v>
                </c:pt>
                <c:pt idx="501">
                  <c:v>13.801</c:v>
                </c:pt>
                <c:pt idx="502">
                  <c:v>13.8215</c:v>
                </c:pt>
                <c:pt idx="503">
                  <c:v>13.842000000000001</c:v>
                </c:pt>
                <c:pt idx="504">
                  <c:v>13.862500000000001</c:v>
                </c:pt>
                <c:pt idx="505">
                  <c:v>13.882999999999999</c:v>
                </c:pt>
                <c:pt idx="506">
                  <c:v>13.9212364</c:v>
                </c:pt>
                <c:pt idx="507">
                  <c:v>13.959472699999999</c:v>
                </c:pt>
                <c:pt idx="508">
                  <c:v>13.9977091</c:v>
                </c:pt>
                <c:pt idx="509">
                  <c:v>14.0359455</c:v>
                </c:pt>
                <c:pt idx="510">
                  <c:v>14.0741818</c:v>
                </c:pt>
                <c:pt idx="511">
                  <c:v>14.1124182</c:v>
                </c:pt>
                <c:pt idx="512">
                  <c:v>14.150654599999999</c:v>
                </c:pt>
                <c:pt idx="513">
                  <c:v>14.188890900000001</c:v>
                </c:pt>
                <c:pt idx="514">
                  <c:v>14.227127299999999</c:v>
                </c:pt>
                <c:pt idx="515">
                  <c:v>14.265363600000001</c:v>
                </c:pt>
                <c:pt idx="516">
                  <c:v>14.303599999999999</c:v>
                </c:pt>
                <c:pt idx="517">
                  <c:v>14.3418364</c:v>
                </c:pt>
                <c:pt idx="518">
                  <c:v>14.380072699999999</c:v>
                </c:pt>
                <c:pt idx="519">
                  <c:v>14.4183091</c:v>
                </c:pt>
                <c:pt idx="520">
                  <c:v>14.456545500000001</c:v>
                </c:pt>
                <c:pt idx="521">
                  <c:v>14.4947818</c:v>
                </c:pt>
                <c:pt idx="522">
                  <c:v>14.533018200000001</c:v>
                </c:pt>
                <c:pt idx="523">
                  <c:v>14.5712546</c:v>
                </c:pt>
                <c:pt idx="524">
                  <c:v>14.609490900000001</c:v>
                </c:pt>
                <c:pt idx="525">
                  <c:v>14.6477273</c:v>
                </c:pt>
                <c:pt idx="526">
                  <c:v>14.685963599999999</c:v>
                </c:pt>
                <c:pt idx="527">
                  <c:v>14.7242</c:v>
                </c:pt>
                <c:pt idx="528">
                  <c:v>14.7624364</c:v>
                </c:pt>
                <c:pt idx="529">
                  <c:v>14.8006727</c:v>
                </c:pt>
                <c:pt idx="530">
                  <c:v>14.8389091</c:v>
                </c:pt>
                <c:pt idx="531">
                  <c:v>14.877145499999999</c:v>
                </c:pt>
                <c:pt idx="532">
                  <c:v>14.9153818</c:v>
                </c:pt>
                <c:pt idx="533">
                  <c:v>14.953618199999999</c:v>
                </c:pt>
                <c:pt idx="534">
                  <c:v>14.9918546</c:v>
                </c:pt>
                <c:pt idx="535">
                  <c:v>15.030090899999999</c:v>
                </c:pt>
                <c:pt idx="536">
                  <c:v>15.0683273</c:v>
                </c:pt>
                <c:pt idx="537">
                  <c:v>15.106563599999999</c:v>
                </c:pt>
                <c:pt idx="538">
                  <c:v>15.1448</c:v>
                </c:pt>
                <c:pt idx="539">
                  <c:v>15.183036400000001</c:v>
                </c:pt>
                <c:pt idx="540">
                  <c:v>15.2212727</c:v>
                </c:pt>
                <c:pt idx="541">
                  <c:v>15.259509100000001</c:v>
                </c:pt>
                <c:pt idx="542">
                  <c:v>15.2977455</c:v>
                </c:pt>
                <c:pt idx="543">
                  <c:v>15.335981800000001</c:v>
                </c:pt>
                <c:pt idx="544">
                  <c:v>15.3742182</c:v>
                </c:pt>
                <c:pt idx="545">
                  <c:v>15.4124546</c:v>
                </c:pt>
                <c:pt idx="546">
                  <c:v>15.4506909</c:v>
                </c:pt>
                <c:pt idx="547">
                  <c:v>15.4889273</c:v>
                </c:pt>
                <c:pt idx="548">
                  <c:v>15.5271636</c:v>
                </c:pt>
                <c:pt idx="549">
                  <c:v>15.5654</c:v>
                </c:pt>
                <c:pt idx="550">
                  <c:v>15.603636399999999</c:v>
                </c:pt>
                <c:pt idx="551">
                  <c:v>15.6418727</c:v>
                </c:pt>
                <c:pt idx="552">
                  <c:v>15.680109099999999</c:v>
                </c:pt>
                <c:pt idx="553">
                  <c:v>15.7183455</c:v>
                </c:pt>
                <c:pt idx="554">
                  <c:v>15.756581799999999</c:v>
                </c:pt>
                <c:pt idx="555">
                  <c:v>15.7948182</c:v>
                </c:pt>
                <c:pt idx="556">
                  <c:v>15.833054600000001</c:v>
                </c:pt>
                <c:pt idx="557">
                  <c:v>15.8712909</c:v>
                </c:pt>
                <c:pt idx="558">
                  <c:v>15.909527300000001</c:v>
                </c:pt>
                <c:pt idx="559">
                  <c:v>15.9477636</c:v>
                </c:pt>
                <c:pt idx="560">
                  <c:v>15.986000000000001</c:v>
                </c:pt>
                <c:pt idx="561">
                  <c:v>16.021599999999999</c:v>
                </c:pt>
                <c:pt idx="562">
                  <c:v>16.057200000000002</c:v>
                </c:pt>
                <c:pt idx="563">
                  <c:v>16.0928</c:v>
                </c:pt>
                <c:pt idx="564">
                  <c:v>16.128399999999999</c:v>
                </c:pt>
                <c:pt idx="565">
                  <c:v>16.164000000000001</c:v>
                </c:pt>
                <c:pt idx="566">
                  <c:v>16.1996</c:v>
                </c:pt>
                <c:pt idx="567">
                  <c:v>16.235199999999999</c:v>
                </c:pt>
                <c:pt idx="568">
                  <c:v>16.270800000000001</c:v>
                </c:pt>
                <c:pt idx="569">
                  <c:v>16.3064</c:v>
                </c:pt>
                <c:pt idx="570">
                  <c:v>16.341999999999999</c:v>
                </c:pt>
                <c:pt idx="571">
                  <c:v>16.4141111</c:v>
                </c:pt>
                <c:pt idx="572">
                  <c:v>16.4862222</c:v>
                </c:pt>
                <c:pt idx="573">
                  <c:v>16.558333300000001</c:v>
                </c:pt>
                <c:pt idx="574">
                  <c:v>16.630444399999998</c:v>
                </c:pt>
                <c:pt idx="575">
                  <c:v>16.7025556</c:v>
                </c:pt>
                <c:pt idx="576">
                  <c:v>16.774666700000001</c:v>
                </c:pt>
                <c:pt idx="577">
                  <c:v>16.846777800000002</c:v>
                </c:pt>
                <c:pt idx="578">
                  <c:v>16.918888899999999</c:v>
                </c:pt>
                <c:pt idx="579">
                  <c:v>16.991</c:v>
                </c:pt>
                <c:pt idx="580">
                  <c:v>17.013833300000002</c:v>
                </c:pt>
                <c:pt idx="581">
                  <c:v>17.036666700000001</c:v>
                </c:pt>
                <c:pt idx="582">
                  <c:v>17.0595</c:v>
                </c:pt>
                <c:pt idx="583">
                  <c:v>17.082333299999998</c:v>
                </c:pt>
                <c:pt idx="584">
                  <c:v>17.105166700000002</c:v>
                </c:pt>
                <c:pt idx="585">
                  <c:v>17.128</c:v>
                </c:pt>
                <c:pt idx="586">
                  <c:v>17.150833299999999</c:v>
                </c:pt>
                <c:pt idx="587">
                  <c:v>17.173666699999998</c:v>
                </c:pt>
                <c:pt idx="588">
                  <c:v>17.1965</c:v>
                </c:pt>
                <c:pt idx="589">
                  <c:v>17.219333299999999</c:v>
                </c:pt>
                <c:pt idx="590">
                  <c:v>17.242166699999999</c:v>
                </c:pt>
                <c:pt idx="591">
                  <c:v>17.265000000000001</c:v>
                </c:pt>
                <c:pt idx="592">
                  <c:v>17.287833299999999</c:v>
                </c:pt>
                <c:pt idx="593">
                  <c:v>17.310666699999999</c:v>
                </c:pt>
                <c:pt idx="594">
                  <c:v>17.333500000000001</c:v>
                </c:pt>
                <c:pt idx="595">
                  <c:v>17.356333299999999</c:v>
                </c:pt>
                <c:pt idx="596">
                  <c:v>17.379166699999999</c:v>
                </c:pt>
                <c:pt idx="597">
                  <c:v>17.402000000000001</c:v>
                </c:pt>
                <c:pt idx="598">
                  <c:v>17.4248333</c:v>
                </c:pt>
                <c:pt idx="599">
                  <c:v>17.447666699999999</c:v>
                </c:pt>
                <c:pt idx="600">
                  <c:v>17.470500000000001</c:v>
                </c:pt>
                <c:pt idx="601">
                  <c:v>17.4933333</c:v>
                </c:pt>
                <c:pt idx="602">
                  <c:v>17.516166699999999</c:v>
                </c:pt>
                <c:pt idx="603">
                  <c:v>17.539000000000001</c:v>
                </c:pt>
                <c:pt idx="604">
                  <c:v>17.5618333</c:v>
                </c:pt>
                <c:pt idx="605">
                  <c:v>17.5846667</c:v>
                </c:pt>
                <c:pt idx="606">
                  <c:v>17.607500000000002</c:v>
                </c:pt>
                <c:pt idx="607">
                  <c:v>17.6303333</c:v>
                </c:pt>
                <c:pt idx="608">
                  <c:v>17.6531667</c:v>
                </c:pt>
                <c:pt idx="609">
                  <c:v>17.675999999999998</c:v>
                </c:pt>
                <c:pt idx="610">
                  <c:v>17.742061899999999</c:v>
                </c:pt>
                <c:pt idx="611">
                  <c:v>17.808123699999999</c:v>
                </c:pt>
                <c:pt idx="612">
                  <c:v>17.874185600000001</c:v>
                </c:pt>
                <c:pt idx="613">
                  <c:v>17.940247400000001</c:v>
                </c:pt>
                <c:pt idx="614">
                  <c:v>18.006309300000002</c:v>
                </c:pt>
                <c:pt idx="615">
                  <c:v>18.072371100000002</c:v>
                </c:pt>
                <c:pt idx="616">
                  <c:v>18.138432999999999</c:v>
                </c:pt>
                <c:pt idx="617">
                  <c:v>18.2044949</c:v>
                </c:pt>
                <c:pt idx="618">
                  <c:v>18.2705567</c:v>
                </c:pt>
                <c:pt idx="619">
                  <c:v>18.336618600000001</c:v>
                </c:pt>
                <c:pt idx="620">
                  <c:v>18.402680400000001</c:v>
                </c:pt>
                <c:pt idx="621">
                  <c:v>18.468742299999999</c:v>
                </c:pt>
                <c:pt idx="622">
                  <c:v>18.534804099999999</c:v>
                </c:pt>
                <c:pt idx="623">
                  <c:v>18.600866</c:v>
                </c:pt>
                <c:pt idx="624">
                  <c:v>18.6669278</c:v>
                </c:pt>
                <c:pt idx="625">
                  <c:v>18.732989700000001</c:v>
                </c:pt>
                <c:pt idx="626">
                  <c:v>18.799051599999999</c:v>
                </c:pt>
                <c:pt idx="627">
                  <c:v>18.865113399999998</c:v>
                </c:pt>
                <c:pt idx="628">
                  <c:v>18.9311753</c:v>
                </c:pt>
                <c:pt idx="629">
                  <c:v>18.9972371</c:v>
                </c:pt>
                <c:pt idx="630">
                  <c:v>19.063299000000001</c:v>
                </c:pt>
                <c:pt idx="631">
                  <c:v>19.129360800000001</c:v>
                </c:pt>
                <c:pt idx="632">
                  <c:v>19.195422700000002</c:v>
                </c:pt>
                <c:pt idx="633">
                  <c:v>19.261484500000002</c:v>
                </c:pt>
                <c:pt idx="634">
                  <c:v>19.327546399999999</c:v>
                </c:pt>
                <c:pt idx="635">
                  <c:v>19.3936083</c:v>
                </c:pt>
                <c:pt idx="636">
                  <c:v>19.4596701</c:v>
                </c:pt>
                <c:pt idx="637">
                  <c:v>19.525732000000001</c:v>
                </c:pt>
                <c:pt idx="638">
                  <c:v>19.591793800000001</c:v>
                </c:pt>
                <c:pt idx="639">
                  <c:v>19.657855699999999</c:v>
                </c:pt>
                <c:pt idx="640">
                  <c:v>19.723917499999999</c:v>
                </c:pt>
                <c:pt idx="641">
                  <c:v>19.7899794</c:v>
                </c:pt>
                <c:pt idx="642">
                  <c:v>19.8560412</c:v>
                </c:pt>
                <c:pt idx="643">
                  <c:v>19.922103100000001</c:v>
                </c:pt>
                <c:pt idx="644">
                  <c:v>19.988164999999999</c:v>
                </c:pt>
                <c:pt idx="645">
                  <c:v>20.054226799999999</c:v>
                </c:pt>
                <c:pt idx="646">
                  <c:v>20.1202887</c:v>
                </c:pt>
                <c:pt idx="647">
                  <c:v>20.1863505</c:v>
                </c:pt>
                <c:pt idx="648">
                  <c:v>20.252412400000001</c:v>
                </c:pt>
                <c:pt idx="649">
                  <c:v>20.318474200000001</c:v>
                </c:pt>
                <c:pt idx="650">
                  <c:v>20.384536099999998</c:v>
                </c:pt>
                <c:pt idx="651">
                  <c:v>20.450597900000002</c:v>
                </c:pt>
                <c:pt idx="652">
                  <c:v>20.516659799999999</c:v>
                </c:pt>
                <c:pt idx="653">
                  <c:v>20.5827217</c:v>
                </c:pt>
                <c:pt idx="654">
                  <c:v>20.6487835</c:v>
                </c:pt>
                <c:pt idx="655">
                  <c:v>20.714845400000002</c:v>
                </c:pt>
                <c:pt idx="656">
                  <c:v>20.780907200000001</c:v>
                </c:pt>
                <c:pt idx="657">
                  <c:v>20.846969099999999</c:v>
                </c:pt>
                <c:pt idx="658">
                  <c:v>20.913030899999999</c:v>
                </c:pt>
                <c:pt idx="659">
                  <c:v>20.9790928</c:v>
                </c:pt>
                <c:pt idx="660">
                  <c:v>21.0451546</c:v>
                </c:pt>
                <c:pt idx="661">
                  <c:v>21.111216500000001</c:v>
                </c:pt>
                <c:pt idx="662">
                  <c:v>21.177278399999999</c:v>
                </c:pt>
                <c:pt idx="663">
                  <c:v>21.243340199999999</c:v>
                </c:pt>
                <c:pt idx="664">
                  <c:v>21.3094021</c:v>
                </c:pt>
                <c:pt idx="665">
                  <c:v>21.3754639</c:v>
                </c:pt>
                <c:pt idx="666">
                  <c:v>21.441525800000001</c:v>
                </c:pt>
                <c:pt idx="667">
                  <c:v>21.507587600000001</c:v>
                </c:pt>
                <c:pt idx="668">
                  <c:v>21.573649499999998</c:v>
                </c:pt>
                <c:pt idx="669">
                  <c:v>21.639711299999998</c:v>
                </c:pt>
                <c:pt idx="670">
                  <c:v>21.705773199999999</c:v>
                </c:pt>
                <c:pt idx="671">
                  <c:v>21.771835100000001</c:v>
                </c:pt>
                <c:pt idx="672">
                  <c:v>21.8378969</c:v>
                </c:pt>
                <c:pt idx="673">
                  <c:v>21.903958800000002</c:v>
                </c:pt>
                <c:pt idx="674">
                  <c:v>21.970020600000002</c:v>
                </c:pt>
                <c:pt idx="675">
                  <c:v>22.036082499999999</c:v>
                </c:pt>
                <c:pt idx="676">
                  <c:v>22.102144299999999</c:v>
                </c:pt>
                <c:pt idx="677">
                  <c:v>22.1682062</c:v>
                </c:pt>
                <c:pt idx="678">
                  <c:v>22.234268</c:v>
                </c:pt>
                <c:pt idx="679">
                  <c:v>22.300329900000001</c:v>
                </c:pt>
                <c:pt idx="680">
                  <c:v>22.366391799999999</c:v>
                </c:pt>
                <c:pt idx="681">
                  <c:v>22.432453599999999</c:v>
                </c:pt>
                <c:pt idx="682">
                  <c:v>22.4985155</c:v>
                </c:pt>
                <c:pt idx="683">
                  <c:v>22.5645773</c:v>
                </c:pt>
                <c:pt idx="684">
                  <c:v>22.630639200000001</c:v>
                </c:pt>
                <c:pt idx="685">
                  <c:v>22.696701000000001</c:v>
                </c:pt>
                <c:pt idx="686">
                  <c:v>22.762762899999998</c:v>
                </c:pt>
                <c:pt idx="687">
                  <c:v>22.828824699999998</c:v>
                </c:pt>
                <c:pt idx="688">
                  <c:v>22.8948866</c:v>
                </c:pt>
                <c:pt idx="689">
                  <c:v>22.960948500000001</c:v>
                </c:pt>
                <c:pt idx="690">
                  <c:v>23.027010300000001</c:v>
                </c:pt>
                <c:pt idx="691">
                  <c:v>23.093072200000002</c:v>
                </c:pt>
                <c:pt idx="692">
                  <c:v>23.159134000000002</c:v>
                </c:pt>
                <c:pt idx="693">
                  <c:v>23.225195899999999</c:v>
                </c:pt>
                <c:pt idx="694">
                  <c:v>23.291257699999999</c:v>
                </c:pt>
                <c:pt idx="695">
                  <c:v>23.3573196</c:v>
                </c:pt>
                <c:pt idx="696">
                  <c:v>23.4233814</c:v>
                </c:pt>
                <c:pt idx="697">
                  <c:v>23.489443300000001</c:v>
                </c:pt>
                <c:pt idx="698">
                  <c:v>23.555505199999999</c:v>
                </c:pt>
                <c:pt idx="699">
                  <c:v>23.621566999999999</c:v>
                </c:pt>
                <c:pt idx="700">
                  <c:v>23.6876289</c:v>
                </c:pt>
                <c:pt idx="701">
                  <c:v>23.7536907</c:v>
                </c:pt>
                <c:pt idx="702">
                  <c:v>23.819752600000001</c:v>
                </c:pt>
                <c:pt idx="703">
                  <c:v>23.885814400000001</c:v>
                </c:pt>
                <c:pt idx="704">
                  <c:v>23.951876299999999</c:v>
                </c:pt>
                <c:pt idx="705">
                  <c:v>24.017938099999999</c:v>
                </c:pt>
                <c:pt idx="706">
                  <c:v>24.084</c:v>
                </c:pt>
                <c:pt idx="707">
                  <c:v>24.135461500000002</c:v>
                </c:pt>
                <c:pt idx="708">
                  <c:v>24.186923100000001</c:v>
                </c:pt>
                <c:pt idx="709">
                  <c:v>24.2383846</c:v>
                </c:pt>
                <c:pt idx="710">
                  <c:v>24.289846199999999</c:v>
                </c:pt>
                <c:pt idx="711">
                  <c:v>24.341307700000002</c:v>
                </c:pt>
                <c:pt idx="712">
                  <c:v>24.3927692</c:v>
                </c:pt>
                <c:pt idx="713">
                  <c:v>24.4442308</c:v>
                </c:pt>
                <c:pt idx="714">
                  <c:v>24.495692300000002</c:v>
                </c:pt>
                <c:pt idx="715">
                  <c:v>24.547153900000001</c:v>
                </c:pt>
                <c:pt idx="716">
                  <c:v>24.5986154</c:v>
                </c:pt>
                <c:pt idx="717">
                  <c:v>24.650076899999998</c:v>
                </c:pt>
                <c:pt idx="718">
                  <c:v>24.701538500000002</c:v>
                </c:pt>
                <c:pt idx="719">
                  <c:v>24.753</c:v>
                </c:pt>
                <c:pt idx="720">
                  <c:v>24.804461499999999</c:v>
                </c:pt>
                <c:pt idx="721">
                  <c:v>24.855923099999998</c:v>
                </c:pt>
                <c:pt idx="722">
                  <c:v>24.9073846</c:v>
                </c:pt>
                <c:pt idx="723">
                  <c:v>24.9588462</c:v>
                </c:pt>
                <c:pt idx="724">
                  <c:v>25.010307699999998</c:v>
                </c:pt>
                <c:pt idx="725">
                  <c:v>25.061769200000001</c:v>
                </c:pt>
                <c:pt idx="726">
                  <c:v>25.1132308</c:v>
                </c:pt>
                <c:pt idx="727">
                  <c:v>25.164692299999999</c:v>
                </c:pt>
                <c:pt idx="728">
                  <c:v>25.216153899999998</c:v>
                </c:pt>
                <c:pt idx="729">
                  <c:v>25.2676154</c:v>
                </c:pt>
                <c:pt idx="730">
                  <c:v>25.319076899999999</c:v>
                </c:pt>
                <c:pt idx="731">
                  <c:v>25.370538499999999</c:v>
                </c:pt>
                <c:pt idx="732">
                  <c:v>25.422000000000001</c:v>
                </c:pt>
                <c:pt idx="733">
                  <c:v>25.473461499999999</c:v>
                </c:pt>
                <c:pt idx="734">
                  <c:v>25.524923099999999</c:v>
                </c:pt>
                <c:pt idx="735">
                  <c:v>25.576384600000001</c:v>
                </c:pt>
                <c:pt idx="736">
                  <c:v>25.6278462</c:v>
                </c:pt>
                <c:pt idx="737">
                  <c:v>25.679307699999999</c:v>
                </c:pt>
                <c:pt idx="738">
                  <c:v>25.730769200000001</c:v>
                </c:pt>
                <c:pt idx="739">
                  <c:v>25.782230800000001</c:v>
                </c:pt>
                <c:pt idx="740">
                  <c:v>25.833692299999999</c:v>
                </c:pt>
                <c:pt idx="741">
                  <c:v>25.885153899999999</c:v>
                </c:pt>
                <c:pt idx="742">
                  <c:v>25.936615400000001</c:v>
                </c:pt>
                <c:pt idx="743">
                  <c:v>25.988076899999999</c:v>
                </c:pt>
                <c:pt idx="744">
                  <c:v>26.039538499999999</c:v>
                </c:pt>
                <c:pt idx="745">
                  <c:v>26.091000000000001</c:v>
                </c:pt>
                <c:pt idx="746">
                  <c:v>26.1424615</c:v>
                </c:pt>
                <c:pt idx="747">
                  <c:v>26.193923099999999</c:v>
                </c:pt>
                <c:pt idx="748">
                  <c:v>26.245384600000001</c:v>
                </c:pt>
                <c:pt idx="749">
                  <c:v>26.296846200000001</c:v>
                </c:pt>
                <c:pt idx="750">
                  <c:v>26.348307699999999</c:v>
                </c:pt>
                <c:pt idx="751">
                  <c:v>26.399769200000001</c:v>
                </c:pt>
                <c:pt idx="752">
                  <c:v>26.451230800000001</c:v>
                </c:pt>
                <c:pt idx="753">
                  <c:v>26.5026923</c:v>
                </c:pt>
                <c:pt idx="754">
                  <c:v>26.554153899999999</c:v>
                </c:pt>
                <c:pt idx="755">
                  <c:v>26.605615400000001</c:v>
                </c:pt>
                <c:pt idx="756">
                  <c:v>26.6570769</c:v>
                </c:pt>
                <c:pt idx="757">
                  <c:v>26.7085385</c:v>
                </c:pt>
                <c:pt idx="758">
                  <c:v>26.76</c:v>
                </c:pt>
                <c:pt idx="759">
                  <c:v>26.8114615</c:v>
                </c:pt>
                <c:pt idx="760">
                  <c:v>26.8629231</c:v>
                </c:pt>
                <c:pt idx="761">
                  <c:v>26.914384600000002</c:v>
                </c:pt>
                <c:pt idx="762">
                  <c:v>26.965846200000001</c:v>
                </c:pt>
                <c:pt idx="763">
                  <c:v>27.0173077</c:v>
                </c:pt>
                <c:pt idx="764">
                  <c:v>27.068769199999998</c:v>
                </c:pt>
                <c:pt idx="765">
                  <c:v>27.120230800000002</c:v>
                </c:pt>
                <c:pt idx="766">
                  <c:v>27.1716923</c:v>
                </c:pt>
                <c:pt idx="767">
                  <c:v>27.2231539</c:v>
                </c:pt>
                <c:pt idx="768">
                  <c:v>27.274615399999998</c:v>
                </c:pt>
                <c:pt idx="769">
                  <c:v>27.3260769</c:v>
                </c:pt>
                <c:pt idx="770">
                  <c:v>27.3775385</c:v>
                </c:pt>
                <c:pt idx="771">
                  <c:v>27.428999999999998</c:v>
                </c:pt>
                <c:pt idx="772">
                  <c:v>27.480461500000001</c:v>
                </c:pt>
                <c:pt idx="773">
                  <c:v>27.5319231</c:v>
                </c:pt>
                <c:pt idx="774">
                  <c:v>27.583384599999999</c:v>
                </c:pt>
                <c:pt idx="775">
                  <c:v>27.634846199999998</c:v>
                </c:pt>
                <c:pt idx="776">
                  <c:v>27.6863077</c:v>
                </c:pt>
                <c:pt idx="777">
                  <c:v>27.737769199999999</c:v>
                </c:pt>
                <c:pt idx="778">
                  <c:v>27.789230799999999</c:v>
                </c:pt>
                <c:pt idx="779">
                  <c:v>27.840692300000001</c:v>
                </c:pt>
                <c:pt idx="780">
                  <c:v>27.8921539</c:v>
                </c:pt>
                <c:pt idx="781">
                  <c:v>27.943615399999999</c:v>
                </c:pt>
                <c:pt idx="782">
                  <c:v>27.995076900000001</c:v>
                </c:pt>
                <c:pt idx="783">
                  <c:v>28.0465385</c:v>
                </c:pt>
                <c:pt idx="784">
                  <c:v>28.097999999999999</c:v>
                </c:pt>
                <c:pt idx="785">
                  <c:v>28.126127700000001</c:v>
                </c:pt>
                <c:pt idx="786">
                  <c:v>28.154255299999999</c:v>
                </c:pt>
                <c:pt idx="787">
                  <c:v>28.182383000000002</c:v>
                </c:pt>
                <c:pt idx="788">
                  <c:v>28.210510599999999</c:v>
                </c:pt>
                <c:pt idx="789">
                  <c:v>28.238638300000002</c:v>
                </c:pt>
                <c:pt idx="790">
                  <c:v>28.266766000000001</c:v>
                </c:pt>
                <c:pt idx="791">
                  <c:v>28.294893600000002</c:v>
                </c:pt>
                <c:pt idx="792">
                  <c:v>28.323021300000001</c:v>
                </c:pt>
                <c:pt idx="793">
                  <c:v>28.351148899999998</c:v>
                </c:pt>
                <c:pt idx="794">
                  <c:v>28.379276600000001</c:v>
                </c:pt>
                <c:pt idx="795">
                  <c:v>28.4074043</c:v>
                </c:pt>
                <c:pt idx="796">
                  <c:v>28.435531900000001</c:v>
                </c:pt>
                <c:pt idx="797">
                  <c:v>28.4636596</c:v>
                </c:pt>
                <c:pt idx="798">
                  <c:v>28.491787200000001</c:v>
                </c:pt>
                <c:pt idx="799">
                  <c:v>28.5199149</c:v>
                </c:pt>
                <c:pt idx="800">
                  <c:v>28.548042599999999</c:v>
                </c:pt>
                <c:pt idx="801">
                  <c:v>28.5761702</c:v>
                </c:pt>
                <c:pt idx="802">
                  <c:v>28.604297899999999</c:v>
                </c:pt>
                <c:pt idx="803">
                  <c:v>28.6324255</c:v>
                </c:pt>
                <c:pt idx="804">
                  <c:v>28.660553199999999</c:v>
                </c:pt>
                <c:pt idx="805">
                  <c:v>28.688680900000001</c:v>
                </c:pt>
                <c:pt idx="806">
                  <c:v>28.716808499999999</c:v>
                </c:pt>
                <c:pt idx="807">
                  <c:v>28.744936200000001</c:v>
                </c:pt>
                <c:pt idx="808">
                  <c:v>28.773063799999999</c:v>
                </c:pt>
                <c:pt idx="809">
                  <c:v>28.801191500000002</c:v>
                </c:pt>
                <c:pt idx="810">
                  <c:v>28.8293192</c:v>
                </c:pt>
                <c:pt idx="811">
                  <c:v>28.857446800000002</c:v>
                </c:pt>
                <c:pt idx="812">
                  <c:v>28.885574500000001</c:v>
                </c:pt>
                <c:pt idx="813">
                  <c:v>28.913702099999998</c:v>
                </c:pt>
                <c:pt idx="814">
                  <c:v>28.941829800000001</c:v>
                </c:pt>
                <c:pt idx="815">
                  <c:v>28.9699575</c:v>
                </c:pt>
                <c:pt idx="816">
                  <c:v>28.998085100000001</c:v>
                </c:pt>
                <c:pt idx="817">
                  <c:v>29.0262128</c:v>
                </c:pt>
                <c:pt idx="818">
                  <c:v>29.054340400000001</c:v>
                </c:pt>
                <c:pt idx="819">
                  <c:v>29.0824681</c:v>
                </c:pt>
                <c:pt idx="820">
                  <c:v>29.110595700000001</c:v>
                </c:pt>
                <c:pt idx="821">
                  <c:v>29.1387234</c:v>
                </c:pt>
                <c:pt idx="822">
                  <c:v>29.166851099999999</c:v>
                </c:pt>
                <c:pt idx="823">
                  <c:v>29.1949787</c:v>
                </c:pt>
                <c:pt idx="824">
                  <c:v>29.223106399999999</c:v>
                </c:pt>
                <c:pt idx="825">
                  <c:v>29.251234</c:v>
                </c:pt>
                <c:pt idx="826">
                  <c:v>29.279361699999999</c:v>
                </c:pt>
                <c:pt idx="827">
                  <c:v>29.307489400000001</c:v>
                </c:pt>
                <c:pt idx="828">
                  <c:v>29.335616999999999</c:v>
                </c:pt>
                <c:pt idx="829">
                  <c:v>29.363744700000002</c:v>
                </c:pt>
                <c:pt idx="830">
                  <c:v>29.391872299999999</c:v>
                </c:pt>
                <c:pt idx="831">
                  <c:v>29.42</c:v>
                </c:pt>
                <c:pt idx="832">
                  <c:v>29.448127700000001</c:v>
                </c:pt>
                <c:pt idx="833">
                  <c:v>29.476255299999998</c:v>
                </c:pt>
                <c:pt idx="834">
                  <c:v>29.504383000000001</c:v>
                </c:pt>
                <c:pt idx="835">
                  <c:v>29.532510599999998</c:v>
                </c:pt>
                <c:pt idx="836">
                  <c:v>29.560638300000001</c:v>
                </c:pt>
                <c:pt idx="837">
                  <c:v>29.588766</c:v>
                </c:pt>
                <c:pt idx="838">
                  <c:v>29.616893600000001</c:v>
                </c:pt>
                <c:pt idx="839">
                  <c:v>29.6450213</c:v>
                </c:pt>
                <c:pt idx="840">
                  <c:v>29.673148900000001</c:v>
                </c:pt>
                <c:pt idx="841">
                  <c:v>29.7012766</c:v>
                </c:pt>
                <c:pt idx="842">
                  <c:v>29.729404299999999</c:v>
                </c:pt>
                <c:pt idx="843">
                  <c:v>29.7575319</c:v>
                </c:pt>
                <c:pt idx="844">
                  <c:v>29.785659599999999</c:v>
                </c:pt>
                <c:pt idx="845">
                  <c:v>29.8137872</c:v>
                </c:pt>
                <c:pt idx="846">
                  <c:v>29.841914899999999</c:v>
                </c:pt>
                <c:pt idx="847">
                  <c:v>29.870042600000001</c:v>
                </c:pt>
                <c:pt idx="848">
                  <c:v>29.898170199999999</c:v>
                </c:pt>
                <c:pt idx="849">
                  <c:v>29.926297900000002</c:v>
                </c:pt>
                <c:pt idx="850">
                  <c:v>29.954425499999999</c:v>
                </c:pt>
                <c:pt idx="851">
                  <c:v>29.982553200000002</c:v>
                </c:pt>
                <c:pt idx="852">
                  <c:v>30.010680900000001</c:v>
                </c:pt>
                <c:pt idx="853">
                  <c:v>30.038808499999998</c:v>
                </c:pt>
                <c:pt idx="854">
                  <c:v>30.066936200000001</c:v>
                </c:pt>
                <c:pt idx="855">
                  <c:v>30.095063799999998</c:v>
                </c:pt>
                <c:pt idx="856">
                  <c:v>30.123191500000001</c:v>
                </c:pt>
                <c:pt idx="857">
                  <c:v>30.1513192</c:v>
                </c:pt>
                <c:pt idx="858">
                  <c:v>30.179446800000001</c:v>
                </c:pt>
                <c:pt idx="859">
                  <c:v>30.2075745</c:v>
                </c:pt>
                <c:pt idx="860">
                  <c:v>30.235702100000001</c:v>
                </c:pt>
                <c:pt idx="861">
                  <c:v>30.2638298</c:v>
                </c:pt>
                <c:pt idx="862">
                  <c:v>30.291957499999999</c:v>
                </c:pt>
                <c:pt idx="863">
                  <c:v>30.3200851</c:v>
                </c:pt>
                <c:pt idx="864">
                  <c:v>30.348212799999999</c:v>
                </c:pt>
                <c:pt idx="865">
                  <c:v>30.3763404</c:v>
                </c:pt>
                <c:pt idx="866">
                  <c:v>30.404468099999999</c:v>
                </c:pt>
                <c:pt idx="867">
                  <c:v>30.4325957</c:v>
                </c:pt>
                <c:pt idx="868">
                  <c:v>30.460723399999999</c:v>
                </c:pt>
                <c:pt idx="869">
                  <c:v>30.488851100000002</c:v>
                </c:pt>
                <c:pt idx="870">
                  <c:v>30.516978699999999</c:v>
                </c:pt>
                <c:pt idx="871">
                  <c:v>30.545106400000002</c:v>
                </c:pt>
                <c:pt idx="872">
                  <c:v>30.573233999999999</c:v>
                </c:pt>
                <c:pt idx="873">
                  <c:v>30.601361699999998</c:v>
                </c:pt>
                <c:pt idx="874">
                  <c:v>30.629489400000001</c:v>
                </c:pt>
                <c:pt idx="875">
                  <c:v>30.657616999999998</c:v>
                </c:pt>
                <c:pt idx="876">
                  <c:v>30.685744700000001</c:v>
                </c:pt>
                <c:pt idx="877">
                  <c:v>30.713872299999998</c:v>
                </c:pt>
                <c:pt idx="878">
                  <c:v>30.742000000000001</c:v>
                </c:pt>
                <c:pt idx="879">
                  <c:v>30.7541619</c:v>
                </c:pt>
                <c:pt idx="880">
                  <c:v>30.766323799999999</c:v>
                </c:pt>
                <c:pt idx="881">
                  <c:v>30.778485700000001</c:v>
                </c:pt>
                <c:pt idx="882">
                  <c:v>30.7906476</c:v>
                </c:pt>
                <c:pt idx="883">
                  <c:v>30.802809499999999</c:v>
                </c:pt>
                <c:pt idx="884">
                  <c:v>30.814971400000001</c:v>
                </c:pt>
                <c:pt idx="885">
                  <c:v>30.8271333</c:v>
                </c:pt>
                <c:pt idx="886">
                  <c:v>30.839295199999999</c:v>
                </c:pt>
                <c:pt idx="887">
                  <c:v>30.851457100000001</c:v>
                </c:pt>
                <c:pt idx="888">
                  <c:v>30.863619100000001</c:v>
                </c:pt>
                <c:pt idx="889">
                  <c:v>30.875781</c:v>
                </c:pt>
                <c:pt idx="890">
                  <c:v>30.887942899999999</c:v>
                </c:pt>
                <c:pt idx="891">
                  <c:v>30.900104800000001</c:v>
                </c:pt>
                <c:pt idx="892">
                  <c:v>30.9122667</c:v>
                </c:pt>
                <c:pt idx="893">
                  <c:v>30.924428599999999</c:v>
                </c:pt>
                <c:pt idx="894">
                  <c:v>30.936590500000001</c:v>
                </c:pt>
                <c:pt idx="895">
                  <c:v>30.9487524</c:v>
                </c:pt>
                <c:pt idx="896">
                  <c:v>30.960914299999999</c:v>
                </c:pt>
                <c:pt idx="897">
                  <c:v>30.973076200000001</c:v>
                </c:pt>
                <c:pt idx="898">
                  <c:v>30.9852381</c:v>
                </c:pt>
                <c:pt idx="899">
                  <c:v>30.997399999999999</c:v>
                </c:pt>
                <c:pt idx="900">
                  <c:v>31.009561900000001</c:v>
                </c:pt>
                <c:pt idx="901">
                  <c:v>31.0217238</c:v>
                </c:pt>
                <c:pt idx="902">
                  <c:v>31.033885699999999</c:v>
                </c:pt>
                <c:pt idx="903">
                  <c:v>31.046047600000001</c:v>
                </c:pt>
                <c:pt idx="904">
                  <c:v>31.0582095</c:v>
                </c:pt>
                <c:pt idx="905">
                  <c:v>31.070371399999999</c:v>
                </c:pt>
                <c:pt idx="906">
                  <c:v>31.082533300000001</c:v>
                </c:pt>
                <c:pt idx="907">
                  <c:v>31.0946952</c:v>
                </c:pt>
                <c:pt idx="908">
                  <c:v>31.106857099999999</c:v>
                </c:pt>
                <c:pt idx="909">
                  <c:v>31.119019099999999</c:v>
                </c:pt>
                <c:pt idx="910">
                  <c:v>31.131181000000002</c:v>
                </c:pt>
                <c:pt idx="911">
                  <c:v>31.1433429</c:v>
                </c:pt>
                <c:pt idx="912">
                  <c:v>31.155504799999999</c:v>
                </c:pt>
                <c:pt idx="913">
                  <c:v>31.167666700000002</c:v>
                </c:pt>
                <c:pt idx="914">
                  <c:v>31.1798286</c:v>
                </c:pt>
                <c:pt idx="915">
                  <c:v>31.191990499999999</c:v>
                </c:pt>
                <c:pt idx="916">
                  <c:v>31.204152400000002</c:v>
                </c:pt>
                <c:pt idx="917">
                  <c:v>31.216314300000001</c:v>
                </c:pt>
                <c:pt idx="918">
                  <c:v>31.228476199999999</c:v>
                </c:pt>
                <c:pt idx="919">
                  <c:v>31.240638100000002</c:v>
                </c:pt>
                <c:pt idx="920">
                  <c:v>31.252800000000001</c:v>
                </c:pt>
                <c:pt idx="921">
                  <c:v>31.264961899999999</c:v>
                </c:pt>
                <c:pt idx="922">
                  <c:v>31.277123799999998</c:v>
                </c:pt>
                <c:pt idx="923">
                  <c:v>31.289285700000001</c:v>
                </c:pt>
                <c:pt idx="924">
                  <c:v>31.301447599999999</c:v>
                </c:pt>
                <c:pt idx="925">
                  <c:v>31.313609499999998</c:v>
                </c:pt>
                <c:pt idx="926">
                  <c:v>31.325771400000001</c:v>
                </c:pt>
                <c:pt idx="927">
                  <c:v>31.3379333</c:v>
                </c:pt>
                <c:pt idx="928">
                  <c:v>31.350095199999998</c:v>
                </c:pt>
                <c:pt idx="929">
                  <c:v>31.362257100000001</c:v>
                </c:pt>
                <c:pt idx="930">
                  <c:v>31.374419100000001</c:v>
                </c:pt>
                <c:pt idx="931">
                  <c:v>31.386581</c:v>
                </c:pt>
                <c:pt idx="932">
                  <c:v>31.398742899999998</c:v>
                </c:pt>
                <c:pt idx="933">
                  <c:v>31.410904800000001</c:v>
                </c:pt>
                <c:pt idx="934">
                  <c:v>31.4230667</c:v>
                </c:pt>
                <c:pt idx="935">
                  <c:v>31.435228599999999</c:v>
                </c:pt>
                <c:pt idx="936">
                  <c:v>31.447390500000001</c:v>
                </c:pt>
                <c:pt idx="937">
                  <c:v>31.4595524</c:v>
                </c:pt>
                <c:pt idx="938">
                  <c:v>31.471714299999999</c:v>
                </c:pt>
                <c:pt idx="939">
                  <c:v>31.483876200000001</c:v>
                </c:pt>
                <c:pt idx="940">
                  <c:v>31.4960381</c:v>
                </c:pt>
                <c:pt idx="941">
                  <c:v>31.508199999999999</c:v>
                </c:pt>
                <c:pt idx="942">
                  <c:v>31.520361900000001</c:v>
                </c:pt>
                <c:pt idx="943">
                  <c:v>31.5325238</c:v>
                </c:pt>
                <c:pt idx="944">
                  <c:v>31.544685699999999</c:v>
                </c:pt>
                <c:pt idx="945">
                  <c:v>31.556847600000001</c:v>
                </c:pt>
                <c:pt idx="946">
                  <c:v>31.5690095</c:v>
                </c:pt>
                <c:pt idx="947">
                  <c:v>31.581171399999999</c:v>
                </c:pt>
                <c:pt idx="948">
                  <c:v>31.593333300000001</c:v>
                </c:pt>
                <c:pt idx="949">
                  <c:v>31.6054952</c:v>
                </c:pt>
                <c:pt idx="950">
                  <c:v>31.617657099999999</c:v>
                </c:pt>
                <c:pt idx="951">
                  <c:v>31.629819099999999</c:v>
                </c:pt>
                <c:pt idx="952">
                  <c:v>31.641981000000001</c:v>
                </c:pt>
                <c:pt idx="953">
                  <c:v>31.6541429</c:v>
                </c:pt>
                <c:pt idx="954">
                  <c:v>31.666304799999999</c:v>
                </c:pt>
                <c:pt idx="955">
                  <c:v>31.678466700000001</c:v>
                </c:pt>
                <c:pt idx="956">
                  <c:v>31.6906286</c:v>
                </c:pt>
                <c:pt idx="957">
                  <c:v>31.702790499999999</c:v>
                </c:pt>
                <c:pt idx="958">
                  <c:v>31.714952400000001</c:v>
                </c:pt>
                <c:pt idx="959">
                  <c:v>31.7271143</c:v>
                </c:pt>
                <c:pt idx="960">
                  <c:v>31.739276199999999</c:v>
                </c:pt>
                <c:pt idx="961">
                  <c:v>31.751438100000001</c:v>
                </c:pt>
                <c:pt idx="962">
                  <c:v>31.7636</c:v>
                </c:pt>
                <c:pt idx="963">
                  <c:v>31.775761899999999</c:v>
                </c:pt>
                <c:pt idx="964">
                  <c:v>31.787923800000002</c:v>
                </c:pt>
                <c:pt idx="965">
                  <c:v>31.8000857</c:v>
                </c:pt>
                <c:pt idx="966">
                  <c:v>31.812247599999999</c:v>
                </c:pt>
                <c:pt idx="967">
                  <c:v>31.824409500000002</c:v>
                </c:pt>
                <c:pt idx="968">
                  <c:v>31.8365714</c:v>
                </c:pt>
                <c:pt idx="969">
                  <c:v>31.848733299999999</c:v>
                </c:pt>
                <c:pt idx="970">
                  <c:v>31.860895200000002</c:v>
                </c:pt>
                <c:pt idx="971">
                  <c:v>31.8730571</c:v>
                </c:pt>
                <c:pt idx="972">
                  <c:v>31.8852191</c:v>
                </c:pt>
                <c:pt idx="973">
                  <c:v>31.897380999999999</c:v>
                </c:pt>
                <c:pt idx="974">
                  <c:v>31.909542900000002</c:v>
                </c:pt>
                <c:pt idx="975">
                  <c:v>31.921704800000001</c:v>
                </c:pt>
                <c:pt idx="976">
                  <c:v>31.933866699999999</c:v>
                </c:pt>
                <c:pt idx="977">
                  <c:v>31.946028600000002</c:v>
                </c:pt>
                <c:pt idx="978">
                  <c:v>31.958190500000001</c:v>
                </c:pt>
                <c:pt idx="979">
                  <c:v>31.970352399999999</c:v>
                </c:pt>
                <c:pt idx="980">
                  <c:v>31.982514299999998</c:v>
                </c:pt>
                <c:pt idx="981">
                  <c:v>31.994676200000001</c:v>
                </c:pt>
                <c:pt idx="982">
                  <c:v>32.006838100000003</c:v>
                </c:pt>
                <c:pt idx="983">
                  <c:v>32.018999999999998</c:v>
                </c:pt>
                <c:pt idx="984">
                  <c:v>32.048000000000002</c:v>
                </c:pt>
                <c:pt idx="985">
                  <c:v>32.076999999999998</c:v>
                </c:pt>
                <c:pt idx="986">
                  <c:v>32.106000000000002</c:v>
                </c:pt>
                <c:pt idx="987">
                  <c:v>32.134999999999998</c:v>
                </c:pt>
                <c:pt idx="988">
                  <c:v>32.164000000000001</c:v>
                </c:pt>
                <c:pt idx="989">
                  <c:v>32.192999999999998</c:v>
                </c:pt>
                <c:pt idx="990">
                  <c:v>32.222000000000001</c:v>
                </c:pt>
                <c:pt idx="991">
                  <c:v>32.250999999999998</c:v>
                </c:pt>
                <c:pt idx="992">
                  <c:v>32.28</c:v>
                </c:pt>
                <c:pt idx="993">
                  <c:v>32.308999999999997</c:v>
                </c:pt>
                <c:pt idx="994">
                  <c:v>32.338000000000001</c:v>
                </c:pt>
                <c:pt idx="995">
                  <c:v>32.366999999999997</c:v>
                </c:pt>
                <c:pt idx="996">
                  <c:v>32.396000000000001</c:v>
                </c:pt>
                <c:pt idx="997">
                  <c:v>32.424999999999997</c:v>
                </c:pt>
                <c:pt idx="998">
                  <c:v>32.454000000000001</c:v>
                </c:pt>
                <c:pt idx="999">
                  <c:v>32.482999999999997</c:v>
                </c:pt>
                <c:pt idx="1000">
                  <c:v>32.512</c:v>
                </c:pt>
                <c:pt idx="1001">
                  <c:v>32.540999999999997</c:v>
                </c:pt>
                <c:pt idx="1002">
                  <c:v>32.57</c:v>
                </c:pt>
                <c:pt idx="1003">
                  <c:v>32.598999999999997</c:v>
                </c:pt>
                <c:pt idx="1004">
                  <c:v>32.628</c:v>
                </c:pt>
                <c:pt idx="1005">
                  <c:v>32.656999999999996</c:v>
                </c:pt>
                <c:pt idx="1006">
                  <c:v>32.686</c:v>
                </c:pt>
                <c:pt idx="1007">
                  <c:v>32.715000000000003</c:v>
                </c:pt>
                <c:pt idx="1008">
                  <c:v>32.744</c:v>
                </c:pt>
                <c:pt idx="1009">
                  <c:v>32.773000000000003</c:v>
                </c:pt>
                <c:pt idx="1010">
                  <c:v>32.802</c:v>
                </c:pt>
                <c:pt idx="1011">
                  <c:v>32.831000000000003</c:v>
                </c:pt>
                <c:pt idx="1012">
                  <c:v>32.86</c:v>
                </c:pt>
                <c:pt idx="1013">
                  <c:v>32.889000000000003</c:v>
                </c:pt>
                <c:pt idx="1014">
                  <c:v>32.917999999999999</c:v>
                </c:pt>
                <c:pt idx="1015">
                  <c:v>32.947000000000003</c:v>
                </c:pt>
                <c:pt idx="1016">
                  <c:v>32.975999999999999</c:v>
                </c:pt>
                <c:pt idx="1017">
                  <c:v>33.005000000000003</c:v>
                </c:pt>
                <c:pt idx="1018">
                  <c:v>33.033999999999999</c:v>
                </c:pt>
                <c:pt idx="1019">
                  <c:v>33.063000000000002</c:v>
                </c:pt>
                <c:pt idx="1020">
                  <c:v>33.091999999999999</c:v>
                </c:pt>
                <c:pt idx="1021">
                  <c:v>33.121000000000002</c:v>
                </c:pt>
                <c:pt idx="1022">
                  <c:v>33.15</c:v>
                </c:pt>
                <c:pt idx="1023">
                  <c:v>33.179000000000002</c:v>
                </c:pt>
                <c:pt idx="1024">
                  <c:v>33.207999999999998</c:v>
                </c:pt>
                <c:pt idx="1025">
                  <c:v>33.237000000000002</c:v>
                </c:pt>
                <c:pt idx="1026">
                  <c:v>33.265999999999998</c:v>
                </c:pt>
                <c:pt idx="1027">
                  <c:v>33.295000000000002</c:v>
                </c:pt>
                <c:pt idx="1028">
                  <c:v>33.323999999999998</c:v>
                </c:pt>
                <c:pt idx="1029">
                  <c:v>33.353000000000002</c:v>
                </c:pt>
                <c:pt idx="1030">
                  <c:v>33.381999999999998</c:v>
                </c:pt>
                <c:pt idx="1031">
                  <c:v>33.411000000000001</c:v>
                </c:pt>
                <c:pt idx="1032">
                  <c:v>33.44</c:v>
                </c:pt>
                <c:pt idx="1033">
                  <c:v>33.469000000000001</c:v>
                </c:pt>
                <c:pt idx="1034">
                  <c:v>33.497999999999998</c:v>
                </c:pt>
                <c:pt idx="1035">
                  <c:v>33.527000000000001</c:v>
                </c:pt>
                <c:pt idx="1036">
                  <c:v>33.555999999999997</c:v>
                </c:pt>
                <c:pt idx="1037">
                  <c:v>33.585000000000001</c:v>
                </c:pt>
                <c:pt idx="1038">
                  <c:v>33.613999999999997</c:v>
                </c:pt>
                <c:pt idx="1039">
                  <c:v>33.643000000000001</c:v>
                </c:pt>
                <c:pt idx="1040">
                  <c:v>33.671999999999997</c:v>
                </c:pt>
                <c:pt idx="1041">
                  <c:v>33.701000000000001</c:v>
                </c:pt>
                <c:pt idx="1042">
                  <c:v>33.729999999999997</c:v>
                </c:pt>
                <c:pt idx="1043">
                  <c:v>33.759</c:v>
                </c:pt>
                <c:pt idx="1044">
                  <c:v>33.787999999999997</c:v>
                </c:pt>
                <c:pt idx="1045">
                  <c:v>33.817</c:v>
                </c:pt>
                <c:pt idx="1046">
                  <c:v>33.845999999999997</c:v>
                </c:pt>
                <c:pt idx="1047">
                  <c:v>33.875</c:v>
                </c:pt>
                <c:pt idx="1048">
                  <c:v>33.904000000000003</c:v>
                </c:pt>
                <c:pt idx="1049">
                  <c:v>33.933</c:v>
                </c:pt>
                <c:pt idx="1050">
                  <c:v>33.962000000000003</c:v>
                </c:pt>
                <c:pt idx="1051">
                  <c:v>33.991</c:v>
                </c:pt>
                <c:pt idx="1052">
                  <c:v>34.020000000000003</c:v>
                </c:pt>
                <c:pt idx="1053">
                  <c:v>34.048999999999999</c:v>
                </c:pt>
                <c:pt idx="1054">
                  <c:v>34.078000000000003</c:v>
                </c:pt>
                <c:pt idx="1055">
                  <c:v>34.106999999999999</c:v>
                </c:pt>
                <c:pt idx="1056">
                  <c:v>34.136000000000003</c:v>
                </c:pt>
                <c:pt idx="1057">
                  <c:v>34.164999999999999</c:v>
                </c:pt>
                <c:pt idx="1058">
                  <c:v>34.194000000000003</c:v>
                </c:pt>
                <c:pt idx="1059">
                  <c:v>34.222999999999999</c:v>
                </c:pt>
                <c:pt idx="1060">
                  <c:v>34.252000000000002</c:v>
                </c:pt>
                <c:pt idx="1061">
                  <c:v>34.280999999999999</c:v>
                </c:pt>
                <c:pt idx="1062">
                  <c:v>34.31</c:v>
                </c:pt>
                <c:pt idx="1063">
                  <c:v>34.338999999999999</c:v>
                </c:pt>
                <c:pt idx="1064">
                  <c:v>34.368000000000002</c:v>
                </c:pt>
                <c:pt idx="1065">
                  <c:v>34.396999999999998</c:v>
                </c:pt>
              </c:numCache>
            </c:numRef>
          </c:xVal>
          <c:yVal>
            <c:numRef>
              <c:f>'XRF selectie'!$AC:$AC</c:f>
              <c:numCache>
                <c:formatCode>General</c:formatCode>
                <c:ptCount val="1048576"/>
                <c:pt idx="0">
                  <c:v>0</c:v>
                </c:pt>
                <c:pt idx="2">
                  <c:v>-5.2738589465009715</c:v>
                </c:pt>
                <c:pt idx="3">
                  <c:v>-5.2474684061572221</c:v>
                </c:pt>
                <c:pt idx="4">
                  <c:v>-5.2359226503828653</c:v>
                </c:pt>
                <c:pt idx="5">
                  <c:v>-5.2601973348414068</c:v>
                </c:pt>
                <c:pt idx="6">
                  <c:v>-5.3267763854838472</c:v>
                </c:pt>
                <c:pt idx="7">
                  <c:v>-5.3547095424583242</c:v>
                </c:pt>
                <c:pt idx="8">
                  <c:v>-5.3646326385703587</c:v>
                </c:pt>
                <c:pt idx="9">
                  <c:v>-5.3311195482366562</c:v>
                </c:pt>
                <c:pt idx="10">
                  <c:v>-5.3068955971232956</c:v>
                </c:pt>
                <c:pt idx="11">
                  <c:v>-5.283393575267624</c:v>
                </c:pt>
                <c:pt idx="12">
                  <c:v>-5.2650504941166734</c:v>
                </c:pt>
                <c:pt idx="13">
                  <c:v>-5.2428304162555515</c:v>
                </c:pt>
                <c:pt idx="14">
                  <c:v>-5.2344503451106634</c:v>
                </c:pt>
                <c:pt idx="15">
                  <c:v>-5.2531935830254435</c:v>
                </c:pt>
                <c:pt idx="16">
                  <c:v>-5.3176332955149936</c:v>
                </c:pt>
                <c:pt idx="17">
                  <c:v>-5.3502581994582412</c:v>
                </c:pt>
                <c:pt idx="18">
                  <c:v>-5.3659795603052487</c:v>
                </c:pt>
                <c:pt idx="19">
                  <c:v>-5.3692314935955565</c:v>
                </c:pt>
                <c:pt idx="20">
                  <c:v>-5.3784195416762435</c:v>
                </c:pt>
                <c:pt idx="21">
                  <c:v>-5.3970438067940991</c:v>
                </c:pt>
                <c:pt idx="22">
                  <c:v>-5.4030017877294263</c:v>
                </c:pt>
                <c:pt idx="23">
                  <c:v>-5.4088153287031124</c:v>
                </c:pt>
                <c:pt idx="24">
                  <c:v>-5.4049343924739857</c:v>
                </c:pt>
                <c:pt idx="25">
                  <c:v>-5.4106428190488076</c:v>
                </c:pt>
                <c:pt idx="26">
                  <c:v>-5.4174547372695523</c:v>
                </c:pt>
                <c:pt idx="27">
                  <c:v>-5.4333425886106506</c:v>
                </c:pt>
                <c:pt idx="28">
                  <c:v>-5.4116599627842419</c:v>
                </c:pt>
                <c:pt idx="29">
                  <c:v>-5.3900528420371598</c:v>
                </c:pt>
                <c:pt idx="30">
                  <c:v>-5.3686118732256709</c:v>
                </c:pt>
                <c:pt idx="31">
                  <c:v>-5.3965762835421174</c:v>
                </c:pt>
                <c:pt idx="32">
                  <c:v>-5.4195687943322355</c:v>
                </c:pt>
                <c:pt idx="33">
                  <c:v>-5.4364713588364397</c:v>
                </c:pt>
                <c:pt idx="34">
                  <c:v>-5.4149812201657062</c:v>
                </c:pt>
                <c:pt idx="35">
                  <c:v>-5.3979787140123667</c:v>
                </c:pt>
                <c:pt idx="36">
                  <c:v>-5.4083158354622158</c:v>
                </c:pt>
                <c:pt idx="37">
                  <c:v>-5.4165409350432894</c:v>
                </c:pt>
                <c:pt idx="38">
                  <c:v>-5.4275813601571983</c:v>
                </c:pt>
                <c:pt idx="39">
                  <c:v>-5.4074536005491822</c:v>
                </c:pt>
                <c:pt idx="40">
                  <c:v>-5.3900905685404581</c:v>
                </c:pt>
                <c:pt idx="41">
                  <c:v>-5.3809974383432033</c:v>
                </c:pt>
                <c:pt idx="42">
                  <c:v>-5.3791490468617065</c:v>
                </c:pt>
                <c:pt idx="43">
                  <c:v>-5.3890653643808166</c:v>
                </c:pt>
                <c:pt idx="44">
                  <c:v>-5.3902834412468446</c:v>
                </c:pt>
                <c:pt idx="45">
                  <c:v>-5.3783314901034247</c:v>
                </c:pt>
                <c:pt idx="46">
                  <c:v>-5.3888368678219178</c:v>
                </c:pt>
                <c:pt idx="47">
                  <c:v>-5.3877777864190621</c:v>
                </c:pt>
                <c:pt idx="48">
                  <c:v>-5.3823806813381383</c:v>
                </c:pt>
                <c:pt idx="49">
                  <c:v>-5.3572300074645129</c:v>
                </c:pt>
                <c:pt idx="50">
                  <c:v>-5.3386125006148033</c:v>
                </c:pt>
                <c:pt idx="51">
                  <c:v>-5.3344493987473909</c:v>
                </c:pt>
                <c:pt idx="52">
                  <c:v>-5.3148710680693094</c:v>
                </c:pt>
                <c:pt idx="53">
                  <c:v>-5.3041658693446365</c:v>
                </c:pt>
                <c:pt idx="54">
                  <c:v>-5.3380484609865979</c:v>
                </c:pt>
                <c:pt idx="55">
                  <c:v>-5.3738771435530879</c:v>
                </c:pt>
                <c:pt idx="56">
                  <c:v>-5.3908432804777533</c:v>
                </c:pt>
                <c:pt idx="57">
                  <c:v>-5.3916659638212892</c:v>
                </c:pt>
                <c:pt idx="58">
                  <c:v>-5.3915779560135455</c:v>
                </c:pt>
                <c:pt idx="59">
                  <c:v>-5.4292889436317315</c:v>
                </c:pt>
                <c:pt idx="60">
                  <c:v>-5.4082218688736807</c:v>
                </c:pt>
                <c:pt idx="61">
                  <c:v>-5.390611872681994</c:v>
                </c:pt>
                <c:pt idx="62">
                  <c:v>-5.3868556313108558</c:v>
                </c:pt>
                <c:pt idx="63">
                  <c:v>-5.4128709692850547</c:v>
                </c:pt>
                <c:pt idx="64">
                  <c:v>-5.4402144059552846</c:v>
                </c:pt>
                <c:pt idx="65">
                  <c:v>-5.4194276828864334</c:v>
                </c:pt>
                <c:pt idx="66">
                  <c:v>-5.4189571796107439</c:v>
                </c:pt>
                <c:pt idx="67">
                  <c:v>-5.4259187033445393</c:v>
                </c:pt>
                <c:pt idx="68">
                  <c:v>-5.4305278029138355</c:v>
                </c:pt>
                <c:pt idx="69">
                  <c:v>-5.4216358060925671</c:v>
                </c:pt>
                <c:pt idx="70">
                  <c:v>-5.4110264740253688</c:v>
                </c:pt>
                <c:pt idx="71">
                  <c:v>-5.4202540361060727</c:v>
                </c:pt>
                <c:pt idx="72">
                  <c:v>-5.4447570364378963</c:v>
                </c:pt>
                <c:pt idx="73">
                  <c:v>-5.4606662859661244</c:v>
                </c:pt>
                <c:pt idx="74">
                  <c:v>-5.4298745173226877</c:v>
                </c:pt>
                <c:pt idx="75">
                  <c:v>-5.3814665623262883</c:v>
                </c:pt>
                <c:pt idx="76">
                  <c:v>-5.3682051682806291</c:v>
                </c:pt>
                <c:pt idx="77">
                  <c:v>-5.4006661759768972</c:v>
                </c:pt>
                <c:pt idx="78">
                  <c:v>-5.4284800811842695</c:v>
                </c:pt>
                <c:pt idx="79">
                  <c:v>-5.4205288530787028</c:v>
                </c:pt>
                <c:pt idx="80">
                  <c:v>-5.3974168563049894</c:v>
                </c:pt>
                <c:pt idx="81">
                  <c:v>-5.3776569795078872</c:v>
                </c:pt>
                <c:pt idx="82">
                  <c:v>-5.360512353694971</c:v>
                </c:pt>
                <c:pt idx="83">
                  <c:v>-5.3337320380877644</c:v>
                </c:pt>
                <c:pt idx="84">
                  <c:v>-5.3329204633688825</c:v>
                </c:pt>
                <c:pt idx="85">
                  <c:v>-5.3444531646890736</c:v>
                </c:pt>
                <c:pt idx="86">
                  <c:v>-5.3804155729904188</c:v>
                </c:pt>
                <c:pt idx="87">
                  <c:v>-5.3955575071709774</c:v>
                </c:pt>
                <c:pt idx="88">
                  <c:v>-5.4088534322421369</c:v>
                </c:pt>
                <c:pt idx="89">
                  <c:v>-5.3944393280883505</c:v>
                </c:pt>
                <c:pt idx="90">
                  <c:v>-5.3751488346558043</c:v>
                </c:pt>
                <c:pt idx="91">
                  <c:v>-5.3650931900365633</c:v>
                </c:pt>
                <c:pt idx="92">
                  <c:v>-5.3482443972773979</c:v>
                </c:pt>
                <c:pt idx="93">
                  <c:v>-5.3473143731950614</c:v>
                </c:pt>
                <c:pt idx="94">
                  <c:v>-5.344735105807338</c:v>
                </c:pt>
                <c:pt idx="95">
                  <c:v>-5.3617674742219599</c:v>
                </c:pt>
                <c:pt idx="96">
                  <c:v>-5.3777246871290219</c:v>
                </c:pt>
                <c:pt idx="97">
                  <c:v>-5.3660988438319039</c:v>
                </c:pt>
                <c:pt idx="98">
                  <c:v>-5.3621548774982015</c:v>
                </c:pt>
                <c:pt idx="99">
                  <c:v>-5.3546472147263087</c:v>
                </c:pt>
                <c:pt idx="100">
                  <c:v>-5.3814447403597869</c:v>
                </c:pt>
                <c:pt idx="101">
                  <c:v>-5.3857730397067201</c:v>
                </c:pt>
                <c:pt idx="102">
                  <c:v>-5.3946730546655948</c:v>
                </c:pt>
                <c:pt idx="103">
                  <c:v>-5.3879955872414156</c:v>
                </c:pt>
                <c:pt idx="104">
                  <c:v>-5.4232444125320995</c:v>
                </c:pt>
                <c:pt idx="105">
                  <c:v>-5.4274779762526961</c:v>
                </c:pt>
                <c:pt idx="106">
                  <c:v>-5.4423294151826234</c:v>
                </c:pt>
                <c:pt idx="107">
                  <c:v>-5.4325680814369006</c:v>
                </c:pt>
                <c:pt idx="108">
                  <c:v>-5.4356223138232176</c:v>
                </c:pt>
                <c:pt idx="109">
                  <c:v>-5.43955812306951</c:v>
                </c:pt>
                <c:pt idx="110">
                  <c:v>-5.4566787808979882</c:v>
                </c:pt>
                <c:pt idx="111">
                  <c:v>-5.4412466680047915</c:v>
                </c:pt>
                <c:pt idx="112">
                  <c:v>-5.4500243585727013</c:v>
                </c:pt>
                <c:pt idx="113">
                  <c:v>-5.4567535414293857</c:v>
                </c:pt>
                <c:pt idx="114">
                  <c:v>-5.4722285575118379</c:v>
                </c:pt>
                <c:pt idx="115">
                  <c:v>-5.4786992574204332</c:v>
                </c:pt>
                <c:pt idx="116">
                  <c:v>-5.4870642698342538</c:v>
                </c:pt>
                <c:pt idx="117">
                  <c:v>-5.4956753400683667</c:v>
                </c:pt>
                <c:pt idx="118">
                  <c:v>-5.4771596116009702</c:v>
                </c:pt>
                <c:pt idx="119">
                  <c:v>-5.4610155788122405</c:v>
                </c:pt>
                <c:pt idx="120">
                  <c:v>-5.4677768021652922</c:v>
                </c:pt>
                <c:pt idx="121">
                  <c:v>-5.4565728864255192</c:v>
                </c:pt>
                <c:pt idx="122">
                  <c:v>-5.4358408301907106</c:v>
                </c:pt>
                <c:pt idx="123">
                  <c:v>-5.4234642716402348</c:v>
                </c:pt>
                <c:pt idx="124">
                  <c:v>-5.4287125744678635</c:v>
                </c:pt>
                <c:pt idx="125">
                  <c:v>-5.4325156207035015</c:v>
                </c:pt>
                <c:pt idx="126">
                  <c:v>-5.4311140173608807</c:v>
                </c:pt>
                <c:pt idx="127">
                  <c:v>-5.4252798334860843</c:v>
                </c:pt>
                <c:pt idx="128">
                  <c:v>-5.4211451256266558</c:v>
                </c:pt>
                <c:pt idx="129">
                  <c:v>-5.425501411977379</c:v>
                </c:pt>
                <c:pt idx="130">
                  <c:v>-5.4237492974025612</c:v>
                </c:pt>
                <c:pt idx="131">
                  <c:v>-5.4083659541725204</c:v>
                </c:pt>
                <c:pt idx="132">
                  <c:v>-5.414401954969347</c:v>
                </c:pt>
                <c:pt idx="133">
                  <c:v>-5.4316807252895787</c:v>
                </c:pt>
                <c:pt idx="134">
                  <c:v>-5.4603967881148208</c:v>
                </c:pt>
                <c:pt idx="135">
                  <c:v>-5.4581958477889048</c:v>
                </c:pt>
                <c:pt idx="136">
                  <c:v>-5.4548414828597531</c:v>
                </c:pt>
                <c:pt idx="137">
                  <c:v>-5.4641647965155267</c:v>
                </c:pt>
                <c:pt idx="138">
                  <c:v>-5.4718737832519482</c:v>
                </c:pt>
                <c:pt idx="139">
                  <c:v>-5.4915638975766035</c:v>
                </c:pt>
                <c:pt idx="140">
                  <c:v>-5.4993115089970095</c:v>
                </c:pt>
                <c:pt idx="141">
                  <c:v>-5.4953205179779756</c:v>
                </c:pt>
                <c:pt idx="142">
                  <c:v>-5.485411390355555</c:v>
                </c:pt>
                <c:pt idx="143">
                  <c:v>-5.4757986340163924</c:v>
                </c:pt>
                <c:pt idx="144">
                  <c:v>-5.4715577451979094</c:v>
                </c:pt>
                <c:pt idx="145">
                  <c:v>-5.4738259284275985</c:v>
                </c:pt>
                <c:pt idx="146">
                  <c:v>-5.4909464951782221</c:v>
                </c:pt>
                <c:pt idx="147">
                  <c:v>-5.5027156465611853</c:v>
                </c:pt>
                <c:pt idx="148">
                  <c:v>-5.4901404319794951</c:v>
                </c:pt>
                <c:pt idx="149">
                  <c:v>-5.4606128416324937</c:v>
                </c:pt>
                <c:pt idx="150">
                  <c:v>-5.442996490514826</c:v>
                </c:pt>
                <c:pt idx="151">
                  <c:v>-5.4384583901751924</c:v>
                </c:pt>
                <c:pt idx="152">
                  <c:v>-5.4260547818712537</c:v>
                </c:pt>
                <c:pt idx="153">
                  <c:v>-5.4390668714543295</c:v>
                </c:pt>
                <c:pt idx="154">
                  <c:v>-5.4543740970910664</c:v>
                </c:pt>
                <c:pt idx="155">
                  <c:v>-5.4747364178185549</c:v>
                </c:pt>
                <c:pt idx="156">
                  <c:v>-5.4673556828067644</c:v>
                </c:pt>
                <c:pt idx="157">
                  <c:v>-5.456258162639454</c:v>
                </c:pt>
                <c:pt idx="158">
                  <c:v>-5.4501454518250361</c:v>
                </c:pt>
                <c:pt idx="159">
                  <c:v>-5.4556420071023588</c:v>
                </c:pt>
                <c:pt idx="160">
                  <c:v>-5.4421431166778369</c:v>
                </c:pt>
                <c:pt idx="161">
                  <c:v>-5.4466164118508873</c:v>
                </c:pt>
                <c:pt idx="162">
                  <c:v>-5.4468959529444092</c:v>
                </c:pt>
                <c:pt idx="163">
                  <c:v>-5.4823345470842773</c:v>
                </c:pt>
                <c:pt idx="164">
                  <c:v>-5.452226008365904</c:v>
                </c:pt>
                <c:pt idx="165">
                  <c:v>-5.4435752381437679</c:v>
                </c:pt>
                <c:pt idx="166">
                  <c:v>-5.4133444312705308</c:v>
                </c:pt>
                <c:pt idx="167">
                  <c:v>-5.4346668054054854</c:v>
                </c:pt>
                <c:pt idx="168">
                  <c:v>-5.4189303886784517</c:v>
                </c:pt>
                <c:pt idx="169">
                  <c:v>-5.419158630642702</c:v>
                </c:pt>
                <c:pt idx="170">
                  <c:v>-5.4175647524859682</c:v>
                </c:pt>
                <c:pt idx="171">
                  <c:v>-5.4193126453623135</c:v>
                </c:pt>
                <c:pt idx="172">
                  <c:v>-5.3985384145304387</c:v>
                </c:pt>
                <c:pt idx="173">
                  <c:v>-5.4095536125448094</c:v>
                </c:pt>
                <c:pt idx="174">
                  <c:v>-5.4257921902546693</c:v>
                </c:pt>
                <c:pt idx="175">
                  <c:v>-5.4493780786456369</c:v>
                </c:pt>
                <c:pt idx="176">
                  <c:v>-5.4337594635291353</c:v>
                </c:pt>
                <c:pt idx="177">
                  <c:v>-5.4265741409695236</c:v>
                </c:pt>
                <c:pt idx="178">
                  <c:v>-5.4235587435086723</c:v>
                </c:pt>
                <c:pt idx="179">
                  <c:v>-5.4432209614896623</c:v>
                </c:pt>
                <c:pt idx="180">
                  <c:v>-5.4430018471966051</c:v>
                </c:pt>
                <c:pt idx="181">
                  <c:v>-5.4566065517194282</c:v>
                </c:pt>
                <c:pt idx="182">
                  <c:v>-5.4535911699291297</c:v>
                </c:pt>
                <c:pt idx="183">
                  <c:v>-5.4416497522135954</c:v>
                </c:pt>
                <c:pt idx="184">
                  <c:v>-5.4299852694475383</c:v>
                </c:pt>
                <c:pt idx="185">
                  <c:v>-5.440166146128032</c:v>
                </c:pt>
                <c:pt idx="186">
                  <c:v>-5.4460465664008035</c:v>
                </c:pt>
                <c:pt idx="187">
                  <c:v>-5.4284136647922638</c:v>
                </c:pt>
                <c:pt idx="188">
                  <c:v>-5.4003402898431112</c:v>
                </c:pt>
                <c:pt idx="189">
                  <c:v>-5.3892700874611608</c:v>
                </c:pt>
                <c:pt idx="190">
                  <c:v>-5.4041465832726416</c:v>
                </c:pt>
                <c:pt idx="191">
                  <c:v>-5.3912475766336776</c:v>
                </c:pt>
                <c:pt idx="192">
                  <c:v>-5.4083347910419119</c:v>
                </c:pt>
                <c:pt idx="193">
                  <c:v>-5.3831122153981497</c:v>
                </c:pt>
                <c:pt idx="194">
                  <c:v>-5.4033599263032848</c:v>
                </c:pt>
                <c:pt idx="195">
                  <c:v>-5.4239545803084779</c:v>
                </c:pt>
                <c:pt idx="196">
                  <c:v>-5.4596945292132375</c:v>
                </c:pt>
                <c:pt idx="197">
                  <c:v>-5.4669786914902794</c:v>
                </c:pt>
                <c:pt idx="198">
                  <c:v>-5.4740458454951302</c:v>
                </c:pt>
                <c:pt idx="199">
                  <c:v>-5.5167322286273475</c:v>
                </c:pt>
                <c:pt idx="200">
                  <c:v>-5.5220556248240849</c:v>
                </c:pt>
                <c:pt idx="201">
                  <c:v>-5.5248622046730267</c:v>
                </c:pt>
                <c:pt idx="202">
                  <c:v>-5.4887012639960808</c:v>
                </c:pt>
                <c:pt idx="203">
                  <c:v>-5.4971013341130295</c:v>
                </c:pt>
                <c:pt idx="204">
                  <c:v>-5.4887063811850041</c:v>
                </c:pt>
                <c:pt idx="205">
                  <c:v>-5.4939561758650939</c:v>
                </c:pt>
                <c:pt idx="206">
                  <c:v>-5.4879834131963037</c:v>
                </c:pt>
                <c:pt idx="207">
                  <c:v>-5.5131753441496381</c:v>
                </c:pt>
                <c:pt idx="208">
                  <c:v>-5.5142592343659134</c:v>
                </c:pt>
                <c:pt idx="209">
                  <c:v>-5.4991112282876111</c:v>
                </c:pt>
                <c:pt idx="210">
                  <c:v>-5.4826277551553986</c:v>
                </c:pt>
                <c:pt idx="211">
                  <c:v>-5.4981599698846226</c:v>
                </c:pt>
                <c:pt idx="212">
                  <c:v>-5.5241492959576872</c:v>
                </c:pt>
                <c:pt idx="213">
                  <c:v>-5.5423361251096841</c:v>
                </c:pt>
                <c:pt idx="214">
                  <c:v>-5.5323463579581089</c:v>
                </c:pt>
                <c:pt idx="215">
                  <c:v>-5.5316739843678802</c:v>
                </c:pt>
                <c:pt idx="216">
                  <c:v>-5.4977115728498438</c:v>
                </c:pt>
                <c:pt idx="217">
                  <c:v>-5.4907119291006952</c:v>
                </c:pt>
                <c:pt idx="218">
                  <c:v>-5.5219208119970959</c:v>
                </c:pt>
                <c:pt idx="219">
                  <c:v>-5.5428294422171618</c:v>
                </c:pt>
                <c:pt idx="220">
                  <c:v>-5.5407515491890207</c:v>
                </c:pt>
                <c:pt idx="221">
                  <c:v>-5.5240005883692094</c:v>
                </c:pt>
                <c:pt idx="222">
                  <c:v>-5.5178603636762604</c:v>
                </c:pt>
                <c:pt idx="223">
                  <c:v>-5.5351376418025637</c:v>
                </c:pt>
                <c:pt idx="224">
                  <c:v>-5.5260705237105663</c:v>
                </c:pt>
                <c:pt idx="225">
                  <c:v>-5.5387110624074554</c:v>
                </c:pt>
                <c:pt idx="226">
                  <c:v>-5.5355641903819466</c:v>
                </c:pt>
                <c:pt idx="227">
                  <c:v>-5.5245506126898514</c:v>
                </c:pt>
                <c:pt idx="228">
                  <c:v>-5.5098686333541993</c:v>
                </c:pt>
                <c:pt idx="229">
                  <c:v>-5.4976908475726587</c:v>
                </c:pt>
                <c:pt idx="230">
                  <c:v>-5.494660446090478</c:v>
                </c:pt>
                <c:pt idx="231">
                  <c:v>-5.5076154889720996</c:v>
                </c:pt>
                <c:pt idx="232">
                  <c:v>-5.5242996222524789</c:v>
                </c:pt>
                <c:pt idx="233">
                  <c:v>-5.5534336307442658</c:v>
                </c:pt>
                <c:pt idx="234">
                  <c:v>-5.556507080254085</c:v>
                </c:pt>
                <c:pt idx="235">
                  <c:v>-5.5574279788974073</c:v>
                </c:pt>
                <c:pt idx="236">
                  <c:v>-5.5436043107430182</c:v>
                </c:pt>
                <c:pt idx="237">
                  <c:v>-5.5148523072627809</c:v>
                </c:pt>
                <c:pt idx="238">
                  <c:v>-5.517693241672748</c:v>
                </c:pt>
                <c:pt idx="239">
                  <c:v>-5.5183848558746318</c:v>
                </c:pt>
                <c:pt idx="240">
                  <c:v>-5.5608170433943327</c:v>
                </c:pt>
                <c:pt idx="241">
                  <c:v>-5.5263594146678665</c:v>
                </c:pt>
                <c:pt idx="242">
                  <c:v>-5.5310715801536974</c:v>
                </c:pt>
                <c:pt idx="243">
                  <c:v>-5.5086066973385917</c:v>
                </c:pt>
                <c:pt idx="244">
                  <c:v>-5.5141968785584057</c:v>
                </c:pt>
                <c:pt idx="245">
                  <c:v>-5.5159381044937641</c:v>
                </c:pt>
                <c:pt idx="246">
                  <c:v>-5.5254775026405154</c:v>
                </c:pt>
                <c:pt idx="247">
                  <c:v>-5.5527185020624996</c:v>
                </c:pt>
                <c:pt idx="248">
                  <c:v>-5.5498062022221832</c:v>
                </c:pt>
                <c:pt idx="249">
                  <c:v>-5.5392086792967348</c:v>
                </c:pt>
                <c:pt idx="250">
                  <c:v>-5.5475055361260184</c:v>
                </c:pt>
                <c:pt idx="251">
                  <c:v>-5.5303322001292594</c:v>
                </c:pt>
                <c:pt idx="252">
                  <c:v>-5.5179606825749135</c:v>
                </c:pt>
                <c:pt idx="253">
                  <c:v>-5.5002573649298405</c:v>
                </c:pt>
                <c:pt idx="254">
                  <c:v>-5.4955351732814188</c:v>
                </c:pt>
                <c:pt idx="255">
                  <c:v>-5.4821389966241156</c:v>
                </c:pt>
                <c:pt idx="256">
                  <c:v>-5.4788136246856594</c:v>
                </c:pt>
                <c:pt idx="257">
                  <c:v>-5.4837500844655152</c:v>
                </c:pt>
                <c:pt idx="258">
                  <c:v>-5.5065075803371615</c:v>
                </c:pt>
                <c:pt idx="259">
                  <c:v>-5.4879893135157376</c:v>
                </c:pt>
                <c:pt idx="260">
                  <c:v>-5.4832267373722594</c:v>
                </c:pt>
                <c:pt idx="261">
                  <c:v>-5.4776214305564084</c:v>
                </c:pt>
                <c:pt idx="262">
                  <c:v>-5.513598034022146</c:v>
                </c:pt>
                <c:pt idx="263">
                  <c:v>-5.5243187863311354</c:v>
                </c:pt>
                <c:pt idx="264">
                  <c:v>-5.5463235698749829</c:v>
                </c:pt>
                <c:pt idx="265">
                  <c:v>-5.5314523873463353</c:v>
                </c:pt>
                <c:pt idx="266">
                  <c:v>-5.52712252081038</c:v>
                </c:pt>
                <c:pt idx="267">
                  <c:v>-5.5228338697674788</c:v>
                </c:pt>
                <c:pt idx="268">
                  <c:v>-5.5393795345616974</c:v>
                </c:pt>
                <c:pt idx="269">
                  <c:v>-5.5687254200286098</c:v>
                </c:pt>
                <c:pt idx="270">
                  <c:v>-5.5480592253844057</c:v>
                </c:pt>
                <c:pt idx="271">
                  <c:v>-5.5183280503730172</c:v>
                </c:pt>
                <c:pt idx="272">
                  <c:v>-5.5056512341523627</c:v>
                </c:pt>
                <c:pt idx="273">
                  <c:v>-5.5456598421144596</c:v>
                </c:pt>
                <c:pt idx="274">
                  <c:v>-5.5892674322148252</c:v>
                </c:pt>
                <c:pt idx="275">
                  <c:v>-5.6011531770513487</c:v>
                </c:pt>
                <c:pt idx="276">
                  <c:v>-5.5942191575812181</c:v>
                </c:pt>
                <c:pt idx="277">
                  <c:v>-5.5726083016561736</c:v>
                </c:pt>
                <c:pt idx="278">
                  <c:v>-5.5579796319201975</c:v>
                </c:pt>
                <c:pt idx="279">
                  <c:v>-5.5623710377272531</c:v>
                </c:pt>
                <c:pt idx="280">
                  <c:v>-5.5633340349383325</c:v>
                </c:pt>
                <c:pt idx="281">
                  <c:v>-5.5703918947236843</c:v>
                </c:pt>
                <c:pt idx="282">
                  <c:v>-5.5565871061558312</c:v>
                </c:pt>
                <c:pt idx="283">
                  <c:v>-5.5434594538516597</c:v>
                </c:pt>
                <c:pt idx="284">
                  <c:v>-5.5086165422542459</c:v>
                </c:pt>
                <c:pt idx="285">
                  <c:v>-5.5146041782940678</c:v>
                </c:pt>
                <c:pt idx="286">
                  <c:v>-5.5458036339449306</c:v>
                </c:pt>
                <c:pt idx="287">
                  <c:v>-5.5960612351206889</c:v>
                </c:pt>
                <c:pt idx="288">
                  <c:v>-5.5905194297670038</c:v>
                </c:pt>
                <c:pt idx="289">
                  <c:v>-5.5691571559472832</c:v>
                </c:pt>
                <c:pt idx="290">
                  <c:v>-5.535240593377341</c:v>
                </c:pt>
                <c:pt idx="291">
                  <c:v>-5.5180721614282531</c:v>
                </c:pt>
                <c:pt idx="292">
                  <c:v>-5.535928485500059</c:v>
                </c:pt>
                <c:pt idx="293">
                  <c:v>-5.5626804126090406</c:v>
                </c:pt>
                <c:pt idx="294">
                  <c:v>-5.5426535108276154</c:v>
                </c:pt>
                <c:pt idx="295">
                  <c:v>-5.5062876401263852</c:v>
                </c:pt>
                <c:pt idx="296">
                  <c:v>-5.4921913959305177</c:v>
                </c:pt>
                <c:pt idx="297">
                  <c:v>-5.5010604897571573</c:v>
                </c:pt>
                <c:pt idx="298">
                  <c:v>-5.4886410796324698</c:v>
                </c:pt>
                <c:pt idx="299">
                  <c:v>-5.440677475683148</c:v>
                </c:pt>
                <c:pt idx="300">
                  <c:v>-5.4225252510076594</c:v>
                </c:pt>
                <c:pt idx="301">
                  <c:v>-5.4092506867584049</c:v>
                </c:pt>
                <c:pt idx="302">
                  <c:v>-5.4160186997514144</c:v>
                </c:pt>
                <c:pt idx="303">
                  <c:v>-5.4107274353151977</c:v>
                </c:pt>
                <c:pt idx="304">
                  <c:v>-5.4231699687505035</c:v>
                </c:pt>
                <c:pt idx="305">
                  <c:v>-5.4180428652992267</c:v>
                </c:pt>
                <c:pt idx="306">
                  <c:v>-5.4222998832099059</c:v>
                </c:pt>
                <c:pt idx="307">
                  <c:v>-5.4087948410034832</c:v>
                </c:pt>
                <c:pt idx="308">
                  <c:v>-5.4114482159583064</c:v>
                </c:pt>
                <c:pt idx="309">
                  <c:v>-5.3877082716002436</c:v>
                </c:pt>
                <c:pt idx="310">
                  <c:v>-5.3947373876809683</c:v>
                </c:pt>
                <c:pt idx="311">
                  <c:v>-5.3692965835622779</c:v>
                </c:pt>
                <c:pt idx="312">
                  <c:v>-5.3888246916260245</c:v>
                </c:pt>
                <c:pt idx="313">
                  <c:v>-5.376096511085894</c:v>
                </c:pt>
                <c:pt idx="314">
                  <c:v>-5.3954571804419578</c:v>
                </c:pt>
                <c:pt idx="315">
                  <c:v>-5.3898755751728826</c:v>
                </c:pt>
                <c:pt idx="316">
                  <c:v>-5.4060301867296614</c:v>
                </c:pt>
                <c:pt idx="317">
                  <c:v>-5.3921172890587927</c:v>
                </c:pt>
                <c:pt idx="318">
                  <c:v>-5.3933848549359551</c:v>
                </c:pt>
                <c:pt idx="319">
                  <c:v>-5.3687211394749097</c:v>
                </c:pt>
                <c:pt idx="320">
                  <c:v>-5.3867760556932227</c:v>
                </c:pt>
                <c:pt idx="321">
                  <c:v>-5.3941148704748088</c:v>
                </c:pt>
                <c:pt idx="322">
                  <c:v>-5.3956830462105829</c:v>
                </c:pt>
                <c:pt idx="323">
                  <c:v>-5.3977478683685183</c:v>
                </c:pt>
                <c:pt idx="324">
                  <c:v>-5.3961032454902309</c:v>
                </c:pt>
                <c:pt idx="325">
                  <c:v>-5.4042757320707109</c:v>
                </c:pt>
                <c:pt idx="326">
                  <c:v>-5.4180245166317009</c:v>
                </c:pt>
                <c:pt idx="327">
                  <c:v>-5.4269314406143012</c:v>
                </c:pt>
                <c:pt idx="328">
                  <c:v>-5.4180098289864747</c:v>
                </c:pt>
                <c:pt idx="329">
                  <c:v>-5.3965244253803952</c:v>
                </c:pt>
                <c:pt idx="330">
                  <c:v>-5.3772790118503879</c:v>
                </c:pt>
                <c:pt idx="331">
                  <c:v>-5.3913839635010303</c:v>
                </c:pt>
                <c:pt idx="332">
                  <c:v>-5.4005789209787958</c:v>
                </c:pt>
                <c:pt idx="333">
                  <c:v>-5.409259318387627</c:v>
                </c:pt>
                <c:pt idx="334">
                  <c:v>-5.4081773828349879</c:v>
                </c:pt>
                <c:pt idx="335">
                  <c:v>-5.4054767996080955</c:v>
                </c:pt>
                <c:pt idx="336">
                  <c:v>-5.4051528649218383</c:v>
                </c:pt>
                <c:pt idx="337">
                  <c:v>-5.4118645983311673</c:v>
                </c:pt>
                <c:pt idx="338">
                  <c:v>-5.3785727874021276</c:v>
                </c:pt>
                <c:pt idx="339">
                  <c:v>-5.3724715798877121</c:v>
                </c:pt>
                <c:pt idx="340">
                  <c:v>-5.3610676773223132</c:v>
                </c:pt>
                <c:pt idx="341">
                  <c:v>-5.3735726949588623</c:v>
                </c:pt>
                <c:pt idx="342">
                  <c:v>-5.3828763304074414</c:v>
                </c:pt>
                <c:pt idx="343">
                  <c:v>-5.3904725341228215</c:v>
                </c:pt>
                <c:pt idx="344">
                  <c:v>-5.4102295392955826</c:v>
                </c:pt>
                <c:pt idx="345">
                  <c:v>-5.3909722971644456</c:v>
                </c:pt>
                <c:pt idx="346">
                  <c:v>-5.3899074126201816</c:v>
                </c:pt>
                <c:pt idx="347">
                  <c:v>-5.3803792040490253</c:v>
                </c:pt>
                <c:pt idx="348">
                  <c:v>-5.3741664700035399</c:v>
                </c:pt>
                <c:pt idx="349">
                  <c:v>-5.3569094906944992</c:v>
                </c:pt>
                <c:pt idx="350">
                  <c:v>-5.3590570392123729</c:v>
                </c:pt>
                <c:pt idx="351">
                  <c:v>-5.3711787306045666</c:v>
                </c:pt>
                <c:pt idx="352">
                  <c:v>-5.3904724652860878</c:v>
                </c:pt>
                <c:pt idx="353">
                  <c:v>-5.3931865449487946</c:v>
                </c:pt>
                <c:pt idx="354">
                  <c:v>-5.4006031146758389</c:v>
                </c:pt>
                <c:pt idx="355">
                  <c:v>-5.3677926992784455</c:v>
                </c:pt>
                <c:pt idx="356">
                  <c:v>-5.3155818392567191</c:v>
                </c:pt>
                <c:pt idx="357">
                  <c:v>-5.2859198881443099</c:v>
                </c:pt>
                <c:pt idx="358">
                  <c:v>-5.2812234995239429</c:v>
                </c:pt>
                <c:pt idx="359">
                  <c:v>-5.3114810657148377</c:v>
                </c:pt>
                <c:pt idx="360">
                  <c:v>-5.3236797937499167</c:v>
                </c:pt>
                <c:pt idx="361">
                  <c:v>-5.3424634964564151</c:v>
                </c:pt>
                <c:pt idx="362">
                  <c:v>-5.3436279456600841</c:v>
                </c:pt>
                <c:pt idx="363">
                  <c:v>-5.3404693587499779</c:v>
                </c:pt>
                <c:pt idx="364">
                  <c:v>-5.3612830404774767</c:v>
                </c:pt>
                <c:pt idx="365">
                  <c:v>-5.3601470233754513</c:v>
                </c:pt>
                <c:pt idx="366">
                  <c:v>-5.3538584295538696</c:v>
                </c:pt>
                <c:pt idx="367">
                  <c:v>-5.3270623675250706</c:v>
                </c:pt>
                <c:pt idx="368">
                  <c:v>-5.3462876966137571</c:v>
                </c:pt>
                <c:pt idx="369">
                  <c:v>-5.3450788569347365</c:v>
                </c:pt>
                <c:pt idx="370">
                  <c:v>-5.3361824600616972</c:v>
                </c:pt>
                <c:pt idx="371">
                  <c:v>-5.3279893658180582</c:v>
                </c:pt>
                <c:pt idx="372">
                  <c:v>-5.3289631580661423</c:v>
                </c:pt>
                <c:pt idx="373">
                  <c:v>-5.3442947502286913</c:v>
                </c:pt>
                <c:pt idx="374">
                  <c:v>-5.3458095056175807</c:v>
                </c:pt>
                <c:pt idx="375">
                  <c:v>-5.3474971803490741</c:v>
                </c:pt>
                <c:pt idx="376">
                  <c:v>-5.370114188188432</c:v>
                </c:pt>
                <c:pt idx="377">
                  <c:v>-5.3661023839447175</c:v>
                </c:pt>
                <c:pt idx="378">
                  <c:v>-5.3695102545777322</c:v>
                </c:pt>
                <c:pt idx="379">
                  <c:v>-5.3443697098067195</c:v>
                </c:pt>
                <c:pt idx="380">
                  <c:v>-5.3429782952342038</c:v>
                </c:pt>
                <c:pt idx="381">
                  <c:v>-5.3331439220552666</c:v>
                </c:pt>
                <c:pt idx="382">
                  <c:v>-5.3217642041117896</c:v>
                </c:pt>
                <c:pt idx="383">
                  <c:v>-5.3162806334707629</c:v>
                </c:pt>
                <c:pt idx="384">
                  <c:v>-5.3309217815783549</c:v>
                </c:pt>
                <c:pt idx="385">
                  <c:v>-5.3550589752006026</c:v>
                </c:pt>
                <c:pt idx="386">
                  <c:v>-5.3572718766841829</c:v>
                </c:pt>
                <c:pt idx="387">
                  <c:v>-5.3359066671154354</c:v>
                </c:pt>
                <c:pt idx="388">
                  <c:v>-5.3029960398916804</c:v>
                </c:pt>
                <c:pt idx="389">
                  <c:v>-5.3047011712802465</c:v>
                </c:pt>
                <c:pt idx="390">
                  <c:v>-5.3117514726694344</c:v>
                </c:pt>
                <c:pt idx="391">
                  <c:v>-5.3188920915060143</c:v>
                </c:pt>
                <c:pt idx="392">
                  <c:v>-5.3090202319719726</c:v>
                </c:pt>
                <c:pt idx="393">
                  <c:v>-5.3583044800900801</c:v>
                </c:pt>
                <c:pt idx="394">
                  <c:v>-5.3652412089612653</c:v>
                </c:pt>
                <c:pt idx="395">
                  <c:v>-5.3640969062740487</c:v>
                </c:pt>
                <c:pt idx="396">
                  <c:v>-5.3065916945138802</c:v>
                </c:pt>
                <c:pt idx="397">
                  <c:v>-5.3044217559371241</c:v>
                </c:pt>
                <c:pt idx="398">
                  <c:v>-5.288471610925118</c:v>
                </c:pt>
                <c:pt idx="399">
                  <c:v>-5.2914525552149927</c:v>
                </c:pt>
                <c:pt idx="400">
                  <c:v>-5.2809572018695023</c:v>
                </c:pt>
                <c:pt idx="401">
                  <c:v>-5.289186026214943</c:v>
                </c:pt>
                <c:pt idx="402">
                  <c:v>-5.26125208649675</c:v>
                </c:pt>
                <c:pt idx="403">
                  <c:v>-5.2637955995655643</c:v>
                </c:pt>
                <c:pt idx="404">
                  <c:v>-5.287691481894413</c:v>
                </c:pt>
                <c:pt idx="405">
                  <c:v>-5.3125092482143854</c:v>
                </c:pt>
                <c:pt idx="406">
                  <c:v>-5.2961412972263604</c:v>
                </c:pt>
                <c:pt idx="407">
                  <c:v>-5.2747080236574133</c:v>
                </c:pt>
                <c:pt idx="408">
                  <c:v>-5.2742541756472399</c:v>
                </c:pt>
                <c:pt idx="409">
                  <c:v>-5.3126526996208039</c:v>
                </c:pt>
                <c:pt idx="410">
                  <c:v>-5.3310634103493859</c:v>
                </c:pt>
                <c:pt idx="411">
                  <c:v>-5.352644392084339</c:v>
                </c:pt>
                <c:pt idx="412">
                  <c:v>-5.3594871852800985</c:v>
                </c:pt>
                <c:pt idx="413">
                  <c:v>-5.354586162089773</c:v>
                </c:pt>
                <c:pt idx="414">
                  <c:v>-5.3416839929152546</c:v>
                </c:pt>
                <c:pt idx="415">
                  <c:v>-5.3295302806011486</c:v>
                </c:pt>
                <c:pt idx="416">
                  <c:v>-5.3230811634853801</c:v>
                </c:pt>
                <c:pt idx="417">
                  <c:v>-5.3244766247597131</c:v>
                </c:pt>
                <c:pt idx="418">
                  <c:v>-5.3125914846494595</c:v>
                </c:pt>
                <c:pt idx="419">
                  <c:v>-5.3372837673967526</c:v>
                </c:pt>
                <c:pt idx="420">
                  <c:v>-5.3572388512585896</c:v>
                </c:pt>
                <c:pt idx="421">
                  <c:v>-5.3663539750907576</c:v>
                </c:pt>
                <c:pt idx="422">
                  <c:v>-5.3806478964725697</c:v>
                </c:pt>
                <c:pt idx="423">
                  <c:v>-5.3776867606355685</c:v>
                </c:pt>
                <c:pt idx="424">
                  <c:v>-5.3756447696808571</c:v>
                </c:pt>
                <c:pt idx="425">
                  <c:v>-5.3631204205741083</c:v>
                </c:pt>
                <c:pt idx="426">
                  <c:v>-5.3624766720994641</c:v>
                </c:pt>
                <c:pt idx="427">
                  <c:v>-5.3602956105626696</c:v>
                </c:pt>
                <c:pt idx="428">
                  <c:v>-5.3523108234809156</c:v>
                </c:pt>
                <c:pt idx="429">
                  <c:v>-5.3448989288061002</c:v>
                </c:pt>
                <c:pt idx="430">
                  <c:v>-5.3488272753652915</c:v>
                </c:pt>
                <c:pt idx="431">
                  <c:v>-5.3548956074697882</c:v>
                </c:pt>
                <c:pt idx="432">
                  <c:v>-5.378561698665945</c:v>
                </c:pt>
                <c:pt idx="433">
                  <c:v>-5.3910273785574292</c:v>
                </c:pt>
                <c:pt idx="434">
                  <c:v>-5.3817200983760953</c:v>
                </c:pt>
                <c:pt idx="435">
                  <c:v>-5.385460357164745</c:v>
                </c:pt>
                <c:pt idx="436">
                  <c:v>-5.3808656155784185</c:v>
                </c:pt>
                <c:pt idx="437">
                  <c:v>-5.3926876390293756</c:v>
                </c:pt>
                <c:pt idx="438">
                  <c:v>-5.3806334300372418</c:v>
                </c:pt>
                <c:pt idx="439">
                  <c:v>-5.3915142537084364</c:v>
                </c:pt>
                <c:pt idx="440">
                  <c:v>-5.38578309250709</c:v>
                </c:pt>
                <c:pt idx="441">
                  <c:v>-5.3903798024576277</c:v>
                </c:pt>
                <c:pt idx="442">
                  <c:v>-5.3969114044857003</c:v>
                </c:pt>
                <c:pt idx="443">
                  <c:v>-5.4126979436327973</c:v>
                </c:pt>
                <c:pt idx="444">
                  <c:v>-5.4190530872391305</c:v>
                </c:pt>
                <c:pt idx="445">
                  <c:v>-5.415772576691297</c:v>
                </c:pt>
                <c:pt idx="446">
                  <c:v>-5.4075550717399388</c:v>
                </c:pt>
                <c:pt idx="447">
                  <c:v>-5.4103554833490781</c:v>
                </c:pt>
                <c:pt idx="448">
                  <c:v>-5.412810369800134</c:v>
                </c:pt>
                <c:pt idx="449">
                  <c:v>-5.4186077930077943</c:v>
                </c:pt>
                <c:pt idx="450">
                  <c:v>-5.3995563305949235</c:v>
                </c:pt>
                <c:pt idx="451">
                  <c:v>-5.3914760435394049</c:v>
                </c:pt>
                <c:pt idx="452">
                  <c:v>-5.3778637767405018</c:v>
                </c:pt>
                <c:pt idx="453">
                  <c:v>-5.3894304239075508</c:v>
                </c:pt>
                <c:pt idx="454">
                  <c:v>-5.3847945964326298</c:v>
                </c:pt>
                <c:pt idx="455">
                  <c:v>-5.3886105325973368</c:v>
                </c:pt>
                <c:pt idx="456">
                  <c:v>-5.3899167504785437</c:v>
                </c:pt>
                <c:pt idx="457">
                  <c:v>-5.3833902238719586</c:v>
                </c:pt>
                <c:pt idx="458">
                  <c:v>-5.3849682127017582</c:v>
                </c:pt>
                <c:pt idx="459">
                  <c:v>-5.3829020158661045</c:v>
                </c:pt>
                <c:pt idx="460">
                  <c:v>-5.3762745144122155</c:v>
                </c:pt>
                <c:pt idx="461">
                  <c:v>-5.3744980659041746</c:v>
                </c:pt>
                <c:pt idx="462">
                  <c:v>-5.36412169433087</c:v>
                </c:pt>
                <c:pt idx="463">
                  <c:v>-5.3631493866351443</c:v>
                </c:pt>
                <c:pt idx="464">
                  <c:v>-5.3513089211172762</c:v>
                </c:pt>
                <c:pt idx="465">
                  <c:v>-5.3527510661647062</c:v>
                </c:pt>
                <c:pt idx="466">
                  <c:v>-5.3634208180348901</c:v>
                </c:pt>
                <c:pt idx="467">
                  <c:v>-5.3625719680977513</c:v>
                </c:pt>
                <c:pt idx="468">
                  <c:v>-5.3405262985967132</c:v>
                </c:pt>
                <c:pt idx="469">
                  <c:v>-5.3387011542465403</c:v>
                </c:pt>
                <c:pt idx="470">
                  <c:v>-5.345972270755289</c:v>
                </c:pt>
                <c:pt idx="471">
                  <c:v>-5.3578302508005935</c:v>
                </c:pt>
                <c:pt idx="472">
                  <c:v>-5.3687309961923964</c:v>
                </c:pt>
                <c:pt idx="473">
                  <c:v>-5.3696496398131712</c:v>
                </c:pt>
                <c:pt idx="474">
                  <c:v>-5.370616672723461</c:v>
                </c:pt>
                <c:pt idx="475">
                  <c:v>-5.3619635882970984</c:v>
                </c:pt>
                <c:pt idx="476">
                  <c:v>-5.3640454702894962</c:v>
                </c:pt>
                <c:pt idx="477">
                  <c:v>-5.3740943609700542</c:v>
                </c:pt>
                <c:pt idx="478">
                  <c:v>-5.374079123435167</c:v>
                </c:pt>
                <c:pt idx="479">
                  <c:v>-5.3775008650638298</c:v>
                </c:pt>
                <c:pt idx="480">
                  <c:v>-5.3656926584444689</c:v>
                </c:pt>
                <c:pt idx="481">
                  <c:v>-5.3672361778359372</c:v>
                </c:pt>
                <c:pt idx="482">
                  <c:v>-5.3581906666777641</c:v>
                </c:pt>
                <c:pt idx="483">
                  <c:v>-5.3628401799067476</c:v>
                </c:pt>
                <c:pt idx="484">
                  <c:v>-5.3552759087020254</c:v>
                </c:pt>
                <c:pt idx="485">
                  <c:v>-5.3713465653488406</c:v>
                </c:pt>
                <c:pt idx="486">
                  <c:v>-5.3690854844014737</c:v>
                </c:pt>
                <c:pt idx="487">
                  <c:v>-5.3687776064381305</c:v>
                </c:pt>
                <c:pt idx="488">
                  <c:v>-5.3647290296318291</c:v>
                </c:pt>
                <c:pt idx="489">
                  <c:v>-5.3725101170924221</c:v>
                </c:pt>
                <c:pt idx="490">
                  <c:v>-5.3743223952249437</c:v>
                </c:pt>
                <c:pt idx="491">
                  <c:v>-5.3618233992108095</c:v>
                </c:pt>
                <c:pt idx="492">
                  <c:v>-5.36445618864267</c:v>
                </c:pt>
                <c:pt idx="493">
                  <c:v>-5.3634847118398064</c:v>
                </c:pt>
                <c:pt idx="494">
                  <c:v>-5.3639549242803852</c:v>
                </c:pt>
                <c:pt idx="495">
                  <c:v>-5.3698698093721902</c:v>
                </c:pt>
                <c:pt idx="496">
                  <c:v>-5.3734540757694695</c:v>
                </c:pt>
                <c:pt idx="497">
                  <c:v>-5.3871201344971</c:v>
                </c:pt>
                <c:pt idx="498">
                  <c:v>-5.364531474522356</c:v>
                </c:pt>
                <c:pt idx="499">
                  <c:v>-5.3431017026641685</c:v>
                </c:pt>
                <c:pt idx="500">
                  <c:v>-5.3032581339300862</c:v>
                </c:pt>
                <c:pt idx="501">
                  <c:v>-5.2879099299354442</c:v>
                </c:pt>
                <c:pt idx="502">
                  <c:v>-5.2631322358453057</c:v>
                </c:pt>
                <c:pt idx="503">
                  <c:v>-5.2112952240361325</c:v>
                </c:pt>
                <c:pt idx="504">
                  <c:v>-5.1513006124180416</c:v>
                </c:pt>
                <c:pt idx="505">
                  <c:v>-5.1482463002127368</c:v>
                </c:pt>
                <c:pt idx="506">
                  <c:v>-5.1801554688256592</c:v>
                </c:pt>
                <c:pt idx="507">
                  <c:v>-5.2218469062957142</c:v>
                </c:pt>
                <c:pt idx="508">
                  <c:v>-5.2275810232106075</c:v>
                </c:pt>
                <c:pt idx="509">
                  <c:v>-5.2310957507140525</c:v>
                </c:pt>
                <c:pt idx="510">
                  <c:v>-5.2346869914714231</c:v>
                </c:pt>
                <c:pt idx="511">
                  <c:v>-5.2383572962073197</c:v>
                </c:pt>
                <c:pt idx="512">
                  <c:v>-5.2421093304227204</c:v>
                </c:pt>
                <c:pt idx="513">
                  <c:v>-5.2459458823918084</c:v>
                </c:pt>
                <c:pt idx="514">
                  <c:v>-5.2498698699139865</c:v>
                </c:pt>
                <c:pt idx="515">
                  <c:v>-5.2538843480315771</c:v>
                </c:pt>
                <c:pt idx="516">
                  <c:v>-5.2579925173366666</c:v>
                </c:pt>
                <c:pt idx="517">
                  <c:v>-5.2621977326748262</c:v>
                </c:pt>
                <c:pt idx="518">
                  <c:v>-5.2665035124982849</c:v>
                </c:pt>
                <c:pt idx="519">
                  <c:v>-5.2709135502445319</c:v>
                </c:pt>
                <c:pt idx="520">
                  <c:v>-5.2754317236733206</c:v>
                </c:pt>
                <c:pt idx="521">
                  <c:v>-5.2800621077924026</c:v>
                </c:pt>
                <c:pt idx="522">
                  <c:v>-5.2848089874548636</c:v>
                </c:pt>
                <c:pt idx="523">
                  <c:v>-5.2896768709059589</c:v>
                </c:pt>
                <c:pt idx="524">
                  <c:v>-5.2946705059082229</c:v>
                </c:pt>
                <c:pt idx="525">
                  <c:v>-5.299794893938528</c:v>
                </c:pt>
                <c:pt idx="526">
                  <c:v>-5.3050553095999389</c:v>
                </c:pt>
                <c:pt idx="527">
                  <c:v>-5.3104573183775807</c:v>
                </c:pt>
                <c:pt idx="528">
                  <c:v>-5.3160067982373596</c:v>
                </c:pt>
                <c:pt idx="529">
                  <c:v>-5.3217099615812939</c:v>
                </c:pt>
                <c:pt idx="530">
                  <c:v>-5.3275733798991709</c:v>
                </c:pt>
                <c:pt idx="531">
                  <c:v>-5.3336040103419009</c:v>
                </c:pt>
                <c:pt idx="532">
                  <c:v>-5.3398092249786009</c:v>
                </c:pt>
                <c:pt idx="533">
                  <c:v>-5.3461968425807305</c:v>
                </c:pt>
                <c:pt idx="534">
                  <c:v>-5.3527751636162391</c:v>
                </c:pt>
                <c:pt idx="535">
                  <c:v>-5.3595530083926493</c:v>
                </c:pt>
                <c:pt idx="536">
                  <c:v>-5.3665397590687478</c:v>
                </c:pt>
                <c:pt idx="537">
                  <c:v>-5.3737454060661491</c:v>
                </c:pt>
                <c:pt idx="538">
                  <c:v>-5.3811805986746357</c:v>
                </c:pt>
                <c:pt idx="539">
                  <c:v>-5.3888567014370992</c:v>
                </c:pt>
                <c:pt idx="540">
                  <c:v>-5.3967858562662512</c:v>
                </c:pt>
                <c:pt idx="541">
                  <c:v>-5.4255414736341043</c:v>
                </c:pt>
                <c:pt idx="542">
                  <c:v>-5.4647739250936853</c:v>
                </c:pt>
                <c:pt idx="543">
                  <c:v>-5.4999907989460004</c:v>
                </c:pt>
                <c:pt idx="544">
                  <c:v>-5.4895726528010682</c:v>
                </c:pt>
                <c:pt idx="545">
                  <c:v>-5.4644668038322193</c:v>
                </c:pt>
                <c:pt idx="546">
                  <c:v>-5.4568702997221834</c:v>
                </c:pt>
                <c:pt idx="547">
                  <c:v>-5.4427635050950363</c:v>
                </c:pt>
                <c:pt idx="548">
                  <c:v>-5.4296577009721547</c:v>
                </c:pt>
                <c:pt idx="549">
                  <c:v>-5.3997363687222828</c:v>
                </c:pt>
                <c:pt idx="550">
                  <c:v>-5.3979601892089848</c:v>
                </c:pt>
                <c:pt idx="551">
                  <c:v>-5.4094264256270534</c:v>
                </c:pt>
                <c:pt idx="552">
                  <c:v>-5.4133274431338592</c:v>
                </c:pt>
                <c:pt idx="553">
                  <c:v>-5.4260667026414202</c:v>
                </c:pt>
                <c:pt idx="554">
                  <c:v>-5.3924521921852202</c:v>
                </c:pt>
                <c:pt idx="555">
                  <c:v>-5.3774308516374454</c:v>
                </c:pt>
                <c:pt idx="556">
                  <c:v>-5.3762655337633118</c:v>
                </c:pt>
                <c:pt idx="557">
                  <c:v>-5.4317342614189243</c:v>
                </c:pt>
                <c:pt idx="558">
                  <c:v>-5.4787287436689596</c:v>
                </c:pt>
                <c:pt idx="559">
                  <c:v>-5.4946641856869611</c:v>
                </c:pt>
                <c:pt idx="560">
                  <c:v>-5.4826872027570701</c:v>
                </c:pt>
                <c:pt idx="561">
                  <c:v>-5.4557326981109773</c:v>
                </c:pt>
                <c:pt idx="562">
                  <c:v>-5.4436040210293113</c:v>
                </c:pt>
                <c:pt idx="563">
                  <c:v>-5.4401326274711002</c:v>
                </c:pt>
                <c:pt idx="564">
                  <c:v>-5.4619732918258377</c:v>
                </c:pt>
                <c:pt idx="565">
                  <c:v>-5.4944505438593438</c:v>
                </c:pt>
                <c:pt idx="566">
                  <c:v>-5.5170189884655798</c:v>
                </c:pt>
                <c:pt idx="567">
                  <c:v>-5.525781206917407</c:v>
                </c:pt>
                <c:pt idx="568">
                  <c:v>-5.5458750802906955</c:v>
                </c:pt>
                <c:pt idx="569">
                  <c:v>-5.5612135646655183</c:v>
                </c:pt>
                <c:pt idx="570">
                  <c:v>-5.5735860374905526</c:v>
                </c:pt>
                <c:pt idx="571">
                  <c:v>-5.5541818709888391</c:v>
                </c:pt>
                <c:pt idx="572">
                  <c:v>-5.5703439579904961</c:v>
                </c:pt>
                <c:pt idx="573">
                  <c:v>-5.5649881412983602</c:v>
                </c:pt>
                <c:pt idx="574">
                  <c:v>-5.5903544451194911</c:v>
                </c:pt>
                <c:pt idx="575">
                  <c:v>-5.5482713109348749</c:v>
                </c:pt>
                <c:pt idx="576">
                  <c:v>-5.5541457854972505</c:v>
                </c:pt>
                <c:pt idx="577">
                  <c:v>-5.5249007435749187</c:v>
                </c:pt>
                <c:pt idx="578">
                  <c:v>-5.5213170814449812</c:v>
                </c:pt>
                <c:pt idx="579">
                  <c:v>-5.5156390473539796</c:v>
                </c:pt>
                <c:pt idx="580">
                  <c:v>-5.5288713852353188</c:v>
                </c:pt>
                <c:pt idx="581">
                  <c:v>-5.5413304459638075</c:v>
                </c:pt>
                <c:pt idx="582">
                  <c:v>-5.5329136096390705</c:v>
                </c:pt>
                <c:pt idx="583">
                  <c:v>-5.5132068101710052</c:v>
                </c:pt>
                <c:pt idx="584">
                  <c:v>-5.4916323517031485</c:v>
                </c:pt>
                <c:pt idx="585">
                  <c:v>-5.4775518050240075</c:v>
                </c:pt>
                <c:pt idx="586">
                  <c:v>-5.4508791757939044</c:v>
                </c:pt>
                <c:pt idx="587">
                  <c:v>-5.4610850174862833</c:v>
                </c:pt>
                <c:pt idx="588">
                  <c:v>-5.4409077877381806</c:v>
                </c:pt>
                <c:pt idx="589">
                  <c:v>-5.4378625064021415</c:v>
                </c:pt>
                <c:pt idx="590">
                  <c:v>-5.4215779372724571</c:v>
                </c:pt>
                <c:pt idx="591">
                  <c:v>-5.4535685470331927</c:v>
                </c:pt>
                <c:pt idx="592">
                  <c:v>-5.4508923023659568</c:v>
                </c:pt>
                <c:pt idx="593">
                  <c:v>-5.446462796581689</c:v>
                </c:pt>
                <c:pt idx="594">
                  <c:v>-5.4343205790477498</c:v>
                </c:pt>
                <c:pt idx="595">
                  <c:v>-5.4541222898423882</c:v>
                </c:pt>
                <c:pt idx="596">
                  <c:v>-5.4861247048312807</c:v>
                </c:pt>
                <c:pt idx="597">
                  <c:v>-5.5111538881482742</c:v>
                </c:pt>
                <c:pt idx="598">
                  <c:v>-5.5142563118601231</c:v>
                </c:pt>
                <c:pt idx="599">
                  <c:v>-5.5180247494026347</c:v>
                </c:pt>
                <c:pt idx="600">
                  <c:v>-5.4810892553473209</c:v>
                </c:pt>
                <c:pt idx="601">
                  <c:v>-5.4894887949393585</c:v>
                </c:pt>
                <c:pt idx="602">
                  <c:v>-5.5569369707516101</c:v>
                </c:pt>
                <c:pt idx="603">
                  <c:v>-5.8182472018879983</c:v>
                </c:pt>
                <c:pt idx="604">
                  <c:v>-5.8034462969832239</c:v>
                </c:pt>
                <c:pt idx="605">
                  <c:v>-5.7154705408364848</c:v>
                </c:pt>
                <c:pt idx="606">
                  <c:v>-5.4358564557219617</c:v>
                </c:pt>
                <c:pt idx="607">
                  <c:v>-5.4214745455553803</c:v>
                </c:pt>
                <c:pt idx="608">
                  <c:v>-5.4230627765982078</c:v>
                </c:pt>
                <c:pt idx="609">
                  <c:v>-5.4556946815804785</c:v>
                </c:pt>
                <c:pt idx="610">
                  <c:v>-5.47455280521707</c:v>
                </c:pt>
                <c:pt idx="611">
                  <c:v>-5.4979151103773338</c:v>
                </c:pt>
                <c:pt idx="612">
                  <c:v>-5.5148395021487033</c:v>
                </c:pt>
                <c:pt idx="613">
                  <c:v>-5.5279869942010889</c:v>
                </c:pt>
                <c:pt idx="614">
                  <c:v>-5.5161320980998978</c:v>
                </c:pt>
                <c:pt idx="615">
                  <c:v>-5.5049267627167842</c:v>
                </c:pt>
                <c:pt idx="616">
                  <c:v>-5.4943183451515845</c:v>
                </c:pt>
                <c:pt idx="617">
                  <c:v>-5.4842598078940314</c:v>
                </c:pt>
                <c:pt idx="618">
                  <c:v>-5.474708983818708</c:v>
                </c:pt>
                <c:pt idx="619">
                  <c:v>-5.4712140517807635</c:v>
                </c:pt>
                <c:pt idx="620">
                  <c:v>-5.4533640689559872</c:v>
                </c:pt>
                <c:pt idx="621">
                  <c:v>-5.4368520747030686</c:v>
                </c:pt>
                <c:pt idx="622">
                  <c:v>-5.4021052964302703</c:v>
                </c:pt>
                <c:pt idx="623">
                  <c:v>-5.3769909489080021</c:v>
                </c:pt>
                <c:pt idx="624">
                  <c:v>-5.3418124010243444</c:v>
                </c:pt>
                <c:pt idx="625">
                  <c:v>-5.3256460036893207</c:v>
                </c:pt>
                <c:pt idx="626">
                  <c:v>-5.3359609313057392</c:v>
                </c:pt>
                <c:pt idx="627">
                  <c:v>-5.3647879429695102</c:v>
                </c:pt>
                <c:pt idx="628">
                  <c:v>-5.3826823691962504</c:v>
                </c:pt>
                <c:pt idx="629">
                  <c:v>-5.4076189692966947</c:v>
                </c:pt>
                <c:pt idx="630">
                  <c:v>-5.4047107784018236</c:v>
                </c:pt>
                <c:pt idx="631">
                  <c:v>-5.4064298143777618</c:v>
                </c:pt>
                <c:pt idx="632">
                  <c:v>-5.4037656167358987</c:v>
                </c:pt>
                <c:pt idx="633">
                  <c:v>-5.4279380523418217</c:v>
                </c:pt>
                <c:pt idx="634">
                  <c:v>-5.4322919650619808</c:v>
                </c:pt>
                <c:pt idx="635">
                  <c:v>-5.4030899861807091</c:v>
                </c:pt>
                <c:pt idx="636">
                  <c:v>-5.3717917739509842</c:v>
                </c:pt>
                <c:pt idx="637">
                  <c:v>-5.3936793090246873</c:v>
                </c:pt>
                <c:pt idx="638">
                  <c:v>-5.4082332558584127</c:v>
                </c:pt>
                <c:pt idx="639">
                  <c:v>-5.404549240411491</c:v>
                </c:pt>
                <c:pt idx="640">
                  <c:v>-5.3752894329376479</c:v>
                </c:pt>
                <c:pt idx="641">
                  <c:v>-5.3487619223074025</c:v>
                </c:pt>
                <c:pt idx="642">
                  <c:v>-5.3344348397940635</c:v>
                </c:pt>
                <c:pt idx="643">
                  <c:v>-5.3033485333140389</c:v>
                </c:pt>
                <c:pt idx="644">
                  <c:v>-5.2775307137123777</c:v>
                </c:pt>
                <c:pt idx="645">
                  <c:v>-5.2475157743576721</c:v>
                </c:pt>
                <c:pt idx="646">
                  <c:v>-5.1911313193398954</c:v>
                </c:pt>
                <c:pt idx="647">
                  <c:v>-5.1575902458317131</c:v>
                </c:pt>
                <c:pt idx="648">
                  <c:v>-5.1246880927265934</c:v>
                </c:pt>
                <c:pt idx="649">
                  <c:v>-5.1314742790216945</c:v>
                </c:pt>
                <c:pt idx="650">
                  <c:v>-5.1335236379351565</c:v>
                </c:pt>
                <c:pt idx="651">
                  <c:v>-5.1429708863955019</c:v>
                </c:pt>
                <c:pt idx="652">
                  <c:v>-5.1322250177175448</c:v>
                </c:pt>
                <c:pt idx="653">
                  <c:v>-5.1373146987093294</c:v>
                </c:pt>
                <c:pt idx="654">
                  <c:v>-5.1543800679458789</c:v>
                </c:pt>
                <c:pt idx="655">
                  <c:v>-5.1794694373200576</c:v>
                </c:pt>
                <c:pt idx="656">
                  <c:v>-5.1665414277421311</c:v>
                </c:pt>
                <c:pt idx="657">
                  <c:v>-5.1530539068911621</c:v>
                </c:pt>
                <c:pt idx="658">
                  <c:v>-5.1274995246947999</c:v>
                </c:pt>
                <c:pt idx="659">
                  <c:v>-5.1258436320111569</c:v>
                </c:pt>
                <c:pt idx="660">
                  <c:v>-5.1243519338314254</c:v>
                </c:pt>
                <c:pt idx="661">
                  <c:v>-5.1568871681957154</c:v>
                </c:pt>
                <c:pt idx="662">
                  <c:v>-5.1622428866910264</c:v>
                </c:pt>
                <c:pt idx="663">
                  <c:v>-5.1811855782449108</c:v>
                </c:pt>
                <c:pt idx="664">
                  <c:v>-5.1781398263755669</c:v>
                </c:pt>
                <c:pt idx="665">
                  <c:v>-5.2027642743335507</c:v>
                </c:pt>
                <c:pt idx="666">
                  <c:v>-5.1896059509874197</c:v>
                </c:pt>
                <c:pt idx="667">
                  <c:v>-5.1856206299238954</c:v>
                </c:pt>
                <c:pt idx="668">
                  <c:v>-5.1671726684648025</c:v>
                </c:pt>
                <c:pt idx="669">
                  <c:v>-5.1198851176773053</c:v>
                </c:pt>
                <c:pt idx="670">
                  <c:v>-5.0911778421620673</c:v>
                </c:pt>
                <c:pt idx="671">
                  <c:v>-5.0750077997946414</c:v>
                </c:pt>
                <c:pt idx="672">
                  <c:v>-5.1035862699460326</c:v>
                </c:pt>
                <c:pt idx="673">
                  <c:v>-5.091561319461154</c:v>
                </c:pt>
                <c:pt idx="674">
                  <c:v>-5.081005970646399</c:v>
                </c:pt>
                <c:pt idx="675">
                  <c:v>-5.0823589517293835</c:v>
                </c:pt>
                <c:pt idx="676">
                  <c:v>-5.1116112907349809</c:v>
                </c:pt>
                <c:pt idx="677">
                  <c:v>-5.1430034462594847</c:v>
                </c:pt>
                <c:pt idx="678">
                  <c:v>-5.1453016652232906</c:v>
                </c:pt>
                <c:pt idx="679">
                  <c:v>-5.1720743378072447</c:v>
                </c:pt>
                <c:pt idx="680">
                  <c:v>-5.1791708636634581</c:v>
                </c:pt>
                <c:pt idx="681">
                  <c:v>-5.1888528307147199</c:v>
                </c:pt>
                <c:pt idx="682">
                  <c:v>-5.1704912175474611</c:v>
                </c:pt>
                <c:pt idx="683">
                  <c:v>-5.1688574268622318</c:v>
                </c:pt>
                <c:pt idx="684">
                  <c:v>-5.1980639816828633</c:v>
                </c:pt>
                <c:pt idx="685">
                  <c:v>-5.2121501905522081</c:v>
                </c:pt>
                <c:pt idx="686">
                  <c:v>-5.2151036899187337</c:v>
                </c:pt>
                <c:pt idx="687">
                  <c:v>-5.1983421959579639</c:v>
                </c:pt>
                <c:pt idx="688">
                  <c:v>-5.2207159693494658</c:v>
                </c:pt>
                <c:pt idx="689">
                  <c:v>-5.2295497013870422</c:v>
                </c:pt>
                <c:pt idx="690">
                  <c:v>-5.2429123340323969</c:v>
                </c:pt>
                <c:pt idx="691">
                  <c:v>-5.2188533545226008</c:v>
                </c:pt>
                <c:pt idx="692">
                  <c:v>-5.2155974645175824</c:v>
                </c:pt>
                <c:pt idx="693">
                  <c:v>-5.2177504879319914</c:v>
                </c:pt>
                <c:pt idx="694">
                  <c:v>-5.2288642646192578</c:v>
                </c:pt>
                <c:pt idx="695">
                  <c:v>-5.2238095676335199</c:v>
                </c:pt>
                <c:pt idx="696">
                  <c:v>-5.1975909077968625</c:v>
                </c:pt>
                <c:pt idx="697">
                  <c:v>-5.1836388754634646</c:v>
                </c:pt>
                <c:pt idx="698">
                  <c:v>-5.203308498268421</c:v>
                </c:pt>
                <c:pt idx="699">
                  <c:v>-5.2184149284211507</c:v>
                </c:pt>
                <c:pt idx="700">
                  <c:v>-5.2131464989528338</c:v>
                </c:pt>
                <c:pt idx="701">
                  <c:v>-5.2186287582953019</c:v>
                </c:pt>
                <c:pt idx="702">
                  <c:v>-5.2134622981665579</c:v>
                </c:pt>
                <c:pt idx="703">
                  <c:v>-5.2219047726771048</c:v>
                </c:pt>
                <c:pt idx="704">
                  <c:v>-5.1901560191543918</c:v>
                </c:pt>
                <c:pt idx="705">
                  <c:v>-5.198712877480955</c:v>
                </c:pt>
                <c:pt idx="706">
                  <c:v>-5.1985037011785993</c:v>
                </c:pt>
                <c:pt idx="707">
                  <c:v>-5.1871491833643075</c:v>
                </c:pt>
                <c:pt idx="708">
                  <c:v>-5.1739803662728461</c:v>
                </c:pt>
                <c:pt idx="709">
                  <c:v>-5.1693981572884695</c:v>
                </c:pt>
                <c:pt idx="710">
                  <c:v>-5.1927723456364312</c:v>
                </c:pt>
                <c:pt idx="711">
                  <c:v>-5.1996351532611138</c:v>
                </c:pt>
                <c:pt idx="712">
                  <c:v>-5.2116605952285981</c:v>
                </c:pt>
                <c:pt idx="713">
                  <c:v>-5.2094192193841176</c:v>
                </c:pt>
                <c:pt idx="714">
                  <c:v>-5.2029476760082547</c:v>
                </c:pt>
                <c:pt idx="715">
                  <c:v>-5.175251064597969</c:v>
                </c:pt>
                <c:pt idx="716">
                  <c:v>-5.1807171831587953</c:v>
                </c:pt>
                <c:pt idx="717">
                  <c:v>-5.179014468769604</c:v>
                </c:pt>
                <c:pt idx="718">
                  <c:v>-5.1969301707905382</c:v>
                </c:pt>
                <c:pt idx="719">
                  <c:v>-5.196855822722477</c:v>
                </c:pt>
                <c:pt idx="720">
                  <c:v>-5.1951906286220551</c:v>
                </c:pt>
                <c:pt idx="721">
                  <c:v>-5.1894210709442179</c:v>
                </c:pt>
                <c:pt idx="722">
                  <c:v>-5.181804595161009</c:v>
                </c:pt>
                <c:pt idx="723">
                  <c:v>-5.2087239313951352</c:v>
                </c:pt>
                <c:pt idx="724">
                  <c:v>-5.2279893656447429</c:v>
                </c:pt>
                <c:pt idx="725">
                  <c:v>-5.242170483082087</c:v>
                </c:pt>
                <c:pt idx="726">
                  <c:v>-5.24374682055495</c:v>
                </c:pt>
                <c:pt idx="727">
                  <c:v>-5.2453723520066466</c:v>
                </c:pt>
                <c:pt idx="728">
                  <c:v>-5.2407623007155939</c:v>
                </c:pt>
                <c:pt idx="729">
                  <c:v>-5.2533701551282332</c:v>
                </c:pt>
                <c:pt idx="730">
                  <c:v>-5.2666548855007278</c:v>
                </c:pt>
                <c:pt idx="731">
                  <c:v>-5.2651163470253799</c:v>
                </c:pt>
                <c:pt idx="732">
                  <c:v>-5.2581267162228018</c:v>
                </c:pt>
                <c:pt idx="733">
                  <c:v>-5.2550382315903512</c:v>
                </c:pt>
                <c:pt idx="734">
                  <c:v>-5.2729377811270046</c:v>
                </c:pt>
                <c:pt idx="735">
                  <c:v>-5.2570026674804522</c:v>
                </c:pt>
                <c:pt idx="736">
                  <c:v>-5.2504325079524685</c:v>
                </c:pt>
                <c:pt idx="737">
                  <c:v>-5.2362300856461585</c:v>
                </c:pt>
                <c:pt idx="738">
                  <c:v>-5.2269203270841951</c:v>
                </c:pt>
                <c:pt idx="739">
                  <c:v>-5.2200593445322765</c:v>
                </c:pt>
                <c:pt idx="740">
                  <c:v>-5.2271823769159385</c:v>
                </c:pt>
                <c:pt idx="741">
                  <c:v>-5.2403898631252899</c:v>
                </c:pt>
                <c:pt idx="742">
                  <c:v>-5.2315679237575301</c:v>
                </c:pt>
                <c:pt idx="743">
                  <c:v>-5.2239145833358762</c:v>
                </c:pt>
                <c:pt idx="744">
                  <c:v>-5.2069321731849314</c:v>
                </c:pt>
                <c:pt idx="745">
                  <c:v>-5.2229709299418916</c:v>
                </c:pt>
                <c:pt idx="746">
                  <c:v>-5.2312742721119045</c:v>
                </c:pt>
                <c:pt idx="747">
                  <c:v>-5.2499802684169135</c:v>
                </c:pt>
                <c:pt idx="748">
                  <c:v>-5.2470803881166548</c:v>
                </c:pt>
                <c:pt idx="749">
                  <c:v>-5.2526950227416878</c:v>
                </c:pt>
                <c:pt idx="750">
                  <c:v>-5.2880175556652889</c:v>
                </c:pt>
                <c:pt idx="751">
                  <c:v>-5.3166982603416839</c:v>
                </c:pt>
                <c:pt idx="752">
                  <c:v>-5.3361108659604071</c:v>
                </c:pt>
                <c:pt idx="753">
                  <c:v>-5.3164523580204213</c:v>
                </c:pt>
                <c:pt idx="754">
                  <c:v>-5.3103940151468549</c:v>
                </c:pt>
                <c:pt idx="755">
                  <c:v>-5.2934371721225117</c:v>
                </c:pt>
                <c:pt idx="756">
                  <c:v>-5.3053625936854045</c:v>
                </c:pt>
                <c:pt idx="757">
                  <c:v>-5.3016373584284731</c:v>
                </c:pt>
                <c:pt idx="758">
                  <c:v>-5.3360598738093019</c:v>
                </c:pt>
                <c:pt idx="759">
                  <c:v>-5.3345214722929866</c:v>
                </c:pt>
                <c:pt idx="760">
                  <c:v>-5.3576689666138613</c:v>
                </c:pt>
                <c:pt idx="761">
                  <c:v>-5.3522866439920618</c:v>
                </c:pt>
                <c:pt idx="762">
                  <c:v>-5.3608346084970888</c:v>
                </c:pt>
                <c:pt idx="763">
                  <c:v>-5.3295954770748644</c:v>
                </c:pt>
                <c:pt idx="764">
                  <c:v>-5.3301754979453877</c:v>
                </c:pt>
                <c:pt idx="765">
                  <c:v>-5.3223715050804854</c:v>
                </c:pt>
                <c:pt idx="766">
                  <c:v>-5.3641469670202895</c:v>
                </c:pt>
                <c:pt idx="767">
                  <c:v>-5.3793735717382347</c:v>
                </c:pt>
                <c:pt idx="768">
                  <c:v>-5.4035183127954385</c:v>
                </c:pt>
                <c:pt idx="769">
                  <c:v>-5.4139646915218629</c:v>
                </c:pt>
                <c:pt idx="770">
                  <c:v>-5.43217431033995</c:v>
                </c:pt>
                <c:pt idx="771">
                  <c:v>-5.4448811751200141</c:v>
                </c:pt>
                <c:pt idx="772">
                  <c:v>-5.4403638320130687</c:v>
                </c:pt>
                <c:pt idx="773">
                  <c:v>-5.4154158739254283</c:v>
                </c:pt>
                <c:pt idx="774">
                  <c:v>-5.4127615504730393</c:v>
                </c:pt>
                <c:pt idx="775">
                  <c:v>-5.3704285690186326</c:v>
                </c:pt>
                <c:pt idx="776">
                  <c:v>-5.337638568982829</c:v>
                </c:pt>
                <c:pt idx="777">
                  <c:v>-5.2748178671394079</c:v>
                </c:pt>
                <c:pt idx="778">
                  <c:v>-5.2685824186240611</c:v>
                </c:pt>
                <c:pt idx="779">
                  <c:v>-5.2465813398091461</c:v>
                </c:pt>
                <c:pt idx="780">
                  <c:v>-5.241366904742164</c:v>
                </c:pt>
                <c:pt idx="781">
                  <c:v>-5.2256487175455719</c:v>
                </c:pt>
                <c:pt idx="782">
                  <c:v>-5.230194133328574</c:v>
                </c:pt>
                <c:pt idx="783">
                  <c:v>-5.2502496035007784</c:v>
                </c:pt>
                <c:pt idx="784">
                  <c:v>-5.241833557584207</c:v>
                </c:pt>
                <c:pt idx="785">
                  <c:v>-5.2695200342380497</c:v>
                </c:pt>
                <c:pt idx="786">
                  <c:v>-5.2552662446424137</c:v>
                </c:pt>
                <c:pt idx="787">
                  <c:v>-5.2878117904631372</c:v>
                </c:pt>
                <c:pt idx="788">
                  <c:v>-5.2920596841958156</c:v>
                </c:pt>
                <c:pt idx="789">
                  <c:v>-5.2983467556566879</c:v>
                </c:pt>
                <c:pt idx="790">
                  <c:v>-5.3235581308867346</c:v>
                </c:pt>
                <c:pt idx="791">
                  <c:v>-5.3310942867205044</c:v>
                </c:pt>
                <c:pt idx="792">
                  <c:v>-5.3516455964856773</c:v>
                </c:pt>
                <c:pt idx="793">
                  <c:v>-5.3460213698725809</c:v>
                </c:pt>
                <c:pt idx="794">
                  <c:v>-5.3429644984602618</c:v>
                </c:pt>
                <c:pt idx="795">
                  <c:v>-5.3367197047834409</c:v>
                </c:pt>
                <c:pt idx="796">
                  <c:v>-5.3005746059011933</c:v>
                </c:pt>
                <c:pt idx="797">
                  <c:v>-5.298223731612496</c:v>
                </c:pt>
                <c:pt idx="798">
                  <c:v>-5.2879735520188174</c:v>
                </c:pt>
                <c:pt idx="799">
                  <c:v>-5.3071694934134301</c:v>
                </c:pt>
                <c:pt idx="800">
                  <c:v>-5.2834651352447066</c:v>
                </c:pt>
                <c:pt idx="801">
                  <c:v>-5.2781053959243165</c:v>
                </c:pt>
                <c:pt idx="802">
                  <c:v>-5.2623701902261866</c:v>
                </c:pt>
                <c:pt idx="803">
                  <c:v>-5.2313033336001027</c:v>
                </c:pt>
                <c:pt idx="804">
                  <c:v>-5.2179441079908839</c:v>
                </c:pt>
                <c:pt idx="805">
                  <c:v>-5.2021109901863118</c:v>
                </c:pt>
                <c:pt idx="806">
                  <c:v>-5.2087218419532757</c:v>
                </c:pt>
                <c:pt idx="807">
                  <c:v>-5.2162265296478578</c:v>
                </c:pt>
                <c:pt idx="808">
                  <c:v>-5.2218384866358845</c:v>
                </c:pt>
                <c:pt idx="809">
                  <c:v>-5.2555024623063016</c:v>
                </c:pt>
                <c:pt idx="810">
                  <c:v>-5.2899437748504212</c:v>
                </c:pt>
                <c:pt idx="811">
                  <c:v>-5.2933664542681216</c:v>
                </c:pt>
                <c:pt idx="812">
                  <c:v>-5.2638391816304662</c:v>
                </c:pt>
                <c:pt idx="813">
                  <c:v>-5.2332517769619971</c:v>
                </c:pt>
                <c:pt idx="814">
                  <c:v>-5.2307542694553018</c:v>
                </c:pt>
                <c:pt idx="815">
                  <c:v>-5.2417535863030622</c:v>
                </c:pt>
                <c:pt idx="816">
                  <c:v>-5.2430677693323444</c:v>
                </c:pt>
                <c:pt idx="817">
                  <c:v>-5.2545597813470115</c:v>
                </c:pt>
                <c:pt idx="818">
                  <c:v>-5.2701488071613225</c:v>
                </c:pt>
                <c:pt idx="819">
                  <c:v>-5.2953433623843438</c:v>
                </c:pt>
                <c:pt idx="820">
                  <c:v>-5.2984292259638286</c:v>
                </c:pt>
                <c:pt idx="821">
                  <c:v>-5.2927625561454237</c:v>
                </c:pt>
                <c:pt idx="822">
                  <c:v>-5.3103883468950572</c:v>
                </c:pt>
                <c:pt idx="823">
                  <c:v>-5.3139074735927538</c:v>
                </c:pt>
                <c:pt idx="824">
                  <c:v>-5.3024593408086353</c:v>
                </c:pt>
                <c:pt idx="825">
                  <c:v>-5.2731725288190816</c:v>
                </c:pt>
                <c:pt idx="826">
                  <c:v>-5.260200639478307</c:v>
                </c:pt>
                <c:pt idx="827">
                  <c:v>-5.2834016924836646</c:v>
                </c:pt>
                <c:pt idx="828">
                  <c:v>-5.307888753299939</c:v>
                </c:pt>
                <c:pt idx="829">
                  <c:v>-5.3660836392027536</c:v>
                </c:pt>
                <c:pt idx="830">
                  <c:v>-5.4186904076650917</c:v>
                </c:pt>
                <c:pt idx="831">
                  <c:v>-5.4694889287984596</c:v>
                </c:pt>
                <c:pt idx="832">
                  <c:v>-5.5186335461346152</c:v>
                </c:pt>
                <c:pt idx="833">
                  <c:v>-5.566260617767842</c:v>
                </c:pt>
                <c:pt idx="834">
                  <c:v>-5.6124912392258883</c:v>
                </c:pt>
                <c:pt idx="835">
                  <c:v>-5.6514783551327232</c:v>
                </c:pt>
                <c:pt idx="836">
                  <c:v>-5.6873485756982518</c:v>
                </c:pt>
                <c:pt idx="837">
                  <c:v>-5.5416720279487572</c:v>
                </c:pt>
                <c:pt idx="838">
                  <c:v>-5.4094713108572572</c:v>
                </c:pt>
                <c:pt idx="839">
                  <c:v>-5.2643896999682154</c:v>
                </c:pt>
                <c:pt idx="840">
                  <c:v>-5.2782047016780984</c:v>
                </c:pt>
                <c:pt idx="841">
                  <c:v>-5.2580448805832658</c:v>
                </c:pt>
                <c:pt idx="842">
                  <c:v>-5.2264906640423101</c:v>
                </c:pt>
                <c:pt idx="843">
                  <c:v>-5.2210908554106679</c:v>
                </c:pt>
                <c:pt idx="844">
                  <c:v>-5.1984657604890829</c:v>
                </c:pt>
                <c:pt idx="845">
                  <c:v>-5.211058910099152</c:v>
                </c:pt>
                <c:pt idx="846">
                  <c:v>-5.2047485633465493</c:v>
                </c:pt>
                <c:pt idx="847">
                  <c:v>-5.2380680041982943</c:v>
                </c:pt>
                <c:pt idx="848">
                  <c:v>-5.2532444516130008</c:v>
                </c:pt>
                <c:pt idx="849">
                  <c:v>-5.2249552297096837</c:v>
                </c:pt>
                <c:pt idx="850">
                  <c:v>-5.2160515563541772</c:v>
                </c:pt>
                <c:pt idx="851">
                  <c:v>-5.2057462326830413</c:v>
                </c:pt>
                <c:pt idx="852">
                  <c:v>-5.2313249767292334</c:v>
                </c:pt>
                <c:pt idx="853">
                  <c:v>-5.2329273224982842</c:v>
                </c:pt>
                <c:pt idx="854">
                  <c:v>-5.2882041720759707</c:v>
                </c:pt>
                <c:pt idx="855">
                  <c:v>-5.4272780397510472</c:v>
                </c:pt>
                <c:pt idx="856">
                  <c:v>-5.4507798222450292</c:v>
                </c:pt>
                <c:pt idx="857">
                  <c:v>-5.5634896164910712</c:v>
                </c:pt>
                <c:pt idx="858">
                  <c:v>-5.4322928450318884</c:v>
                </c:pt>
                <c:pt idx="859">
                  <c:v>-5.4240590782339781</c:v>
                </c:pt>
                <c:pt idx="860">
                  <c:v>-5.2522347554088133</c:v>
                </c:pt>
                <c:pt idx="861">
                  <c:v>-5.2513997205105554</c:v>
                </c:pt>
                <c:pt idx="862">
                  <c:v>-5.2478920323403884</c:v>
                </c:pt>
                <c:pt idx="863">
                  <c:v>-5.3342009339013492</c:v>
                </c:pt>
                <c:pt idx="864">
                  <c:v>-5.407772330126515</c:v>
                </c:pt>
                <c:pt idx="865">
                  <c:v>-5.4336321311780553</c:v>
                </c:pt>
                <c:pt idx="866">
                  <c:v>-5.3747294048571836</c:v>
                </c:pt>
                <c:pt idx="867">
                  <c:v>-5.2059050721336497</c:v>
                </c:pt>
                <c:pt idx="868">
                  <c:v>-5.2207772953305529</c:v>
                </c:pt>
                <c:pt idx="869">
                  <c:v>-5.2663479239136999</c:v>
                </c:pt>
                <c:pt idx="870">
                  <c:v>-5.4496753695361768</c:v>
                </c:pt>
                <c:pt idx="871">
                  <c:v>-5.5036449557778253</c:v>
                </c:pt>
                <c:pt idx="872">
                  <c:v>-5.5555421915020773</c:v>
                </c:pt>
                <c:pt idx="873">
                  <c:v>-5.6055507177600177</c:v>
                </c:pt>
                <c:pt idx="874">
                  <c:v>-5.5386544865437513</c:v>
                </c:pt>
                <c:pt idx="875">
                  <c:v>-5.4602819495144734</c:v>
                </c:pt>
                <c:pt idx="876">
                  <c:v>-5.344333179253911</c:v>
                </c:pt>
                <c:pt idx="877">
                  <c:v>-5.3149208037784135</c:v>
                </c:pt>
                <c:pt idx="878">
                  <c:v>-5.2786481364719942</c:v>
                </c:pt>
                <c:pt idx="879">
                  <c:v>-5.2681668839044633</c:v>
                </c:pt>
                <c:pt idx="880">
                  <c:v>-5.2753833802271552</c:v>
                </c:pt>
                <c:pt idx="881">
                  <c:v>-5.2941284201750749</c:v>
                </c:pt>
                <c:pt idx="882">
                  <c:v>-5.3029233367302799</c:v>
                </c:pt>
                <c:pt idx="883">
                  <c:v>-5.2943823055634693</c:v>
                </c:pt>
                <c:pt idx="884">
                  <c:v>-5.2895450222276779</c:v>
                </c:pt>
                <c:pt idx="885">
                  <c:v>-5.2730179235863357</c:v>
                </c:pt>
                <c:pt idx="886">
                  <c:v>-5.2526457768282713</c:v>
                </c:pt>
                <c:pt idx="887">
                  <c:v>-5.2348083086750767</c:v>
                </c:pt>
                <c:pt idx="888">
                  <c:v>-5.2313979249620708</c:v>
                </c:pt>
                <c:pt idx="889">
                  <c:v>-5.2335915402509636</c:v>
                </c:pt>
                <c:pt idx="890">
                  <c:v>-5.2273452811932435</c:v>
                </c:pt>
                <c:pt idx="891">
                  <c:v>-5.2330112324636415</c:v>
                </c:pt>
                <c:pt idx="892">
                  <c:v>-5.2494444240460112</c:v>
                </c:pt>
                <c:pt idx="893">
                  <c:v>-5.2580486035772642</c:v>
                </c:pt>
                <c:pt idx="894">
                  <c:v>-5.2574867748965239</c:v>
                </c:pt>
                <c:pt idx="895">
                  <c:v>-5.2569647920081097</c:v>
                </c:pt>
                <c:pt idx="896">
                  <c:v>-5.2531126544590423</c:v>
                </c:pt>
                <c:pt idx="897">
                  <c:v>-5.2719779683909271</c:v>
                </c:pt>
                <c:pt idx="898">
                  <c:v>-5.2831504967280969</c:v>
                </c:pt>
                <c:pt idx="899">
                  <c:v>-5.3070303702133934</c:v>
                </c:pt>
                <c:pt idx="900">
                  <c:v>-5.2862011062911689</c:v>
                </c:pt>
                <c:pt idx="901">
                  <c:v>-5.2938645200816339</c:v>
                </c:pt>
                <c:pt idx="902">
                  <c:v>-5.2861429852133801</c:v>
                </c:pt>
                <c:pt idx="903">
                  <c:v>-5.3054117159873746</c:v>
                </c:pt>
                <c:pt idx="904">
                  <c:v>-5.3075881603088986</c:v>
                </c:pt>
                <c:pt idx="905">
                  <c:v>-5.296220208006722</c:v>
                </c:pt>
                <c:pt idx="906">
                  <c:v>-5.2745267182559585</c:v>
                </c:pt>
                <c:pt idx="907">
                  <c:v>-5.2722473054445436</c:v>
                </c:pt>
                <c:pt idx="908">
                  <c:v>-5.283850911152026</c:v>
                </c:pt>
                <c:pt idx="909">
                  <c:v>-5.2551290575898513</c:v>
                </c:pt>
                <c:pt idx="910">
                  <c:v>-5.2145186692389869</c:v>
                </c:pt>
                <c:pt idx="911">
                  <c:v>-5.2206995612504343</c:v>
                </c:pt>
                <c:pt idx="912">
                  <c:v>-5.2887408587514768</c:v>
                </c:pt>
                <c:pt idx="913">
                  <c:v>-5.337760390108131</c:v>
                </c:pt>
                <c:pt idx="914">
                  <c:v>-5.3561645552330504</c:v>
                </c:pt>
                <c:pt idx="915">
                  <c:v>-5.3485343561385967</c:v>
                </c:pt>
                <c:pt idx="916">
                  <c:v>-5.346046122482079</c:v>
                </c:pt>
                <c:pt idx="917">
                  <c:v>-5.3460859962501175</c:v>
                </c:pt>
                <c:pt idx="918">
                  <c:v>-5.3239405363183252</c:v>
                </c:pt>
                <c:pt idx="919">
                  <c:v>-5.3160414452645162</c:v>
                </c:pt>
                <c:pt idx="920">
                  <c:v>-5.2931270772402792</c:v>
                </c:pt>
                <c:pt idx="921">
                  <c:v>-5.3016196563606863</c:v>
                </c:pt>
                <c:pt idx="922">
                  <c:v>-5.3031619262848677</c:v>
                </c:pt>
                <c:pt idx="923">
                  <c:v>-5.2894429451774645</c:v>
                </c:pt>
                <c:pt idx="924">
                  <c:v>-5.3009437206713601</c:v>
                </c:pt>
                <c:pt idx="925">
                  <c:v>-5.3136222969384166</c:v>
                </c:pt>
                <c:pt idx="926">
                  <c:v>-5.3346800035606874</c:v>
                </c:pt>
                <c:pt idx="927">
                  <c:v>-5.3124263873144875</c:v>
                </c:pt>
                <c:pt idx="928">
                  <c:v>-5.2627657297179802</c:v>
                </c:pt>
                <c:pt idx="929">
                  <c:v>-5.2490858473102699</c:v>
                </c:pt>
                <c:pt idx="930">
                  <c:v>-5.2773574298186725</c:v>
                </c:pt>
                <c:pt idx="931">
                  <c:v>-5.3084513515873644</c:v>
                </c:pt>
                <c:pt idx="932">
                  <c:v>-5.3390110468879755</c:v>
                </c:pt>
                <c:pt idx="933">
                  <c:v>-5.308869238961563</c:v>
                </c:pt>
                <c:pt idx="934">
                  <c:v>-5.3271555542727009</c:v>
                </c:pt>
                <c:pt idx="935">
                  <c:v>-5.3088523184621215</c:v>
                </c:pt>
                <c:pt idx="936">
                  <c:v>-5.3462090184462676</c:v>
                </c:pt>
                <c:pt idx="937">
                  <c:v>-5.3649530620826331</c:v>
                </c:pt>
                <c:pt idx="938">
                  <c:v>-5.3887201066704682</c:v>
                </c:pt>
                <c:pt idx="939">
                  <c:v>-5.3950200153601662</c:v>
                </c:pt>
                <c:pt idx="940">
                  <c:v>-5.3932017816536506</c:v>
                </c:pt>
                <c:pt idx="941">
                  <c:v>-5.3903115227982603</c:v>
                </c:pt>
                <c:pt idx="942">
                  <c:v>-5.3787458766112719</c:v>
                </c:pt>
                <c:pt idx="943">
                  <c:v>-5.3667801305462888</c:v>
                </c:pt>
                <c:pt idx="944">
                  <c:v>-5.3714487567386771</c:v>
                </c:pt>
                <c:pt idx="945">
                  <c:v>-5.3393074478873883</c:v>
                </c:pt>
                <c:pt idx="946">
                  <c:v>-5.3417125179698175</c:v>
                </c:pt>
                <c:pt idx="947">
                  <c:v>-5.3326851717117458</c:v>
                </c:pt>
                <c:pt idx="948">
                  <c:v>-5.3859658897026881</c:v>
                </c:pt>
                <c:pt idx="949">
                  <c:v>-5.373299132032745</c:v>
                </c:pt>
                <c:pt idx="950">
                  <c:v>-5.3626520167035041</c:v>
                </c:pt>
                <c:pt idx="951">
                  <c:v>-5.3411894354704623</c:v>
                </c:pt>
                <c:pt idx="952">
                  <c:v>-5.3490937770674689</c:v>
                </c:pt>
                <c:pt idx="953">
                  <c:v>-5.3572231138035278</c:v>
                </c:pt>
                <c:pt idx="954">
                  <c:v>-5.3497357724883585</c:v>
                </c:pt>
                <c:pt idx="955">
                  <c:v>-5.3212881954383038</c:v>
                </c:pt>
                <c:pt idx="956">
                  <c:v>-5.2999527874845453</c:v>
                </c:pt>
                <c:pt idx="957">
                  <c:v>-5.2828371914785057</c:v>
                </c:pt>
                <c:pt idx="958">
                  <c:v>-5.2807575004917</c:v>
                </c:pt>
                <c:pt idx="959">
                  <c:v>-5.2597060883237621</c:v>
                </c:pt>
                <c:pt idx="960">
                  <c:v>-5.285673939746971</c:v>
                </c:pt>
                <c:pt idx="961">
                  <c:v>-5.295259353909386</c:v>
                </c:pt>
                <c:pt idx="962">
                  <c:v>-5.2959134274572355</c:v>
                </c:pt>
                <c:pt idx="963">
                  <c:v>-5.2508538000403284</c:v>
                </c:pt>
                <c:pt idx="964">
                  <c:v>-5.2346163027313262</c:v>
                </c:pt>
                <c:pt idx="965">
                  <c:v>-5.2422345949324294</c:v>
                </c:pt>
                <c:pt idx="966">
                  <c:v>-5.2437078693680892</c:v>
                </c:pt>
                <c:pt idx="967">
                  <c:v>-5.2302193971431237</c:v>
                </c:pt>
                <c:pt idx="968">
                  <c:v>-5.2119460483739521</c:v>
                </c:pt>
                <c:pt idx="969">
                  <c:v>-5.2027970396935297</c:v>
                </c:pt>
                <c:pt idx="970">
                  <c:v>-5.2012007223201628</c:v>
                </c:pt>
                <c:pt idx="971">
                  <c:v>-5.1995503214739829</c:v>
                </c:pt>
                <c:pt idx="972">
                  <c:v>-5.1978430379718992</c:v>
                </c:pt>
                <c:pt idx="973">
                  <c:v>-5.196075876744132</c:v>
                </c:pt>
                <c:pt idx="974">
                  <c:v>-5.1942456277419389</c:v>
                </c:pt>
                <c:pt idx="975">
                  <c:v>-5.1887505494391881</c:v>
                </c:pt>
                <c:pt idx="976">
                  <c:v>-5.2243603064226463</c:v>
                </c:pt>
                <c:pt idx="977">
                  <c:v>-5.2190663696751827</c:v>
                </c:pt>
                <c:pt idx="978">
                  <c:v>-5.2265985443104306</c:v>
                </c:pt>
                <c:pt idx="979">
                  <c:v>-5.2005041432382253</c:v>
                </c:pt>
                <c:pt idx="980">
                  <c:v>-5.2286802066970095</c:v>
                </c:pt>
                <c:pt idx="981">
                  <c:v>-5.254834163639365</c:v>
                </c:pt>
                <c:pt idx="982">
                  <c:v>-5.249962979091503</c:v>
                </c:pt>
                <c:pt idx="983">
                  <c:v>-5.2425860233591504</c:v>
                </c:pt>
                <c:pt idx="984">
                  <c:v>-5.214590601309685</c:v>
                </c:pt>
                <c:pt idx="985">
                  <c:v>-5.2231281722724674</c:v>
                </c:pt>
                <c:pt idx="986">
                  <c:v>-5.2387653253377442</c:v>
                </c:pt>
                <c:pt idx="987">
                  <c:v>-5.2566947360363256</c:v>
                </c:pt>
                <c:pt idx="988">
                  <c:v>-5.2680777567328407</c:v>
                </c:pt>
                <c:pt idx="989">
                  <c:v>-5.2737865490801417</c:v>
                </c:pt>
                <c:pt idx="990">
                  <c:v>-5.2895037285176487</c:v>
                </c:pt>
                <c:pt idx="991">
                  <c:v>-5.306757455765438</c:v>
                </c:pt>
                <c:pt idx="992">
                  <c:v>-5.3371279489264154</c:v>
                </c:pt>
                <c:pt idx="993">
                  <c:v>-5.3556276904075863</c:v>
                </c:pt>
                <c:pt idx="994">
                  <c:v>-5.346536928820818</c:v>
                </c:pt>
                <c:pt idx="995">
                  <c:v>-5.3047795268377049</c:v>
                </c:pt>
                <c:pt idx="996">
                  <c:v>-5.2653753479486527</c:v>
                </c:pt>
                <c:pt idx="997">
                  <c:v>-5.2585693714361961</c:v>
                </c:pt>
                <c:pt idx="998">
                  <c:v>-5.2563022776694268</c:v>
                </c:pt>
                <c:pt idx="999">
                  <c:v>-5.2735099116258999</c:v>
                </c:pt>
                <c:pt idx="1000">
                  <c:v>-5.2979131847256058</c:v>
                </c:pt>
                <c:pt idx="1001">
                  <c:v>-5.3388952766855482</c:v>
                </c:pt>
                <c:pt idx="1002">
                  <c:v>-5.3708762389687834</c:v>
                </c:pt>
                <c:pt idx="1003">
                  <c:v>-5.3536637341260223</c:v>
                </c:pt>
                <c:pt idx="1004">
                  <c:v>-5.3121274397683615</c:v>
                </c:pt>
                <c:pt idx="1005">
                  <c:v>-5.2598325072643712</c:v>
                </c:pt>
                <c:pt idx="1006">
                  <c:v>-5.2466808137851357</c:v>
                </c:pt>
                <c:pt idx="1007">
                  <c:v>-5.2491905247097828</c:v>
                </c:pt>
                <c:pt idx="1008">
                  <c:v>-5.251933664279206</c:v>
                </c:pt>
                <c:pt idx="1009">
                  <c:v>-5.2508854150653503</c:v>
                </c:pt>
                <c:pt idx="1010">
                  <c:v>-5.2589018264344238</c:v>
                </c:pt>
                <c:pt idx="1011">
                  <c:v>-5.2617675877934849</c:v>
                </c:pt>
                <c:pt idx="1012">
                  <c:v>-5.2518739387001263</c:v>
                </c:pt>
                <c:pt idx="1013">
                  <c:v>-5.2255294981949501</c:v>
                </c:pt>
                <c:pt idx="1014">
                  <c:v>-5.2176272965744781</c:v>
                </c:pt>
                <c:pt idx="1015">
                  <c:v>-5.2132068199768948</c:v>
                </c:pt>
                <c:pt idx="1016">
                  <c:v>-5.2091557120807765</c:v>
                </c:pt>
                <c:pt idx="1017">
                  <c:v>-5.2051229059949344</c:v>
                </c:pt>
                <c:pt idx="1018">
                  <c:v>-5.2219675476277674</c:v>
                </c:pt>
                <c:pt idx="1019">
                  <c:v>-5.2178092210149378</c:v>
                </c:pt>
                <c:pt idx="1020">
                  <c:v>-5.23676416678164</c:v>
                </c:pt>
                <c:pt idx="1021">
                  <c:v>-5.2258974421870734</c:v>
                </c:pt>
                <c:pt idx="1022">
                  <c:v>-5.2494227373377704</c:v>
                </c:pt>
                <c:pt idx="1023">
                  <c:v>-5.2413548104390264</c:v>
                </c:pt>
                <c:pt idx="1024">
                  <c:v>-5.2440285160512605</c:v>
                </c:pt>
                <c:pt idx="1025">
                  <c:v>-5.240164419573702</c:v>
                </c:pt>
                <c:pt idx="1026">
                  <c:v>-5.2387059371786657</c:v>
                </c:pt>
                <c:pt idx="1027">
                  <c:v>-5.2294646487168857</c:v>
                </c:pt>
                <c:pt idx="1028">
                  <c:v>-5.2195579499906684</c:v>
                </c:pt>
                <c:pt idx="1029">
                  <c:v>-5.2133676177155159</c:v>
                </c:pt>
                <c:pt idx="1030">
                  <c:v>-5.2529885178935647</c:v>
                </c:pt>
                <c:pt idx="1031">
                  <c:v>-5.2737062479907548</c:v>
                </c:pt>
                <c:pt idx="1032">
                  <c:v>-5.2701762249796573</c:v>
                </c:pt>
                <c:pt idx="1033">
                  <c:v>-5.242757288983058</c:v>
                </c:pt>
                <c:pt idx="1034">
                  <c:v>-5.2445828973861923</c:v>
                </c:pt>
                <c:pt idx="1035">
                  <c:v>-5.2630611468771429</c:v>
                </c:pt>
                <c:pt idx="1036">
                  <c:v>-5.2729580177639397</c:v>
                </c:pt>
                <c:pt idx="1037">
                  <c:v>-5.2712939417650793</c:v>
                </c:pt>
                <c:pt idx="1038">
                  <c:v>-5.272442616819208</c:v>
                </c:pt>
                <c:pt idx="1039">
                  <c:v>-5.2813984388093376</c:v>
                </c:pt>
                <c:pt idx="1040">
                  <c:v>-5.2785022046507502</c:v>
                </c:pt>
                <c:pt idx="1041">
                  <c:v>-5.281425662379263</c:v>
                </c:pt>
                <c:pt idx="1042">
                  <c:v>-5.2876581103377802</c:v>
                </c:pt>
                <c:pt idx="1043">
                  <c:v>-5.2933545519892435</c:v>
                </c:pt>
                <c:pt idx="1044">
                  <c:v>-5.3045368117501246</c:v>
                </c:pt>
                <c:pt idx="1045">
                  <c:v>-5.2721904684471506</c:v>
                </c:pt>
                <c:pt idx="1046">
                  <c:v>-5.2318753084039846</c:v>
                </c:pt>
                <c:pt idx="1047">
                  <c:v>-5.1693545561993881</c:v>
                </c:pt>
                <c:pt idx="1048">
                  <c:v>-5.1342761254865206</c:v>
                </c:pt>
                <c:pt idx="1049">
                  <c:v>-5.1141164649321631</c:v>
                </c:pt>
                <c:pt idx="1050">
                  <c:v>-5.1019711635257181</c:v>
                </c:pt>
                <c:pt idx="1051">
                  <c:v>-5.084810389859955</c:v>
                </c:pt>
                <c:pt idx="1052">
                  <c:v>-5.1052758640096201</c:v>
                </c:pt>
                <c:pt idx="1053">
                  <c:v>-5.1276808199587807</c:v>
                </c:pt>
                <c:pt idx="1054">
                  <c:v>-5.160594581302373</c:v>
                </c:pt>
                <c:pt idx="1055">
                  <c:v>-5.1517157753025993</c:v>
                </c:pt>
                <c:pt idx="1056">
                  <c:v>-5.1318159877805387</c:v>
                </c:pt>
                <c:pt idx="1057">
                  <c:v>-5.122222330199306</c:v>
                </c:pt>
                <c:pt idx="1058">
                  <c:v>-5.1480089707755914</c:v>
                </c:pt>
                <c:pt idx="1059">
                  <c:v>-5.1459565505050948</c:v>
                </c:pt>
                <c:pt idx="1060">
                  <c:v>-5.1249073639574334</c:v>
                </c:pt>
                <c:pt idx="1061">
                  <c:v>-5.0876482679572455</c:v>
                </c:pt>
                <c:pt idx="1062">
                  <c:v>-5.1074086721395426</c:v>
                </c:pt>
                <c:pt idx="1063">
                  <c:v>-5.1216860651263962</c:v>
                </c:pt>
                <c:pt idx="1064">
                  <c:v>-5.1238906704248679</c:v>
                </c:pt>
                <c:pt idx="1065">
                  <c:v>-5.1124349062982892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55-4A94-B4A1-D1F2199D9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849088"/>
        <c:axId val="732139696"/>
      </c:scatterChart>
      <c:valAx>
        <c:axId val="670849088"/>
        <c:scaling>
          <c:orientation val="minMax"/>
          <c:max val="35"/>
          <c:min val="8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2000" baseline="0"/>
                  <a:t>Age (ka BP)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cross"/>
        <c:minorTickMark val="out"/>
        <c:tickLblPos val="low"/>
        <c:spPr>
          <a:noFill/>
          <a:ln w="1270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732139696"/>
        <c:crosses val="autoZero"/>
        <c:crossBetween val="midCat"/>
        <c:majorUnit val="1"/>
      </c:valAx>
      <c:valAx>
        <c:axId val="732139696"/>
        <c:scaling>
          <c:orientation val="minMax"/>
          <c:max val="-5"/>
          <c:min val="-6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2000" baseline="0"/>
                  <a:t>ln Br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670849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'XRF selectie'!$Y$2:$Y$1067</c:f>
              <c:numCache>
                <c:formatCode>General</c:formatCode>
                <c:ptCount val="1066"/>
                <c:pt idx="0">
                  <c:v>8.6873684200000003</c:v>
                </c:pt>
                <c:pt idx="1">
                  <c:v>8.7033157899999996</c:v>
                </c:pt>
                <c:pt idx="2">
                  <c:v>8.7192631600000006</c:v>
                </c:pt>
                <c:pt idx="3">
                  <c:v>8.7352105299999998</c:v>
                </c:pt>
                <c:pt idx="4">
                  <c:v>8.7511579000000008</c:v>
                </c:pt>
                <c:pt idx="5">
                  <c:v>8.7671052599999992</c:v>
                </c:pt>
                <c:pt idx="6">
                  <c:v>8.7830526300000002</c:v>
                </c:pt>
                <c:pt idx="7">
                  <c:v>8.7989999999999995</c:v>
                </c:pt>
                <c:pt idx="8">
                  <c:v>8.8149473700000005</c:v>
                </c:pt>
                <c:pt idx="9">
                  <c:v>8.8308947399999997</c:v>
                </c:pt>
                <c:pt idx="10">
                  <c:v>8.8468421100000008</c:v>
                </c:pt>
                <c:pt idx="11">
                  <c:v>8.8627894699999992</c:v>
                </c:pt>
                <c:pt idx="12">
                  <c:v>8.8787368400000002</c:v>
                </c:pt>
                <c:pt idx="13">
                  <c:v>8.8946842099999994</c:v>
                </c:pt>
                <c:pt idx="14">
                  <c:v>8.9106315800000004</c:v>
                </c:pt>
                <c:pt idx="15">
                  <c:v>8.9265789499999997</c:v>
                </c:pt>
                <c:pt idx="16">
                  <c:v>8.9425263200000007</c:v>
                </c:pt>
                <c:pt idx="17">
                  <c:v>8.9584736800000009</c:v>
                </c:pt>
                <c:pt idx="18">
                  <c:v>8.9744210500000001</c:v>
                </c:pt>
                <c:pt idx="19">
                  <c:v>8.9903684199999994</c:v>
                </c:pt>
                <c:pt idx="20">
                  <c:v>9.0063157900000004</c:v>
                </c:pt>
                <c:pt idx="21">
                  <c:v>9.0222631599999996</c:v>
                </c:pt>
                <c:pt idx="22">
                  <c:v>9.0382105300000006</c:v>
                </c:pt>
                <c:pt idx="23">
                  <c:v>9.0541578999999999</c:v>
                </c:pt>
                <c:pt idx="24">
                  <c:v>9.0701052600000001</c:v>
                </c:pt>
                <c:pt idx="25">
                  <c:v>9.0860526299999993</c:v>
                </c:pt>
                <c:pt idx="26">
                  <c:v>9.1020000000000003</c:v>
                </c:pt>
                <c:pt idx="27">
                  <c:v>9.1179473699999996</c:v>
                </c:pt>
                <c:pt idx="28">
                  <c:v>9.1338947400000006</c:v>
                </c:pt>
                <c:pt idx="29">
                  <c:v>9.1498421099999998</c:v>
                </c:pt>
                <c:pt idx="30">
                  <c:v>9.16578947</c:v>
                </c:pt>
                <c:pt idx="31">
                  <c:v>9.1817368399999992</c:v>
                </c:pt>
                <c:pt idx="32">
                  <c:v>9.1976842100000002</c:v>
                </c:pt>
                <c:pt idx="33">
                  <c:v>9.2136315799999995</c:v>
                </c:pt>
                <c:pt idx="34">
                  <c:v>9.2295789500000005</c:v>
                </c:pt>
                <c:pt idx="35">
                  <c:v>9.2455263199999997</c:v>
                </c:pt>
                <c:pt idx="36">
                  <c:v>9.2614736799999999</c:v>
                </c:pt>
                <c:pt idx="37">
                  <c:v>9.2774210499999992</c:v>
                </c:pt>
                <c:pt idx="38">
                  <c:v>9.2933684200000002</c:v>
                </c:pt>
                <c:pt idx="39">
                  <c:v>9.3093157899999994</c:v>
                </c:pt>
                <c:pt idx="40">
                  <c:v>9.3252631600000004</c:v>
                </c:pt>
                <c:pt idx="41">
                  <c:v>9.3412105299999997</c:v>
                </c:pt>
                <c:pt idx="42">
                  <c:v>9.3571579000000007</c:v>
                </c:pt>
                <c:pt idx="43">
                  <c:v>9.3731052600000009</c:v>
                </c:pt>
                <c:pt idx="44">
                  <c:v>9.3890526300000001</c:v>
                </c:pt>
                <c:pt idx="45">
                  <c:v>9.4049999999999994</c:v>
                </c:pt>
                <c:pt idx="46">
                  <c:v>9.4209473700000004</c:v>
                </c:pt>
                <c:pt idx="47">
                  <c:v>9.4368947399999996</c:v>
                </c:pt>
                <c:pt idx="48">
                  <c:v>9.4528421100000006</c:v>
                </c:pt>
                <c:pt idx="49">
                  <c:v>9.4687894700000008</c:v>
                </c:pt>
                <c:pt idx="50">
                  <c:v>9.4847368400000001</c:v>
                </c:pt>
                <c:pt idx="51">
                  <c:v>9.5006842099999993</c:v>
                </c:pt>
                <c:pt idx="52">
                  <c:v>9.5166315800000003</c:v>
                </c:pt>
                <c:pt idx="53">
                  <c:v>9.5325789499999996</c:v>
                </c:pt>
                <c:pt idx="54">
                  <c:v>9.5485263200000006</c:v>
                </c:pt>
                <c:pt idx="55">
                  <c:v>9.5644736800000008</c:v>
                </c:pt>
                <c:pt idx="56">
                  <c:v>9.58042105</c:v>
                </c:pt>
                <c:pt idx="57">
                  <c:v>9.5963684199999992</c:v>
                </c:pt>
                <c:pt idx="58">
                  <c:v>9.6123157900000002</c:v>
                </c:pt>
                <c:pt idx="59">
                  <c:v>9.6282631599999995</c:v>
                </c:pt>
                <c:pt idx="60">
                  <c:v>9.6442105300000005</c:v>
                </c:pt>
                <c:pt idx="61">
                  <c:v>9.6601578999999997</c:v>
                </c:pt>
                <c:pt idx="62">
                  <c:v>9.6761052599999999</c:v>
                </c:pt>
                <c:pt idx="63">
                  <c:v>9.6920526299999992</c:v>
                </c:pt>
                <c:pt idx="64">
                  <c:v>9.7080000000000002</c:v>
                </c:pt>
                <c:pt idx="65">
                  <c:v>9.7239473699999994</c:v>
                </c:pt>
                <c:pt idx="66">
                  <c:v>9.7398947400000004</c:v>
                </c:pt>
                <c:pt idx="67">
                  <c:v>9.7558421099999997</c:v>
                </c:pt>
                <c:pt idx="68">
                  <c:v>9.7717894699999999</c:v>
                </c:pt>
                <c:pt idx="69">
                  <c:v>9.7877368400000009</c:v>
                </c:pt>
                <c:pt idx="70">
                  <c:v>9.8036842100000001</c:v>
                </c:pt>
                <c:pt idx="71">
                  <c:v>9.8196315799999994</c:v>
                </c:pt>
                <c:pt idx="72">
                  <c:v>9.8355789500000004</c:v>
                </c:pt>
                <c:pt idx="73">
                  <c:v>9.8515263199999996</c:v>
                </c:pt>
                <c:pt idx="74">
                  <c:v>9.8674736799999998</c:v>
                </c:pt>
                <c:pt idx="75">
                  <c:v>9.8834210500000008</c:v>
                </c:pt>
                <c:pt idx="76">
                  <c:v>9.8993684200000001</c:v>
                </c:pt>
                <c:pt idx="77">
                  <c:v>9.9153157899999993</c:v>
                </c:pt>
                <c:pt idx="78">
                  <c:v>9.9312631600000003</c:v>
                </c:pt>
                <c:pt idx="79">
                  <c:v>9.9472105299999996</c:v>
                </c:pt>
                <c:pt idx="80">
                  <c:v>9.9631579000000006</c:v>
                </c:pt>
                <c:pt idx="81">
                  <c:v>9.9791052600000008</c:v>
                </c:pt>
                <c:pt idx="82">
                  <c:v>9.99505263</c:v>
                </c:pt>
                <c:pt idx="83">
                  <c:v>10.010999999999999</c:v>
                </c:pt>
                <c:pt idx="84">
                  <c:v>10.026947399999999</c:v>
                </c:pt>
                <c:pt idx="85">
                  <c:v>10.0428947</c:v>
                </c:pt>
                <c:pt idx="86">
                  <c:v>10.0588421</c:v>
                </c:pt>
                <c:pt idx="87">
                  <c:v>10.0747895</c:v>
                </c:pt>
                <c:pt idx="88">
                  <c:v>10.0907368</c:v>
                </c:pt>
                <c:pt idx="89">
                  <c:v>10.1066842</c:v>
                </c:pt>
                <c:pt idx="90">
                  <c:v>10.1226316</c:v>
                </c:pt>
                <c:pt idx="91">
                  <c:v>10.138579</c:v>
                </c:pt>
                <c:pt idx="92">
                  <c:v>10.154526300000001</c:v>
                </c:pt>
                <c:pt idx="93">
                  <c:v>10.170473700000001</c:v>
                </c:pt>
                <c:pt idx="94">
                  <c:v>10.1864211</c:v>
                </c:pt>
                <c:pt idx="95">
                  <c:v>10.202368399999999</c:v>
                </c:pt>
                <c:pt idx="96">
                  <c:v>10.218315799999999</c:v>
                </c:pt>
                <c:pt idx="97">
                  <c:v>10.234263199999999</c:v>
                </c:pt>
                <c:pt idx="98">
                  <c:v>10.2502105</c:v>
                </c:pt>
                <c:pt idx="99">
                  <c:v>10.2661579</c:v>
                </c:pt>
                <c:pt idx="100">
                  <c:v>10.2821053</c:v>
                </c:pt>
                <c:pt idx="101">
                  <c:v>10.2980526</c:v>
                </c:pt>
                <c:pt idx="102">
                  <c:v>10.314</c:v>
                </c:pt>
                <c:pt idx="103">
                  <c:v>10.3299474</c:v>
                </c:pt>
                <c:pt idx="104">
                  <c:v>10.345894700000001</c:v>
                </c:pt>
                <c:pt idx="105">
                  <c:v>10.3618421</c:v>
                </c:pt>
                <c:pt idx="106">
                  <c:v>10.3777895</c:v>
                </c:pt>
                <c:pt idx="107">
                  <c:v>10.393736799999999</c:v>
                </c:pt>
                <c:pt idx="108">
                  <c:v>10.409684199999999</c:v>
                </c:pt>
                <c:pt idx="109">
                  <c:v>10.425631600000001</c:v>
                </c:pt>
                <c:pt idx="110">
                  <c:v>10.441579000000001</c:v>
                </c:pt>
                <c:pt idx="111">
                  <c:v>10.4575263</c:v>
                </c:pt>
                <c:pt idx="112">
                  <c:v>10.4734737</c:v>
                </c:pt>
                <c:pt idx="113">
                  <c:v>10.489421099999999</c:v>
                </c:pt>
                <c:pt idx="114">
                  <c:v>10.5053684</c:v>
                </c:pt>
                <c:pt idx="115">
                  <c:v>10.5213158</c:v>
                </c:pt>
                <c:pt idx="116">
                  <c:v>10.5372632</c:v>
                </c:pt>
                <c:pt idx="117">
                  <c:v>10.5532105</c:v>
                </c:pt>
                <c:pt idx="118">
                  <c:v>10.5691579</c:v>
                </c:pt>
                <c:pt idx="119">
                  <c:v>10.5851053</c:v>
                </c:pt>
                <c:pt idx="120">
                  <c:v>10.601052599999999</c:v>
                </c:pt>
                <c:pt idx="121">
                  <c:v>10.617000000000001</c:v>
                </c:pt>
                <c:pt idx="122">
                  <c:v>10.632947400000001</c:v>
                </c:pt>
                <c:pt idx="123">
                  <c:v>10.6488947</c:v>
                </c:pt>
                <c:pt idx="124">
                  <c:v>10.6648421</c:v>
                </c:pt>
                <c:pt idx="125">
                  <c:v>10.680789499999999</c:v>
                </c:pt>
                <c:pt idx="126">
                  <c:v>10.6967368</c:v>
                </c:pt>
                <c:pt idx="127">
                  <c:v>10.7126842</c:v>
                </c:pt>
                <c:pt idx="128">
                  <c:v>10.7286316</c:v>
                </c:pt>
                <c:pt idx="129">
                  <c:v>10.744579</c:v>
                </c:pt>
                <c:pt idx="130">
                  <c:v>10.7605263</c:v>
                </c:pt>
                <c:pt idx="131">
                  <c:v>10.7764737</c:v>
                </c:pt>
                <c:pt idx="132">
                  <c:v>10.7924211</c:v>
                </c:pt>
                <c:pt idx="133">
                  <c:v>10.808368400000001</c:v>
                </c:pt>
                <c:pt idx="134">
                  <c:v>10.824315800000001</c:v>
                </c:pt>
                <c:pt idx="135">
                  <c:v>10.840263200000001</c:v>
                </c:pt>
                <c:pt idx="136">
                  <c:v>10.8562105</c:v>
                </c:pt>
                <c:pt idx="137">
                  <c:v>10.872157899999999</c:v>
                </c:pt>
                <c:pt idx="138">
                  <c:v>10.888105299999999</c:v>
                </c:pt>
                <c:pt idx="139">
                  <c:v>10.9040526</c:v>
                </c:pt>
                <c:pt idx="140">
                  <c:v>10.92</c:v>
                </c:pt>
                <c:pt idx="141">
                  <c:v>10.9359474</c:v>
                </c:pt>
                <c:pt idx="142">
                  <c:v>10.9518947</c:v>
                </c:pt>
                <c:pt idx="143">
                  <c:v>10.9678421</c:v>
                </c:pt>
                <c:pt idx="144">
                  <c:v>10.9837895</c:v>
                </c:pt>
                <c:pt idx="145">
                  <c:v>10.999736800000001</c:v>
                </c:pt>
                <c:pt idx="146">
                  <c:v>11.015684200000001</c:v>
                </c:pt>
                <c:pt idx="147">
                  <c:v>11.031631600000001</c:v>
                </c:pt>
                <c:pt idx="148">
                  <c:v>11.047579000000001</c:v>
                </c:pt>
                <c:pt idx="149">
                  <c:v>11.063526299999999</c:v>
                </c:pt>
                <c:pt idx="150">
                  <c:v>11.079473699999999</c:v>
                </c:pt>
                <c:pt idx="151">
                  <c:v>11.095421099999999</c:v>
                </c:pt>
                <c:pt idx="152">
                  <c:v>11.1113684</c:v>
                </c:pt>
                <c:pt idx="153">
                  <c:v>11.1273158</c:v>
                </c:pt>
                <c:pt idx="154">
                  <c:v>11.1432632</c:v>
                </c:pt>
                <c:pt idx="155">
                  <c:v>11.1592105</c:v>
                </c:pt>
                <c:pt idx="156">
                  <c:v>11.1751579</c:v>
                </c:pt>
                <c:pt idx="157">
                  <c:v>11.1911053</c:v>
                </c:pt>
                <c:pt idx="158">
                  <c:v>11.207052600000001</c:v>
                </c:pt>
                <c:pt idx="159">
                  <c:v>11.223000000000001</c:v>
                </c:pt>
                <c:pt idx="160">
                  <c:v>11.238947400000001</c:v>
                </c:pt>
                <c:pt idx="161">
                  <c:v>11.254894699999999</c:v>
                </c:pt>
                <c:pt idx="162">
                  <c:v>11.270842099999999</c:v>
                </c:pt>
                <c:pt idx="163">
                  <c:v>11.286789499999999</c:v>
                </c:pt>
                <c:pt idx="164">
                  <c:v>11.3027368</c:v>
                </c:pt>
                <c:pt idx="165">
                  <c:v>11.3186842</c:v>
                </c:pt>
                <c:pt idx="166">
                  <c:v>11.3346316</c:v>
                </c:pt>
                <c:pt idx="167">
                  <c:v>11.350579</c:v>
                </c:pt>
                <c:pt idx="168">
                  <c:v>11.3665263</c:v>
                </c:pt>
                <c:pt idx="169">
                  <c:v>11.3824737</c:v>
                </c:pt>
                <c:pt idx="170">
                  <c:v>11.3984211</c:v>
                </c:pt>
                <c:pt idx="171">
                  <c:v>11.414368400000001</c:v>
                </c:pt>
                <c:pt idx="172">
                  <c:v>11.430315800000001</c:v>
                </c:pt>
                <c:pt idx="173">
                  <c:v>11.446263200000001</c:v>
                </c:pt>
                <c:pt idx="174">
                  <c:v>11.462210499999999</c:v>
                </c:pt>
                <c:pt idx="175">
                  <c:v>11.478157899999999</c:v>
                </c:pt>
                <c:pt idx="176">
                  <c:v>11.494105299999999</c:v>
                </c:pt>
                <c:pt idx="177">
                  <c:v>11.5100526</c:v>
                </c:pt>
                <c:pt idx="178">
                  <c:v>11.526</c:v>
                </c:pt>
                <c:pt idx="179">
                  <c:v>11.5446214</c:v>
                </c:pt>
                <c:pt idx="180">
                  <c:v>11.5632427</c:v>
                </c:pt>
                <c:pt idx="181">
                  <c:v>11.581864100000001</c:v>
                </c:pt>
                <c:pt idx="182">
                  <c:v>11.6004854</c:v>
                </c:pt>
                <c:pt idx="183">
                  <c:v>11.619106800000001</c:v>
                </c:pt>
                <c:pt idx="184">
                  <c:v>11.6377282</c:v>
                </c:pt>
                <c:pt idx="185">
                  <c:v>11.656349499999999</c:v>
                </c:pt>
                <c:pt idx="186">
                  <c:v>11.6749709</c:v>
                </c:pt>
                <c:pt idx="187">
                  <c:v>11.693592199999999</c:v>
                </c:pt>
                <c:pt idx="188">
                  <c:v>11.7122136</c:v>
                </c:pt>
                <c:pt idx="189">
                  <c:v>11.730835000000001</c:v>
                </c:pt>
                <c:pt idx="190">
                  <c:v>11.7494563</c:v>
                </c:pt>
                <c:pt idx="191">
                  <c:v>11.768077699999999</c:v>
                </c:pt>
                <c:pt idx="192">
                  <c:v>11.786699</c:v>
                </c:pt>
                <c:pt idx="193">
                  <c:v>11.805320399999999</c:v>
                </c:pt>
                <c:pt idx="194">
                  <c:v>11.8239418</c:v>
                </c:pt>
                <c:pt idx="195">
                  <c:v>11.8425631</c:v>
                </c:pt>
                <c:pt idx="196">
                  <c:v>11.8611845</c:v>
                </c:pt>
                <c:pt idx="197">
                  <c:v>11.8798058</c:v>
                </c:pt>
                <c:pt idx="198">
                  <c:v>11.8984272</c:v>
                </c:pt>
                <c:pt idx="199">
                  <c:v>11.9170485</c:v>
                </c:pt>
                <c:pt idx="200">
                  <c:v>11.935669900000001</c:v>
                </c:pt>
                <c:pt idx="201">
                  <c:v>11.9542913</c:v>
                </c:pt>
                <c:pt idx="202">
                  <c:v>11.972912600000001</c:v>
                </c:pt>
                <c:pt idx="203">
                  <c:v>11.991534</c:v>
                </c:pt>
                <c:pt idx="204">
                  <c:v>12.010155299999999</c:v>
                </c:pt>
                <c:pt idx="205">
                  <c:v>12.0287767</c:v>
                </c:pt>
                <c:pt idx="206">
                  <c:v>12.047398100000001</c:v>
                </c:pt>
                <c:pt idx="207">
                  <c:v>12.0660194</c:v>
                </c:pt>
                <c:pt idx="208">
                  <c:v>12.084640800000001</c:v>
                </c:pt>
                <c:pt idx="209">
                  <c:v>12.1032621</c:v>
                </c:pt>
                <c:pt idx="210">
                  <c:v>12.121883499999999</c:v>
                </c:pt>
                <c:pt idx="211">
                  <c:v>12.1405049</c:v>
                </c:pt>
                <c:pt idx="212">
                  <c:v>12.159126199999999</c:v>
                </c:pt>
                <c:pt idx="213">
                  <c:v>12.1777476</c:v>
                </c:pt>
                <c:pt idx="214">
                  <c:v>12.1963689</c:v>
                </c:pt>
                <c:pt idx="215">
                  <c:v>12.2149903</c:v>
                </c:pt>
                <c:pt idx="216">
                  <c:v>12.233611700000001</c:v>
                </c:pt>
                <c:pt idx="217">
                  <c:v>12.252233</c:v>
                </c:pt>
                <c:pt idx="218">
                  <c:v>12.270854399999999</c:v>
                </c:pt>
                <c:pt idx="219">
                  <c:v>12.289475700000001</c:v>
                </c:pt>
                <c:pt idx="220">
                  <c:v>12.308097099999999</c:v>
                </c:pt>
                <c:pt idx="221">
                  <c:v>12.3267185</c:v>
                </c:pt>
                <c:pt idx="222">
                  <c:v>12.3453398</c:v>
                </c:pt>
                <c:pt idx="223">
                  <c:v>12.3639612</c:v>
                </c:pt>
                <c:pt idx="224">
                  <c:v>12.3825825</c:v>
                </c:pt>
                <c:pt idx="225">
                  <c:v>12.401203900000001</c:v>
                </c:pt>
                <c:pt idx="226">
                  <c:v>12.4198252</c:v>
                </c:pt>
                <c:pt idx="227">
                  <c:v>12.438446600000001</c:v>
                </c:pt>
                <c:pt idx="228">
                  <c:v>12.457068</c:v>
                </c:pt>
                <c:pt idx="229">
                  <c:v>12.475689300000001</c:v>
                </c:pt>
                <c:pt idx="230">
                  <c:v>12.486911900000001</c:v>
                </c:pt>
                <c:pt idx="231">
                  <c:v>12.4907358</c:v>
                </c:pt>
                <c:pt idx="232">
                  <c:v>12.494559600000001</c:v>
                </c:pt>
                <c:pt idx="233">
                  <c:v>12.4983834</c:v>
                </c:pt>
                <c:pt idx="234">
                  <c:v>12.5022073</c:v>
                </c:pt>
                <c:pt idx="235">
                  <c:v>12.5060311</c:v>
                </c:pt>
                <c:pt idx="236">
                  <c:v>12.509854900000001</c:v>
                </c:pt>
                <c:pt idx="237">
                  <c:v>12.513678799999999</c:v>
                </c:pt>
                <c:pt idx="238">
                  <c:v>12.5175026</c:v>
                </c:pt>
                <c:pt idx="239">
                  <c:v>12.5213264</c:v>
                </c:pt>
                <c:pt idx="240">
                  <c:v>12.5251503</c:v>
                </c:pt>
                <c:pt idx="241">
                  <c:v>12.528974099999999</c:v>
                </c:pt>
                <c:pt idx="242">
                  <c:v>12.5327979</c:v>
                </c:pt>
                <c:pt idx="243">
                  <c:v>12.536621800000001</c:v>
                </c:pt>
                <c:pt idx="244">
                  <c:v>12.5404456</c:v>
                </c:pt>
                <c:pt idx="245">
                  <c:v>12.544269399999999</c:v>
                </c:pt>
                <c:pt idx="246">
                  <c:v>12.5480933</c:v>
                </c:pt>
                <c:pt idx="247">
                  <c:v>12.551917100000001</c:v>
                </c:pt>
                <c:pt idx="248">
                  <c:v>12.5557409</c:v>
                </c:pt>
                <c:pt idx="249">
                  <c:v>12.5595648</c:v>
                </c:pt>
                <c:pt idx="250">
                  <c:v>12.5633886</c:v>
                </c:pt>
                <c:pt idx="251">
                  <c:v>12.567212400000001</c:v>
                </c:pt>
                <c:pt idx="252">
                  <c:v>12.571036299999999</c:v>
                </c:pt>
                <c:pt idx="253">
                  <c:v>12.5748601</c:v>
                </c:pt>
                <c:pt idx="254">
                  <c:v>12.5786839</c:v>
                </c:pt>
                <c:pt idx="255">
                  <c:v>12.5825078</c:v>
                </c:pt>
                <c:pt idx="256">
                  <c:v>12.586331599999999</c:v>
                </c:pt>
                <c:pt idx="257">
                  <c:v>12.5901554</c:v>
                </c:pt>
                <c:pt idx="258">
                  <c:v>12.593979300000001</c:v>
                </c:pt>
                <c:pt idx="259">
                  <c:v>12.5978031</c:v>
                </c:pt>
                <c:pt idx="260">
                  <c:v>12.601626899999999</c:v>
                </c:pt>
                <c:pt idx="261">
                  <c:v>12.6054508</c:v>
                </c:pt>
                <c:pt idx="262">
                  <c:v>12.609274599999999</c:v>
                </c:pt>
                <c:pt idx="263">
                  <c:v>12.6130985</c:v>
                </c:pt>
                <c:pt idx="264">
                  <c:v>12.616922300000001</c:v>
                </c:pt>
                <c:pt idx="265">
                  <c:v>12.6207461</c:v>
                </c:pt>
                <c:pt idx="266">
                  <c:v>12.62457</c:v>
                </c:pt>
                <c:pt idx="267">
                  <c:v>12.6283938</c:v>
                </c:pt>
                <c:pt idx="268">
                  <c:v>12.632217600000001</c:v>
                </c:pt>
                <c:pt idx="269">
                  <c:v>12.636041499999999</c:v>
                </c:pt>
                <c:pt idx="270">
                  <c:v>12.6398653</c:v>
                </c:pt>
                <c:pt idx="271">
                  <c:v>12.6436891</c:v>
                </c:pt>
                <c:pt idx="272">
                  <c:v>12.647513</c:v>
                </c:pt>
                <c:pt idx="273">
                  <c:v>12.651336799999999</c:v>
                </c:pt>
                <c:pt idx="274">
                  <c:v>12.6551606</c:v>
                </c:pt>
                <c:pt idx="275">
                  <c:v>12.658984500000001</c:v>
                </c:pt>
                <c:pt idx="276">
                  <c:v>12.6628083</c:v>
                </c:pt>
                <c:pt idx="277">
                  <c:v>12.666632099999999</c:v>
                </c:pt>
                <c:pt idx="278">
                  <c:v>12.670456</c:v>
                </c:pt>
                <c:pt idx="279">
                  <c:v>12.674279800000001</c:v>
                </c:pt>
                <c:pt idx="280">
                  <c:v>12.6781036</c:v>
                </c:pt>
                <c:pt idx="281">
                  <c:v>12.6819275</c:v>
                </c:pt>
                <c:pt idx="282">
                  <c:v>12.6857513</c:v>
                </c:pt>
                <c:pt idx="283">
                  <c:v>12.689575100000001</c:v>
                </c:pt>
                <c:pt idx="284">
                  <c:v>12.693398999999999</c:v>
                </c:pt>
                <c:pt idx="285">
                  <c:v>12.6972228</c:v>
                </c:pt>
                <c:pt idx="286">
                  <c:v>12.7010466</c:v>
                </c:pt>
                <c:pt idx="287">
                  <c:v>12.7048705</c:v>
                </c:pt>
                <c:pt idx="288">
                  <c:v>12.708694299999999</c:v>
                </c:pt>
                <c:pt idx="289">
                  <c:v>12.7125181</c:v>
                </c:pt>
                <c:pt idx="290">
                  <c:v>12.716341999999999</c:v>
                </c:pt>
                <c:pt idx="291">
                  <c:v>12.7201658</c:v>
                </c:pt>
                <c:pt idx="292">
                  <c:v>12.723989599999999</c:v>
                </c:pt>
                <c:pt idx="293">
                  <c:v>12.7278135</c:v>
                </c:pt>
                <c:pt idx="294">
                  <c:v>12.731637299999999</c:v>
                </c:pt>
                <c:pt idx="295">
                  <c:v>12.7354611</c:v>
                </c:pt>
                <c:pt idx="296">
                  <c:v>12.739285000000001</c:v>
                </c:pt>
                <c:pt idx="297">
                  <c:v>12.7431088</c:v>
                </c:pt>
                <c:pt idx="298">
                  <c:v>12.746932599999999</c:v>
                </c:pt>
                <c:pt idx="299">
                  <c:v>12.7507565</c:v>
                </c:pt>
                <c:pt idx="300">
                  <c:v>12.754580300000001</c:v>
                </c:pt>
                <c:pt idx="301">
                  <c:v>12.758404199999999</c:v>
                </c:pt>
                <c:pt idx="302">
                  <c:v>12.762228</c:v>
                </c:pt>
                <c:pt idx="303">
                  <c:v>12.7660518</c:v>
                </c:pt>
                <c:pt idx="304">
                  <c:v>12.7698757</c:v>
                </c:pt>
                <c:pt idx="305">
                  <c:v>12.773699499999999</c:v>
                </c:pt>
                <c:pt idx="306">
                  <c:v>12.7775233</c:v>
                </c:pt>
                <c:pt idx="307">
                  <c:v>12.781347200000001</c:v>
                </c:pt>
                <c:pt idx="308">
                  <c:v>12.785171</c:v>
                </c:pt>
                <c:pt idx="309">
                  <c:v>12.788994799999999</c:v>
                </c:pt>
                <c:pt idx="310">
                  <c:v>12.7928187</c:v>
                </c:pt>
                <c:pt idx="311">
                  <c:v>12.796642500000001</c:v>
                </c:pt>
                <c:pt idx="312">
                  <c:v>12.8004663</c:v>
                </c:pt>
                <c:pt idx="313">
                  <c:v>12.804290200000001</c:v>
                </c:pt>
                <c:pt idx="314">
                  <c:v>12.808114</c:v>
                </c:pt>
                <c:pt idx="315">
                  <c:v>12.811937800000001</c:v>
                </c:pt>
                <c:pt idx="316">
                  <c:v>12.815761699999999</c:v>
                </c:pt>
                <c:pt idx="317">
                  <c:v>12.819585500000001</c:v>
                </c:pt>
                <c:pt idx="318">
                  <c:v>12.8234093</c:v>
                </c:pt>
                <c:pt idx="319">
                  <c:v>12.8272332</c:v>
                </c:pt>
                <c:pt idx="320">
                  <c:v>12.831056999999999</c:v>
                </c:pt>
                <c:pt idx="321">
                  <c:v>12.834880800000001</c:v>
                </c:pt>
                <c:pt idx="322">
                  <c:v>12.838704699999999</c:v>
                </c:pt>
                <c:pt idx="323">
                  <c:v>12.8425285</c:v>
                </c:pt>
                <c:pt idx="324">
                  <c:v>12.8463523</c:v>
                </c:pt>
                <c:pt idx="325">
                  <c:v>12.8501762</c:v>
                </c:pt>
                <c:pt idx="326">
                  <c:v>12.853999999999999</c:v>
                </c:pt>
                <c:pt idx="327">
                  <c:v>12.859033999999999</c:v>
                </c:pt>
                <c:pt idx="328">
                  <c:v>12.864068</c:v>
                </c:pt>
                <c:pt idx="329">
                  <c:v>12.869102</c:v>
                </c:pt>
                <c:pt idx="330">
                  <c:v>12.874136099999999</c:v>
                </c:pt>
                <c:pt idx="331">
                  <c:v>12.8791701</c:v>
                </c:pt>
                <c:pt idx="332">
                  <c:v>12.8842041</c:v>
                </c:pt>
                <c:pt idx="333">
                  <c:v>12.8892381</c:v>
                </c:pt>
                <c:pt idx="334">
                  <c:v>12.8942721</c:v>
                </c:pt>
                <c:pt idx="335">
                  <c:v>12.8993061</c:v>
                </c:pt>
                <c:pt idx="336">
                  <c:v>12.904340100000001</c:v>
                </c:pt>
                <c:pt idx="337">
                  <c:v>12.9093742</c:v>
                </c:pt>
                <c:pt idx="338">
                  <c:v>12.9144082</c:v>
                </c:pt>
                <c:pt idx="339">
                  <c:v>12.919442200000001</c:v>
                </c:pt>
                <c:pt idx="340">
                  <c:v>12.924476200000001</c:v>
                </c:pt>
                <c:pt idx="341">
                  <c:v>12.929510199999999</c:v>
                </c:pt>
                <c:pt idx="342">
                  <c:v>12.934544199999999</c:v>
                </c:pt>
                <c:pt idx="343">
                  <c:v>12.9395782</c:v>
                </c:pt>
                <c:pt idx="344">
                  <c:v>12.9446122</c:v>
                </c:pt>
                <c:pt idx="345">
                  <c:v>12.949646299999999</c:v>
                </c:pt>
                <c:pt idx="346">
                  <c:v>12.9546803</c:v>
                </c:pt>
                <c:pt idx="347">
                  <c:v>12.9597143</c:v>
                </c:pt>
                <c:pt idx="348">
                  <c:v>12.9647483</c:v>
                </c:pt>
                <c:pt idx="349">
                  <c:v>12.9697823</c:v>
                </c:pt>
                <c:pt idx="350">
                  <c:v>12.974816300000001</c:v>
                </c:pt>
                <c:pt idx="351">
                  <c:v>12.979850300000001</c:v>
                </c:pt>
                <c:pt idx="352">
                  <c:v>12.9848844</c:v>
                </c:pt>
                <c:pt idx="353">
                  <c:v>12.989918400000001</c:v>
                </c:pt>
                <c:pt idx="354">
                  <c:v>12.994952400000001</c:v>
                </c:pt>
                <c:pt idx="355">
                  <c:v>12.999986399999999</c:v>
                </c:pt>
                <c:pt idx="356">
                  <c:v>13.005020399999999</c:v>
                </c:pt>
                <c:pt idx="357">
                  <c:v>13.0100544</c:v>
                </c:pt>
                <c:pt idx="358">
                  <c:v>13.0150884</c:v>
                </c:pt>
                <c:pt idx="359">
                  <c:v>13.020122499999999</c:v>
                </c:pt>
                <c:pt idx="360">
                  <c:v>13.0251565</c:v>
                </c:pt>
                <c:pt idx="361">
                  <c:v>13.0301905</c:v>
                </c:pt>
                <c:pt idx="362">
                  <c:v>13.0352245</c:v>
                </c:pt>
                <c:pt idx="363">
                  <c:v>13.0402585</c:v>
                </c:pt>
                <c:pt idx="364">
                  <c:v>13.0452925</c:v>
                </c:pt>
                <c:pt idx="365">
                  <c:v>13.050326500000001</c:v>
                </c:pt>
                <c:pt idx="366">
                  <c:v>13.055360500000001</c:v>
                </c:pt>
                <c:pt idx="367">
                  <c:v>13.0603946</c:v>
                </c:pt>
                <c:pt idx="368">
                  <c:v>13.065428600000001</c:v>
                </c:pt>
                <c:pt idx="369">
                  <c:v>13.070462600000001</c:v>
                </c:pt>
                <c:pt idx="370">
                  <c:v>13.075496599999999</c:v>
                </c:pt>
                <c:pt idx="371">
                  <c:v>13.080530599999999</c:v>
                </c:pt>
                <c:pt idx="372">
                  <c:v>13.0855646</c:v>
                </c:pt>
                <c:pt idx="373">
                  <c:v>13.0905986</c:v>
                </c:pt>
                <c:pt idx="374">
                  <c:v>13.095632699999999</c:v>
                </c:pt>
                <c:pt idx="375">
                  <c:v>13.1006667</c:v>
                </c:pt>
                <c:pt idx="376">
                  <c:v>13.1057007</c:v>
                </c:pt>
                <c:pt idx="377">
                  <c:v>13.1107347</c:v>
                </c:pt>
                <c:pt idx="378">
                  <c:v>13.1157687</c:v>
                </c:pt>
                <c:pt idx="379">
                  <c:v>13.1208027</c:v>
                </c:pt>
                <c:pt idx="380">
                  <c:v>13.125836700000001</c:v>
                </c:pt>
                <c:pt idx="381">
                  <c:v>13.1308708</c:v>
                </c:pt>
                <c:pt idx="382">
                  <c:v>13.1359048</c:v>
                </c:pt>
                <c:pt idx="383">
                  <c:v>13.140938800000001</c:v>
                </c:pt>
                <c:pt idx="384">
                  <c:v>13.145972799999999</c:v>
                </c:pt>
                <c:pt idx="385">
                  <c:v>13.151006799999999</c:v>
                </c:pt>
                <c:pt idx="386">
                  <c:v>13.1560408</c:v>
                </c:pt>
                <c:pt idx="387">
                  <c:v>13.1610748</c:v>
                </c:pt>
                <c:pt idx="388">
                  <c:v>13.1661088</c:v>
                </c:pt>
                <c:pt idx="389">
                  <c:v>13.1711429</c:v>
                </c:pt>
                <c:pt idx="390">
                  <c:v>13.1761769</c:v>
                </c:pt>
                <c:pt idx="391">
                  <c:v>13.1812109</c:v>
                </c:pt>
                <c:pt idx="392">
                  <c:v>13.1862449</c:v>
                </c:pt>
                <c:pt idx="393">
                  <c:v>13.1912789</c:v>
                </c:pt>
                <c:pt idx="394">
                  <c:v>13.196312900000001</c:v>
                </c:pt>
                <c:pt idx="395">
                  <c:v>13.201346900000001</c:v>
                </c:pt>
                <c:pt idx="396">
                  <c:v>13.206381</c:v>
                </c:pt>
                <c:pt idx="397">
                  <c:v>13.211415000000001</c:v>
                </c:pt>
                <c:pt idx="398">
                  <c:v>13.216449000000001</c:v>
                </c:pt>
                <c:pt idx="399">
                  <c:v>13.221482999999999</c:v>
                </c:pt>
                <c:pt idx="400">
                  <c:v>13.224729999999999</c:v>
                </c:pt>
                <c:pt idx="401">
                  <c:v>13.226190000000001</c:v>
                </c:pt>
                <c:pt idx="402">
                  <c:v>13.227650000000001</c:v>
                </c:pt>
                <c:pt idx="403">
                  <c:v>13.22911</c:v>
                </c:pt>
                <c:pt idx="404">
                  <c:v>13.23057</c:v>
                </c:pt>
                <c:pt idx="405">
                  <c:v>13.23203</c:v>
                </c:pt>
                <c:pt idx="406">
                  <c:v>13.23349</c:v>
                </c:pt>
                <c:pt idx="407">
                  <c:v>13.23495</c:v>
                </c:pt>
                <c:pt idx="408">
                  <c:v>13.236409999999999</c:v>
                </c:pt>
                <c:pt idx="409">
                  <c:v>13.237869999999999</c:v>
                </c:pt>
                <c:pt idx="410">
                  <c:v>13.239330000000001</c:v>
                </c:pt>
                <c:pt idx="411">
                  <c:v>13.240790000000001</c:v>
                </c:pt>
                <c:pt idx="412">
                  <c:v>13.24225</c:v>
                </c:pt>
                <c:pt idx="413">
                  <c:v>13.24371</c:v>
                </c:pt>
                <c:pt idx="414">
                  <c:v>13.24517</c:v>
                </c:pt>
                <c:pt idx="415">
                  <c:v>13.24663</c:v>
                </c:pt>
                <c:pt idx="416">
                  <c:v>13.248089999999999</c:v>
                </c:pt>
                <c:pt idx="417">
                  <c:v>13.249549999999999</c:v>
                </c:pt>
                <c:pt idx="418">
                  <c:v>13.251010000000001</c:v>
                </c:pt>
                <c:pt idx="419">
                  <c:v>13.252470000000001</c:v>
                </c:pt>
                <c:pt idx="420">
                  <c:v>13.25393</c:v>
                </c:pt>
                <c:pt idx="421">
                  <c:v>13.25539</c:v>
                </c:pt>
                <c:pt idx="422">
                  <c:v>13.25685</c:v>
                </c:pt>
                <c:pt idx="423">
                  <c:v>13.25831</c:v>
                </c:pt>
                <c:pt idx="424">
                  <c:v>13.25977</c:v>
                </c:pt>
                <c:pt idx="425">
                  <c:v>13.261229999999999</c:v>
                </c:pt>
                <c:pt idx="426">
                  <c:v>13.262689999999999</c:v>
                </c:pt>
                <c:pt idx="427">
                  <c:v>13.264150000000001</c:v>
                </c:pt>
                <c:pt idx="428">
                  <c:v>13.265610000000001</c:v>
                </c:pt>
                <c:pt idx="429">
                  <c:v>13.26707</c:v>
                </c:pt>
                <c:pt idx="430">
                  <c:v>13.26853</c:v>
                </c:pt>
                <c:pt idx="431">
                  <c:v>13.26999</c:v>
                </c:pt>
                <c:pt idx="432">
                  <c:v>13.27145</c:v>
                </c:pt>
                <c:pt idx="433">
                  <c:v>13.27291</c:v>
                </c:pt>
                <c:pt idx="434">
                  <c:v>13.274369999999999</c:v>
                </c:pt>
                <c:pt idx="435">
                  <c:v>13.275829999999999</c:v>
                </c:pt>
                <c:pt idx="436">
                  <c:v>13.277290000000001</c:v>
                </c:pt>
                <c:pt idx="437">
                  <c:v>13.27875</c:v>
                </c:pt>
                <c:pt idx="438">
                  <c:v>13.28021</c:v>
                </c:pt>
                <c:pt idx="439">
                  <c:v>13.28167</c:v>
                </c:pt>
                <c:pt idx="440">
                  <c:v>13.28313</c:v>
                </c:pt>
                <c:pt idx="441">
                  <c:v>13.28459</c:v>
                </c:pt>
                <c:pt idx="442">
                  <c:v>13.286049999999999</c:v>
                </c:pt>
                <c:pt idx="443">
                  <c:v>13.287509999999999</c:v>
                </c:pt>
                <c:pt idx="444">
                  <c:v>13.288970000000001</c:v>
                </c:pt>
                <c:pt idx="445">
                  <c:v>13.290430000000001</c:v>
                </c:pt>
                <c:pt idx="446">
                  <c:v>13.29189</c:v>
                </c:pt>
                <c:pt idx="447">
                  <c:v>13.29335</c:v>
                </c:pt>
                <c:pt idx="448">
                  <c:v>13.29481</c:v>
                </c:pt>
                <c:pt idx="449">
                  <c:v>13.29627</c:v>
                </c:pt>
                <c:pt idx="450">
                  <c:v>13.2978983</c:v>
                </c:pt>
                <c:pt idx="451">
                  <c:v>13.2996949</c:v>
                </c:pt>
                <c:pt idx="452">
                  <c:v>13.301491499999999</c:v>
                </c:pt>
                <c:pt idx="453">
                  <c:v>13.3032881</c:v>
                </c:pt>
                <c:pt idx="454">
                  <c:v>13.305084799999999</c:v>
                </c:pt>
                <c:pt idx="455">
                  <c:v>13.3068814</c:v>
                </c:pt>
                <c:pt idx="456">
                  <c:v>13.308678</c:v>
                </c:pt>
                <c:pt idx="457">
                  <c:v>13.310474599999999</c:v>
                </c:pt>
                <c:pt idx="458">
                  <c:v>13.3122712</c:v>
                </c:pt>
                <c:pt idx="459">
                  <c:v>13.3140678</c:v>
                </c:pt>
                <c:pt idx="460">
                  <c:v>13.315864400000001</c:v>
                </c:pt>
                <c:pt idx="461">
                  <c:v>13.317660999999999</c:v>
                </c:pt>
                <c:pt idx="462">
                  <c:v>13.3194576</c:v>
                </c:pt>
                <c:pt idx="463">
                  <c:v>13.3212542</c:v>
                </c:pt>
                <c:pt idx="464">
                  <c:v>13.3230509</c:v>
                </c:pt>
                <c:pt idx="465">
                  <c:v>13.324847500000001</c:v>
                </c:pt>
                <c:pt idx="466">
                  <c:v>13.326644099999999</c:v>
                </c:pt>
                <c:pt idx="467">
                  <c:v>13.3284407</c:v>
                </c:pt>
                <c:pt idx="468">
                  <c:v>13.3302373</c:v>
                </c:pt>
                <c:pt idx="469">
                  <c:v>13.332033900000001</c:v>
                </c:pt>
                <c:pt idx="470">
                  <c:v>13.333830499999999</c:v>
                </c:pt>
                <c:pt idx="471">
                  <c:v>13.3356271</c:v>
                </c:pt>
                <c:pt idx="472">
                  <c:v>13.3374237</c:v>
                </c:pt>
                <c:pt idx="473">
                  <c:v>13.339220299999999</c:v>
                </c:pt>
                <c:pt idx="474">
                  <c:v>13.341017000000001</c:v>
                </c:pt>
                <c:pt idx="475">
                  <c:v>13.342813599999999</c:v>
                </c:pt>
                <c:pt idx="476">
                  <c:v>13.3446102</c:v>
                </c:pt>
                <c:pt idx="477">
                  <c:v>13.3464068</c:v>
                </c:pt>
                <c:pt idx="478">
                  <c:v>13.348203399999999</c:v>
                </c:pt>
                <c:pt idx="479">
                  <c:v>13.35</c:v>
                </c:pt>
                <c:pt idx="480">
                  <c:v>13.3705</c:v>
                </c:pt>
                <c:pt idx="481">
                  <c:v>13.391</c:v>
                </c:pt>
                <c:pt idx="482">
                  <c:v>13.4115</c:v>
                </c:pt>
                <c:pt idx="483">
                  <c:v>13.432</c:v>
                </c:pt>
                <c:pt idx="484">
                  <c:v>13.452500000000001</c:v>
                </c:pt>
                <c:pt idx="485">
                  <c:v>13.473000000000001</c:v>
                </c:pt>
                <c:pt idx="486">
                  <c:v>13.493499999999999</c:v>
                </c:pt>
                <c:pt idx="487">
                  <c:v>13.513999999999999</c:v>
                </c:pt>
                <c:pt idx="488">
                  <c:v>13.5345</c:v>
                </c:pt>
                <c:pt idx="489">
                  <c:v>13.555</c:v>
                </c:pt>
                <c:pt idx="490">
                  <c:v>13.5755</c:v>
                </c:pt>
                <c:pt idx="491">
                  <c:v>13.596</c:v>
                </c:pt>
                <c:pt idx="492">
                  <c:v>13.6165</c:v>
                </c:pt>
                <c:pt idx="493">
                  <c:v>13.637</c:v>
                </c:pt>
                <c:pt idx="494">
                  <c:v>13.657500000000001</c:v>
                </c:pt>
                <c:pt idx="495">
                  <c:v>13.678000000000001</c:v>
                </c:pt>
                <c:pt idx="496">
                  <c:v>13.698499999999999</c:v>
                </c:pt>
                <c:pt idx="497">
                  <c:v>13.718999999999999</c:v>
                </c:pt>
                <c:pt idx="498">
                  <c:v>13.7395</c:v>
                </c:pt>
                <c:pt idx="499">
                  <c:v>13.76</c:v>
                </c:pt>
                <c:pt idx="500">
                  <c:v>13.7805</c:v>
                </c:pt>
                <c:pt idx="501">
                  <c:v>13.801</c:v>
                </c:pt>
                <c:pt idx="502">
                  <c:v>13.8215</c:v>
                </c:pt>
                <c:pt idx="503">
                  <c:v>13.842000000000001</c:v>
                </c:pt>
                <c:pt idx="504">
                  <c:v>13.862500000000001</c:v>
                </c:pt>
                <c:pt idx="505">
                  <c:v>13.882999999999999</c:v>
                </c:pt>
                <c:pt idx="506">
                  <c:v>13.9212364</c:v>
                </c:pt>
                <c:pt idx="507">
                  <c:v>13.959472699999999</c:v>
                </c:pt>
                <c:pt idx="508">
                  <c:v>13.9977091</c:v>
                </c:pt>
                <c:pt idx="509">
                  <c:v>14.0359455</c:v>
                </c:pt>
                <c:pt idx="510">
                  <c:v>14.0741818</c:v>
                </c:pt>
                <c:pt idx="511">
                  <c:v>14.1124182</c:v>
                </c:pt>
                <c:pt idx="512">
                  <c:v>14.150654599999999</c:v>
                </c:pt>
                <c:pt idx="513">
                  <c:v>14.188890900000001</c:v>
                </c:pt>
                <c:pt idx="514">
                  <c:v>14.227127299999999</c:v>
                </c:pt>
                <c:pt idx="515">
                  <c:v>14.265363600000001</c:v>
                </c:pt>
                <c:pt idx="516">
                  <c:v>14.303599999999999</c:v>
                </c:pt>
                <c:pt idx="517">
                  <c:v>14.3418364</c:v>
                </c:pt>
                <c:pt idx="518">
                  <c:v>14.380072699999999</c:v>
                </c:pt>
                <c:pt idx="519">
                  <c:v>14.4183091</c:v>
                </c:pt>
                <c:pt idx="520">
                  <c:v>14.456545500000001</c:v>
                </c:pt>
                <c:pt idx="521">
                  <c:v>14.4947818</c:v>
                </c:pt>
                <c:pt idx="522">
                  <c:v>14.533018200000001</c:v>
                </c:pt>
                <c:pt idx="523">
                  <c:v>14.5712546</c:v>
                </c:pt>
                <c:pt idx="524">
                  <c:v>14.609490900000001</c:v>
                </c:pt>
                <c:pt idx="525">
                  <c:v>14.6477273</c:v>
                </c:pt>
                <c:pt idx="526">
                  <c:v>14.685963599999999</c:v>
                </c:pt>
                <c:pt idx="527">
                  <c:v>14.7242</c:v>
                </c:pt>
                <c:pt idx="528">
                  <c:v>14.7624364</c:v>
                </c:pt>
                <c:pt idx="529">
                  <c:v>14.8006727</c:v>
                </c:pt>
                <c:pt idx="530">
                  <c:v>14.8389091</c:v>
                </c:pt>
                <c:pt idx="531">
                  <c:v>14.877145499999999</c:v>
                </c:pt>
                <c:pt idx="532">
                  <c:v>14.9153818</c:v>
                </c:pt>
                <c:pt idx="533">
                  <c:v>14.953618199999999</c:v>
                </c:pt>
                <c:pt idx="534">
                  <c:v>14.9918546</c:v>
                </c:pt>
                <c:pt idx="535">
                  <c:v>15.030090899999999</c:v>
                </c:pt>
                <c:pt idx="536">
                  <c:v>15.0683273</c:v>
                </c:pt>
                <c:pt idx="537">
                  <c:v>15.106563599999999</c:v>
                </c:pt>
                <c:pt idx="538">
                  <c:v>15.1448</c:v>
                </c:pt>
                <c:pt idx="539">
                  <c:v>15.183036400000001</c:v>
                </c:pt>
                <c:pt idx="540">
                  <c:v>15.2212727</c:v>
                </c:pt>
                <c:pt idx="541">
                  <c:v>15.259509100000001</c:v>
                </c:pt>
                <c:pt idx="542">
                  <c:v>15.2977455</c:v>
                </c:pt>
                <c:pt idx="543">
                  <c:v>15.335981800000001</c:v>
                </c:pt>
                <c:pt idx="544">
                  <c:v>15.3742182</c:v>
                </c:pt>
                <c:pt idx="545">
                  <c:v>15.4124546</c:v>
                </c:pt>
                <c:pt idx="546">
                  <c:v>15.4506909</c:v>
                </c:pt>
                <c:pt idx="547">
                  <c:v>15.4889273</c:v>
                </c:pt>
                <c:pt idx="548">
                  <c:v>15.5271636</c:v>
                </c:pt>
                <c:pt idx="549">
                  <c:v>15.5654</c:v>
                </c:pt>
                <c:pt idx="550">
                  <c:v>15.603636399999999</c:v>
                </c:pt>
                <c:pt idx="551">
                  <c:v>15.6418727</c:v>
                </c:pt>
                <c:pt idx="552">
                  <c:v>15.680109099999999</c:v>
                </c:pt>
                <c:pt idx="553">
                  <c:v>15.7183455</c:v>
                </c:pt>
                <c:pt idx="554">
                  <c:v>15.756581799999999</c:v>
                </c:pt>
                <c:pt idx="555">
                  <c:v>15.7948182</c:v>
                </c:pt>
                <c:pt idx="556">
                  <c:v>15.833054600000001</c:v>
                </c:pt>
                <c:pt idx="557">
                  <c:v>15.8712909</c:v>
                </c:pt>
                <c:pt idx="558">
                  <c:v>15.909527300000001</c:v>
                </c:pt>
                <c:pt idx="559">
                  <c:v>15.9477636</c:v>
                </c:pt>
                <c:pt idx="560">
                  <c:v>15.986000000000001</c:v>
                </c:pt>
                <c:pt idx="561">
                  <c:v>16.021599999999999</c:v>
                </c:pt>
                <c:pt idx="562">
                  <c:v>16.057200000000002</c:v>
                </c:pt>
                <c:pt idx="563">
                  <c:v>16.0928</c:v>
                </c:pt>
                <c:pt idx="564">
                  <c:v>16.128399999999999</c:v>
                </c:pt>
                <c:pt idx="565">
                  <c:v>16.164000000000001</c:v>
                </c:pt>
                <c:pt idx="566">
                  <c:v>16.1996</c:v>
                </c:pt>
                <c:pt idx="567">
                  <c:v>16.235199999999999</c:v>
                </c:pt>
                <c:pt idx="568">
                  <c:v>16.270800000000001</c:v>
                </c:pt>
                <c:pt idx="569">
                  <c:v>16.3064</c:v>
                </c:pt>
                <c:pt idx="570">
                  <c:v>16.341999999999999</c:v>
                </c:pt>
                <c:pt idx="571">
                  <c:v>16.4141111</c:v>
                </c:pt>
                <c:pt idx="572">
                  <c:v>16.4862222</c:v>
                </c:pt>
                <c:pt idx="573">
                  <c:v>16.558333300000001</c:v>
                </c:pt>
                <c:pt idx="574">
                  <c:v>16.630444399999998</c:v>
                </c:pt>
                <c:pt idx="575">
                  <c:v>16.7025556</c:v>
                </c:pt>
                <c:pt idx="576">
                  <c:v>16.774666700000001</c:v>
                </c:pt>
                <c:pt idx="577">
                  <c:v>16.846777800000002</c:v>
                </c:pt>
                <c:pt idx="578">
                  <c:v>16.918888899999999</c:v>
                </c:pt>
                <c:pt idx="579">
                  <c:v>16.991</c:v>
                </c:pt>
                <c:pt idx="580">
                  <c:v>17.013833300000002</c:v>
                </c:pt>
                <c:pt idx="581">
                  <c:v>17.036666700000001</c:v>
                </c:pt>
                <c:pt idx="582">
                  <c:v>17.0595</c:v>
                </c:pt>
                <c:pt idx="583">
                  <c:v>17.082333299999998</c:v>
                </c:pt>
                <c:pt idx="584">
                  <c:v>17.105166700000002</c:v>
                </c:pt>
                <c:pt idx="585">
                  <c:v>17.128</c:v>
                </c:pt>
                <c:pt idx="586">
                  <c:v>17.150833299999999</c:v>
                </c:pt>
                <c:pt idx="587">
                  <c:v>17.173666699999998</c:v>
                </c:pt>
                <c:pt idx="588">
                  <c:v>17.1965</c:v>
                </c:pt>
                <c:pt idx="589">
                  <c:v>17.219333299999999</c:v>
                </c:pt>
                <c:pt idx="590">
                  <c:v>17.242166699999999</c:v>
                </c:pt>
                <c:pt idx="591">
                  <c:v>17.265000000000001</c:v>
                </c:pt>
                <c:pt idx="592">
                  <c:v>17.287833299999999</c:v>
                </c:pt>
                <c:pt idx="593">
                  <c:v>17.310666699999999</c:v>
                </c:pt>
                <c:pt idx="594">
                  <c:v>17.333500000000001</c:v>
                </c:pt>
                <c:pt idx="595">
                  <c:v>17.356333299999999</c:v>
                </c:pt>
                <c:pt idx="596">
                  <c:v>17.379166699999999</c:v>
                </c:pt>
                <c:pt idx="597">
                  <c:v>17.402000000000001</c:v>
                </c:pt>
                <c:pt idx="598">
                  <c:v>17.4248333</c:v>
                </c:pt>
                <c:pt idx="599">
                  <c:v>17.447666699999999</c:v>
                </c:pt>
                <c:pt idx="600">
                  <c:v>17.470500000000001</c:v>
                </c:pt>
                <c:pt idx="601">
                  <c:v>17.4933333</c:v>
                </c:pt>
                <c:pt idx="602">
                  <c:v>17.516166699999999</c:v>
                </c:pt>
                <c:pt idx="603">
                  <c:v>17.539000000000001</c:v>
                </c:pt>
                <c:pt idx="604">
                  <c:v>17.5618333</c:v>
                </c:pt>
                <c:pt idx="605">
                  <c:v>17.5846667</c:v>
                </c:pt>
                <c:pt idx="606">
                  <c:v>17.607500000000002</c:v>
                </c:pt>
                <c:pt idx="607">
                  <c:v>17.6303333</c:v>
                </c:pt>
                <c:pt idx="608">
                  <c:v>17.6531667</c:v>
                </c:pt>
                <c:pt idx="609">
                  <c:v>17.675999999999998</c:v>
                </c:pt>
                <c:pt idx="610">
                  <c:v>17.742061899999999</c:v>
                </c:pt>
                <c:pt idx="611">
                  <c:v>17.808123699999999</c:v>
                </c:pt>
                <c:pt idx="612">
                  <c:v>17.874185600000001</c:v>
                </c:pt>
                <c:pt idx="613">
                  <c:v>17.940247400000001</c:v>
                </c:pt>
                <c:pt idx="614">
                  <c:v>18.006309300000002</c:v>
                </c:pt>
                <c:pt idx="615">
                  <c:v>18.072371100000002</c:v>
                </c:pt>
                <c:pt idx="616">
                  <c:v>18.138432999999999</c:v>
                </c:pt>
                <c:pt idx="617">
                  <c:v>18.2044949</c:v>
                </c:pt>
                <c:pt idx="618">
                  <c:v>18.2705567</c:v>
                </c:pt>
                <c:pt idx="619">
                  <c:v>18.336618600000001</c:v>
                </c:pt>
                <c:pt idx="620">
                  <c:v>18.402680400000001</c:v>
                </c:pt>
                <c:pt idx="621">
                  <c:v>18.468742299999999</c:v>
                </c:pt>
                <c:pt idx="622">
                  <c:v>18.534804099999999</c:v>
                </c:pt>
                <c:pt idx="623">
                  <c:v>18.600866</c:v>
                </c:pt>
                <c:pt idx="624">
                  <c:v>18.6669278</c:v>
                </c:pt>
                <c:pt idx="625">
                  <c:v>18.732989700000001</c:v>
                </c:pt>
                <c:pt idx="626">
                  <c:v>18.799051599999999</c:v>
                </c:pt>
                <c:pt idx="627">
                  <c:v>18.865113399999998</c:v>
                </c:pt>
                <c:pt idx="628">
                  <c:v>18.9311753</c:v>
                </c:pt>
                <c:pt idx="629">
                  <c:v>18.9972371</c:v>
                </c:pt>
                <c:pt idx="630">
                  <c:v>19.063299000000001</c:v>
                </c:pt>
                <c:pt idx="631">
                  <c:v>19.129360800000001</c:v>
                </c:pt>
                <c:pt idx="632">
                  <c:v>19.195422700000002</c:v>
                </c:pt>
                <c:pt idx="633">
                  <c:v>19.261484500000002</c:v>
                </c:pt>
                <c:pt idx="634">
                  <c:v>19.327546399999999</c:v>
                </c:pt>
                <c:pt idx="635">
                  <c:v>19.3936083</c:v>
                </c:pt>
                <c:pt idx="636">
                  <c:v>19.4596701</c:v>
                </c:pt>
                <c:pt idx="637">
                  <c:v>19.525732000000001</c:v>
                </c:pt>
                <c:pt idx="638">
                  <c:v>19.591793800000001</c:v>
                </c:pt>
                <c:pt idx="639">
                  <c:v>19.657855699999999</c:v>
                </c:pt>
                <c:pt idx="640">
                  <c:v>19.723917499999999</c:v>
                </c:pt>
                <c:pt idx="641">
                  <c:v>19.7899794</c:v>
                </c:pt>
                <c:pt idx="642">
                  <c:v>19.8560412</c:v>
                </c:pt>
                <c:pt idx="643">
                  <c:v>19.922103100000001</c:v>
                </c:pt>
                <c:pt idx="644">
                  <c:v>19.988164999999999</c:v>
                </c:pt>
                <c:pt idx="645">
                  <c:v>20.054226799999999</c:v>
                </c:pt>
                <c:pt idx="646">
                  <c:v>20.1202887</c:v>
                </c:pt>
                <c:pt idx="647">
                  <c:v>20.1863505</c:v>
                </c:pt>
                <c:pt idx="648">
                  <c:v>20.252412400000001</c:v>
                </c:pt>
                <c:pt idx="649">
                  <c:v>20.318474200000001</c:v>
                </c:pt>
                <c:pt idx="650">
                  <c:v>20.384536099999998</c:v>
                </c:pt>
                <c:pt idx="651">
                  <c:v>20.450597900000002</c:v>
                </c:pt>
                <c:pt idx="652">
                  <c:v>20.516659799999999</c:v>
                </c:pt>
                <c:pt idx="653">
                  <c:v>20.5827217</c:v>
                </c:pt>
                <c:pt idx="654">
                  <c:v>20.6487835</c:v>
                </c:pt>
                <c:pt idx="655">
                  <c:v>20.714845400000002</c:v>
                </c:pt>
                <c:pt idx="656">
                  <c:v>20.780907200000001</c:v>
                </c:pt>
                <c:pt idx="657">
                  <c:v>20.846969099999999</c:v>
                </c:pt>
                <c:pt idx="658">
                  <c:v>20.913030899999999</c:v>
                </c:pt>
                <c:pt idx="659">
                  <c:v>20.9790928</c:v>
                </c:pt>
                <c:pt idx="660">
                  <c:v>21.0451546</c:v>
                </c:pt>
                <c:pt idx="661">
                  <c:v>21.111216500000001</c:v>
                </c:pt>
                <c:pt idx="662">
                  <c:v>21.177278399999999</c:v>
                </c:pt>
                <c:pt idx="663">
                  <c:v>21.243340199999999</c:v>
                </c:pt>
                <c:pt idx="664">
                  <c:v>21.3094021</c:v>
                </c:pt>
                <c:pt idx="665">
                  <c:v>21.3754639</c:v>
                </c:pt>
                <c:pt idx="666">
                  <c:v>21.441525800000001</c:v>
                </c:pt>
                <c:pt idx="667">
                  <c:v>21.507587600000001</c:v>
                </c:pt>
                <c:pt idx="668">
                  <c:v>21.573649499999998</c:v>
                </c:pt>
                <c:pt idx="669">
                  <c:v>21.639711299999998</c:v>
                </c:pt>
                <c:pt idx="670">
                  <c:v>21.705773199999999</c:v>
                </c:pt>
                <c:pt idx="671">
                  <c:v>21.771835100000001</c:v>
                </c:pt>
                <c:pt idx="672">
                  <c:v>21.8378969</c:v>
                </c:pt>
                <c:pt idx="673">
                  <c:v>21.903958800000002</c:v>
                </c:pt>
                <c:pt idx="674">
                  <c:v>21.970020600000002</c:v>
                </c:pt>
                <c:pt idx="675">
                  <c:v>22.036082499999999</c:v>
                </c:pt>
                <c:pt idx="676">
                  <c:v>22.102144299999999</c:v>
                </c:pt>
                <c:pt idx="677">
                  <c:v>22.1682062</c:v>
                </c:pt>
                <c:pt idx="678">
                  <c:v>22.234268</c:v>
                </c:pt>
                <c:pt idx="679">
                  <c:v>22.300329900000001</c:v>
                </c:pt>
                <c:pt idx="680">
                  <c:v>22.366391799999999</c:v>
                </c:pt>
                <c:pt idx="681">
                  <c:v>22.432453599999999</c:v>
                </c:pt>
                <c:pt idx="682">
                  <c:v>22.4985155</c:v>
                </c:pt>
                <c:pt idx="683">
                  <c:v>22.5645773</c:v>
                </c:pt>
                <c:pt idx="684">
                  <c:v>22.630639200000001</c:v>
                </c:pt>
                <c:pt idx="685">
                  <c:v>22.696701000000001</c:v>
                </c:pt>
                <c:pt idx="686">
                  <c:v>22.762762899999998</c:v>
                </c:pt>
                <c:pt idx="687">
                  <c:v>22.828824699999998</c:v>
                </c:pt>
                <c:pt idx="688">
                  <c:v>22.8948866</c:v>
                </c:pt>
                <c:pt idx="689">
                  <c:v>22.960948500000001</c:v>
                </c:pt>
                <c:pt idx="690">
                  <c:v>23.027010300000001</c:v>
                </c:pt>
                <c:pt idx="691">
                  <c:v>23.093072200000002</c:v>
                </c:pt>
                <c:pt idx="692">
                  <c:v>23.159134000000002</c:v>
                </c:pt>
                <c:pt idx="693">
                  <c:v>23.225195899999999</c:v>
                </c:pt>
                <c:pt idx="694">
                  <c:v>23.291257699999999</c:v>
                </c:pt>
                <c:pt idx="695">
                  <c:v>23.3573196</c:v>
                </c:pt>
                <c:pt idx="696">
                  <c:v>23.4233814</c:v>
                </c:pt>
                <c:pt idx="697">
                  <c:v>23.489443300000001</c:v>
                </c:pt>
                <c:pt idx="698">
                  <c:v>23.555505199999999</c:v>
                </c:pt>
                <c:pt idx="699">
                  <c:v>23.621566999999999</c:v>
                </c:pt>
                <c:pt idx="700">
                  <c:v>23.6876289</c:v>
                </c:pt>
                <c:pt idx="701">
                  <c:v>23.7536907</c:v>
                </c:pt>
                <c:pt idx="702">
                  <c:v>23.819752600000001</c:v>
                </c:pt>
                <c:pt idx="703">
                  <c:v>23.885814400000001</c:v>
                </c:pt>
                <c:pt idx="704">
                  <c:v>23.951876299999999</c:v>
                </c:pt>
                <c:pt idx="705">
                  <c:v>24.017938099999999</c:v>
                </c:pt>
                <c:pt idx="706">
                  <c:v>24.084</c:v>
                </c:pt>
                <c:pt idx="707">
                  <c:v>24.135461500000002</c:v>
                </c:pt>
                <c:pt idx="708">
                  <c:v>24.186923100000001</c:v>
                </c:pt>
                <c:pt idx="709">
                  <c:v>24.2383846</c:v>
                </c:pt>
                <c:pt idx="710">
                  <c:v>24.289846199999999</c:v>
                </c:pt>
                <c:pt idx="711">
                  <c:v>24.341307700000002</c:v>
                </c:pt>
                <c:pt idx="712">
                  <c:v>24.3927692</c:v>
                </c:pt>
                <c:pt idx="713">
                  <c:v>24.4442308</c:v>
                </c:pt>
                <c:pt idx="714">
                  <c:v>24.495692300000002</c:v>
                </c:pt>
                <c:pt idx="715">
                  <c:v>24.547153900000001</c:v>
                </c:pt>
                <c:pt idx="716">
                  <c:v>24.5986154</c:v>
                </c:pt>
                <c:pt idx="717">
                  <c:v>24.650076899999998</c:v>
                </c:pt>
                <c:pt idx="718">
                  <c:v>24.701538500000002</c:v>
                </c:pt>
                <c:pt idx="719">
                  <c:v>24.753</c:v>
                </c:pt>
                <c:pt idx="720">
                  <c:v>24.804461499999999</c:v>
                </c:pt>
                <c:pt idx="721">
                  <c:v>24.855923099999998</c:v>
                </c:pt>
                <c:pt idx="722">
                  <c:v>24.9073846</c:v>
                </c:pt>
                <c:pt idx="723">
                  <c:v>24.9588462</c:v>
                </c:pt>
                <c:pt idx="724">
                  <c:v>25.010307699999998</c:v>
                </c:pt>
                <c:pt idx="725">
                  <c:v>25.061769200000001</c:v>
                </c:pt>
                <c:pt idx="726">
                  <c:v>25.1132308</c:v>
                </c:pt>
                <c:pt idx="727">
                  <c:v>25.164692299999999</c:v>
                </c:pt>
                <c:pt idx="728">
                  <c:v>25.216153899999998</c:v>
                </c:pt>
                <c:pt idx="729">
                  <c:v>25.2676154</c:v>
                </c:pt>
                <c:pt idx="730">
                  <c:v>25.319076899999999</c:v>
                </c:pt>
                <c:pt idx="731">
                  <c:v>25.370538499999999</c:v>
                </c:pt>
                <c:pt idx="732">
                  <c:v>25.422000000000001</c:v>
                </c:pt>
                <c:pt idx="733">
                  <c:v>25.473461499999999</c:v>
                </c:pt>
                <c:pt idx="734">
                  <c:v>25.524923099999999</c:v>
                </c:pt>
                <c:pt idx="735">
                  <c:v>25.576384600000001</c:v>
                </c:pt>
                <c:pt idx="736">
                  <c:v>25.6278462</c:v>
                </c:pt>
                <c:pt idx="737">
                  <c:v>25.679307699999999</c:v>
                </c:pt>
                <c:pt idx="738">
                  <c:v>25.730769200000001</c:v>
                </c:pt>
                <c:pt idx="739">
                  <c:v>25.782230800000001</c:v>
                </c:pt>
                <c:pt idx="740">
                  <c:v>25.833692299999999</c:v>
                </c:pt>
                <c:pt idx="741">
                  <c:v>25.885153899999999</c:v>
                </c:pt>
                <c:pt idx="742">
                  <c:v>25.936615400000001</c:v>
                </c:pt>
                <c:pt idx="743">
                  <c:v>25.988076899999999</c:v>
                </c:pt>
                <c:pt idx="744">
                  <c:v>26.039538499999999</c:v>
                </c:pt>
                <c:pt idx="745">
                  <c:v>26.091000000000001</c:v>
                </c:pt>
                <c:pt idx="746">
                  <c:v>26.1424615</c:v>
                </c:pt>
                <c:pt idx="747">
                  <c:v>26.193923099999999</c:v>
                </c:pt>
                <c:pt idx="748">
                  <c:v>26.245384600000001</c:v>
                </c:pt>
                <c:pt idx="749">
                  <c:v>26.296846200000001</c:v>
                </c:pt>
                <c:pt idx="750">
                  <c:v>26.348307699999999</c:v>
                </c:pt>
                <c:pt idx="751">
                  <c:v>26.399769200000001</c:v>
                </c:pt>
                <c:pt idx="752">
                  <c:v>26.451230800000001</c:v>
                </c:pt>
                <c:pt idx="753">
                  <c:v>26.5026923</c:v>
                </c:pt>
                <c:pt idx="754">
                  <c:v>26.554153899999999</c:v>
                </c:pt>
                <c:pt idx="755">
                  <c:v>26.605615400000001</c:v>
                </c:pt>
                <c:pt idx="756">
                  <c:v>26.6570769</c:v>
                </c:pt>
                <c:pt idx="757">
                  <c:v>26.7085385</c:v>
                </c:pt>
                <c:pt idx="758">
                  <c:v>26.76</c:v>
                </c:pt>
                <c:pt idx="759">
                  <c:v>26.8114615</c:v>
                </c:pt>
                <c:pt idx="760">
                  <c:v>26.8629231</c:v>
                </c:pt>
                <c:pt idx="761">
                  <c:v>26.914384600000002</c:v>
                </c:pt>
                <c:pt idx="762">
                  <c:v>26.965846200000001</c:v>
                </c:pt>
                <c:pt idx="763">
                  <c:v>27.0173077</c:v>
                </c:pt>
                <c:pt idx="764">
                  <c:v>27.068769199999998</c:v>
                </c:pt>
                <c:pt idx="765">
                  <c:v>27.120230800000002</c:v>
                </c:pt>
                <c:pt idx="766">
                  <c:v>27.1716923</c:v>
                </c:pt>
                <c:pt idx="767">
                  <c:v>27.2231539</c:v>
                </c:pt>
                <c:pt idx="768">
                  <c:v>27.274615399999998</c:v>
                </c:pt>
                <c:pt idx="769">
                  <c:v>27.3260769</c:v>
                </c:pt>
                <c:pt idx="770">
                  <c:v>27.3775385</c:v>
                </c:pt>
                <c:pt idx="771">
                  <c:v>27.428999999999998</c:v>
                </c:pt>
                <c:pt idx="772">
                  <c:v>27.480461500000001</c:v>
                </c:pt>
                <c:pt idx="773">
                  <c:v>27.5319231</c:v>
                </c:pt>
                <c:pt idx="774">
                  <c:v>27.583384599999999</c:v>
                </c:pt>
                <c:pt idx="775">
                  <c:v>27.634846199999998</c:v>
                </c:pt>
                <c:pt idx="776">
                  <c:v>27.6863077</c:v>
                </c:pt>
                <c:pt idx="777">
                  <c:v>27.737769199999999</c:v>
                </c:pt>
                <c:pt idx="778">
                  <c:v>27.789230799999999</c:v>
                </c:pt>
                <c:pt idx="779">
                  <c:v>27.840692300000001</c:v>
                </c:pt>
                <c:pt idx="780">
                  <c:v>27.8921539</c:v>
                </c:pt>
                <c:pt idx="781">
                  <c:v>27.943615399999999</c:v>
                </c:pt>
                <c:pt idx="782">
                  <c:v>27.995076900000001</c:v>
                </c:pt>
                <c:pt idx="783">
                  <c:v>28.0465385</c:v>
                </c:pt>
                <c:pt idx="784">
                  <c:v>28.097999999999999</c:v>
                </c:pt>
                <c:pt idx="785">
                  <c:v>28.126127700000001</c:v>
                </c:pt>
                <c:pt idx="786">
                  <c:v>28.154255299999999</c:v>
                </c:pt>
                <c:pt idx="787">
                  <c:v>28.182383000000002</c:v>
                </c:pt>
                <c:pt idx="788">
                  <c:v>28.210510599999999</c:v>
                </c:pt>
                <c:pt idx="789">
                  <c:v>28.238638300000002</c:v>
                </c:pt>
                <c:pt idx="790">
                  <c:v>28.266766000000001</c:v>
                </c:pt>
                <c:pt idx="791">
                  <c:v>28.294893600000002</c:v>
                </c:pt>
                <c:pt idx="792">
                  <c:v>28.323021300000001</c:v>
                </c:pt>
                <c:pt idx="793">
                  <c:v>28.351148899999998</c:v>
                </c:pt>
                <c:pt idx="794">
                  <c:v>28.379276600000001</c:v>
                </c:pt>
                <c:pt idx="795">
                  <c:v>28.4074043</c:v>
                </c:pt>
                <c:pt idx="796">
                  <c:v>28.435531900000001</c:v>
                </c:pt>
                <c:pt idx="797">
                  <c:v>28.4636596</c:v>
                </c:pt>
                <c:pt idx="798">
                  <c:v>28.491787200000001</c:v>
                </c:pt>
                <c:pt idx="799">
                  <c:v>28.5199149</c:v>
                </c:pt>
                <c:pt idx="800">
                  <c:v>28.548042599999999</c:v>
                </c:pt>
                <c:pt idx="801">
                  <c:v>28.5761702</c:v>
                </c:pt>
                <c:pt idx="802">
                  <c:v>28.604297899999999</c:v>
                </c:pt>
                <c:pt idx="803">
                  <c:v>28.6324255</c:v>
                </c:pt>
                <c:pt idx="804">
                  <c:v>28.660553199999999</c:v>
                </c:pt>
                <c:pt idx="805">
                  <c:v>28.688680900000001</c:v>
                </c:pt>
                <c:pt idx="806">
                  <c:v>28.716808499999999</c:v>
                </c:pt>
                <c:pt idx="807">
                  <c:v>28.744936200000001</c:v>
                </c:pt>
                <c:pt idx="808">
                  <c:v>28.773063799999999</c:v>
                </c:pt>
                <c:pt idx="809">
                  <c:v>28.801191500000002</c:v>
                </c:pt>
                <c:pt idx="810">
                  <c:v>28.8293192</c:v>
                </c:pt>
                <c:pt idx="811">
                  <c:v>28.857446800000002</c:v>
                </c:pt>
                <c:pt idx="812">
                  <c:v>28.885574500000001</c:v>
                </c:pt>
                <c:pt idx="813">
                  <c:v>28.913702099999998</c:v>
                </c:pt>
                <c:pt idx="814">
                  <c:v>28.941829800000001</c:v>
                </c:pt>
                <c:pt idx="815">
                  <c:v>28.9699575</c:v>
                </c:pt>
                <c:pt idx="816">
                  <c:v>28.998085100000001</c:v>
                </c:pt>
                <c:pt idx="817">
                  <c:v>29.0262128</c:v>
                </c:pt>
                <c:pt idx="818">
                  <c:v>29.054340400000001</c:v>
                </c:pt>
                <c:pt idx="819">
                  <c:v>29.0824681</c:v>
                </c:pt>
                <c:pt idx="820">
                  <c:v>29.110595700000001</c:v>
                </c:pt>
                <c:pt idx="821">
                  <c:v>29.1387234</c:v>
                </c:pt>
                <c:pt idx="822">
                  <c:v>29.166851099999999</c:v>
                </c:pt>
                <c:pt idx="823">
                  <c:v>29.1949787</c:v>
                </c:pt>
                <c:pt idx="824">
                  <c:v>29.223106399999999</c:v>
                </c:pt>
                <c:pt idx="825">
                  <c:v>29.251234</c:v>
                </c:pt>
                <c:pt idx="826">
                  <c:v>29.279361699999999</c:v>
                </c:pt>
                <c:pt idx="827">
                  <c:v>29.307489400000001</c:v>
                </c:pt>
                <c:pt idx="828">
                  <c:v>29.335616999999999</c:v>
                </c:pt>
                <c:pt idx="829">
                  <c:v>29.363744700000002</c:v>
                </c:pt>
                <c:pt idx="830">
                  <c:v>29.391872299999999</c:v>
                </c:pt>
                <c:pt idx="831">
                  <c:v>29.42</c:v>
                </c:pt>
                <c:pt idx="832">
                  <c:v>29.448127700000001</c:v>
                </c:pt>
                <c:pt idx="833">
                  <c:v>29.476255299999998</c:v>
                </c:pt>
                <c:pt idx="834">
                  <c:v>29.504383000000001</c:v>
                </c:pt>
                <c:pt idx="835">
                  <c:v>29.532510599999998</c:v>
                </c:pt>
                <c:pt idx="836">
                  <c:v>29.560638300000001</c:v>
                </c:pt>
                <c:pt idx="837">
                  <c:v>29.588766</c:v>
                </c:pt>
                <c:pt idx="838">
                  <c:v>29.616893600000001</c:v>
                </c:pt>
                <c:pt idx="839">
                  <c:v>29.6450213</c:v>
                </c:pt>
                <c:pt idx="840">
                  <c:v>29.673148900000001</c:v>
                </c:pt>
                <c:pt idx="841">
                  <c:v>29.7012766</c:v>
                </c:pt>
                <c:pt idx="842">
                  <c:v>29.729404299999999</c:v>
                </c:pt>
                <c:pt idx="843">
                  <c:v>29.7575319</c:v>
                </c:pt>
                <c:pt idx="844">
                  <c:v>29.785659599999999</c:v>
                </c:pt>
                <c:pt idx="845">
                  <c:v>29.8137872</c:v>
                </c:pt>
                <c:pt idx="846">
                  <c:v>29.841914899999999</c:v>
                </c:pt>
                <c:pt idx="847">
                  <c:v>29.870042600000001</c:v>
                </c:pt>
                <c:pt idx="848">
                  <c:v>29.898170199999999</c:v>
                </c:pt>
                <c:pt idx="849">
                  <c:v>29.926297900000002</c:v>
                </c:pt>
                <c:pt idx="850">
                  <c:v>29.954425499999999</c:v>
                </c:pt>
                <c:pt idx="851">
                  <c:v>29.982553200000002</c:v>
                </c:pt>
                <c:pt idx="852">
                  <c:v>30.010680900000001</c:v>
                </c:pt>
                <c:pt idx="853">
                  <c:v>30.038808499999998</c:v>
                </c:pt>
                <c:pt idx="854">
                  <c:v>30.066936200000001</c:v>
                </c:pt>
                <c:pt idx="855">
                  <c:v>30.095063799999998</c:v>
                </c:pt>
                <c:pt idx="856">
                  <c:v>30.123191500000001</c:v>
                </c:pt>
                <c:pt idx="857">
                  <c:v>30.1513192</c:v>
                </c:pt>
                <c:pt idx="858">
                  <c:v>30.179446800000001</c:v>
                </c:pt>
                <c:pt idx="859">
                  <c:v>30.2075745</c:v>
                </c:pt>
                <c:pt idx="860">
                  <c:v>30.235702100000001</c:v>
                </c:pt>
                <c:pt idx="861">
                  <c:v>30.2638298</c:v>
                </c:pt>
                <c:pt idx="862">
                  <c:v>30.291957499999999</c:v>
                </c:pt>
                <c:pt idx="863">
                  <c:v>30.3200851</c:v>
                </c:pt>
                <c:pt idx="864">
                  <c:v>30.348212799999999</c:v>
                </c:pt>
                <c:pt idx="865">
                  <c:v>30.3763404</c:v>
                </c:pt>
                <c:pt idx="866">
                  <c:v>30.404468099999999</c:v>
                </c:pt>
                <c:pt idx="867">
                  <c:v>30.4325957</c:v>
                </c:pt>
                <c:pt idx="868">
                  <c:v>30.460723399999999</c:v>
                </c:pt>
                <c:pt idx="869">
                  <c:v>30.488851100000002</c:v>
                </c:pt>
                <c:pt idx="870">
                  <c:v>30.516978699999999</c:v>
                </c:pt>
                <c:pt idx="871">
                  <c:v>30.545106400000002</c:v>
                </c:pt>
                <c:pt idx="872">
                  <c:v>30.573233999999999</c:v>
                </c:pt>
                <c:pt idx="873">
                  <c:v>30.601361699999998</c:v>
                </c:pt>
                <c:pt idx="874">
                  <c:v>30.629489400000001</c:v>
                </c:pt>
                <c:pt idx="875">
                  <c:v>30.657616999999998</c:v>
                </c:pt>
                <c:pt idx="876">
                  <c:v>30.685744700000001</c:v>
                </c:pt>
                <c:pt idx="877">
                  <c:v>30.713872299999998</c:v>
                </c:pt>
                <c:pt idx="878">
                  <c:v>30.742000000000001</c:v>
                </c:pt>
                <c:pt idx="879">
                  <c:v>30.7541619</c:v>
                </c:pt>
                <c:pt idx="880">
                  <c:v>30.766323799999999</c:v>
                </c:pt>
                <c:pt idx="881">
                  <c:v>30.778485700000001</c:v>
                </c:pt>
                <c:pt idx="882">
                  <c:v>30.7906476</c:v>
                </c:pt>
                <c:pt idx="883">
                  <c:v>30.802809499999999</c:v>
                </c:pt>
                <c:pt idx="884">
                  <c:v>30.814971400000001</c:v>
                </c:pt>
                <c:pt idx="885">
                  <c:v>30.8271333</c:v>
                </c:pt>
                <c:pt idx="886">
                  <c:v>30.839295199999999</c:v>
                </c:pt>
                <c:pt idx="887">
                  <c:v>30.851457100000001</c:v>
                </c:pt>
                <c:pt idx="888">
                  <c:v>30.863619100000001</c:v>
                </c:pt>
                <c:pt idx="889">
                  <c:v>30.875781</c:v>
                </c:pt>
                <c:pt idx="890">
                  <c:v>30.887942899999999</c:v>
                </c:pt>
                <c:pt idx="891">
                  <c:v>30.900104800000001</c:v>
                </c:pt>
                <c:pt idx="892">
                  <c:v>30.9122667</c:v>
                </c:pt>
                <c:pt idx="893">
                  <c:v>30.924428599999999</c:v>
                </c:pt>
                <c:pt idx="894">
                  <c:v>30.936590500000001</c:v>
                </c:pt>
                <c:pt idx="895">
                  <c:v>30.9487524</c:v>
                </c:pt>
                <c:pt idx="896">
                  <c:v>30.960914299999999</c:v>
                </c:pt>
                <c:pt idx="897">
                  <c:v>30.973076200000001</c:v>
                </c:pt>
                <c:pt idx="898">
                  <c:v>30.9852381</c:v>
                </c:pt>
                <c:pt idx="899">
                  <c:v>30.997399999999999</c:v>
                </c:pt>
                <c:pt idx="900">
                  <c:v>31.009561900000001</c:v>
                </c:pt>
                <c:pt idx="901">
                  <c:v>31.0217238</c:v>
                </c:pt>
                <c:pt idx="902">
                  <c:v>31.033885699999999</c:v>
                </c:pt>
                <c:pt idx="903">
                  <c:v>31.046047600000001</c:v>
                </c:pt>
                <c:pt idx="904">
                  <c:v>31.0582095</c:v>
                </c:pt>
                <c:pt idx="905">
                  <c:v>31.070371399999999</c:v>
                </c:pt>
                <c:pt idx="906">
                  <c:v>31.082533300000001</c:v>
                </c:pt>
                <c:pt idx="907">
                  <c:v>31.0946952</c:v>
                </c:pt>
                <c:pt idx="908">
                  <c:v>31.106857099999999</c:v>
                </c:pt>
                <c:pt idx="909">
                  <c:v>31.119019099999999</c:v>
                </c:pt>
                <c:pt idx="910">
                  <c:v>31.131181000000002</c:v>
                </c:pt>
                <c:pt idx="911">
                  <c:v>31.1433429</c:v>
                </c:pt>
                <c:pt idx="912">
                  <c:v>31.155504799999999</c:v>
                </c:pt>
                <c:pt idx="913">
                  <c:v>31.167666700000002</c:v>
                </c:pt>
                <c:pt idx="914">
                  <c:v>31.1798286</c:v>
                </c:pt>
                <c:pt idx="915">
                  <c:v>31.191990499999999</c:v>
                </c:pt>
                <c:pt idx="916">
                  <c:v>31.204152400000002</c:v>
                </c:pt>
                <c:pt idx="917">
                  <c:v>31.216314300000001</c:v>
                </c:pt>
                <c:pt idx="918">
                  <c:v>31.228476199999999</c:v>
                </c:pt>
                <c:pt idx="919">
                  <c:v>31.240638100000002</c:v>
                </c:pt>
                <c:pt idx="920">
                  <c:v>31.252800000000001</c:v>
                </c:pt>
                <c:pt idx="921">
                  <c:v>31.264961899999999</c:v>
                </c:pt>
                <c:pt idx="922">
                  <c:v>31.277123799999998</c:v>
                </c:pt>
                <c:pt idx="923">
                  <c:v>31.289285700000001</c:v>
                </c:pt>
                <c:pt idx="924">
                  <c:v>31.301447599999999</c:v>
                </c:pt>
                <c:pt idx="925">
                  <c:v>31.313609499999998</c:v>
                </c:pt>
                <c:pt idx="926">
                  <c:v>31.325771400000001</c:v>
                </c:pt>
                <c:pt idx="927">
                  <c:v>31.3379333</c:v>
                </c:pt>
                <c:pt idx="928">
                  <c:v>31.350095199999998</c:v>
                </c:pt>
                <c:pt idx="929">
                  <c:v>31.362257100000001</c:v>
                </c:pt>
                <c:pt idx="930">
                  <c:v>31.374419100000001</c:v>
                </c:pt>
                <c:pt idx="931">
                  <c:v>31.386581</c:v>
                </c:pt>
                <c:pt idx="932">
                  <c:v>31.398742899999998</c:v>
                </c:pt>
                <c:pt idx="933">
                  <c:v>31.410904800000001</c:v>
                </c:pt>
                <c:pt idx="934">
                  <c:v>31.4230667</c:v>
                </c:pt>
                <c:pt idx="935">
                  <c:v>31.435228599999999</c:v>
                </c:pt>
                <c:pt idx="936">
                  <c:v>31.447390500000001</c:v>
                </c:pt>
                <c:pt idx="937">
                  <c:v>31.4595524</c:v>
                </c:pt>
                <c:pt idx="938">
                  <c:v>31.471714299999999</c:v>
                </c:pt>
                <c:pt idx="939">
                  <c:v>31.483876200000001</c:v>
                </c:pt>
                <c:pt idx="940">
                  <c:v>31.4960381</c:v>
                </c:pt>
                <c:pt idx="941">
                  <c:v>31.508199999999999</c:v>
                </c:pt>
                <c:pt idx="942">
                  <c:v>31.520361900000001</c:v>
                </c:pt>
                <c:pt idx="943">
                  <c:v>31.5325238</c:v>
                </c:pt>
                <c:pt idx="944">
                  <c:v>31.544685699999999</c:v>
                </c:pt>
                <c:pt idx="945">
                  <c:v>31.556847600000001</c:v>
                </c:pt>
                <c:pt idx="946">
                  <c:v>31.5690095</c:v>
                </c:pt>
                <c:pt idx="947">
                  <c:v>31.581171399999999</c:v>
                </c:pt>
                <c:pt idx="948">
                  <c:v>31.593333300000001</c:v>
                </c:pt>
                <c:pt idx="949">
                  <c:v>31.6054952</c:v>
                </c:pt>
                <c:pt idx="950">
                  <c:v>31.617657099999999</c:v>
                </c:pt>
                <c:pt idx="951">
                  <c:v>31.629819099999999</c:v>
                </c:pt>
                <c:pt idx="952">
                  <c:v>31.641981000000001</c:v>
                </c:pt>
                <c:pt idx="953">
                  <c:v>31.6541429</c:v>
                </c:pt>
                <c:pt idx="954">
                  <c:v>31.666304799999999</c:v>
                </c:pt>
                <c:pt idx="955">
                  <c:v>31.678466700000001</c:v>
                </c:pt>
                <c:pt idx="956">
                  <c:v>31.6906286</c:v>
                </c:pt>
                <c:pt idx="957">
                  <c:v>31.702790499999999</c:v>
                </c:pt>
                <c:pt idx="958">
                  <c:v>31.714952400000001</c:v>
                </c:pt>
                <c:pt idx="959">
                  <c:v>31.7271143</c:v>
                </c:pt>
                <c:pt idx="960">
                  <c:v>31.739276199999999</c:v>
                </c:pt>
                <c:pt idx="961">
                  <c:v>31.751438100000001</c:v>
                </c:pt>
                <c:pt idx="962">
                  <c:v>31.7636</c:v>
                </c:pt>
                <c:pt idx="963">
                  <c:v>31.775761899999999</c:v>
                </c:pt>
                <c:pt idx="964">
                  <c:v>31.787923800000002</c:v>
                </c:pt>
                <c:pt idx="965">
                  <c:v>31.8000857</c:v>
                </c:pt>
                <c:pt idx="966">
                  <c:v>31.812247599999999</c:v>
                </c:pt>
                <c:pt idx="967">
                  <c:v>31.824409500000002</c:v>
                </c:pt>
                <c:pt idx="968">
                  <c:v>31.8365714</c:v>
                </c:pt>
                <c:pt idx="969">
                  <c:v>31.848733299999999</c:v>
                </c:pt>
                <c:pt idx="970">
                  <c:v>31.860895200000002</c:v>
                </c:pt>
                <c:pt idx="971">
                  <c:v>31.8730571</c:v>
                </c:pt>
                <c:pt idx="972">
                  <c:v>31.8852191</c:v>
                </c:pt>
                <c:pt idx="973">
                  <c:v>31.897380999999999</c:v>
                </c:pt>
                <c:pt idx="974">
                  <c:v>31.909542900000002</c:v>
                </c:pt>
                <c:pt idx="975">
                  <c:v>31.921704800000001</c:v>
                </c:pt>
                <c:pt idx="976">
                  <c:v>31.933866699999999</c:v>
                </c:pt>
                <c:pt idx="977">
                  <c:v>31.946028600000002</c:v>
                </c:pt>
                <c:pt idx="978">
                  <c:v>31.958190500000001</c:v>
                </c:pt>
                <c:pt idx="979">
                  <c:v>31.970352399999999</c:v>
                </c:pt>
                <c:pt idx="980">
                  <c:v>31.982514299999998</c:v>
                </c:pt>
                <c:pt idx="981">
                  <c:v>31.994676200000001</c:v>
                </c:pt>
                <c:pt idx="982">
                  <c:v>32.006838100000003</c:v>
                </c:pt>
                <c:pt idx="983">
                  <c:v>32.018999999999998</c:v>
                </c:pt>
                <c:pt idx="984">
                  <c:v>32.048000000000002</c:v>
                </c:pt>
                <c:pt idx="985">
                  <c:v>32.076999999999998</c:v>
                </c:pt>
                <c:pt idx="986">
                  <c:v>32.106000000000002</c:v>
                </c:pt>
                <c:pt idx="987">
                  <c:v>32.134999999999998</c:v>
                </c:pt>
                <c:pt idx="988">
                  <c:v>32.164000000000001</c:v>
                </c:pt>
                <c:pt idx="989">
                  <c:v>32.192999999999998</c:v>
                </c:pt>
                <c:pt idx="990">
                  <c:v>32.222000000000001</c:v>
                </c:pt>
                <c:pt idx="991">
                  <c:v>32.250999999999998</c:v>
                </c:pt>
                <c:pt idx="992">
                  <c:v>32.28</c:v>
                </c:pt>
                <c:pt idx="993">
                  <c:v>32.308999999999997</c:v>
                </c:pt>
                <c:pt idx="994">
                  <c:v>32.338000000000001</c:v>
                </c:pt>
                <c:pt idx="995">
                  <c:v>32.366999999999997</c:v>
                </c:pt>
                <c:pt idx="996">
                  <c:v>32.396000000000001</c:v>
                </c:pt>
                <c:pt idx="997">
                  <c:v>32.424999999999997</c:v>
                </c:pt>
                <c:pt idx="998">
                  <c:v>32.454000000000001</c:v>
                </c:pt>
                <c:pt idx="999">
                  <c:v>32.482999999999997</c:v>
                </c:pt>
                <c:pt idx="1000">
                  <c:v>32.512</c:v>
                </c:pt>
                <c:pt idx="1001">
                  <c:v>32.540999999999997</c:v>
                </c:pt>
                <c:pt idx="1002">
                  <c:v>32.57</c:v>
                </c:pt>
                <c:pt idx="1003">
                  <c:v>32.598999999999997</c:v>
                </c:pt>
                <c:pt idx="1004">
                  <c:v>32.628</c:v>
                </c:pt>
                <c:pt idx="1005">
                  <c:v>32.656999999999996</c:v>
                </c:pt>
                <c:pt idx="1006">
                  <c:v>32.686</c:v>
                </c:pt>
                <c:pt idx="1007">
                  <c:v>32.715000000000003</c:v>
                </c:pt>
                <c:pt idx="1008">
                  <c:v>32.744</c:v>
                </c:pt>
                <c:pt idx="1009">
                  <c:v>32.773000000000003</c:v>
                </c:pt>
                <c:pt idx="1010">
                  <c:v>32.802</c:v>
                </c:pt>
                <c:pt idx="1011">
                  <c:v>32.831000000000003</c:v>
                </c:pt>
                <c:pt idx="1012">
                  <c:v>32.86</c:v>
                </c:pt>
                <c:pt idx="1013">
                  <c:v>32.889000000000003</c:v>
                </c:pt>
                <c:pt idx="1014">
                  <c:v>32.917999999999999</c:v>
                </c:pt>
                <c:pt idx="1015">
                  <c:v>32.947000000000003</c:v>
                </c:pt>
                <c:pt idx="1016">
                  <c:v>32.975999999999999</c:v>
                </c:pt>
                <c:pt idx="1017">
                  <c:v>33.005000000000003</c:v>
                </c:pt>
                <c:pt idx="1018">
                  <c:v>33.033999999999999</c:v>
                </c:pt>
                <c:pt idx="1019">
                  <c:v>33.063000000000002</c:v>
                </c:pt>
                <c:pt idx="1020">
                  <c:v>33.091999999999999</c:v>
                </c:pt>
                <c:pt idx="1021">
                  <c:v>33.121000000000002</c:v>
                </c:pt>
                <c:pt idx="1022">
                  <c:v>33.15</c:v>
                </c:pt>
                <c:pt idx="1023">
                  <c:v>33.179000000000002</c:v>
                </c:pt>
                <c:pt idx="1024">
                  <c:v>33.207999999999998</c:v>
                </c:pt>
                <c:pt idx="1025">
                  <c:v>33.237000000000002</c:v>
                </c:pt>
                <c:pt idx="1026">
                  <c:v>33.265999999999998</c:v>
                </c:pt>
                <c:pt idx="1027">
                  <c:v>33.295000000000002</c:v>
                </c:pt>
                <c:pt idx="1028">
                  <c:v>33.323999999999998</c:v>
                </c:pt>
                <c:pt idx="1029">
                  <c:v>33.353000000000002</c:v>
                </c:pt>
                <c:pt idx="1030">
                  <c:v>33.381999999999998</c:v>
                </c:pt>
                <c:pt idx="1031">
                  <c:v>33.411000000000001</c:v>
                </c:pt>
                <c:pt idx="1032">
                  <c:v>33.44</c:v>
                </c:pt>
                <c:pt idx="1033">
                  <c:v>33.469000000000001</c:v>
                </c:pt>
                <c:pt idx="1034">
                  <c:v>33.497999999999998</c:v>
                </c:pt>
                <c:pt idx="1035">
                  <c:v>33.527000000000001</c:v>
                </c:pt>
                <c:pt idx="1036">
                  <c:v>33.555999999999997</c:v>
                </c:pt>
                <c:pt idx="1037">
                  <c:v>33.585000000000001</c:v>
                </c:pt>
                <c:pt idx="1038">
                  <c:v>33.613999999999997</c:v>
                </c:pt>
                <c:pt idx="1039">
                  <c:v>33.643000000000001</c:v>
                </c:pt>
                <c:pt idx="1040">
                  <c:v>33.671999999999997</c:v>
                </c:pt>
                <c:pt idx="1041">
                  <c:v>33.701000000000001</c:v>
                </c:pt>
                <c:pt idx="1042">
                  <c:v>33.729999999999997</c:v>
                </c:pt>
                <c:pt idx="1043">
                  <c:v>33.759</c:v>
                </c:pt>
                <c:pt idx="1044">
                  <c:v>33.787999999999997</c:v>
                </c:pt>
                <c:pt idx="1045">
                  <c:v>33.817</c:v>
                </c:pt>
                <c:pt idx="1046">
                  <c:v>33.845999999999997</c:v>
                </c:pt>
                <c:pt idx="1047">
                  <c:v>33.875</c:v>
                </c:pt>
                <c:pt idx="1048">
                  <c:v>33.904000000000003</c:v>
                </c:pt>
                <c:pt idx="1049">
                  <c:v>33.933</c:v>
                </c:pt>
                <c:pt idx="1050">
                  <c:v>33.962000000000003</c:v>
                </c:pt>
                <c:pt idx="1051">
                  <c:v>33.991</c:v>
                </c:pt>
                <c:pt idx="1052">
                  <c:v>34.020000000000003</c:v>
                </c:pt>
                <c:pt idx="1053">
                  <c:v>34.048999999999999</c:v>
                </c:pt>
                <c:pt idx="1054">
                  <c:v>34.078000000000003</c:v>
                </c:pt>
                <c:pt idx="1055">
                  <c:v>34.106999999999999</c:v>
                </c:pt>
                <c:pt idx="1056">
                  <c:v>34.136000000000003</c:v>
                </c:pt>
                <c:pt idx="1057">
                  <c:v>34.164999999999999</c:v>
                </c:pt>
                <c:pt idx="1058">
                  <c:v>34.194000000000003</c:v>
                </c:pt>
                <c:pt idx="1059">
                  <c:v>34.222999999999999</c:v>
                </c:pt>
                <c:pt idx="1060">
                  <c:v>34.252000000000002</c:v>
                </c:pt>
                <c:pt idx="1061">
                  <c:v>34.280999999999999</c:v>
                </c:pt>
                <c:pt idx="1062">
                  <c:v>34.31</c:v>
                </c:pt>
                <c:pt idx="1063">
                  <c:v>34.338999999999999</c:v>
                </c:pt>
                <c:pt idx="1064">
                  <c:v>34.368000000000002</c:v>
                </c:pt>
                <c:pt idx="1065">
                  <c:v>34.396999999999998</c:v>
                </c:pt>
              </c:numCache>
            </c:numRef>
          </c:xVal>
          <c:yVal>
            <c:numRef>
              <c:f>'XRF selectie'!$V:$V</c:f>
              <c:numCache>
                <c:formatCode>General</c:formatCode>
                <c:ptCount val="1048576"/>
                <c:pt idx="0">
                  <c:v>0</c:v>
                </c:pt>
                <c:pt idx="2">
                  <c:v>2.3335766305732855</c:v>
                </c:pt>
                <c:pt idx="3">
                  <c:v>2.3354802684064313</c:v>
                </c:pt>
                <c:pt idx="4">
                  <c:v>2.3288907074217859</c:v>
                </c:pt>
                <c:pt idx="5">
                  <c:v>2.327129439682166</c:v>
                </c:pt>
                <c:pt idx="6">
                  <c:v>2.3283348288399131</c:v>
                </c:pt>
                <c:pt idx="7">
                  <c:v>2.3453167001582571</c:v>
                </c:pt>
                <c:pt idx="8">
                  <c:v>2.3329633329670205</c:v>
                </c:pt>
                <c:pt idx="9">
                  <c:v>2.322291645192351</c:v>
                </c:pt>
                <c:pt idx="10">
                  <c:v>2.3039383074280777</c:v>
                </c:pt>
                <c:pt idx="11">
                  <c:v>2.2965387284742147</c:v>
                </c:pt>
                <c:pt idx="12">
                  <c:v>2.2999238350145159</c:v>
                </c:pt>
                <c:pt idx="13">
                  <c:v>2.3047226719841443</c:v>
                </c:pt>
                <c:pt idx="14">
                  <c:v>2.3132658871977236</c:v>
                </c:pt>
                <c:pt idx="15">
                  <c:v>2.2981451017503804</c:v>
                </c:pt>
                <c:pt idx="16">
                  <c:v>2.3018613587743708</c:v>
                </c:pt>
                <c:pt idx="17">
                  <c:v>2.3050174906846732</c:v>
                </c:pt>
                <c:pt idx="18">
                  <c:v>2.3258544852429375</c:v>
                </c:pt>
                <c:pt idx="19">
                  <c:v>2.3252613068587862</c:v>
                </c:pt>
                <c:pt idx="20">
                  <c:v>2.3390816469712514</c:v>
                </c:pt>
                <c:pt idx="21">
                  <c:v>2.3443801897476129</c:v>
                </c:pt>
                <c:pt idx="22">
                  <c:v>2.3475389228203754</c:v>
                </c:pt>
                <c:pt idx="23">
                  <c:v>2.34761919812119</c:v>
                </c:pt>
                <c:pt idx="24">
                  <c:v>2.3457538070791171</c:v>
                </c:pt>
                <c:pt idx="25">
                  <c:v>2.3541065095752365</c:v>
                </c:pt>
                <c:pt idx="26">
                  <c:v>2.3638771779021712</c:v>
                </c:pt>
                <c:pt idx="27">
                  <c:v>2.3816059545709662</c:v>
                </c:pt>
                <c:pt idx="28">
                  <c:v>2.3923986106792317</c:v>
                </c:pt>
                <c:pt idx="29">
                  <c:v>2.4020067434474317</c:v>
                </c:pt>
                <c:pt idx="30">
                  <c:v>2.3955216763997895</c:v>
                </c:pt>
                <c:pt idx="31">
                  <c:v>2.3941308766123908</c:v>
                </c:pt>
                <c:pt idx="32">
                  <c:v>2.3957814119671084</c:v>
                </c:pt>
                <c:pt idx="33">
                  <c:v>2.3949224688741442</c:v>
                </c:pt>
                <c:pt idx="34">
                  <c:v>2.3851852823636719</c:v>
                </c:pt>
                <c:pt idx="35">
                  <c:v>2.3675964998414489</c:v>
                </c:pt>
                <c:pt idx="36">
                  <c:v>2.3630549608778737</c:v>
                </c:pt>
                <c:pt idx="37">
                  <c:v>2.3646974372353231</c:v>
                </c:pt>
                <c:pt idx="38">
                  <c:v>2.3638055646826315</c:v>
                </c:pt>
                <c:pt idx="39">
                  <c:v>2.3653396403522464</c:v>
                </c:pt>
                <c:pt idx="40">
                  <c:v>2.3752554949311864</c:v>
                </c:pt>
                <c:pt idx="41">
                  <c:v>2.3827609665966976</c:v>
                </c:pt>
                <c:pt idx="42">
                  <c:v>2.3839217966614323</c:v>
                </c:pt>
                <c:pt idx="43">
                  <c:v>2.3710519586976009</c:v>
                </c:pt>
                <c:pt idx="44">
                  <c:v>2.3549014730387872</c:v>
                </c:pt>
                <c:pt idx="45">
                  <c:v>2.3479004281937925</c:v>
                </c:pt>
                <c:pt idx="46">
                  <c:v>2.3559226804414894</c:v>
                </c:pt>
                <c:pt idx="47">
                  <c:v>2.3584291838287146</c:v>
                </c:pt>
                <c:pt idx="48">
                  <c:v>2.3572111790367498</c:v>
                </c:pt>
                <c:pt idx="49">
                  <c:v>2.3569024362248987</c:v>
                </c:pt>
                <c:pt idx="50">
                  <c:v>2.3579083619233798</c:v>
                </c:pt>
                <c:pt idx="51">
                  <c:v>2.3578579762141403</c:v>
                </c:pt>
                <c:pt idx="52">
                  <c:v>2.3466342506271514</c:v>
                </c:pt>
                <c:pt idx="53">
                  <c:v>2.3484750696023284</c:v>
                </c:pt>
                <c:pt idx="54">
                  <c:v>2.3481691598535339</c:v>
                </c:pt>
                <c:pt idx="55">
                  <c:v>2.3448196665126186</c:v>
                </c:pt>
                <c:pt idx="56">
                  <c:v>2.3500567889824677</c:v>
                </c:pt>
                <c:pt idx="57">
                  <c:v>2.3551907958907008</c:v>
                </c:pt>
                <c:pt idx="58">
                  <c:v>2.3684246894390539</c:v>
                </c:pt>
                <c:pt idx="59">
                  <c:v>2.3858486167435924</c:v>
                </c:pt>
                <c:pt idx="60">
                  <c:v>2.4001794985064384</c:v>
                </c:pt>
                <c:pt idx="61">
                  <c:v>2.3987221127165692</c:v>
                </c:pt>
                <c:pt idx="62">
                  <c:v>2.3954221613397908</c:v>
                </c:pt>
                <c:pt idx="63">
                  <c:v>2.4056928045174724</c:v>
                </c:pt>
                <c:pt idx="64">
                  <c:v>2.4177458796679194</c:v>
                </c:pt>
                <c:pt idx="65">
                  <c:v>2.4166698405607505</c:v>
                </c:pt>
                <c:pt idx="66">
                  <c:v>2.4092745091602046</c:v>
                </c:pt>
                <c:pt idx="67">
                  <c:v>2.422819212052338</c:v>
                </c:pt>
                <c:pt idx="68">
                  <c:v>2.435875432430807</c:v>
                </c:pt>
                <c:pt idx="69">
                  <c:v>2.4378383709452947</c:v>
                </c:pt>
                <c:pt idx="70">
                  <c:v>2.420293085423685</c:v>
                </c:pt>
                <c:pt idx="71">
                  <c:v>2.3895867337133043</c:v>
                </c:pt>
                <c:pt idx="72">
                  <c:v>2.3721046858465513</c:v>
                </c:pt>
                <c:pt idx="73">
                  <c:v>2.3551091726839242</c:v>
                </c:pt>
                <c:pt idx="74">
                  <c:v>2.3368325565728125</c:v>
                </c:pt>
                <c:pt idx="75">
                  <c:v>2.3172409019345275</c:v>
                </c:pt>
                <c:pt idx="76">
                  <c:v>2.2984305502954245</c:v>
                </c:pt>
                <c:pt idx="77">
                  <c:v>2.2971831411902013</c:v>
                </c:pt>
                <c:pt idx="78">
                  <c:v>2.2918875225897746</c:v>
                </c:pt>
                <c:pt idx="79">
                  <c:v>2.3037946348587455</c:v>
                </c:pt>
                <c:pt idx="80">
                  <c:v>2.3213765779899798</c:v>
                </c:pt>
                <c:pt idx="81">
                  <c:v>2.3334743084817018</c:v>
                </c:pt>
                <c:pt idx="82">
                  <c:v>2.3445490130978395</c:v>
                </c:pt>
                <c:pt idx="83">
                  <c:v>2.3488932962946856</c:v>
                </c:pt>
                <c:pt idx="84">
                  <c:v>2.3538549433116942</c:v>
                </c:pt>
                <c:pt idx="85">
                  <c:v>2.3546850300356241</c:v>
                </c:pt>
                <c:pt idx="86">
                  <c:v>2.3577428091199919</c:v>
                </c:pt>
                <c:pt idx="87">
                  <c:v>2.3735417613956469</c:v>
                </c:pt>
                <c:pt idx="88">
                  <c:v>2.3852215684998046</c:v>
                </c:pt>
                <c:pt idx="89">
                  <c:v>2.3786809089847627</c:v>
                </c:pt>
                <c:pt idx="90">
                  <c:v>2.3635171465277933</c:v>
                </c:pt>
                <c:pt idx="91">
                  <c:v>2.3387562670800883</c:v>
                </c:pt>
                <c:pt idx="92">
                  <c:v>2.3442376421166835</c:v>
                </c:pt>
                <c:pt idx="93">
                  <c:v>2.3560962627967466</c:v>
                </c:pt>
                <c:pt idx="94">
                  <c:v>2.3688901197922121</c:v>
                </c:pt>
                <c:pt idx="95">
                  <c:v>2.3613063024480376</c:v>
                </c:pt>
                <c:pt idx="96">
                  <c:v>2.3510941677465382</c:v>
                </c:pt>
                <c:pt idx="97">
                  <c:v>2.3515947441881067</c:v>
                </c:pt>
                <c:pt idx="98">
                  <c:v>2.3549957308413938</c:v>
                </c:pt>
                <c:pt idx="99">
                  <c:v>2.3554565594682479</c:v>
                </c:pt>
                <c:pt idx="100">
                  <c:v>2.3577679318531928</c:v>
                </c:pt>
                <c:pt idx="101">
                  <c:v>2.3491236197536618</c:v>
                </c:pt>
                <c:pt idx="102">
                  <c:v>2.3579651040480378</c:v>
                </c:pt>
                <c:pt idx="103">
                  <c:v>2.3558177337130357</c:v>
                </c:pt>
                <c:pt idx="104">
                  <c:v>2.3738021399259015</c:v>
                </c:pt>
                <c:pt idx="105">
                  <c:v>2.369806553979565</c:v>
                </c:pt>
                <c:pt idx="106">
                  <c:v>2.3722635754804275</c:v>
                </c:pt>
                <c:pt idx="107">
                  <c:v>2.361165264186504</c:v>
                </c:pt>
                <c:pt idx="108">
                  <c:v>2.3547558205264156</c:v>
                </c:pt>
                <c:pt idx="109">
                  <c:v>2.3492847631075637</c:v>
                </c:pt>
                <c:pt idx="110">
                  <c:v>2.3572468862407168</c:v>
                </c:pt>
                <c:pt idx="111">
                  <c:v>2.3550896182477667</c:v>
                </c:pt>
                <c:pt idx="112">
                  <c:v>2.3548934130461792</c:v>
                </c:pt>
                <c:pt idx="113">
                  <c:v>2.3463391969845575</c:v>
                </c:pt>
                <c:pt idx="114">
                  <c:v>2.3584898859951555</c:v>
                </c:pt>
                <c:pt idx="115">
                  <c:v>2.36561000922425</c:v>
                </c:pt>
                <c:pt idx="116">
                  <c:v>2.365708699545487</c:v>
                </c:pt>
                <c:pt idx="117">
                  <c:v>2.3554162706556707</c:v>
                </c:pt>
                <c:pt idx="118">
                  <c:v>2.3379406525505662</c:v>
                </c:pt>
                <c:pt idx="119">
                  <c:v>2.3290158865558888</c:v>
                </c:pt>
                <c:pt idx="120">
                  <c:v>2.3146516035914027</c:v>
                </c:pt>
                <c:pt idx="121">
                  <c:v>2.3157112384711778</c:v>
                </c:pt>
                <c:pt idx="122">
                  <c:v>2.3189123088278181</c:v>
                </c:pt>
                <c:pt idx="123">
                  <c:v>2.3259166631625097</c:v>
                </c:pt>
                <c:pt idx="124">
                  <c:v>2.3240404239337025</c:v>
                </c:pt>
                <c:pt idx="125">
                  <c:v>2.3228070190655958</c:v>
                </c:pt>
                <c:pt idx="126">
                  <c:v>2.3303175880674587</c:v>
                </c:pt>
                <c:pt idx="127">
                  <c:v>2.3449308462914566</c:v>
                </c:pt>
                <c:pt idx="128">
                  <c:v>2.3550859018220436</c:v>
                </c:pt>
                <c:pt idx="129">
                  <c:v>2.3528450808429047</c:v>
                </c:pt>
                <c:pt idx="130">
                  <c:v>2.3513100579615833</c:v>
                </c:pt>
                <c:pt idx="131">
                  <c:v>2.3419087621526451</c:v>
                </c:pt>
                <c:pt idx="132">
                  <c:v>2.3495788822762624</c:v>
                </c:pt>
                <c:pt idx="133">
                  <c:v>2.3588376409950853</c:v>
                </c:pt>
                <c:pt idx="134">
                  <c:v>2.3637433994881731</c:v>
                </c:pt>
                <c:pt idx="135">
                  <c:v>2.365586278165428</c:v>
                </c:pt>
                <c:pt idx="136">
                  <c:v>2.3623871485264676</c:v>
                </c:pt>
                <c:pt idx="137">
                  <c:v>2.3597169066238357</c:v>
                </c:pt>
                <c:pt idx="138">
                  <c:v>2.3461360886926972</c:v>
                </c:pt>
                <c:pt idx="139">
                  <c:v>2.3481945738394647</c:v>
                </c:pt>
                <c:pt idx="140">
                  <c:v>2.3465917805540619</c:v>
                </c:pt>
                <c:pt idx="141">
                  <c:v>2.3410493459897515</c:v>
                </c:pt>
                <c:pt idx="142">
                  <c:v>2.3265224788772567</c:v>
                </c:pt>
                <c:pt idx="143">
                  <c:v>2.3333370653477763</c:v>
                </c:pt>
                <c:pt idx="144">
                  <c:v>2.350385639852361</c:v>
                </c:pt>
                <c:pt idx="145">
                  <c:v>2.3514068424536263</c:v>
                </c:pt>
                <c:pt idx="146">
                  <c:v>2.3543737815402959</c:v>
                </c:pt>
                <c:pt idx="147">
                  <c:v>2.363471226653548</c:v>
                </c:pt>
                <c:pt idx="148">
                  <c:v>2.3673781836997918</c:v>
                </c:pt>
                <c:pt idx="149">
                  <c:v>2.3778243662599046</c:v>
                </c:pt>
                <c:pt idx="150">
                  <c:v>2.3726187953917255</c:v>
                </c:pt>
                <c:pt idx="151">
                  <c:v>2.3724526924302403</c:v>
                </c:pt>
                <c:pt idx="152">
                  <c:v>2.3621493980617476</c:v>
                </c:pt>
                <c:pt idx="153">
                  <c:v>2.3449402165627409</c:v>
                </c:pt>
                <c:pt idx="154">
                  <c:v>2.3307300709718057</c:v>
                </c:pt>
                <c:pt idx="155">
                  <c:v>2.3114808426607945</c:v>
                </c:pt>
                <c:pt idx="156">
                  <c:v>2.2953047560570892</c:v>
                </c:pt>
                <c:pt idx="157">
                  <c:v>2.2959650050922451</c:v>
                </c:pt>
                <c:pt idx="158">
                  <c:v>2.3110462208545473</c:v>
                </c:pt>
                <c:pt idx="159">
                  <c:v>2.3150082511686647</c:v>
                </c:pt>
                <c:pt idx="160">
                  <c:v>2.3121180123018505</c:v>
                </c:pt>
                <c:pt idx="161">
                  <c:v>2.2973862239258658</c:v>
                </c:pt>
                <c:pt idx="162">
                  <c:v>2.3069181767526881</c:v>
                </c:pt>
                <c:pt idx="163">
                  <c:v>2.3182356797207544</c:v>
                </c:pt>
                <c:pt idx="164">
                  <c:v>2.3067213607817734</c:v>
                </c:pt>
                <c:pt idx="165">
                  <c:v>2.2978608353014356</c:v>
                </c:pt>
                <c:pt idx="166">
                  <c:v>2.2877367042166026</c:v>
                </c:pt>
                <c:pt idx="167">
                  <c:v>2.3054407753633055</c:v>
                </c:pt>
                <c:pt idx="168">
                  <c:v>2.3179436258722776</c:v>
                </c:pt>
                <c:pt idx="169">
                  <c:v>2.3159856271723296</c:v>
                </c:pt>
                <c:pt idx="170">
                  <c:v>2.3166931109025604</c:v>
                </c:pt>
                <c:pt idx="171">
                  <c:v>2.3288685885671723</c:v>
                </c:pt>
                <c:pt idx="172">
                  <c:v>2.333690133692544</c:v>
                </c:pt>
                <c:pt idx="173">
                  <c:v>2.3241922208133072</c:v>
                </c:pt>
                <c:pt idx="174">
                  <c:v>2.3016028584416914</c:v>
                </c:pt>
                <c:pt idx="175">
                  <c:v>2.2897326681471761</c:v>
                </c:pt>
                <c:pt idx="176">
                  <c:v>2.2920503953400382</c:v>
                </c:pt>
                <c:pt idx="177">
                  <c:v>2.2921379922053737</c:v>
                </c:pt>
                <c:pt idx="178">
                  <c:v>2.3022171375883715</c:v>
                </c:pt>
                <c:pt idx="179">
                  <c:v>2.2996761034304214</c:v>
                </c:pt>
                <c:pt idx="180">
                  <c:v>2.3058683302695595</c:v>
                </c:pt>
                <c:pt idx="181">
                  <c:v>2.320816019856021</c:v>
                </c:pt>
                <c:pt idx="182">
                  <c:v>2.3523039680927753</c:v>
                </c:pt>
                <c:pt idx="183">
                  <c:v>2.3537518673848923</c:v>
                </c:pt>
                <c:pt idx="184">
                  <c:v>2.3238017230875738</c:v>
                </c:pt>
                <c:pt idx="185">
                  <c:v>2.3152083308981113</c:v>
                </c:pt>
                <c:pt idx="186">
                  <c:v>2.3152650161398234</c:v>
                </c:pt>
                <c:pt idx="187">
                  <c:v>2.3124336556541514</c:v>
                </c:pt>
                <c:pt idx="188">
                  <c:v>2.2876778843842618</c:v>
                </c:pt>
                <c:pt idx="189">
                  <c:v>2.2778155431501617</c:v>
                </c:pt>
                <c:pt idx="190">
                  <c:v>2.283504686716912</c:v>
                </c:pt>
                <c:pt idx="191">
                  <c:v>2.2772616331856006</c:v>
                </c:pt>
                <c:pt idx="192">
                  <c:v>2.2811219298757828</c:v>
                </c:pt>
                <c:pt idx="193">
                  <c:v>2.286242371979939</c:v>
                </c:pt>
                <c:pt idx="194">
                  <c:v>2.3096033364680655</c:v>
                </c:pt>
                <c:pt idx="195">
                  <c:v>2.3157854550066008</c:v>
                </c:pt>
                <c:pt idx="196">
                  <c:v>2.33013149952215</c:v>
                </c:pt>
                <c:pt idx="197">
                  <c:v>2.3292088748352962</c:v>
                </c:pt>
                <c:pt idx="198">
                  <c:v>2.3494284179848712</c:v>
                </c:pt>
                <c:pt idx="199">
                  <c:v>2.3560994746597537</c:v>
                </c:pt>
                <c:pt idx="200">
                  <c:v>2.3529992278968943</c:v>
                </c:pt>
                <c:pt idx="201">
                  <c:v>2.3342981247630727</c:v>
                </c:pt>
                <c:pt idx="202">
                  <c:v>2.3288834841410337</c:v>
                </c:pt>
                <c:pt idx="203">
                  <c:v>2.3308296923569078</c:v>
                </c:pt>
                <c:pt idx="204">
                  <c:v>2.3333941914142504</c:v>
                </c:pt>
                <c:pt idx="205">
                  <c:v>2.3466144084632119</c:v>
                </c:pt>
                <c:pt idx="206">
                  <c:v>2.3441760258130171</c:v>
                </c:pt>
                <c:pt idx="207">
                  <c:v>2.3552887522539834</c:v>
                </c:pt>
                <c:pt idx="208">
                  <c:v>2.349104295097876</c:v>
                </c:pt>
                <c:pt idx="209">
                  <c:v>2.3598178692344618</c:v>
                </c:pt>
                <c:pt idx="210">
                  <c:v>2.3691894383812921</c:v>
                </c:pt>
                <c:pt idx="211">
                  <c:v>2.3740650188091994</c:v>
                </c:pt>
                <c:pt idx="212">
                  <c:v>2.3743152995381434</c:v>
                </c:pt>
                <c:pt idx="213">
                  <c:v>2.3577334414305193</c:v>
                </c:pt>
                <c:pt idx="214">
                  <c:v>2.3584559822432074</c:v>
                </c:pt>
                <c:pt idx="215">
                  <c:v>2.3565918236231691</c:v>
                </c:pt>
                <c:pt idx="216">
                  <c:v>2.3631851028614226</c:v>
                </c:pt>
                <c:pt idx="217">
                  <c:v>2.3635688725596373</c:v>
                </c:pt>
                <c:pt idx="218">
                  <c:v>2.3687906166698043</c:v>
                </c:pt>
                <c:pt idx="219">
                  <c:v>2.3746053076640532</c:v>
                </c:pt>
                <c:pt idx="220">
                  <c:v>2.3860357134906436</c:v>
                </c:pt>
                <c:pt idx="221">
                  <c:v>2.3877779967064559</c:v>
                </c:pt>
                <c:pt idx="222">
                  <c:v>2.3876517446746353</c:v>
                </c:pt>
                <c:pt idx="223">
                  <c:v>2.3806694018662693</c:v>
                </c:pt>
                <c:pt idx="224">
                  <c:v>2.375548033383875</c:v>
                </c:pt>
                <c:pt idx="225">
                  <c:v>2.3721658444605667</c:v>
                </c:pt>
                <c:pt idx="226">
                  <c:v>2.3713117582535261</c:v>
                </c:pt>
                <c:pt idx="227">
                  <c:v>2.3800907899939876</c:v>
                </c:pt>
                <c:pt idx="228">
                  <c:v>2.3724221054493104</c:v>
                </c:pt>
                <c:pt idx="229">
                  <c:v>2.3571525426284894</c:v>
                </c:pt>
                <c:pt idx="230">
                  <c:v>2.339722998540124</c:v>
                </c:pt>
                <c:pt idx="231">
                  <c:v>2.3578778891803673</c:v>
                </c:pt>
                <c:pt idx="232">
                  <c:v>2.3722743800508073</c:v>
                </c:pt>
                <c:pt idx="233">
                  <c:v>2.3760551764128137</c:v>
                </c:pt>
                <c:pt idx="234">
                  <c:v>2.3584577022940887</c:v>
                </c:pt>
                <c:pt idx="235">
                  <c:v>2.363236246820676</c:v>
                </c:pt>
                <c:pt idx="236">
                  <c:v>2.3649646488324323</c:v>
                </c:pt>
                <c:pt idx="237">
                  <c:v>2.3634153376082705</c:v>
                </c:pt>
                <c:pt idx="238">
                  <c:v>2.3717678601293066</c:v>
                </c:pt>
                <c:pt idx="239">
                  <c:v>2.3833198065549008</c:v>
                </c:pt>
                <c:pt idx="240">
                  <c:v>2.397297274062939</c:v>
                </c:pt>
                <c:pt idx="241">
                  <c:v>2.3802909484582018</c:v>
                </c:pt>
                <c:pt idx="242">
                  <c:v>2.3719780828583503</c:v>
                </c:pt>
                <c:pt idx="243">
                  <c:v>2.3836228243472903</c:v>
                </c:pt>
                <c:pt idx="244">
                  <c:v>2.3868275100259142</c:v>
                </c:pt>
                <c:pt idx="245">
                  <c:v>2.4000216442776954</c:v>
                </c:pt>
                <c:pt idx="246">
                  <c:v>2.3810598256855049</c:v>
                </c:pt>
                <c:pt idx="247">
                  <c:v>2.3794236393392176</c:v>
                </c:pt>
                <c:pt idx="248">
                  <c:v>2.3796461979486154</c:v>
                </c:pt>
                <c:pt idx="249">
                  <c:v>2.3936440461279509</c:v>
                </c:pt>
                <c:pt idx="250">
                  <c:v>2.4088365623593879</c:v>
                </c:pt>
                <c:pt idx="251">
                  <c:v>2.40982630891587</c:v>
                </c:pt>
                <c:pt idx="252">
                  <c:v>2.4066185733198329</c:v>
                </c:pt>
                <c:pt idx="253">
                  <c:v>2.3907760549351083</c:v>
                </c:pt>
                <c:pt idx="254">
                  <c:v>2.3780654363849942</c:v>
                </c:pt>
                <c:pt idx="255">
                  <c:v>2.3690734950155035</c:v>
                </c:pt>
                <c:pt idx="256">
                  <c:v>2.3620132155424316</c:v>
                </c:pt>
                <c:pt idx="257">
                  <c:v>2.3554142177237387</c:v>
                </c:pt>
                <c:pt idx="258">
                  <c:v>2.3535637706317112</c:v>
                </c:pt>
                <c:pt idx="259">
                  <c:v>2.3427757518173609</c:v>
                </c:pt>
                <c:pt idx="260">
                  <c:v>2.3830929578226629</c:v>
                </c:pt>
                <c:pt idx="261">
                  <c:v>2.3700739946167837</c:v>
                </c:pt>
                <c:pt idx="262">
                  <c:v>2.3737252892987493</c:v>
                </c:pt>
                <c:pt idx="263">
                  <c:v>2.3310829411118266</c:v>
                </c:pt>
                <c:pt idx="264">
                  <c:v>2.3293936490696896</c:v>
                </c:pt>
                <c:pt idx="265">
                  <c:v>2.3221091151287898</c:v>
                </c:pt>
                <c:pt idx="266">
                  <c:v>2.3140777088493656</c:v>
                </c:pt>
                <c:pt idx="267">
                  <c:v>2.324519892793615</c:v>
                </c:pt>
                <c:pt idx="268">
                  <c:v>2.3200380524119084</c:v>
                </c:pt>
                <c:pt idx="269">
                  <c:v>2.3356976664372939</c:v>
                </c:pt>
                <c:pt idx="270">
                  <c:v>2.3350378353942447</c:v>
                </c:pt>
                <c:pt idx="271">
                  <c:v>2.3634375175479403</c:v>
                </c:pt>
                <c:pt idx="272">
                  <c:v>2.3487565462432758</c:v>
                </c:pt>
                <c:pt idx="273">
                  <c:v>2.3418805206259745</c:v>
                </c:pt>
                <c:pt idx="274">
                  <c:v>2.3305275415212616</c:v>
                </c:pt>
                <c:pt idx="275">
                  <c:v>2.3342700409945256</c:v>
                </c:pt>
                <c:pt idx="276">
                  <c:v>2.3246320187903096</c:v>
                </c:pt>
                <c:pt idx="277">
                  <c:v>2.30350565366482</c:v>
                </c:pt>
                <c:pt idx="278">
                  <c:v>2.2894542809086906</c:v>
                </c:pt>
                <c:pt idx="279">
                  <c:v>2.3059499772627103</c:v>
                </c:pt>
                <c:pt idx="280">
                  <c:v>2.3220196189087541</c:v>
                </c:pt>
                <c:pt idx="281">
                  <c:v>2.3324516125961972</c:v>
                </c:pt>
                <c:pt idx="282">
                  <c:v>2.333192660470504</c:v>
                </c:pt>
                <c:pt idx="283">
                  <c:v>2.3245889928042263</c:v>
                </c:pt>
                <c:pt idx="284">
                  <c:v>2.3153946818011648</c:v>
                </c:pt>
                <c:pt idx="285">
                  <c:v>2.3361462504660993</c:v>
                </c:pt>
                <c:pt idx="286">
                  <c:v>2.3527877246560993</c:v>
                </c:pt>
                <c:pt idx="287">
                  <c:v>2.3757605810121381</c:v>
                </c:pt>
                <c:pt idx="288">
                  <c:v>2.3307879837837615</c:v>
                </c:pt>
                <c:pt idx="289">
                  <c:v>2.3070294554986184</c:v>
                </c:pt>
                <c:pt idx="290">
                  <c:v>2.2827235386083866</c:v>
                </c:pt>
                <c:pt idx="291">
                  <c:v>2.2835080008763184</c:v>
                </c:pt>
                <c:pt idx="292">
                  <c:v>2.2910494000866115</c:v>
                </c:pt>
                <c:pt idx="293">
                  <c:v>2.2904064842618159</c:v>
                </c:pt>
                <c:pt idx="294">
                  <c:v>2.3048902510892741</c:v>
                </c:pt>
                <c:pt idx="295">
                  <c:v>2.3046258145968501</c:v>
                </c:pt>
                <c:pt idx="296">
                  <c:v>2.3038111365412033</c:v>
                </c:pt>
                <c:pt idx="297">
                  <c:v>2.2917630426683391</c:v>
                </c:pt>
                <c:pt idx="298">
                  <c:v>2.2873723038495495</c:v>
                </c:pt>
                <c:pt idx="299">
                  <c:v>2.2894400641373025</c:v>
                </c:pt>
                <c:pt idx="300">
                  <c:v>2.3005914395945797</c:v>
                </c:pt>
                <c:pt idx="301">
                  <c:v>2.3069505800621961</c:v>
                </c:pt>
                <c:pt idx="302">
                  <c:v>2.3111886342665162</c:v>
                </c:pt>
                <c:pt idx="303">
                  <c:v>2.3238219156188138</c:v>
                </c:pt>
                <c:pt idx="304">
                  <c:v>2.3228107040183925</c:v>
                </c:pt>
                <c:pt idx="305">
                  <c:v>2.3160367499458516</c:v>
                </c:pt>
                <c:pt idx="306">
                  <c:v>2.2822882915736806</c:v>
                </c:pt>
                <c:pt idx="307">
                  <c:v>2.29097522889613</c:v>
                </c:pt>
                <c:pt idx="308">
                  <c:v>2.2982343552745115</c:v>
                </c:pt>
                <c:pt idx="309">
                  <c:v>2.3055667623598084</c:v>
                </c:pt>
                <c:pt idx="310">
                  <c:v>2.2937126859346653</c:v>
                </c:pt>
                <c:pt idx="311">
                  <c:v>2.2882778556134031</c:v>
                </c:pt>
                <c:pt idx="312">
                  <c:v>2.2902398414120371</c:v>
                </c:pt>
                <c:pt idx="313">
                  <c:v>2.2841528402751607</c:v>
                </c:pt>
                <c:pt idx="314">
                  <c:v>2.2749535694631642</c:v>
                </c:pt>
                <c:pt idx="315">
                  <c:v>2.2699798562984239</c:v>
                </c:pt>
                <c:pt idx="316">
                  <c:v>2.2774466473026806</c:v>
                </c:pt>
                <c:pt idx="317">
                  <c:v>2.2871369997537752</c:v>
                </c:pt>
                <c:pt idx="318">
                  <c:v>2.2892506140445215</c:v>
                </c:pt>
                <c:pt idx="319">
                  <c:v>2.271910148384372</c:v>
                </c:pt>
                <c:pt idx="320">
                  <c:v>2.2637974936640153</c:v>
                </c:pt>
                <c:pt idx="321">
                  <c:v>2.2550914093853716</c:v>
                </c:pt>
                <c:pt idx="322">
                  <c:v>2.260848130339784</c:v>
                </c:pt>
                <c:pt idx="323">
                  <c:v>2.2560240011856867</c:v>
                </c:pt>
                <c:pt idx="324">
                  <c:v>2.2736939955417514</c:v>
                </c:pt>
                <c:pt idx="325">
                  <c:v>2.2786172570800431</c:v>
                </c:pt>
                <c:pt idx="326">
                  <c:v>2.2844496920258477</c:v>
                </c:pt>
                <c:pt idx="327">
                  <c:v>2.2725326612767422</c:v>
                </c:pt>
                <c:pt idx="328">
                  <c:v>2.2671425177749831</c:v>
                </c:pt>
                <c:pt idx="329">
                  <c:v>2.2577042882061207</c:v>
                </c:pt>
                <c:pt idx="330">
                  <c:v>2.2478574150558948</c:v>
                </c:pt>
                <c:pt idx="331">
                  <c:v>2.2491771991641811</c:v>
                </c:pt>
                <c:pt idx="332">
                  <c:v>2.2581016744019089</c:v>
                </c:pt>
                <c:pt idx="333">
                  <c:v>2.2696483098887779</c:v>
                </c:pt>
                <c:pt idx="334">
                  <c:v>2.2720058917790329</c:v>
                </c:pt>
                <c:pt idx="335">
                  <c:v>2.2727375006474655</c:v>
                </c:pt>
                <c:pt idx="336">
                  <c:v>2.2604997857377254</c:v>
                </c:pt>
                <c:pt idx="337">
                  <c:v>2.2590996761924043</c:v>
                </c:pt>
                <c:pt idx="338">
                  <c:v>2.2438566093477963</c:v>
                </c:pt>
                <c:pt idx="339">
                  <c:v>2.255329693382786</c:v>
                </c:pt>
                <c:pt idx="340">
                  <c:v>2.2524751133845693</c:v>
                </c:pt>
                <c:pt idx="341">
                  <c:v>2.2715992806442582</c:v>
                </c:pt>
                <c:pt idx="342">
                  <c:v>2.2770353349636205</c:v>
                </c:pt>
                <c:pt idx="343">
                  <c:v>2.3007762534270921</c:v>
                </c:pt>
                <c:pt idx="344">
                  <c:v>2.2949410955944178</c:v>
                </c:pt>
                <c:pt idx="345">
                  <c:v>2.2804401188702692</c:v>
                </c:pt>
                <c:pt idx="346">
                  <c:v>2.2620949702963773</c:v>
                </c:pt>
                <c:pt idx="347">
                  <c:v>2.2570689005493745</c:v>
                </c:pt>
                <c:pt idx="348">
                  <c:v>2.2606180795759676</c:v>
                </c:pt>
                <c:pt idx="349">
                  <c:v>2.2594834035267914</c:v>
                </c:pt>
                <c:pt idx="350">
                  <c:v>2.2696402079075573</c:v>
                </c:pt>
                <c:pt idx="351">
                  <c:v>2.2645414842740599</c:v>
                </c:pt>
                <c:pt idx="352">
                  <c:v>2.2396851734472922</c:v>
                </c:pt>
                <c:pt idx="353">
                  <c:v>2.221429857993237</c:v>
                </c:pt>
                <c:pt idx="354">
                  <c:v>2.2326269591398393</c:v>
                </c:pt>
                <c:pt idx="355">
                  <c:v>2.2539819996729129</c:v>
                </c:pt>
                <c:pt idx="356">
                  <c:v>2.2661531156466292</c:v>
                </c:pt>
                <c:pt idx="357">
                  <c:v>2.2600408516133048</c:v>
                </c:pt>
                <c:pt idx="358">
                  <c:v>2.2582701059850652</c:v>
                </c:pt>
                <c:pt idx="359">
                  <c:v>2.2603603118901465</c:v>
                </c:pt>
                <c:pt idx="360">
                  <c:v>2.2547378812996706</c:v>
                </c:pt>
                <c:pt idx="361">
                  <c:v>2.2485711088946903</c:v>
                </c:pt>
                <c:pt idx="362">
                  <c:v>2.2468489417192732</c:v>
                </c:pt>
                <c:pt idx="363">
                  <c:v>2.2631475115872508</c:v>
                </c:pt>
                <c:pt idx="364">
                  <c:v>2.2865157041319097</c:v>
                </c:pt>
                <c:pt idx="365">
                  <c:v>2.2980564588341998</c:v>
                </c:pt>
                <c:pt idx="366">
                  <c:v>2.2846120633256444</c:v>
                </c:pt>
                <c:pt idx="367">
                  <c:v>2.2723881481813959</c:v>
                </c:pt>
                <c:pt idx="368">
                  <c:v>2.2606023702237992</c:v>
                </c:pt>
                <c:pt idx="369">
                  <c:v>2.2651567067508229</c:v>
                </c:pt>
                <c:pt idx="370">
                  <c:v>2.2593417327420093</c:v>
                </c:pt>
                <c:pt idx="371">
                  <c:v>2.2560781033706125</c:v>
                </c:pt>
                <c:pt idx="372">
                  <c:v>2.2755521047514269</c:v>
                </c:pt>
                <c:pt idx="373">
                  <c:v>2.281707549981757</c:v>
                </c:pt>
                <c:pt idx="374">
                  <c:v>2.2933796145548562</c:v>
                </c:pt>
                <c:pt idx="375">
                  <c:v>2.2742827166349096</c:v>
                </c:pt>
                <c:pt idx="376">
                  <c:v>2.2770900969994323</c:v>
                </c:pt>
                <c:pt idx="377">
                  <c:v>2.2714344808521343</c:v>
                </c:pt>
                <c:pt idx="378">
                  <c:v>2.2798561570026092</c:v>
                </c:pt>
                <c:pt idx="379">
                  <c:v>2.2791615377670813</c:v>
                </c:pt>
                <c:pt idx="380">
                  <c:v>2.2794305221498488</c:v>
                </c:pt>
                <c:pt idx="381">
                  <c:v>2.2696988502488673</c:v>
                </c:pt>
                <c:pt idx="382">
                  <c:v>2.2690593614266832</c:v>
                </c:pt>
                <c:pt idx="383">
                  <c:v>2.2573884163236357</c:v>
                </c:pt>
                <c:pt idx="384">
                  <c:v>2.2668861886932796</c:v>
                </c:pt>
                <c:pt idx="385">
                  <c:v>2.2728143915651779</c:v>
                </c:pt>
                <c:pt idx="386">
                  <c:v>2.2907238022297967</c:v>
                </c:pt>
                <c:pt idx="387">
                  <c:v>2.2757290236614911</c:v>
                </c:pt>
                <c:pt idx="388">
                  <c:v>2.2557745600063495</c:v>
                </c:pt>
                <c:pt idx="389">
                  <c:v>2.2457051453344459</c:v>
                </c:pt>
                <c:pt idx="390">
                  <c:v>2.2417431591658201</c:v>
                </c:pt>
                <c:pt idx="391">
                  <c:v>2.2401294118336548</c:v>
                </c:pt>
                <c:pt idx="392">
                  <c:v>2.2312421691561561</c:v>
                </c:pt>
                <c:pt idx="393">
                  <c:v>2.2359602612971163</c:v>
                </c:pt>
                <c:pt idx="394">
                  <c:v>2.2314069395711877</c:v>
                </c:pt>
                <c:pt idx="395">
                  <c:v>2.2433071359129797</c:v>
                </c:pt>
                <c:pt idx="396">
                  <c:v>2.2563829510982978</c:v>
                </c:pt>
                <c:pt idx="397">
                  <c:v>2.2717740449968278</c:v>
                </c:pt>
                <c:pt idx="398">
                  <c:v>2.2703312746193816</c:v>
                </c:pt>
                <c:pt idx="399">
                  <c:v>2.2743507655982058</c:v>
                </c:pt>
                <c:pt idx="400">
                  <c:v>2.2662573453538775</c:v>
                </c:pt>
                <c:pt idx="401">
                  <c:v>2.2463107028044833</c:v>
                </c:pt>
                <c:pt idx="402">
                  <c:v>2.2191578490727433</c:v>
                </c:pt>
                <c:pt idx="403">
                  <c:v>2.2264510924979146</c:v>
                </c:pt>
                <c:pt idx="404">
                  <c:v>2.2357923513973108</c:v>
                </c:pt>
                <c:pt idx="405">
                  <c:v>2.2447565990803127</c:v>
                </c:pt>
                <c:pt idx="406">
                  <c:v>2.2376077712151603</c:v>
                </c:pt>
                <c:pt idx="407">
                  <c:v>2.2360814746930853</c:v>
                </c:pt>
                <c:pt idx="408">
                  <c:v>2.2351690697891637</c:v>
                </c:pt>
                <c:pt idx="409">
                  <c:v>2.2519931808814433</c:v>
                </c:pt>
                <c:pt idx="410">
                  <c:v>2.2762699997890485</c:v>
                </c:pt>
                <c:pt idx="411">
                  <c:v>2.3023879807466039</c:v>
                </c:pt>
                <c:pt idx="412">
                  <c:v>2.3022721897944307</c:v>
                </c:pt>
                <c:pt idx="413">
                  <c:v>2.2786501626032956</c:v>
                </c:pt>
                <c:pt idx="414">
                  <c:v>2.2617649477872201</c:v>
                </c:pt>
                <c:pt idx="415">
                  <c:v>2.2610465931719563</c:v>
                </c:pt>
                <c:pt idx="416">
                  <c:v>2.2716708896070039</c:v>
                </c:pt>
                <c:pt idx="417">
                  <c:v>2.264367980422207</c:v>
                </c:pt>
                <c:pt idx="418">
                  <c:v>2.2533302391582404</c:v>
                </c:pt>
                <c:pt idx="419">
                  <c:v>2.2593059847782975</c:v>
                </c:pt>
                <c:pt idx="420">
                  <c:v>2.2696760421967981</c:v>
                </c:pt>
                <c:pt idx="421">
                  <c:v>2.2699498207619402</c:v>
                </c:pt>
                <c:pt idx="422">
                  <c:v>2.2751271770170423</c:v>
                </c:pt>
                <c:pt idx="423">
                  <c:v>2.3074279778332145</c:v>
                </c:pt>
                <c:pt idx="424">
                  <c:v>2.3146421535392014</c:v>
                </c:pt>
                <c:pt idx="425">
                  <c:v>2.3054624630527827</c:v>
                </c:pt>
                <c:pt idx="426">
                  <c:v>2.2697445519288233</c:v>
                </c:pt>
                <c:pt idx="427">
                  <c:v>2.2533829726095447</c:v>
                </c:pt>
                <c:pt idx="428">
                  <c:v>2.2510694141703005</c:v>
                </c:pt>
                <c:pt idx="429">
                  <c:v>2.2559112024810672</c:v>
                </c:pt>
                <c:pt idx="430">
                  <c:v>2.2698243817590087</c:v>
                </c:pt>
                <c:pt idx="431">
                  <c:v>2.2789591459402367</c:v>
                </c:pt>
                <c:pt idx="432">
                  <c:v>2.2891293533824388</c:v>
                </c:pt>
                <c:pt idx="433">
                  <c:v>2.2854977348512566</c:v>
                </c:pt>
                <c:pt idx="434">
                  <c:v>2.2598124959544932</c:v>
                </c:pt>
                <c:pt idx="435">
                  <c:v>2.2519634895571223</c:v>
                </c:pt>
                <c:pt idx="436">
                  <c:v>2.2504639246073128</c:v>
                </c:pt>
                <c:pt idx="437">
                  <c:v>2.2702648049391456</c:v>
                </c:pt>
                <c:pt idx="438">
                  <c:v>2.2487858894827908</c:v>
                </c:pt>
                <c:pt idx="439">
                  <c:v>2.2349878393576055</c:v>
                </c:pt>
                <c:pt idx="440">
                  <c:v>2.2140899881877671</c:v>
                </c:pt>
                <c:pt idx="441">
                  <c:v>2.2130318535890789</c:v>
                </c:pt>
                <c:pt idx="442">
                  <c:v>2.2104379623305559</c:v>
                </c:pt>
                <c:pt idx="443">
                  <c:v>2.2222300815141067</c:v>
                </c:pt>
                <c:pt idx="444">
                  <c:v>2.261362646203382</c:v>
                </c:pt>
                <c:pt idx="445">
                  <c:v>2.2662247548607355</c:v>
                </c:pt>
                <c:pt idx="446">
                  <c:v>2.2561816395538958</c:v>
                </c:pt>
                <c:pt idx="447">
                  <c:v>2.2272019934942779</c:v>
                </c:pt>
                <c:pt idx="448">
                  <c:v>2.2383230979826183</c:v>
                </c:pt>
                <c:pt idx="449">
                  <c:v>2.272336380321248</c:v>
                </c:pt>
                <c:pt idx="450">
                  <c:v>2.2787877530718168</c:v>
                </c:pt>
                <c:pt idx="451">
                  <c:v>2.3024114921427796</c:v>
                </c:pt>
                <c:pt idx="452">
                  <c:v>2.2974294152095269</c:v>
                </c:pt>
                <c:pt idx="453">
                  <c:v>2.30208916112448</c:v>
                </c:pt>
                <c:pt idx="454">
                  <c:v>2.2906509984243724</c:v>
                </c:pt>
                <c:pt idx="455">
                  <c:v>2.2694048361769981</c:v>
                </c:pt>
                <c:pt idx="456">
                  <c:v>2.2623751000062016</c:v>
                </c:pt>
                <c:pt idx="457">
                  <c:v>2.2450424355086702</c:v>
                </c:pt>
                <c:pt idx="458">
                  <c:v>2.2455214357564066</c:v>
                </c:pt>
                <c:pt idx="459">
                  <c:v>2.2545751606940447</c:v>
                </c:pt>
                <c:pt idx="460">
                  <c:v>2.25747788323469</c:v>
                </c:pt>
                <c:pt idx="461">
                  <c:v>2.269981556108843</c:v>
                </c:pt>
                <c:pt idx="462">
                  <c:v>2.2527633163662681</c:v>
                </c:pt>
                <c:pt idx="463">
                  <c:v>2.243966696139108</c:v>
                </c:pt>
                <c:pt idx="464">
                  <c:v>2.2448508130441165</c:v>
                </c:pt>
                <c:pt idx="465">
                  <c:v>2.2549724254282526</c:v>
                </c:pt>
                <c:pt idx="466">
                  <c:v>2.258378947663394</c:v>
                </c:pt>
                <c:pt idx="467">
                  <c:v>2.2257764833097262</c:v>
                </c:pt>
                <c:pt idx="468">
                  <c:v>2.1980665803355897</c:v>
                </c:pt>
                <c:pt idx="469">
                  <c:v>2.1937261954213372</c:v>
                </c:pt>
                <c:pt idx="470">
                  <c:v>2.2197609981509823</c:v>
                </c:pt>
                <c:pt idx="471">
                  <c:v>2.2224506565811097</c:v>
                </c:pt>
                <c:pt idx="472">
                  <c:v>2.2426487706420875</c:v>
                </c:pt>
                <c:pt idx="473">
                  <c:v>2.2452502352911647</c:v>
                </c:pt>
                <c:pt idx="474">
                  <c:v>2.2488618465866912</c:v>
                </c:pt>
                <c:pt idx="475">
                  <c:v>2.2381021152351148</c:v>
                </c:pt>
                <c:pt idx="476">
                  <c:v>2.2256707392427759</c:v>
                </c:pt>
                <c:pt idx="477">
                  <c:v>2.2402021639091871</c:v>
                </c:pt>
                <c:pt idx="478">
                  <c:v>2.2430882222430455</c:v>
                </c:pt>
                <c:pt idx="479">
                  <c:v>2.229783796821442</c:v>
                </c:pt>
                <c:pt idx="480">
                  <c:v>2.2013762604474851</c:v>
                </c:pt>
                <c:pt idx="481">
                  <c:v>2.1728735512954902</c:v>
                </c:pt>
                <c:pt idx="482">
                  <c:v>2.1774503690362099</c:v>
                </c:pt>
                <c:pt idx="483">
                  <c:v>2.2079504958260565</c:v>
                </c:pt>
                <c:pt idx="484">
                  <c:v>2.238410296260295</c:v>
                </c:pt>
                <c:pt idx="485">
                  <c:v>2.2712996523012721</c:v>
                </c:pt>
                <c:pt idx="486">
                  <c:v>2.268829234431669</c:v>
                </c:pt>
                <c:pt idx="487">
                  <c:v>2.2611403253315276</c:v>
                </c:pt>
                <c:pt idx="488">
                  <c:v>2.2695580251974246</c:v>
                </c:pt>
                <c:pt idx="489">
                  <c:v>2.2792793277974739</c:v>
                </c:pt>
                <c:pt idx="490">
                  <c:v>2.2788312304832807</c:v>
                </c:pt>
                <c:pt idx="491">
                  <c:v>2.247313284974378</c:v>
                </c:pt>
                <c:pt idx="492">
                  <c:v>2.2485897542268165</c:v>
                </c:pt>
                <c:pt idx="493">
                  <c:v>2.258974706008682</c:v>
                </c:pt>
                <c:pt idx="494">
                  <c:v>2.2654051011843777</c:v>
                </c:pt>
                <c:pt idx="495">
                  <c:v>2.2487129609322181</c:v>
                </c:pt>
                <c:pt idx="496">
                  <c:v>2.2333338360047255</c:v>
                </c:pt>
                <c:pt idx="497">
                  <c:v>2.2356130837110233</c:v>
                </c:pt>
                <c:pt idx="498">
                  <c:v>2.2541261663845003</c:v>
                </c:pt>
                <c:pt idx="499">
                  <c:v>2.2481082823428884</c:v>
                </c:pt>
                <c:pt idx="500">
                  <c:v>2.2232761424666925</c:v>
                </c:pt>
                <c:pt idx="501">
                  <c:v>2.2066068744440859</c:v>
                </c:pt>
                <c:pt idx="502">
                  <c:v>2.218899134134988</c:v>
                </c:pt>
                <c:pt idx="503">
                  <c:v>2.2157644322977124</c:v>
                </c:pt>
                <c:pt idx="504">
                  <c:v>2.202727855499246</c:v>
                </c:pt>
                <c:pt idx="505">
                  <c:v>2.1872918299110249</c:v>
                </c:pt>
                <c:pt idx="506">
                  <c:v>2.1918762566311929</c:v>
                </c:pt>
                <c:pt idx="507">
                  <c:v>2.1913585330738852</c:v>
                </c:pt>
                <c:pt idx="508">
                  <c:v>2.1894904730692013</c:v>
                </c:pt>
                <c:pt idx="509">
                  <c:v>2.1907546244591849</c:v>
                </c:pt>
                <c:pt idx="510">
                  <c:v>2.1920445492009355</c:v>
                </c:pt>
                <c:pt idx="511">
                  <c:v>2.1933610447719727</c:v>
                </c:pt>
                <c:pt idx="512">
                  <c:v>2.1947049419511004</c:v>
                </c:pt>
                <c:pt idx="513">
                  <c:v>2.1960771066259923</c:v>
                </c:pt>
                <c:pt idx="514">
                  <c:v>2.1974784414678319</c:v>
                </c:pt>
                <c:pt idx="515">
                  <c:v>2.1989098881361246</c:v>
                </c:pt>
                <c:pt idx="516">
                  <c:v>2.2003724291696973</c:v>
                </c:pt>
                <c:pt idx="517">
                  <c:v>2.2018670908032703</c:v>
                </c:pt>
                <c:pt idx="518">
                  <c:v>2.2033949446779695</c:v>
                </c:pt>
                <c:pt idx="519">
                  <c:v>2.2049571108939308</c:v>
                </c:pt>
                <c:pt idx="520">
                  <c:v>2.2065547603589164</c:v>
                </c:pt>
                <c:pt idx="521">
                  <c:v>2.2081891182207918</c:v>
                </c:pt>
                <c:pt idx="522">
                  <c:v>2.2098614667899326</c:v>
                </c:pt>
                <c:pt idx="523">
                  <c:v>2.2115731486571431</c:v>
                </c:pt>
                <c:pt idx="524">
                  <c:v>2.2133255708342863</c:v>
                </c:pt>
                <c:pt idx="525">
                  <c:v>2.2151202082040524</c:v>
                </c:pt>
                <c:pt idx="526">
                  <c:v>2.2169586082073613</c:v>
                </c:pt>
                <c:pt idx="527">
                  <c:v>2.2188423945490912</c:v>
                </c:pt>
                <c:pt idx="528">
                  <c:v>2.2207732726327518</c:v>
                </c:pt>
                <c:pt idx="529">
                  <c:v>2.2227530344895237</c:v>
                </c:pt>
                <c:pt idx="530">
                  <c:v>2.224783564625425</c:v>
                </c:pt>
                <c:pt idx="531">
                  <c:v>2.2268668458194321</c:v>
                </c:pt>
                <c:pt idx="532">
                  <c:v>2.2290049657028788</c:v>
                </c:pt>
                <c:pt idx="533">
                  <c:v>2.2312001238157415</c:v>
                </c:pt>
                <c:pt idx="534">
                  <c:v>2.2334546393004264</c:v>
                </c:pt>
                <c:pt idx="535">
                  <c:v>2.2357709588843049</c:v>
                </c:pt>
                <c:pt idx="536">
                  <c:v>2.238151666106972</c:v>
                </c:pt>
                <c:pt idx="537">
                  <c:v>2.2405994907292439</c:v>
                </c:pt>
                <c:pt idx="538">
                  <c:v>2.2431173200012591</c:v>
                </c:pt>
                <c:pt idx="539">
                  <c:v>2.2457082092241749</c:v>
                </c:pt>
                <c:pt idx="540">
                  <c:v>2.2483753948731859</c:v>
                </c:pt>
                <c:pt idx="541">
                  <c:v>2.2713836683508006</c:v>
                </c:pt>
                <c:pt idx="542">
                  <c:v>2.2919409183055737</c:v>
                </c:pt>
                <c:pt idx="543">
                  <c:v>2.2890474175952367</c:v>
                </c:pt>
                <c:pt idx="544">
                  <c:v>2.2597322336164276</c:v>
                </c:pt>
                <c:pt idx="545">
                  <c:v>2.2407934781352559</c:v>
                </c:pt>
                <c:pt idx="546">
                  <c:v>2.2456231358933159</c:v>
                </c:pt>
                <c:pt idx="547">
                  <c:v>2.2478226987254377</c:v>
                </c:pt>
                <c:pt idx="548">
                  <c:v>2.2421297473926725</c:v>
                </c:pt>
                <c:pt idx="549">
                  <c:v>2.236178357547677</c:v>
                </c:pt>
                <c:pt idx="550">
                  <c:v>2.2391064223199417</c:v>
                </c:pt>
                <c:pt idx="551">
                  <c:v>2.2534012691747272</c:v>
                </c:pt>
                <c:pt idx="552">
                  <c:v>2.2690710003610151</c:v>
                </c:pt>
                <c:pt idx="553">
                  <c:v>2.2886991483527193</c:v>
                </c:pt>
                <c:pt idx="554">
                  <c:v>2.2936832864141317</c:v>
                </c:pt>
                <c:pt idx="555">
                  <c:v>2.3322444266186224</c:v>
                </c:pt>
                <c:pt idx="556">
                  <c:v>2.3453180968601335</c:v>
                </c:pt>
                <c:pt idx="557">
                  <c:v>2.3551392761994649</c:v>
                </c:pt>
                <c:pt idx="558">
                  <c:v>2.3386375467578264</c:v>
                </c:pt>
                <c:pt idx="559">
                  <c:v>2.356536121900318</c:v>
                </c:pt>
                <c:pt idx="560">
                  <c:v>2.3869082508851047</c:v>
                </c:pt>
                <c:pt idx="561">
                  <c:v>2.3869241984338578</c:v>
                </c:pt>
                <c:pt idx="562">
                  <c:v>2.3656462634094799</c:v>
                </c:pt>
                <c:pt idx="563">
                  <c:v>2.3486933140814137</c:v>
                </c:pt>
                <c:pt idx="564">
                  <c:v>2.345921465499885</c:v>
                </c:pt>
                <c:pt idx="565">
                  <c:v>2.355677183151633</c:v>
                </c:pt>
                <c:pt idx="566">
                  <c:v>2.356982585344678</c:v>
                </c:pt>
                <c:pt idx="567">
                  <c:v>2.3582349792839028</c:v>
                </c:pt>
                <c:pt idx="568">
                  <c:v>2.3541142384356362</c:v>
                </c:pt>
                <c:pt idx="569">
                  <c:v>2.3599207356811185</c:v>
                </c:pt>
                <c:pt idx="570">
                  <c:v>2.3780781180811257</c:v>
                </c:pt>
                <c:pt idx="571">
                  <c:v>2.3789759063739369</c:v>
                </c:pt>
                <c:pt idx="572">
                  <c:v>2.389162059994848</c:v>
                </c:pt>
                <c:pt idx="573">
                  <c:v>2.3744706997407792</c:v>
                </c:pt>
                <c:pt idx="574">
                  <c:v>2.3755191250354741</c:v>
                </c:pt>
                <c:pt idx="575">
                  <c:v>2.3423456470705606</c:v>
                </c:pt>
                <c:pt idx="576">
                  <c:v>2.330303283971126</c:v>
                </c:pt>
                <c:pt idx="577">
                  <c:v>2.3095514071797041</c:v>
                </c:pt>
                <c:pt idx="578">
                  <c:v>2.3191752940747516</c:v>
                </c:pt>
                <c:pt idx="579">
                  <c:v>2.3386299335255627</c:v>
                </c:pt>
                <c:pt idx="580">
                  <c:v>2.3542670131731795</c:v>
                </c:pt>
                <c:pt idx="581">
                  <c:v>2.3494671449703595</c:v>
                </c:pt>
                <c:pt idx="582">
                  <c:v>2.3183836822731565</c:v>
                </c:pt>
                <c:pt idx="583">
                  <c:v>2.3023665073932809</c:v>
                </c:pt>
                <c:pt idx="584">
                  <c:v>2.292408301571641</c:v>
                </c:pt>
                <c:pt idx="585">
                  <c:v>2.2876096303284332</c:v>
                </c:pt>
                <c:pt idx="586">
                  <c:v>2.2940145561147047</c:v>
                </c:pt>
                <c:pt idx="587">
                  <c:v>2.278052334471071</c:v>
                </c:pt>
                <c:pt idx="588">
                  <c:v>2.2608809736066355</c:v>
                </c:pt>
                <c:pt idx="589">
                  <c:v>2.2484531910510994</c:v>
                </c:pt>
                <c:pt idx="590">
                  <c:v>2.2389863250904956</c:v>
                </c:pt>
                <c:pt idx="591">
                  <c:v>2.2404129605301928</c:v>
                </c:pt>
                <c:pt idx="592">
                  <c:v>2.2164919308278521</c:v>
                </c:pt>
                <c:pt idx="593">
                  <c:v>2.2094776967022476</c:v>
                </c:pt>
                <c:pt idx="594">
                  <c:v>2.2228106471744185</c:v>
                </c:pt>
                <c:pt idx="595">
                  <c:v>2.2185984754756127</c:v>
                </c:pt>
                <c:pt idx="596">
                  <c:v>2.2140801575769991</c:v>
                </c:pt>
                <c:pt idx="597">
                  <c:v>2.1934267659429119</c:v>
                </c:pt>
                <c:pt idx="598">
                  <c:v>2.1961222722886169</c:v>
                </c:pt>
                <c:pt idx="599">
                  <c:v>2.2002038572494067</c:v>
                </c:pt>
                <c:pt idx="600">
                  <c:v>2.1907543127383442</c:v>
                </c:pt>
                <c:pt idx="601">
                  <c:v>2.2000798366050893</c:v>
                </c:pt>
                <c:pt idx="602">
                  <c:v>2.2125415547825917</c:v>
                </c:pt>
                <c:pt idx="603">
                  <c:v>2.2545321307725383</c:v>
                </c:pt>
                <c:pt idx="604">
                  <c:v>2.2471643819631058</c:v>
                </c:pt>
                <c:pt idx="605">
                  <c:v>2.2340340283951412</c:v>
                </c:pt>
                <c:pt idx="606">
                  <c:v>2.2095264007455664</c:v>
                </c:pt>
                <c:pt idx="607">
                  <c:v>2.2201165220505374</c:v>
                </c:pt>
                <c:pt idx="608">
                  <c:v>2.2302258968801465</c:v>
                </c:pt>
                <c:pt idx="609">
                  <c:v>2.2306117976530051</c:v>
                </c:pt>
                <c:pt idx="610">
                  <c:v>2.2244357297889668</c:v>
                </c:pt>
                <c:pt idx="611">
                  <c:v>2.2042342424378134</c:v>
                </c:pt>
                <c:pt idx="612">
                  <c:v>2.1861590554210331</c:v>
                </c:pt>
                <c:pt idx="613">
                  <c:v>2.1744722776618985</c:v>
                </c:pt>
                <c:pt idx="614">
                  <c:v>2.1790603356557834</c:v>
                </c:pt>
                <c:pt idx="615">
                  <c:v>2.1834284357578739</c:v>
                </c:pt>
                <c:pt idx="616">
                  <c:v>2.1875920701104716</c:v>
                </c:pt>
                <c:pt idx="617">
                  <c:v>2.1915653054177695</c:v>
                </c:pt>
                <c:pt idx="618">
                  <c:v>2.1953609437139336</c:v>
                </c:pt>
                <c:pt idx="619">
                  <c:v>2.1792020028467278</c:v>
                </c:pt>
                <c:pt idx="620">
                  <c:v>2.1721610493858914</c:v>
                </c:pt>
                <c:pt idx="621">
                  <c:v>2.1600055287816708</c:v>
                </c:pt>
                <c:pt idx="622">
                  <c:v>2.1621321866366938</c:v>
                </c:pt>
                <c:pt idx="623">
                  <c:v>2.1845579553575587</c:v>
                </c:pt>
                <c:pt idx="624">
                  <c:v>2.1840754742123565</c:v>
                </c:pt>
                <c:pt idx="625">
                  <c:v>2.1982244496266845</c:v>
                </c:pt>
                <c:pt idx="626">
                  <c:v>2.1765862469048649</c:v>
                </c:pt>
                <c:pt idx="627">
                  <c:v>2.1867849622031748</c:v>
                </c:pt>
                <c:pt idx="628">
                  <c:v>2.2032973611242581</c:v>
                </c:pt>
                <c:pt idx="629">
                  <c:v>2.2024231527308</c:v>
                </c:pt>
                <c:pt idx="630">
                  <c:v>2.2011471053564087</c:v>
                </c:pt>
                <c:pt idx="631">
                  <c:v>2.1621136836223278</c:v>
                </c:pt>
                <c:pt idx="632">
                  <c:v>2.1643552680750155</c:v>
                </c:pt>
                <c:pt idx="633">
                  <c:v>2.159679856815258</c:v>
                </c:pt>
                <c:pt idx="634">
                  <c:v>2.1709209016100068</c:v>
                </c:pt>
                <c:pt idx="635">
                  <c:v>2.1631012458942847</c:v>
                </c:pt>
                <c:pt idx="636">
                  <c:v>2.1637245214505882</c:v>
                </c:pt>
                <c:pt idx="637">
                  <c:v>2.1583660643518621</c:v>
                </c:pt>
                <c:pt idx="638">
                  <c:v>2.1595199349002034</c:v>
                </c:pt>
                <c:pt idx="639">
                  <c:v>2.1570872869305706</c:v>
                </c:pt>
                <c:pt idx="640">
                  <c:v>2.1638031683896206</c:v>
                </c:pt>
                <c:pt idx="641">
                  <c:v>2.1611041507514162</c:v>
                </c:pt>
                <c:pt idx="642">
                  <c:v>2.15490244192284</c:v>
                </c:pt>
                <c:pt idx="643">
                  <c:v>2.1668982923605102</c:v>
                </c:pt>
                <c:pt idx="644">
                  <c:v>2.1678255551913135</c:v>
                </c:pt>
                <c:pt idx="645">
                  <c:v>2.1660233026738491</c:v>
                </c:pt>
                <c:pt idx="646">
                  <c:v>2.1531969952597017</c:v>
                </c:pt>
                <c:pt idx="647">
                  <c:v>2.1640323465585669</c:v>
                </c:pt>
                <c:pt idx="648">
                  <c:v>2.1888408652275371</c:v>
                </c:pt>
                <c:pt idx="649">
                  <c:v>2.2070783169607608</c:v>
                </c:pt>
                <c:pt idx="650">
                  <c:v>2.2043091208706116</c:v>
                </c:pt>
                <c:pt idx="651">
                  <c:v>2.1922653346846772</c:v>
                </c:pt>
                <c:pt idx="652">
                  <c:v>2.1864158869065253</c:v>
                </c:pt>
                <c:pt idx="653">
                  <c:v>2.1841695794106575</c:v>
                </c:pt>
                <c:pt idx="654">
                  <c:v>2.1818009049060771</c:v>
                </c:pt>
                <c:pt idx="655">
                  <c:v>2.1692016791803201</c:v>
                </c:pt>
                <c:pt idx="656">
                  <c:v>2.1703483526180647</c:v>
                </c:pt>
                <c:pt idx="657">
                  <c:v>2.1649030265528566</c:v>
                </c:pt>
                <c:pt idx="658">
                  <c:v>2.1604118522288385</c:v>
                </c:pt>
                <c:pt idx="659">
                  <c:v>2.1439269346428573</c:v>
                </c:pt>
                <c:pt idx="660">
                  <c:v>2.1469727650047874</c:v>
                </c:pt>
                <c:pt idx="661">
                  <c:v>2.142506383549915</c:v>
                </c:pt>
                <c:pt idx="662">
                  <c:v>2.1511750305266353</c:v>
                </c:pt>
                <c:pt idx="663">
                  <c:v>2.1389538096161798</c:v>
                </c:pt>
                <c:pt idx="664">
                  <c:v>2.1483498545100099</c:v>
                </c:pt>
                <c:pt idx="665">
                  <c:v>2.1407374589835766</c:v>
                </c:pt>
                <c:pt idx="666">
                  <c:v>2.1500247604503988</c:v>
                </c:pt>
                <c:pt idx="667">
                  <c:v>2.1547927818908659</c:v>
                </c:pt>
                <c:pt idx="668">
                  <c:v>2.1599118154294517</c:v>
                </c:pt>
                <c:pt idx="669">
                  <c:v>2.1347918972275575</c:v>
                </c:pt>
                <c:pt idx="670">
                  <c:v>2.0944264479079577</c:v>
                </c:pt>
                <c:pt idx="671">
                  <c:v>2.1098556245024436</c:v>
                </c:pt>
                <c:pt idx="672">
                  <c:v>2.1154455978149547</c:v>
                </c:pt>
                <c:pt idx="673">
                  <c:v>2.1350972052382784</c:v>
                </c:pt>
                <c:pt idx="674">
                  <c:v>2.1472745623348231</c:v>
                </c:pt>
                <c:pt idx="675">
                  <c:v>2.1737898062288523</c:v>
                </c:pt>
                <c:pt idx="676">
                  <c:v>2.1819266808481905</c:v>
                </c:pt>
                <c:pt idx="677">
                  <c:v>2.1535843828015877</c:v>
                </c:pt>
                <c:pt idx="678">
                  <c:v>2.1338210982889141</c:v>
                </c:pt>
                <c:pt idx="679">
                  <c:v>2.1541316681384717</c:v>
                </c:pt>
                <c:pt idx="680">
                  <c:v>2.1426183754736248</c:v>
                </c:pt>
                <c:pt idx="681">
                  <c:v>2.1495363667669389</c:v>
                </c:pt>
                <c:pt idx="682">
                  <c:v>2.1328426723252782</c:v>
                </c:pt>
                <c:pt idx="683">
                  <c:v>2.1552204076380073</c:v>
                </c:pt>
                <c:pt idx="684">
                  <c:v>2.166795022182701</c:v>
                </c:pt>
                <c:pt idx="685">
                  <c:v>2.1606280227401577</c:v>
                </c:pt>
                <c:pt idx="686">
                  <c:v>2.1631138927994704</c:v>
                </c:pt>
                <c:pt idx="687">
                  <c:v>2.1481376712090179</c:v>
                </c:pt>
                <c:pt idx="688">
                  <c:v>2.1409710771365287</c:v>
                </c:pt>
                <c:pt idx="689">
                  <c:v>2.1366625595781112</c:v>
                </c:pt>
                <c:pt idx="690">
                  <c:v>2.1600793692906106</c:v>
                </c:pt>
                <c:pt idx="691">
                  <c:v>2.1781054158897519</c:v>
                </c:pt>
                <c:pt idx="692">
                  <c:v>2.1743333334019437</c:v>
                </c:pt>
                <c:pt idx="693">
                  <c:v>2.1726605860252288</c:v>
                </c:pt>
                <c:pt idx="694">
                  <c:v>2.1554411322148517</c:v>
                </c:pt>
                <c:pt idx="695">
                  <c:v>2.1364046111406374</c:v>
                </c:pt>
                <c:pt idx="696">
                  <c:v>2.1027824572682197</c:v>
                </c:pt>
                <c:pt idx="697">
                  <c:v>2.1305081609740779</c:v>
                </c:pt>
                <c:pt idx="698">
                  <c:v>2.1650572721988031</c:v>
                </c:pt>
                <c:pt idx="699">
                  <c:v>2.185488713086619</c:v>
                </c:pt>
                <c:pt idx="700">
                  <c:v>2.1580133726538393</c:v>
                </c:pt>
                <c:pt idx="701">
                  <c:v>2.1469473358106748</c:v>
                </c:pt>
                <c:pt idx="702">
                  <c:v>2.1606383970928977</c:v>
                </c:pt>
                <c:pt idx="703">
                  <c:v>2.1975836877223887</c:v>
                </c:pt>
                <c:pt idx="704">
                  <c:v>2.2045458693158699</c:v>
                </c:pt>
                <c:pt idx="705">
                  <c:v>2.2030652042560246</c:v>
                </c:pt>
                <c:pt idx="706">
                  <c:v>2.1883849895070906</c:v>
                </c:pt>
                <c:pt idx="707">
                  <c:v>2.1845138636002055</c:v>
                </c:pt>
                <c:pt idx="708">
                  <c:v>2.1882093611153834</c:v>
                </c:pt>
                <c:pt idx="709">
                  <c:v>2.1956975034045141</c:v>
                </c:pt>
                <c:pt idx="710">
                  <c:v>2.2276430952321196</c:v>
                </c:pt>
                <c:pt idx="711">
                  <c:v>2.2469429526206959</c:v>
                </c:pt>
                <c:pt idx="712">
                  <c:v>2.2426675167807151</c:v>
                </c:pt>
                <c:pt idx="713">
                  <c:v>2.1919271090637711</c:v>
                </c:pt>
                <c:pt idx="714">
                  <c:v>2.1352992584993378</c:v>
                </c:pt>
                <c:pt idx="715">
                  <c:v>2.1303145042938239</c:v>
                </c:pt>
                <c:pt idx="716">
                  <c:v>2.1522691507415659</c:v>
                </c:pt>
                <c:pt idx="717">
                  <c:v>2.1963928228820175</c:v>
                </c:pt>
                <c:pt idx="718">
                  <c:v>2.2041536427101196</c:v>
                </c:pt>
                <c:pt idx="719">
                  <c:v>2.2381131738030229</c:v>
                </c:pt>
                <c:pt idx="720">
                  <c:v>2.2404382165746668</c:v>
                </c:pt>
                <c:pt idx="721">
                  <c:v>2.244571146791229</c:v>
                </c:pt>
                <c:pt idx="722">
                  <c:v>2.2295028092663474</c:v>
                </c:pt>
                <c:pt idx="723">
                  <c:v>2.2378177489240341</c:v>
                </c:pt>
                <c:pt idx="724">
                  <c:v>2.2604009400705425</c:v>
                </c:pt>
                <c:pt idx="725">
                  <c:v>2.2498601064478776</c:v>
                </c:pt>
                <c:pt idx="726">
                  <c:v>2.2256002254444556</c:v>
                </c:pt>
                <c:pt idx="727">
                  <c:v>2.1930868933521026</c:v>
                </c:pt>
                <c:pt idx="728">
                  <c:v>2.1722699198864697</c:v>
                </c:pt>
                <c:pt idx="729">
                  <c:v>2.1736802705151388</c:v>
                </c:pt>
                <c:pt idx="730">
                  <c:v>2.1688100134331649</c:v>
                </c:pt>
                <c:pt idx="731">
                  <c:v>2.158170940993708</c:v>
                </c:pt>
                <c:pt idx="732">
                  <c:v>2.1651740673134476</c:v>
                </c:pt>
                <c:pt idx="733">
                  <c:v>2.1872758283604177</c:v>
                </c:pt>
                <c:pt idx="734">
                  <c:v>2.2112108074486589</c:v>
                </c:pt>
                <c:pt idx="735">
                  <c:v>2.1925668437345931</c:v>
                </c:pt>
                <c:pt idx="736">
                  <c:v>2.173029573912828</c:v>
                </c:pt>
                <c:pt idx="737">
                  <c:v>2.1441446774460666</c:v>
                </c:pt>
                <c:pt idx="738">
                  <c:v>2.1214493727619348</c:v>
                </c:pt>
                <c:pt idx="739">
                  <c:v>2.1103640156571339</c:v>
                </c:pt>
                <c:pt idx="740">
                  <c:v>2.1299683486490832</c:v>
                </c:pt>
                <c:pt idx="741">
                  <c:v>2.1504167746518204</c:v>
                </c:pt>
                <c:pt idx="742">
                  <c:v>2.1435264106425387</c:v>
                </c:pt>
                <c:pt idx="743">
                  <c:v>2.1109401180111322</c:v>
                </c:pt>
                <c:pt idx="744">
                  <c:v>2.0807852916241889</c:v>
                </c:pt>
                <c:pt idx="745">
                  <c:v>2.0836722147466169</c:v>
                </c:pt>
                <c:pt idx="746">
                  <c:v>2.1110739676452841</c:v>
                </c:pt>
                <c:pt idx="747">
                  <c:v>2.1228430294507743</c:v>
                </c:pt>
                <c:pt idx="748">
                  <c:v>2.1203696440494766</c:v>
                </c:pt>
                <c:pt idx="749">
                  <c:v>2.1161327782735064</c:v>
                </c:pt>
                <c:pt idx="750">
                  <c:v>2.1361295475061644</c:v>
                </c:pt>
                <c:pt idx="751">
                  <c:v>2.1475405215496726</c:v>
                </c:pt>
                <c:pt idx="752">
                  <c:v>2.1609445546836628</c:v>
                </c:pt>
                <c:pt idx="753">
                  <c:v>2.150615378813578</c:v>
                </c:pt>
                <c:pt idx="754">
                  <c:v>2.1279547648449699</c:v>
                </c:pt>
                <c:pt idx="755">
                  <c:v>2.0925390215020787</c:v>
                </c:pt>
                <c:pt idx="756">
                  <c:v>2.1093283892735069</c:v>
                </c:pt>
                <c:pt idx="757">
                  <c:v>2.1182084928791043</c:v>
                </c:pt>
                <c:pt idx="758">
                  <c:v>2.1469983782563253</c:v>
                </c:pt>
                <c:pt idx="759">
                  <c:v>2.1255880685433524</c:v>
                </c:pt>
                <c:pt idx="760">
                  <c:v>2.1632545048261829</c:v>
                </c:pt>
                <c:pt idx="761">
                  <c:v>2.183756142160346</c:v>
                </c:pt>
                <c:pt idx="762">
                  <c:v>2.189628754995002</c:v>
                </c:pt>
                <c:pt idx="763">
                  <c:v>2.1374952608027726</c:v>
                </c:pt>
                <c:pt idx="764">
                  <c:v>2.1224574071830355</c:v>
                </c:pt>
                <c:pt idx="765">
                  <c:v>2.1400481843372536</c:v>
                </c:pt>
                <c:pt idx="766">
                  <c:v>2.1755682330354404</c:v>
                </c:pt>
                <c:pt idx="767">
                  <c:v>2.1775693186916247</c:v>
                </c:pt>
                <c:pt idx="768">
                  <c:v>2.1777380913529019</c:v>
                </c:pt>
                <c:pt idx="769">
                  <c:v>2.1750061971406929</c:v>
                </c:pt>
                <c:pt idx="770">
                  <c:v>2.1865250887919268</c:v>
                </c:pt>
                <c:pt idx="771">
                  <c:v>2.2054488103649281</c:v>
                </c:pt>
                <c:pt idx="772">
                  <c:v>2.225083352113034</c:v>
                </c:pt>
                <c:pt idx="773">
                  <c:v>2.223568966777473</c:v>
                </c:pt>
                <c:pt idx="774">
                  <c:v>2.1962427139816163</c:v>
                </c:pt>
                <c:pt idx="775">
                  <c:v>2.1621678578345986</c:v>
                </c:pt>
                <c:pt idx="776">
                  <c:v>2.1192870851945922</c:v>
                </c:pt>
                <c:pt idx="777">
                  <c:v>2.0916672435536579</c:v>
                </c:pt>
                <c:pt idx="778">
                  <c:v>2.085281478988724</c:v>
                </c:pt>
                <c:pt idx="779">
                  <c:v>2.0750565051589551</c:v>
                </c:pt>
                <c:pt idx="780">
                  <c:v>2.0670205511236683</c:v>
                </c:pt>
                <c:pt idx="781">
                  <c:v>2.0593280028021961</c:v>
                </c:pt>
                <c:pt idx="782">
                  <c:v>2.078996016841387</c:v>
                </c:pt>
                <c:pt idx="783">
                  <c:v>2.109527163634707</c:v>
                </c:pt>
                <c:pt idx="784">
                  <c:v>2.0838627126382656</c:v>
                </c:pt>
                <c:pt idx="785">
                  <c:v>2.083391151874872</c:v>
                </c:pt>
                <c:pt idx="786">
                  <c:v>2.0428491684534493</c:v>
                </c:pt>
                <c:pt idx="787">
                  <c:v>2.0773094228897975</c:v>
                </c:pt>
                <c:pt idx="788">
                  <c:v>2.0842511459631843</c:v>
                </c:pt>
                <c:pt idx="789">
                  <c:v>2.1429708790091797</c:v>
                </c:pt>
                <c:pt idx="790">
                  <c:v>2.1491118335476971</c:v>
                </c:pt>
                <c:pt idx="791">
                  <c:v>2.1359890612213808</c:v>
                </c:pt>
                <c:pt idx="792">
                  <c:v>2.1041354011485489</c:v>
                </c:pt>
                <c:pt idx="793">
                  <c:v>2.1442547578624214</c:v>
                </c:pt>
                <c:pt idx="794">
                  <c:v>2.1761197969640023</c:v>
                </c:pt>
                <c:pt idx="795">
                  <c:v>2.2013020802380079</c:v>
                </c:pt>
                <c:pt idx="796">
                  <c:v>2.1422723482049846</c:v>
                </c:pt>
                <c:pt idx="797">
                  <c:v>2.1357085260162982</c:v>
                </c:pt>
                <c:pt idx="798">
                  <c:v>2.1213637457686141</c:v>
                </c:pt>
                <c:pt idx="799">
                  <c:v>2.1327155681164269</c:v>
                </c:pt>
                <c:pt idx="800">
                  <c:v>2.1241972569645227</c:v>
                </c:pt>
                <c:pt idx="801">
                  <c:v>2.124668791323201</c:v>
                </c:pt>
                <c:pt idx="802">
                  <c:v>2.1361005798447059</c:v>
                </c:pt>
                <c:pt idx="803">
                  <c:v>2.117702679328513</c:v>
                </c:pt>
                <c:pt idx="804">
                  <c:v>2.0911542842593658</c:v>
                </c:pt>
                <c:pt idx="805">
                  <c:v>2.0891188205591096</c:v>
                </c:pt>
                <c:pt idx="806">
                  <c:v>2.0907997413918697</c:v>
                </c:pt>
                <c:pt idx="807">
                  <c:v>2.1068219195996809</c:v>
                </c:pt>
                <c:pt idx="808">
                  <c:v>2.1060344707657292</c:v>
                </c:pt>
                <c:pt idx="809">
                  <c:v>2.1356501940156778</c:v>
                </c:pt>
                <c:pt idx="810">
                  <c:v>2.1559401064991839</c:v>
                </c:pt>
                <c:pt idx="811">
                  <c:v>2.1679131883837557</c:v>
                </c:pt>
                <c:pt idx="812">
                  <c:v>2.1775551949633529</c:v>
                </c:pt>
                <c:pt idx="813">
                  <c:v>2.1762675005881129</c:v>
                </c:pt>
                <c:pt idx="814">
                  <c:v>2.1650110952381252</c:v>
                </c:pt>
                <c:pt idx="815">
                  <c:v>2.1407724764779936</c:v>
                </c:pt>
                <c:pt idx="816">
                  <c:v>2.1477315883185057</c:v>
                </c:pt>
                <c:pt idx="817">
                  <c:v>2.1660629951010879</c:v>
                </c:pt>
                <c:pt idx="818">
                  <c:v>2.1758007335733316</c:v>
                </c:pt>
                <c:pt idx="819">
                  <c:v>2.1732229368933456</c:v>
                </c:pt>
                <c:pt idx="820">
                  <c:v>2.1693489572061928</c:v>
                </c:pt>
                <c:pt idx="821">
                  <c:v>2.1647723258163905</c:v>
                </c:pt>
                <c:pt idx="822">
                  <c:v>2.1738087009068146</c:v>
                </c:pt>
                <c:pt idx="823">
                  <c:v>2.167566896266397</c:v>
                </c:pt>
                <c:pt idx="824">
                  <c:v>2.1608611520667758</c:v>
                </c:pt>
                <c:pt idx="825">
                  <c:v>2.1363321108917375</c:v>
                </c:pt>
                <c:pt idx="826">
                  <c:v>2.151597179760746</c:v>
                </c:pt>
                <c:pt idx="827">
                  <c:v>2.1844499650054696</c:v>
                </c:pt>
                <c:pt idx="828">
                  <c:v>2.2223172322239462</c:v>
                </c:pt>
                <c:pt idx="829">
                  <c:v>2.2362923050404944</c:v>
                </c:pt>
                <c:pt idx="830">
                  <c:v>2.2436336665322414</c:v>
                </c:pt>
                <c:pt idx="831">
                  <c:v>2.2512729197456718</c:v>
                </c:pt>
                <c:pt idx="832">
                  <c:v>2.2592288153453759</c:v>
                </c:pt>
                <c:pt idx="833">
                  <c:v>2.2675217325194379</c:v>
                </c:pt>
                <c:pt idx="834">
                  <c:v>2.2761738624721546</c:v>
                </c:pt>
                <c:pt idx="835">
                  <c:v>2.2631632899864464</c:v>
                </c:pt>
                <c:pt idx="836">
                  <c:v>2.2218966615607507</c:v>
                </c:pt>
                <c:pt idx="837">
                  <c:v>2.1368905034700374</c:v>
                </c:pt>
                <c:pt idx="838">
                  <c:v>2.0845734945896193</c:v>
                </c:pt>
                <c:pt idx="839">
                  <c:v>2.05008677313285</c:v>
                </c:pt>
                <c:pt idx="840">
                  <c:v>2.0559053417636939</c:v>
                </c:pt>
                <c:pt idx="841">
                  <c:v>2.0562695776575057</c:v>
                </c:pt>
                <c:pt idx="842">
                  <c:v>2.067887587725362</c:v>
                </c:pt>
                <c:pt idx="843">
                  <c:v>2.0775972766105535</c:v>
                </c:pt>
                <c:pt idx="844">
                  <c:v>2.0690806663971291</c:v>
                </c:pt>
                <c:pt idx="845">
                  <c:v>2.0776732562947422</c:v>
                </c:pt>
                <c:pt idx="846">
                  <c:v>2.0893261008761481</c:v>
                </c:pt>
                <c:pt idx="847">
                  <c:v>2.1129362546827988</c:v>
                </c:pt>
                <c:pt idx="848">
                  <c:v>2.0994042387914806</c:v>
                </c:pt>
                <c:pt idx="849">
                  <c:v>2.068319481041248</c:v>
                </c:pt>
                <c:pt idx="850">
                  <c:v>2.0279624298319479</c:v>
                </c:pt>
                <c:pt idx="851">
                  <c:v>2.010589467447637</c:v>
                </c:pt>
                <c:pt idx="852">
                  <c:v>2.0288215256641355</c:v>
                </c:pt>
                <c:pt idx="853">
                  <c:v>2.0299539429777202</c:v>
                </c:pt>
                <c:pt idx="854">
                  <c:v>2.0281642736316807</c:v>
                </c:pt>
                <c:pt idx="855">
                  <c:v>2.014276336214849</c:v>
                </c:pt>
                <c:pt idx="856">
                  <c:v>2.0716997837551081</c:v>
                </c:pt>
                <c:pt idx="857">
                  <c:v>2.1221365072067151</c:v>
                </c:pt>
                <c:pt idx="858">
                  <c:v>2.1332519423806922</c:v>
                </c:pt>
                <c:pt idx="859">
                  <c:v>2.1307400389991469</c:v>
                </c:pt>
                <c:pt idx="860">
                  <c:v>2.103424186580011</c:v>
                </c:pt>
                <c:pt idx="861">
                  <c:v>2.1230235025618271</c:v>
                </c:pt>
                <c:pt idx="862">
                  <c:v>2.095927082639307</c:v>
                </c:pt>
                <c:pt idx="863">
                  <c:v>2.1424178881315861</c:v>
                </c:pt>
                <c:pt idx="864">
                  <c:v>2.1450373695719471</c:v>
                </c:pt>
                <c:pt idx="865">
                  <c:v>2.1618326527646139</c:v>
                </c:pt>
                <c:pt idx="866">
                  <c:v>2.160565138678928</c:v>
                </c:pt>
                <c:pt idx="867">
                  <c:v>2.1595212034201139</c:v>
                </c:pt>
                <c:pt idx="868">
                  <c:v>2.165357993097325</c:v>
                </c:pt>
                <c:pt idx="869">
                  <c:v>2.1422053161329546</c:v>
                </c:pt>
                <c:pt idx="870">
                  <c:v>2.1468580747232839</c:v>
                </c:pt>
                <c:pt idx="871">
                  <c:v>2.1421520792476332</c:v>
                </c:pt>
                <c:pt idx="872">
                  <c:v>2.1372866797106771</c:v>
                </c:pt>
                <c:pt idx="873">
                  <c:v>2.1322535749800964</c:v>
                </c:pt>
                <c:pt idx="874">
                  <c:v>2.1171725206572121</c:v>
                </c:pt>
                <c:pt idx="875">
                  <c:v>2.1001901865461847</c:v>
                </c:pt>
                <c:pt idx="876">
                  <c:v>2.0889767634644358</c:v>
                </c:pt>
                <c:pt idx="877">
                  <c:v>2.0803072700654703</c:v>
                </c:pt>
                <c:pt idx="878">
                  <c:v>2.0679176473670178</c:v>
                </c:pt>
                <c:pt idx="879">
                  <c:v>2.0519231812461398</c:v>
                </c:pt>
                <c:pt idx="880">
                  <c:v>2.0517121165942367</c:v>
                </c:pt>
                <c:pt idx="881">
                  <c:v>2.0472446324323847</c:v>
                </c:pt>
                <c:pt idx="882">
                  <c:v>2.0454615682536534</c:v>
                </c:pt>
                <c:pt idx="883">
                  <c:v>2.0406731866017913</c:v>
                </c:pt>
                <c:pt idx="884">
                  <c:v>2.0301099961888593</c:v>
                </c:pt>
                <c:pt idx="885">
                  <c:v>2.0114682215810431</c:v>
                </c:pt>
                <c:pt idx="886">
                  <c:v>1.9846076076278563</c:v>
                </c:pt>
                <c:pt idx="887">
                  <c:v>2.0001762324036232</c:v>
                </c:pt>
                <c:pt idx="888">
                  <c:v>2.0208369801863664</c:v>
                </c:pt>
                <c:pt idx="889">
                  <c:v>2.0234419338529661</c:v>
                </c:pt>
                <c:pt idx="890">
                  <c:v>2.0495026664232721</c:v>
                </c:pt>
                <c:pt idx="891">
                  <c:v>2.0660962443663276</c:v>
                </c:pt>
                <c:pt idx="892">
                  <c:v>2.1034134754085696</c:v>
                </c:pt>
                <c:pt idx="893">
                  <c:v>2.0903994456663066</c:v>
                </c:pt>
                <c:pt idx="894">
                  <c:v>2.0850612000255109</c:v>
                </c:pt>
                <c:pt idx="895">
                  <c:v>2.080056572022503</c:v>
                </c:pt>
                <c:pt idx="896">
                  <c:v>2.0792346213124051</c:v>
                </c:pt>
                <c:pt idx="897">
                  <c:v>2.0774241051711413</c:v>
                </c:pt>
                <c:pt idx="898">
                  <c:v>2.0738194774922403</c:v>
                </c:pt>
                <c:pt idx="899">
                  <c:v>2.0602473972663806</c:v>
                </c:pt>
                <c:pt idx="900">
                  <c:v>2.0515433060619643</c:v>
                </c:pt>
                <c:pt idx="901">
                  <c:v>2.0694826164822566</c:v>
                </c:pt>
                <c:pt idx="902">
                  <c:v>2.0932562015201994</c:v>
                </c:pt>
                <c:pt idx="903">
                  <c:v>2.11281205458114</c:v>
                </c:pt>
                <c:pt idx="904">
                  <c:v>2.1077895629450318</c:v>
                </c:pt>
                <c:pt idx="905">
                  <c:v>2.10306381149051</c:v>
                </c:pt>
                <c:pt idx="906">
                  <c:v>2.1099425628066792</c:v>
                </c:pt>
                <c:pt idx="907">
                  <c:v>2.1123569105804934</c:v>
                </c:pt>
                <c:pt idx="908">
                  <c:v>2.0998442563423967</c:v>
                </c:pt>
                <c:pt idx="909">
                  <c:v>2.066423034123066</c:v>
                </c:pt>
                <c:pt idx="910">
                  <c:v>2.0674715178797842</c:v>
                </c:pt>
                <c:pt idx="911">
                  <c:v>2.1128623477264621</c:v>
                </c:pt>
                <c:pt idx="912">
                  <c:v>2.1541640052261233</c:v>
                </c:pt>
                <c:pt idx="913">
                  <c:v>2.1565745749947043</c:v>
                </c:pt>
                <c:pt idx="914">
                  <c:v>2.1268139113382092</c:v>
                </c:pt>
                <c:pt idx="915">
                  <c:v>2.1209949409191942</c:v>
                </c:pt>
                <c:pt idx="916">
                  <c:v>2.1165073474558915</c:v>
                </c:pt>
                <c:pt idx="917">
                  <c:v>2.1163555983082394</c:v>
                </c:pt>
                <c:pt idx="918">
                  <c:v>2.1109709467334956</c:v>
                </c:pt>
                <c:pt idx="919">
                  <c:v>2.1113911279093598</c:v>
                </c:pt>
                <c:pt idx="920">
                  <c:v>2.1144596038679611</c:v>
                </c:pt>
                <c:pt idx="921">
                  <c:v>2.1092667072376514</c:v>
                </c:pt>
                <c:pt idx="922">
                  <c:v>2.141262031009687</c:v>
                </c:pt>
                <c:pt idx="923">
                  <c:v>2.1498487578136332</c:v>
                </c:pt>
                <c:pt idx="924">
                  <c:v>2.1773739302934558</c:v>
                </c:pt>
                <c:pt idx="925">
                  <c:v>2.1884659045962844</c:v>
                </c:pt>
                <c:pt idx="926">
                  <c:v>2.1989398718166004</c:v>
                </c:pt>
                <c:pt idx="927">
                  <c:v>2.174287624321352</c:v>
                </c:pt>
                <c:pt idx="928">
                  <c:v>2.1221513676481263</c:v>
                </c:pt>
                <c:pt idx="929">
                  <c:v>2.107549391951185</c:v>
                </c:pt>
                <c:pt idx="930">
                  <c:v>2.0909535037228171</c:v>
                </c:pt>
                <c:pt idx="931">
                  <c:v>2.1013325510517968</c:v>
                </c:pt>
                <c:pt idx="932">
                  <c:v>2.0886257635127881</c:v>
                </c:pt>
                <c:pt idx="933">
                  <c:v>2.0841491911217975</c:v>
                </c:pt>
                <c:pt idx="934">
                  <c:v>2.0927826513746446</c:v>
                </c:pt>
                <c:pt idx="935">
                  <c:v>2.1030215158984098</c:v>
                </c:pt>
                <c:pt idx="936">
                  <c:v>2.1245487561645682</c:v>
                </c:pt>
                <c:pt idx="937">
                  <c:v>2.1257114227619702</c:v>
                </c:pt>
                <c:pt idx="938">
                  <c:v>2.1292384300242317</c:v>
                </c:pt>
                <c:pt idx="939">
                  <c:v>2.1383709034947072</c:v>
                </c:pt>
                <c:pt idx="940">
                  <c:v>2.1471002137587525</c:v>
                </c:pt>
                <c:pt idx="941">
                  <c:v>2.1527765124955844</c:v>
                </c:pt>
                <c:pt idx="942">
                  <c:v>2.1541123156989297</c:v>
                </c:pt>
                <c:pt idx="943">
                  <c:v>2.0922106883516234</c:v>
                </c:pt>
                <c:pt idx="944">
                  <c:v>2.0678158844225405</c:v>
                </c:pt>
                <c:pt idx="945">
                  <c:v>2.0504800145632838</c:v>
                </c:pt>
                <c:pt idx="946">
                  <c:v>2.0895275275254561</c:v>
                </c:pt>
                <c:pt idx="947">
                  <c:v>2.0827542132271728</c:v>
                </c:pt>
                <c:pt idx="948">
                  <c:v>2.1122351021171037</c:v>
                </c:pt>
                <c:pt idx="949">
                  <c:v>2.1289463584245549</c:v>
                </c:pt>
                <c:pt idx="950">
                  <c:v>2.1550023357822994</c:v>
                </c:pt>
                <c:pt idx="951">
                  <c:v>2.1460409752655036</c:v>
                </c:pt>
                <c:pt idx="952">
                  <c:v>2.1495182891445004</c:v>
                </c:pt>
                <c:pt idx="953">
                  <c:v>2.1669188684938825</c:v>
                </c:pt>
                <c:pt idx="954">
                  <c:v>2.1677832243961888</c:v>
                </c:pt>
                <c:pt idx="955">
                  <c:v>2.1587421121675106</c:v>
                </c:pt>
                <c:pt idx="956">
                  <c:v>2.1239233460061464</c:v>
                </c:pt>
                <c:pt idx="957">
                  <c:v>2.0886064698555429</c:v>
                </c:pt>
                <c:pt idx="958">
                  <c:v>2.0741587915189079</c:v>
                </c:pt>
                <c:pt idx="959">
                  <c:v>2.0763330059493561</c:v>
                </c:pt>
                <c:pt idx="960">
                  <c:v>2.1146746460295098</c:v>
                </c:pt>
                <c:pt idx="961">
                  <c:v>2.1292589659677135</c:v>
                </c:pt>
                <c:pt idx="962">
                  <c:v>2.1222278571894746</c:v>
                </c:pt>
                <c:pt idx="963">
                  <c:v>2.0835585539291768</c:v>
                </c:pt>
                <c:pt idx="964">
                  <c:v>2.059661164982296</c:v>
                </c:pt>
                <c:pt idx="965">
                  <c:v>2.0528249917858314</c:v>
                </c:pt>
                <c:pt idx="966">
                  <c:v>2.0561662539331724</c:v>
                </c:pt>
                <c:pt idx="967">
                  <c:v>2.0748733437889069</c:v>
                </c:pt>
                <c:pt idx="968">
                  <c:v>2.0968963587795124</c:v>
                </c:pt>
                <c:pt idx="969">
                  <c:v>2.1139854392060218</c:v>
                </c:pt>
                <c:pt idx="970">
                  <c:v>2.1100465946943832</c:v>
                </c:pt>
                <c:pt idx="971">
                  <c:v>2.1060764299301473</c:v>
                </c:pt>
                <c:pt idx="972">
                  <c:v>2.1020745382362303</c:v>
                </c:pt>
                <c:pt idx="973">
                  <c:v>2.0980405051717383</c:v>
                </c:pt>
                <c:pt idx="974">
                  <c:v>2.0939739087878078</c:v>
                </c:pt>
                <c:pt idx="975">
                  <c:v>2.0634447783483281</c:v>
                </c:pt>
                <c:pt idx="976">
                  <c:v>2.061968016284855</c:v>
                </c:pt>
                <c:pt idx="977">
                  <c:v>2.0465654444351533</c:v>
                </c:pt>
                <c:pt idx="978">
                  <c:v>2.0635394478094491</c:v>
                </c:pt>
                <c:pt idx="979">
                  <c:v>2.0590195091804588</c:v>
                </c:pt>
                <c:pt idx="980">
                  <c:v>2.089719723357419</c:v>
                </c:pt>
                <c:pt idx="981">
                  <c:v>2.1149051459540478</c:v>
                </c:pt>
                <c:pt idx="982">
                  <c:v>2.1081824968468696</c:v>
                </c:pt>
                <c:pt idx="983">
                  <c:v>2.0785789078328603</c:v>
                </c:pt>
                <c:pt idx="984">
                  <c:v>2.0630417766660005</c:v>
                </c:pt>
                <c:pt idx="985">
                  <c:v>2.0644798581525357</c:v>
                </c:pt>
                <c:pt idx="986">
                  <c:v>2.0751180258204411</c:v>
                </c:pt>
                <c:pt idx="987">
                  <c:v>2.0532312310464857</c:v>
                </c:pt>
                <c:pt idx="988">
                  <c:v>2.0596881027595333</c:v>
                </c:pt>
                <c:pt idx="989">
                  <c:v>2.0679399759706265</c:v>
                </c:pt>
                <c:pt idx="990">
                  <c:v>2.0883086012769225</c:v>
                </c:pt>
                <c:pt idx="991">
                  <c:v>2.0934295249604009</c:v>
                </c:pt>
                <c:pt idx="992">
                  <c:v>2.1147612396756377</c:v>
                </c:pt>
                <c:pt idx="993">
                  <c:v>2.1361658489075208</c:v>
                </c:pt>
                <c:pt idx="994">
                  <c:v>2.119568521266896</c:v>
                </c:pt>
                <c:pt idx="995">
                  <c:v>2.0718550062908894</c:v>
                </c:pt>
                <c:pt idx="996">
                  <c:v>2.0311429068613789</c:v>
                </c:pt>
                <c:pt idx="997">
                  <c:v>2.0238125506698945</c:v>
                </c:pt>
                <c:pt idx="998">
                  <c:v>2.028475063582615</c:v>
                </c:pt>
                <c:pt idx="999">
                  <c:v>2.0442890908638378</c:v>
                </c:pt>
                <c:pt idx="1000">
                  <c:v>2.0618757571032789</c:v>
                </c:pt>
                <c:pt idx="1001">
                  <c:v>2.054363788013593</c:v>
                </c:pt>
                <c:pt idx="1002">
                  <c:v>2.0496650308922297</c:v>
                </c:pt>
                <c:pt idx="1003">
                  <c:v>2.0602564798232206</c:v>
                </c:pt>
                <c:pt idx="1004">
                  <c:v>2.0870147076001504</c:v>
                </c:pt>
                <c:pt idx="1005">
                  <c:v>2.0977173858674676</c:v>
                </c:pt>
                <c:pt idx="1006">
                  <c:v>2.0937804303710434</c:v>
                </c:pt>
                <c:pt idx="1007">
                  <c:v>2.0947083618905418</c:v>
                </c:pt>
                <c:pt idx="1008">
                  <c:v>2.0987051040105222</c:v>
                </c:pt>
                <c:pt idx="1009">
                  <c:v>2.1051144190550084</c:v>
                </c:pt>
                <c:pt idx="1010">
                  <c:v>2.1224154457014941</c:v>
                </c:pt>
                <c:pt idx="1011">
                  <c:v>2.1194325617027308</c:v>
                </c:pt>
                <c:pt idx="1012">
                  <c:v>2.1137958569990825</c:v>
                </c:pt>
                <c:pt idx="1013">
                  <c:v>2.0932430243926463</c:v>
                </c:pt>
                <c:pt idx="1014">
                  <c:v>2.0887716073275246</c:v>
                </c:pt>
                <c:pt idx="1015">
                  <c:v>2.0760849520344293</c:v>
                </c:pt>
                <c:pt idx="1016">
                  <c:v>2.0646339875709501</c:v>
                </c:pt>
                <c:pt idx="1017">
                  <c:v>2.0678977671722971</c:v>
                </c:pt>
                <c:pt idx="1018">
                  <c:v>2.0717864701049646</c:v>
                </c:pt>
                <c:pt idx="1019">
                  <c:v>2.0802687466552929</c:v>
                </c:pt>
                <c:pt idx="1020">
                  <c:v>2.0763184485064934</c:v>
                </c:pt>
                <c:pt idx="1021">
                  <c:v>2.0744620601597492</c:v>
                </c:pt>
                <c:pt idx="1022">
                  <c:v>2.0642943666871005</c:v>
                </c:pt>
                <c:pt idx="1023">
                  <c:v>2.0550359920857395</c:v>
                </c:pt>
                <c:pt idx="1024">
                  <c:v>2.0371747865873471</c:v>
                </c:pt>
                <c:pt idx="1025">
                  <c:v>2.0309869707452202</c:v>
                </c:pt>
                <c:pt idx="1026">
                  <c:v>2.0222307695735657</c:v>
                </c:pt>
                <c:pt idx="1027">
                  <c:v>2.025164422603845</c:v>
                </c:pt>
                <c:pt idx="1028">
                  <c:v>2.0141567827386511</c:v>
                </c:pt>
                <c:pt idx="1029">
                  <c:v>2.0160711899224597</c:v>
                </c:pt>
                <c:pt idx="1030">
                  <c:v>2.0316539186065206</c:v>
                </c:pt>
                <c:pt idx="1031">
                  <c:v>2.0510372623798072</c:v>
                </c:pt>
                <c:pt idx="1032">
                  <c:v>2.0617994522531711</c:v>
                </c:pt>
                <c:pt idx="1033">
                  <c:v>2.071137025811252</c:v>
                </c:pt>
                <c:pt idx="1034">
                  <c:v>2.0929609771220128</c:v>
                </c:pt>
                <c:pt idx="1035">
                  <c:v>2.10426893101612</c:v>
                </c:pt>
                <c:pt idx="1036">
                  <c:v>2.101633061736476</c:v>
                </c:pt>
                <c:pt idx="1037">
                  <c:v>2.1013390524356761</c:v>
                </c:pt>
                <c:pt idx="1038">
                  <c:v>2.1195030358080564</c:v>
                </c:pt>
                <c:pt idx="1039">
                  <c:v>2.1303811279893439</c:v>
                </c:pt>
                <c:pt idx="1040">
                  <c:v>2.1237764343084482</c:v>
                </c:pt>
                <c:pt idx="1041">
                  <c:v>2.1026661072486745</c:v>
                </c:pt>
                <c:pt idx="1042">
                  <c:v>2.1009392163925069</c:v>
                </c:pt>
                <c:pt idx="1043">
                  <c:v>2.0990776914187066</c:v>
                </c:pt>
                <c:pt idx="1044">
                  <c:v>2.1024686003719597</c:v>
                </c:pt>
                <c:pt idx="1045">
                  <c:v>2.0872420955530515</c:v>
                </c:pt>
                <c:pt idx="1046">
                  <c:v>2.067482917050731</c:v>
                </c:pt>
                <c:pt idx="1047">
                  <c:v>2.0629286612352433</c:v>
                </c:pt>
                <c:pt idx="1048">
                  <c:v>2.0648096400121316</c:v>
                </c:pt>
                <c:pt idx="1049">
                  <c:v>2.0854474162662915</c:v>
                </c:pt>
                <c:pt idx="1050">
                  <c:v>2.0925714989646811</c:v>
                </c:pt>
                <c:pt idx="1051">
                  <c:v>2.0941725291525977</c:v>
                </c:pt>
                <c:pt idx="1052">
                  <c:v>2.1016265116668662</c:v>
                </c:pt>
                <c:pt idx="1053">
                  <c:v>2.1004727767439055</c:v>
                </c:pt>
                <c:pt idx="1054">
                  <c:v>2.10493987380779</c:v>
                </c:pt>
                <c:pt idx="1055">
                  <c:v>2.0864647980579436</c:v>
                </c:pt>
                <c:pt idx="1056">
                  <c:v>2.0660782418299788</c:v>
                </c:pt>
                <c:pt idx="1057">
                  <c:v>2.0526446060659591</c:v>
                </c:pt>
                <c:pt idx="1058">
                  <c:v>2.0409414813250639</c:v>
                </c:pt>
                <c:pt idx="1059">
                  <c:v>2.0429230941424597</c:v>
                </c:pt>
                <c:pt idx="1060">
                  <c:v>2.0514990796531056</c:v>
                </c:pt>
                <c:pt idx="1061">
                  <c:v>2.0743324085960828</c:v>
                </c:pt>
                <c:pt idx="1062">
                  <c:v>2.0942907055304674</c:v>
                </c:pt>
                <c:pt idx="1063">
                  <c:v>2.0936963114260716</c:v>
                </c:pt>
                <c:pt idx="1064">
                  <c:v>2.0800020093287208</c:v>
                </c:pt>
                <c:pt idx="1065">
                  <c:v>2.0530095471697041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D0-406A-8A25-51A9CE811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849088"/>
        <c:axId val="732139696"/>
      </c:scatterChart>
      <c:valAx>
        <c:axId val="670849088"/>
        <c:scaling>
          <c:orientation val="minMax"/>
          <c:max val="35"/>
          <c:min val="8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2000" baseline="0"/>
                  <a:t>Age (ka BP)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cross"/>
        <c:minorTickMark val="out"/>
        <c:tickLblPos val="low"/>
        <c:spPr>
          <a:noFill/>
          <a:ln w="1270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732139696"/>
        <c:crosses val="autoZero"/>
        <c:crossBetween val="midCat"/>
        <c:majorUnit val="1"/>
      </c:valAx>
      <c:valAx>
        <c:axId val="732139696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2000" baseline="0"/>
                  <a:t>ln(Fe/K)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670849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'XRF selectie'!$AB$1</c:f>
              <c:strCache>
                <c:ptCount val="1"/>
                <c:pt idx="0">
                  <c:v>ln Br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'XRF selectie'!$Y$2:$Y$1067</c:f>
              <c:numCache>
                <c:formatCode>General</c:formatCode>
                <c:ptCount val="1066"/>
                <c:pt idx="0">
                  <c:v>8.6873684200000003</c:v>
                </c:pt>
                <c:pt idx="1">
                  <c:v>8.7033157899999996</c:v>
                </c:pt>
                <c:pt idx="2">
                  <c:v>8.7192631600000006</c:v>
                </c:pt>
                <c:pt idx="3">
                  <c:v>8.7352105299999998</c:v>
                </c:pt>
                <c:pt idx="4">
                  <c:v>8.7511579000000008</c:v>
                </c:pt>
                <c:pt idx="5">
                  <c:v>8.7671052599999992</c:v>
                </c:pt>
                <c:pt idx="6">
                  <c:v>8.7830526300000002</c:v>
                </c:pt>
                <c:pt idx="7">
                  <c:v>8.7989999999999995</c:v>
                </c:pt>
                <c:pt idx="8">
                  <c:v>8.8149473700000005</c:v>
                </c:pt>
                <c:pt idx="9">
                  <c:v>8.8308947399999997</c:v>
                </c:pt>
                <c:pt idx="10">
                  <c:v>8.8468421100000008</c:v>
                </c:pt>
                <c:pt idx="11">
                  <c:v>8.8627894699999992</c:v>
                </c:pt>
                <c:pt idx="12">
                  <c:v>8.8787368400000002</c:v>
                </c:pt>
                <c:pt idx="13">
                  <c:v>8.8946842099999994</c:v>
                </c:pt>
                <c:pt idx="14">
                  <c:v>8.9106315800000004</c:v>
                </c:pt>
                <c:pt idx="15">
                  <c:v>8.9265789499999997</c:v>
                </c:pt>
                <c:pt idx="16">
                  <c:v>8.9425263200000007</c:v>
                </c:pt>
                <c:pt idx="17">
                  <c:v>8.9584736800000009</c:v>
                </c:pt>
                <c:pt idx="18">
                  <c:v>8.9744210500000001</c:v>
                </c:pt>
                <c:pt idx="19">
                  <c:v>8.9903684199999994</c:v>
                </c:pt>
                <c:pt idx="20">
                  <c:v>9.0063157900000004</c:v>
                </c:pt>
                <c:pt idx="21">
                  <c:v>9.0222631599999996</c:v>
                </c:pt>
                <c:pt idx="22">
                  <c:v>9.0382105300000006</c:v>
                </c:pt>
                <c:pt idx="23">
                  <c:v>9.0541578999999999</c:v>
                </c:pt>
                <c:pt idx="24">
                  <c:v>9.0701052600000001</c:v>
                </c:pt>
                <c:pt idx="25">
                  <c:v>9.0860526299999993</c:v>
                </c:pt>
                <c:pt idx="26">
                  <c:v>9.1020000000000003</c:v>
                </c:pt>
                <c:pt idx="27">
                  <c:v>9.1179473699999996</c:v>
                </c:pt>
                <c:pt idx="28">
                  <c:v>9.1338947400000006</c:v>
                </c:pt>
                <c:pt idx="29">
                  <c:v>9.1498421099999998</c:v>
                </c:pt>
                <c:pt idx="30">
                  <c:v>9.16578947</c:v>
                </c:pt>
                <c:pt idx="31">
                  <c:v>9.1817368399999992</c:v>
                </c:pt>
                <c:pt idx="32">
                  <c:v>9.1976842100000002</c:v>
                </c:pt>
                <c:pt idx="33">
                  <c:v>9.2136315799999995</c:v>
                </c:pt>
                <c:pt idx="34">
                  <c:v>9.2295789500000005</c:v>
                </c:pt>
                <c:pt idx="35">
                  <c:v>9.2455263199999997</c:v>
                </c:pt>
                <c:pt idx="36">
                  <c:v>9.2614736799999999</c:v>
                </c:pt>
                <c:pt idx="37">
                  <c:v>9.2774210499999992</c:v>
                </c:pt>
                <c:pt idx="38">
                  <c:v>9.2933684200000002</c:v>
                </c:pt>
                <c:pt idx="39">
                  <c:v>9.3093157899999994</c:v>
                </c:pt>
                <c:pt idx="40">
                  <c:v>9.3252631600000004</c:v>
                </c:pt>
                <c:pt idx="41">
                  <c:v>9.3412105299999997</c:v>
                </c:pt>
                <c:pt idx="42">
                  <c:v>9.3571579000000007</c:v>
                </c:pt>
                <c:pt idx="43">
                  <c:v>9.3731052600000009</c:v>
                </c:pt>
                <c:pt idx="44">
                  <c:v>9.3890526300000001</c:v>
                </c:pt>
                <c:pt idx="45">
                  <c:v>9.4049999999999994</c:v>
                </c:pt>
                <c:pt idx="46">
                  <c:v>9.4209473700000004</c:v>
                </c:pt>
                <c:pt idx="47">
                  <c:v>9.4368947399999996</c:v>
                </c:pt>
                <c:pt idx="48">
                  <c:v>9.4528421100000006</c:v>
                </c:pt>
                <c:pt idx="49">
                  <c:v>9.4687894700000008</c:v>
                </c:pt>
                <c:pt idx="50">
                  <c:v>9.4847368400000001</c:v>
                </c:pt>
                <c:pt idx="51">
                  <c:v>9.5006842099999993</c:v>
                </c:pt>
                <c:pt idx="52">
                  <c:v>9.5166315800000003</c:v>
                </c:pt>
                <c:pt idx="53">
                  <c:v>9.5325789499999996</c:v>
                </c:pt>
                <c:pt idx="54">
                  <c:v>9.5485263200000006</c:v>
                </c:pt>
                <c:pt idx="55">
                  <c:v>9.5644736800000008</c:v>
                </c:pt>
                <c:pt idx="56">
                  <c:v>9.58042105</c:v>
                </c:pt>
                <c:pt idx="57">
                  <c:v>9.5963684199999992</c:v>
                </c:pt>
                <c:pt idx="58">
                  <c:v>9.6123157900000002</c:v>
                </c:pt>
                <c:pt idx="59">
                  <c:v>9.6282631599999995</c:v>
                </c:pt>
                <c:pt idx="60">
                  <c:v>9.6442105300000005</c:v>
                </c:pt>
                <c:pt idx="61">
                  <c:v>9.6601578999999997</c:v>
                </c:pt>
                <c:pt idx="62">
                  <c:v>9.6761052599999999</c:v>
                </c:pt>
                <c:pt idx="63">
                  <c:v>9.6920526299999992</c:v>
                </c:pt>
                <c:pt idx="64">
                  <c:v>9.7080000000000002</c:v>
                </c:pt>
                <c:pt idx="65">
                  <c:v>9.7239473699999994</c:v>
                </c:pt>
                <c:pt idx="66">
                  <c:v>9.7398947400000004</c:v>
                </c:pt>
                <c:pt idx="67">
                  <c:v>9.7558421099999997</c:v>
                </c:pt>
                <c:pt idx="68">
                  <c:v>9.7717894699999999</c:v>
                </c:pt>
                <c:pt idx="69">
                  <c:v>9.7877368400000009</c:v>
                </c:pt>
                <c:pt idx="70">
                  <c:v>9.8036842100000001</c:v>
                </c:pt>
                <c:pt idx="71">
                  <c:v>9.8196315799999994</c:v>
                </c:pt>
                <c:pt idx="72">
                  <c:v>9.8355789500000004</c:v>
                </c:pt>
                <c:pt idx="73">
                  <c:v>9.8515263199999996</c:v>
                </c:pt>
                <c:pt idx="74">
                  <c:v>9.8674736799999998</c:v>
                </c:pt>
                <c:pt idx="75">
                  <c:v>9.8834210500000008</c:v>
                </c:pt>
                <c:pt idx="76">
                  <c:v>9.8993684200000001</c:v>
                </c:pt>
                <c:pt idx="77">
                  <c:v>9.9153157899999993</c:v>
                </c:pt>
                <c:pt idx="78">
                  <c:v>9.9312631600000003</c:v>
                </c:pt>
                <c:pt idx="79">
                  <c:v>9.9472105299999996</c:v>
                </c:pt>
                <c:pt idx="80">
                  <c:v>9.9631579000000006</c:v>
                </c:pt>
                <c:pt idx="81">
                  <c:v>9.9791052600000008</c:v>
                </c:pt>
                <c:pt idx="82">
                  <c:v>9.99505263</c:v>
                </c:pt>
                <c:pt idx="83">
                  <c:v>10.010999999999999</c:v>
                </c:pt>
                <c:pt idx="84">
                  <c:v>10.026947399999999</c:v>
                </c:pt>
                <c:pt idx="85">
                  <c:v>10.0428947</c:v>
                </c:pt>
                <c:pt idx="86">
                  <c:v>10.0588421</c:v>
                </c:pt>
                <c:pt idx="87">
                  <c:v>10.0747895</c:v>
                </c:pt>
                <c:pt idx="88">
                  <c:v>10.0907368</c:v>
                </c:pt>
                <c:pt idx="89">
                  <c:v>10.1066842</c:v>
                </c:pt>
                <c:pt idx="90">
                  <c:v>10.1226316</c:v>
                </c:pt>
                <c:pt idx="91">
                  <c:v>10.138579</c:v>
                </c:pt>
                <c:pt idx="92">
                  <c:v>10.154526300000001</c:v>
                </c:pt>
                <c:pt idx="93">
                  <c:v>10.170473700000001</c:v>
                </c:pt>
                <c:pt idx="94">
                  <c:v>10.1864211</c:v>
                </c:pt>
                <c:pt idx="95">
                  <c:v>10.202368399999999</c:v>
                </c:pt>
                <c:pt idx="96">
                  <c:v>10.218315799999999</c:v>
                </c:pt>
                <c:pt idx="97">
                  <c:v>10.234263199999999</c:v>
                </c:pt>
                <c:pt idx="98">
                  <c:v>10.2502105</c:v>
                </c:pt>
                <c:pt idx="99">
                  <c:v>10.2661579</c:v>
                </c:pt>
                <c:pt idx="100">
                  <c:v>10.2821053</c:v>
                </c:pt>
                <c:pt idx="101">
                  <c:v>10.2980526</c:v>
                </c:pt>
                <c:pt idx="102">
                  <c:v>10.314</c:v>
                </c:pt>
                <c:pt idx="103">
                  <c:v>10.3299474</c:v>
                </c:pt>
                <c:pt idx="104">
                  <c:v>10.345894700000001</c:v>
                </c:pt>
                <c:pt idx="105">
                  <c:v>10.3618421</c:v>
                </c:pt>
                <c:pt idx="106">
                  <c:v>10.3777895</c:v>
                </c:pt>
                <c:pt idx="107">
                  <c:v>10.393736799999999</c:v>
                </c:pt>
                <c:pt idx="108">
                  <c:v>10.409684199999999</c:v>
                </c:pt>
                <c:pt idx="109">
                  <c:v>10.425631600000001</c:v>
                </c:pt>
                <c:pt idx="110">
                  <c:v>10.441579000000001</c:v>
                </c:pt>
                <c:pt idx="111">
                  <c:v>10.4575263</c:v>
                </c:pt>
                <c:pt idx="112">
                  <c:v>10.4734737</c:v>
                </c:pt>
                <c:pt idx="113">
                  <c:v>10.489421099999999</c:v>
                </c:pt>
                <c:pt idx="114">
                  <c:v>10.5053684</c:v>
                </c:pt>
                <c:pt idx="115">
                  <c:v>10.5213158</c:v>
                </c:pt>
                <c:pt idx="116">
                  <c:v>10.5372632</c:v>
                </c:pt>
                <c:pt idx="117">
                  <c:v>10.5532105</c:v>
                </c:pt>
                <c:pt idx="118">
                  <c:v>10.5691579</c:v>
                </c:pt>
                <c:pt idx="119">
                  <c:v>10.5851053</c:v>
                </c:pt>
                <c:pt idx="120">
                  <c:v>10.601052599999999</c:v>
                </c:pt>
                <c:pt idx="121">
                  <c:v>10.617000000000001</c:v>
                </c:pt>
                <c:pt idx="122">
                  <c:v>10.632947400000001</c:v>
                </c:pt>
                <c:pt idx="123">
                  <c:v>10.6488947</c:v>
                </c:pt>
                <c:pt idx="124">
                  <c:v>10.6648421</c:v>
                </c:pt>
                <c:pt idx="125">
                  <c:v>10.680789499999999</c:v>
                </c:pt>
                <c:pt idx="126">
                  <c:v>10.6967368</c:v>
                </c:pt>
                <c:pt idx="127">
                  <c:v>10.7126842</c:v>
                </c:pt>
                <c:pt idx="128">
                  <c:v>10.7286316</c:v>
                </c:pt>
                <c:pt idx="129">
                  <c:v>10.744579</c:v>
                </c:pt>
                <c:pt idx="130">
                  <c:v>10.7605263</c:v>
                </c:pt>
                <c:pt idx="131">
                  <c:v>10.7764737</c:v>
                </c:pt>
                <c:pt idx="132">
                  <c:v>10.7924211</c:v>
                </c:pt>
                <c:pt idx="133">
                  <c:v>10.808368400000001</c:v>
                </c:pt>
                <c:pt idx="134">
                  <c:v>10.824315800000001</c:v>
                </c:pt>
                <c:pt idx="135">
                  <c:v>10.840263200000001</c:v>
                </c:pt>
                <c:pt idx="136">
                  <c:v>10.8562105</c:v>
                </c:pt>
                <c:pt idx="137">
                  <c:v>10.872157899999999</c:v>
                </c:pt>
                <c:pt idx="138">
                  <c:v>10.888105299999999</c:v>
                </c:pt>
                <c:pt idx="139">
                  <c:v>10.9040526</c:v>
                </c:pt>
                <c:pt idx="140">
                  <c:v>10.92</c:v>
                </c:pt>
                <c:pt idx="141">
                  <c:v>10.9359474</c:v>
                </c:pt>
                <c:pt idx="142">
                  <c:v>10.9518947</c:v>
                </c:pt>
                <c:pt idx="143">
                  <c:v>10.9678421</c:v>
                </c:pt>
                <c:pt idx="144">
                  <c:v>10.9837895</c:v>
                </c:pt>
                <c:pt idx="145">
                  <c:v>10.999736800000001</c:v>
                </c:pt>
                <c:pt idx="146">
                  <c:v>11.015684200000001</c:v>
                </c:pt>
                <c:pt idx="147">
                  <c:v>11.031631600000001</c:v>
                </c:pt>
                <c:pt idx="148">
                  <c:v>11.047579000000001</c:v>
                </c:pt>
                <c:pt idx="149">
                  <c:v>11.063526299999999</c:v>
                </c:pt>
                <c:pt idx="150">
                  <c:v>11.079473699999999</c:v>
                </c:pt>
                <c:pt idx="151">
                  <c:v>11.095421099999999</c:v>
                </c:pt>
                <c:pt idx="152">
                  <c:v>11.1113684</c:v>
                </c:pt>
                <c:pt idx="153">
                  <c:v>11.1273158</c:v>
                </c:pt>
                <c:pt idx="154">
                  <c:v>11.1432632</c:v>
                </c:pt>
                <c:pt idx="155">
                  <c:v>11.1592105</c:v>
                </c:pt>
                <c:pt idx="156">
                  <c:v>11.1751579</c:v>
                </c:pt>
                <c:pt idx="157">
                  <c:v>11.1911053</c:v>
                </c:pt>
                <c:pt idx="158">
                  <c:v>11.207052600000001</c:v>
                </c:pt>
                <c:pt idx="159">
                  <c:v>11.223000000000001</c:v>
                </c:pt>
                <c:pt idx="160">
                  <c:v>11.238947400000001</c:v>
                </c:pt>
                <c:pt idx="161">
                  <c:v>11.254894699999999</c:v>
                </c:pt>
                <c:pt idx="162">
                  <c:v>11.270842099999999</c:v>
                </c:pt>
                <c:pt idx="163">
                  <c:v>11.286789499999999</c:v>
                </c:pt>
                <c:pt idx="164">
                  <c:v>11.3027368</c:v>
                </c:pt>
                <c:pt idx="165">
                  <c:v>11.3186842</c:v>
                </c:pt>
                <c:pt idx="166">
                  <c:v>11.3346316</c:v>
                </c:pt>
                <c:pt idx="167">
                  <c:v>11.350579</c:v>
                </c:pt>
                <c:pt idx="168">
                  <c:v>11.3665263</c:v>
                </c:pt>
                <c:pt idx="169">
                  <c:v>11.3824737</c:v>
                </c:pt>
                <c:pt idx="170">
                  <c:v>11.3984211</c:v>
                </c:pt>
                <c:pt idx="171">
                  <c:v>11.414368400000001</c:v>
                </c:pt>
                <c:pt idx="172">
                  <c:v>11.430315800000001</c:v>
                </c:pt>
                <c:pt idx="173">
                  <c:v>11.446263200000001</c:v>
                </c:pt>
                <c:pt idx="174">
                  <c:v>11.462210499999999</c:v>
                </c:pt>
                <c:pt idx="175">
                  <c:v>11.478157899999999</c:v>
                </c:pt>
                <c:pt idx="176">
                  <c:v>11.494105299999999</c:v>
                </c:pt>
                <c:pt idx="177">
                  <c:v>11.5100526</c:v>
                </c:pt>
                <c:pt idx="178">
                  <c:v>11.526</c:v>
                </c:pt>
                <c:pt idx="179">
                  <c:v>11.5446214</c:v>
                </c:pt>
                <c:pt idx="180">
                  <c:v>11.5632427</c:v>
                </c:pt>
                <c:pt idx="181">
                  <c:v>11.581864100000001</c:v>
                </c:pt>
                <c:pt idx="182">
                  <c:v>11.6004854</c:v>
                </c:pt>
                <c:pt idx="183">
                  <c:v>11.619106800000001</c:v>
                </c:pt>
                <c:pt idx="184">
                  <c:v>11.6377282</c:v>
                </c:pt>
                <c:pt idx="185">
                  <c:v>11.656349499999999</c:v>
                </c:pt>
                <c:pt idx="186">
                  <c:v>11.6749709</c:v>
                </c:pt>
                <c:pt idx="187">
                  <c:v>11.693592199999999</c:v>
                </c:pt>
                <c:pt idx="188">
                  <c:v>11.7122136</c:v>
                </c:pt>
                <c:pt idx="189">
                  <c:v>11.730835000000001</c:v>
                </c:pt>
                <c:pt idx="190">
                  <c:v>11.7494563</c:v>
                </c:pt>
                <c:pt idx="191">
                  <c:v>11.768077699999999</c:v>
                </c:pt>
                <c:pt idx="192">
                  <c:v>11.786699</c:v>
                </c:pt>
                <c:pt idx="193">
                  <c:v>11.805320399999999</c:v>
                </c:pt>
                <c:pt idx="194">
                  <c:v>11.8239418</c:v>
                </c:pt>
                <c:pt idx="195">
                  <c:v>11.8425631</c:v>
                </c:pt>
                <c:pt idx="196">
                  <c:v>11.8611845</c:v>
                </c:pt>
                <c:pt idx="197">
                  <c:v>11.8798058</c:v>
                </c:pt>
                <c:pt idx="198">
                  <c:v>11.8984272</c:v>
                </c:pt>
                <c:pt idx="199">
                  <c:v>11.9170485</c:v>
                </c:pt>
                <c:pt idx="200">
                  <c:v>11.935669900000001</c:v>
                </c:pt>
                <c:pt idx="201">
                  <c:v>11.9542913</c:v>
                </c:pt>
                <c:pt idx="202">
                  <c:v>11.972912600000001</c:v>
                </c:pt>
                <c:pt idx="203">
                  <c:v>11.991534</c:v>
                </c:pt>
                <c:pt idx="204">
                  <c:v>12.010155299999999</c:v>
                </c:pt>
                <c:pt idx="205">
                  <c:v>12.0287767</c:v>
                </c:pt>
                <c:pt idx="206">
                  <c:v>12.047398100000001</c:v>
                </c:pt>
                <c:pt idx="207">
                  <c:v>12.0660194</c:v>
                </c:pt>
                <c:pt idx="208">
                  <c:v>12.084640800000001</c:v>
                </c:pt>
                <c:pt idx="209">
                  <c:v>12.1032621</c:v>
                </c:pt>
                <c:pt idx="210">
                  <c:v>12.121883499999999</c:v>
                </c:pt>
                <c:pt idx="211">
                  <c:v>12.1405049</c:v>
                </c:pt>
                <c:pt idx="212">
                  <c:v>12.159126199999999</c:v>
                </c:pt>
                <c:pt idx="213">
                  <c:v>12.1777476</c:v>
                </c:pt>
                <c:pt idx="214">
                  <c:v>12.1963689</c:v>
                </c:pt>
                <c:pt idx="215">
                  <c:v>12.2149903</c:v>
                </c:pt>
                <c:pt idx="216">
                  <c:v>12.233611700000001</c:v>
                </c:pt>
                <c:pt idx="217">
                  <c:v>12.252233</c:v>
                </c:pt>
                <c:pt idx="218">
                  <c:v>12.270854399999999</c:v>
                </c:pt>
                <c:pt idx="219">
                  <c:v>12.289475700000001</c:v>
                </c:pt>
                <c:pt idx="220">
                  <c:v>12.308097099999999</c:v>
                </c:pt>
                <c:pt idx="221">
                  <c:v>12.3267185</c:v>
                </c:pt>
                <c:pt idx="222">
                  <c:v>12.3453398</c:v>
                </c:pt>
                <c:pt idx="223">
                  <c:v>12.3639612</c:v>
                </c:pt>
                <c:pt idx="224">
                  <c:v>12.3825825</c:v>
                </c:pt>
                <c:pt idx="225">
                  <c:v>12.401203900000001</c:v>
                </c:pt>
                <c:pt idx="226">
                  <c:v>12.4198252</c:v>
                </c:pt>
                <c:pt idx="227">
                  <c:v>12.438446600000001</c:v>
                </c:pt>
                <c:pt idx="228">
                  <c:v>12.457068</c:v>
                </c:pt>
                <c:pt idx="229">
                  <c:v>12.475689300000001</c:v>
                </c:pt>
                <c:pt idx="230">
                  <c:v>12.486911900000001</c:v>
                </c:pt>
                <c:pt idx="231">
                  <c:v>12.4907358</c:v>
                </c:pt>
                <c:pt idx="232">
                  <c:v>12.494559600000001</c:v>
                </c:pt>
                <c:pt idx="233">
                  <c:v>12.4983834</c:v>
                </c:pt>
                <c:pt idx="234">
                  <c:v>12.5022073</c:v>
                </c:pt>
                <c:pt idx="235">
                  <c:v>12.5060311</c:v>
                </c:pt>
                <c:pt idx="236">
                  <c:v>12.509854900000001</c:v>
                </c:pt>
                <c:pt idx="237">
                  <c:v>12.513678799999999</c:v>
                </c:pt>
                <c:pt idx="238">
                  <c:v>12.5175026</c:v>
                </c:pt>
                <c:pt idx="239">
                  <c:v>12.5213264</c:v>
                </c:pt>
                <c:pt idx="240">
                  <c:v>12.5251503</c:v>
                </c:pt>
                <c:pt idx="241">
                  <c:v>12.528974099999999</c:v>
                </c:pt>
                <c:pt idx="242">
                  <c:v>12.5327979</c:v>
                </c:pt>
                <c:pt idx="243">
                  <c:v>12.536621800000001</c:v>
                </c:pt>
                <c:pt idx="244">
                  <c:v>12.5404456</c:v>
                </c:pt>
                <c:pt idx="245">
                  <c:v>12.544269399999999</c:v>
                </c:pt>
                <c:pt idx="246">
                  <c:v>12.5480933</c:v>
                </c:pt>
                <c:pt idx="247">
                  <c:v>12.551917100000001</c:v>
                </c:pt>
                <c:pt idx="248">
                  <c:v>12.5557409</c:v>
                </c:pt>
                <c:pt idx="249">
                  <c:v>12.5595648</c:v>
                </c:pt>
                <c:pt idx="250">
                  <c:v>12.5633886</c:v>
                </c:pt>
                <c:pt idx="251">
                  <c:v>12.567212400000001</c:v>
                </c:pt>
                <c:pt idx="252">
                  <c:v>12.571036299999999</c:v>
                </c:pt>
                <c:pt idx="253">
                  <c:v>12.5748601</c:v>
                </c:pt>
                <c:pt idx="254">
                  <c:v>12.5786839</c:v>
                </c:pt>
                <c:pt idx="255">
                  <c:v>12.5825078</c:v>
                </c:pt>
                <c:pt idx="256">
                  <c:v>12.586331599999999</c:v>
                </c:pt>
                <c:pt idx="257">
                  <c:v>12.5901554</c:v>
                </c:pt>
                <c:pt idx="258">
                  <c:v>12.593979300000001</c:v>
                </c:pt>
                <c:pt idx="259">
                  <c:v>12.5978031</c:v>
                </c:pt>
                <c:pt idx="260">
                  <c:v>12.601626899999999</c:v>
                </c:pt>
                <c:pt idx="261">
                  <c:v>12.6054508</c:v>
                </c:pt>
                <c:pt idx="262">
                  <c:v>12.609274599999999</c:v>
                </c:pt>
                <c:pt idx="263">
                  <c:v>12.6130985</c:v>
                </c:pt>
                <c:pt idx="264">
                  <c:v>12.616922300000001</c:v>
                </c:pt>
                <c:pt idx="265">
                  <c:v>12.6207461</c:v>
                </c:pt>
                <c:pt idx="266">
                  <c:v>12.62457</c:v>
                </c:pt>
                <c:pt idx="267">
                  <c:v>12.6283938</c:v>
                </c:pt>
                <c:pt idx="268">
                  <c:v>12.632217600000001</c:v>
                </c:pt>
                <c:pt idx="269">
                  <c:v>12.636041499999999</c:v>
                </c:pt>
                <c:pt idx="270">
                  <c:v>12.6398653</c:v>
                </c:pt>
                <c:pt idx="271">
                  <c:v>12.6436891</c:v>
                </c:pt>
                <c:pt idx="272">
                  <c:v>12.647513</c:v>
                </c:pt>
                <c:pt idx="273">
                  <c:v>12.651336799999999</c:v>
                </c:pt>
                <c:pt idx="274">
                  <c:v>12.6551606</c:v>
                </c:pt>
                <c:pt idx="275">
                  <c:v>12.658984500000001</c:v>
                </c:pt>
                <c:pt idx="276">
                  <c:v>12.6628083</c:v>
                </c:pt>
                <c:pt idx="277">
                  <c:v>12.666632099999999</c:v>
                </c:pt>
                <c:pt idx="278">
                  <c:v>12.670456</c:v>
                </c:pt>
                <c:pt idx="279">
                  <c:v>12.674279800000001</c:v>
                </c:pt>
                <c:pt idx="280">
                  <c:v>12.6781036</c:v>
                </c:pt>
                <c:pt idx="281">
                  <c:v>12.6819275</c:v>
                </c:pt>
                <c:pt idx="282">
                  <c:v>12.6857513</c:v>
                </c:pt>
                <c:pt idx="283">
                  <c:v>12.689575100000001</c:v>
                </c:pt>
                <c:pt idx="284">
                  <c:v>12.693398999999999</c:v>
                </c:pt>
                <c:pt idx="285">
                  <c:v>12.6972228</c:v>
                </c:pt>
                <c:pt idx="286">
                  <c:v>12.7010466</c:v>
                </c:pt>
                <c:pt idx="287">
                  <c:v>12.7048705</c:v>
                </c:pt>
                <c:pt idx="288">
                  <c:v>12.708694299999999</c:v>
                </c:pt>
                <c:pt idx="289">
                  <c:v>12.7125181</c:v>
                </c:pt>
                <c:pt idx="290">
                  <c:v>12.716341999999999</c:v>
                </c:pt>
                <c:pt idx="291">
                  <c:v>12.7201658</c:v>
                </c:pt>
                <c:pt idx="292">
                  <c:v>12.723989599999999</c:v>
                </c:pt>
                <c:pt idx="293">
                  <c:v>12.7278135</c:v>
                </c:pt>
                <c:pt idx="294">
                  <c:v>12.731637299999999</c:v>
                </c:pt>
                <c:pt idx="295">
                  <c:v>12.7354611</c:v>
                </c:pt>
                <c:pt idx="296">
                  <c:v>12.739285000000001</c:v>
                </c:pt>
                <c:pt idx="297">
                  <c:v>12.7431088</c:v>
                </c:pt>
                <c:pt idx="298">
                  <c:v>12.746932599999999</c:v>
                </c:pt>
                <c:pt idx="299">
                  <c:v>12.7507565</c:v>
                </c:pt>
                <c:pt idx="300">
                  <c:v>12.754580300000001</c:v>
                </c:pt>
                <c:pt idx="301">
                  <c:v>12.758404199999999</c:v>
                </c:pt>
                <c:pt idx="302">
                  <c:v>12.762228</c:v>
                </c:pt>
                <c:pt idx="303">
                  <c:v>12.7660518</c:v>
                </c:pt>
                <c:pt idx="304">
                  <c:v>12.7698757</c:v>
                </c:pt>
                <c:pt idx="305">
                  <c:v>12.773699499999999</c:v>
                </c:pt>
                <c:pt idx="306">
                  <c:v>12.7775233</c:v>
                </c:pt>
                <c:pt idx="307">
                  <c:v>12.781347200000001</c:v>
                </c:pt>
                <c:pt idx="308">
                  <c:v>12.785171</c:v>
                </c:pt>
                <c:pt idx="309">
                  <c:v>12.788994799999999</c:v>
                </c:pt>
                <c:pt idx="310">
                  <c:v>12.7928187</c:v>
                </c:pt>
                <c:pt idx="311">
                  <c:v>12.796642500000001</c:v>
                </c:pt>
                <c:pt idx="312">
                  <c:v>12.8004663</c:v>
                </c:pt>
                <c:pt idx="313">
                  <c:v>12.804290200000001</c:v>
                </c:pt>
                <c:pt idx="314">
                  <c:v>12.808114</c:v>
                </c:pt>
                <c:pt idx="315">
                  <c:v>12.811937800000001</c:v>
                </c:pt>
                <c:pt idx="316">
                  <c:v>12.815761699999999</c:v>
                </c:pt>
                <c:pt idx="317">
                  <c:v>12.819585500000001</c:v>
                </c:pt>
                <c:pt idx="318">
                  <c:v>12.8234093</c:v>
                </c:pt>
                <c:pt idx="319">
                  <c:v>12.8272332</c:v>
                </c:pt>
                <c:pt idx="320">
                  <c:v>12.831056999999999</c:v>
                </c:pt>
                <c:pt idx="321">
                  <c:v>12.834880800000001</c:v>
                </c:pt>
                <c:pt idx="322">
                  <c:v>12.838704699999999</c:v>
                </c:pt>
                <c:pt idx="323">
                  <c:v>12.8425285</c:v>
                </c:pt>
                <c:pt idx="324">
                  <c:v>12.8463523</c:v>
                </c:pt>
                <c:pt idx="325">
                  <c:v>12.8501762</c:v>
                </c:pt>
                <c:pt idx="326">
                  <c:v>12.853999999999999</c:v>
                </c:pt>
                <c:pt idx="327">
                  <c:v>12.859033999999999</c:v>
                </c:pt>
                <c:pt idx="328">
                  <c:v>12.864068</c:v>
                </c:pt>
                <c:pt idx="329">
                  <c:v>12.869102</c:v>
                </c:pt>
                <c:pt idx="330">
                  <c:v>12.874136099999999</c:v>
                </c:pt>
                <c:pt idx="331">
                  <c:v>12.8791701</c:v>
                </c:pt>
                <c:pt idx="332">
                  <c:v>12.8842041</c:v>
                </c:pt>
                <c:pt idx="333">
                  <c:v>12.8892381</c:v>
                </c:pt>
                <c:pt idx="334">
                  <c:v>12.8942721</c:v>
                </c:pt>
                <c:pt idx="335">
                  <c:v>12.8993061</c:v>
                </c:pt>
                <c:pt idx="336">
                  <c:v>12.904340100000001</c:v>
                </c:pt>
                <c:pt idx="337">
                  <c:v>12.9093742</c:v>
                </c:pt>
                <c:pt idx="338">
                  <c:v>12.9144082</c:v>
                </c:pt>
                <c:pt idx="339">
                  <c:v>12.919442200000001</c:v>
                </c:pt>
                <c:pt idx="340">
                  <c:v>12.924476200000001</c:v>
                </c:pt>
                <c:pt idx="341">
                  <c:v>12.929510199999999</c:v>
                </c:pt>
                <c:pt idx="342">
                  <c:v>12.934544199999999</c:v>
                </c:pt>
                <c:pt idx="343">
                  <c:v>12.9395782</c:v>
                </c:pt>
                <c:pt idx="344">
                  <c:v>12.9446122</c:v>
                </c:pt>
                <c:pt idx="345">
                  <c:v>12.949646299999999</c:v>
                </c:pt>
                <c:pt idx="346">
                  <c:v>12.9546803</c:v>
                </c:pt>
                <c:pt idx="347">
                  <c:v>12.9597143</c:v>
                </c:pt>
                <c:pt idx="348">
                  <c:v>12.9647483</c:v>
                </c:pt>
                <c:pt idx="349">
                  <c:v>12.9697823</c:v>
                </c:pt>
                <c:pt idx="350">
                  <c:v>12.974816300000001</c:v>
                </c:pt>
                <c:pt idx="351">
                  <c:v>12.979850300000001</c:v>
                </c:pt>
                <c:pt idx="352">
                  <c:v>12.9848844</c:v>
                </c:pt>
                <c:pt idx="353">
                  <c:v>12.989918400000001</c:v>
                </c:pt>
                <c:pt idx="354">
                  <c:v>12.994952400000001</c:v>
                </c:pt>
                <c:pt idx="355">
                  <c:v>12.999986399999999</c:v>
                </c:pt>
                <c:pt idx="356">
                  <c:v>13.005020399999999</c:v>
                </c:pt>
                <c:pt idx="357">
                  <c:v>13.0100544</c:v>
                </c:pt>
                <c:pt idx="358">
                  <c:v>13.0150884</c:v>
                </c:pt>
                <c:pt idx="359">
                  <c:v>13.020122499999999</c:v>
                </c:pt>
                <c:pt idx="360">
                  <c:v>13.0251565</c:v>
                </c:pt>
                <c:pt idx="361">
                  <c:v>13.0301905</c:v>
                </c:pt>
                <c:pt idx="362">
                  <c:v>13.0352245</c:v>
                </c:pt>
                <c:pt idx="363">
                  <c:v>13.0402585</c:v>
                </c:pt>
                <c:pt idx="364">
                  <c:v>13.0452925</c:v>
                </c:pt>
                <c:pt idx="365">
                  <c:v>13.050326500000001</c:v>
                </c:pt>
                <c:pt idx="366">
                  <c:v>13.055360500000001</c:v>
                </c:pt>
                <c:pt idx="367">
                  <c:v>13.0603946</c:v>
                </c:pt>
                <c:pt idx="368">
                  <c:v>13.065428600000001</c:v>
                </c:pt>
                <c:pt idx="369">
                  <c:v>13.070462600000001</c:v>
                </c:pt>
                <c:pt idx="370">
                  <c:v>13.075496599999999</c:v>
                </c:pt>
                <c:pt idx="371">
                  <c:v>13.080530599999999</c:v>
                </c:pt>
                <c:pt idx="372">
                  <c:v>13.0855646</c:v>
                </c:pt>
                <c:pt idx="373">
                  <c:v>13.0905986</c:v>
                </c:pt>
                <c:pt idx="374">
                  <c:v>13.095632699999999</c:v>
                </c:pt>
                <c:pt idx="375">
                  <c:v>13.1006667</c:v>
                </c:pt>
                <c:pt idx="376">
                  <c:v>13.1057007</c:v>
                </c:pt>
                <c:pt idx="377">
                  <c:v>13.1107347</c:v>
                </c:pt>
                <c:pt idx="378">
                  <c:v>13.1157687</c:v>
                </c:pt>
                <c:pt idx="379">
                  <c:v>13.1208027</c:v>
                </c:pt>
                <c:pt idx="380">
                  <c:v>13.125836700000001</c:v>
                </c:pt>
                <c:pt idx="381">
                  <c:v>13.1308708</c:v>
                </c:pt>
                <c:pt idx="382">
                  <c:v>13.1359048</c:v>
                </c:pt>
                <c:pt idx="383">
                  <c:v>13.140938800000001</c:v>
                </c:pt>
                <c:pt idx="384">
                  <c:v>13.145972799999999</c:v>
                </c:pt>
                <c:pt idx="385">
                  <c:v>13.151006799999999</c:v>
                </c:pt>
                <c:pt idx="386">
                  <c:v>13.1560408</c:v>
                </c:pt>
                <c:pt idx="387">
                  <c:v>13.1610748</c:v>
                </c:pt>
                <c:pt idx="388">
                  <c:v>13.1661088</c:v>
                </c:pt>
                <c:pt idx="389">
                  <c:v>13.1711429</c:v>
                </c:pt>
                <c:pt idx="390">
                  <c:v>13.1761769</c:v>
                </c:pt>
                <c:pt idx="391">
                  <c:v>13.1812109</c:v>
                </c:pt>
                <c:pt idx="392">
                  <c:v>13.1862449</c:v>
                </c:pt>
                <c:pt idx="393">
                  <c:v>13.1912789</c:v>
                </c:pt>
                <c:pt idx="394">
                  <c:v>13.196312900000001</c:v>
                </c:pt>
                <c:pt idx="395">
                  <c:v>13.201346900000001</c:v>
                </c:pt>
                <c:pt idx="396">
                  <c:v>13.206381</c:v>
                </c:pt>
                <c:pt idx="397">
                  <c:v>13.211415000000001</c:v>
                </c:pt>
                <c:pt idx="398">
                  <c:v>13.216449000000001</c:v>
                </c:pt>
                <c:pt idx="399">
                  <c:v>13.221482999999999</c:v>
                </c:pt>
                <c:pt idx="400">
                  <c:v>13.224729999999999</c:v>
                </c:pt>
                <c:pt idx="401">
                  <c:v>13.226190000000001</c:v>
                </c:pt>
                <c:pt idx="402">
                  <c:v>13.227650000000001</c:v>
                </c:pt>
                <c:pt idx="403">
                  <c:v>13.22911</c:v>
                </c:pt>
                <c:pt idx="404">
                  <c:v>13.23057</c:v>
                </c:pt>
                <c:pt idx="405">
                  <c:v>13.23203</c:v>
                </c:pt>
                <c:pt idx="406">
                  <c:v>13.23349</c:v>
                </c:pt>
                <c:pt idx="407">
                  <c:v>13.23495</c:v>
                </c:pt>
                <c:pt idx="408">
                  <c:v>13.236409999999999</c:v>
                </c:pt>
                <c:pt idx="409">
                  <c:v>13.237869999999999</c:v>
                </c:pt>
                <c:pt idx="410">
                  <c:v>13.239330000000001</c:v>
                </c:pt>
                <c:pt idx="411">
                  <c:v>13.240790000000001</c:v>
                </c:pt>
                <c:pt idx="412">
                  <c:v>13.24225</c:v>
                </c:pt>
                <c:pt idx="413">
                  <c:v>13.24371</c:v>
                </c:pt>
                <c:pt idx="414">
                  <c:v>13.24517</c:v>
                </c:pt>
                <c:pt idx="415">
                  <c:v>13.24663</c:v>
                </c:pt>
                <c:pt idx="416">
                  <c:v>13.248089999999999</c:v>
                </c:pt>
                <c:pt idx="417">
                  <c:v>13.249549999999999</c:v>
                </c:pt>
                <c:pt idx="418">
                  <c:v>13.251010000000001</c:v>
                </c:pt>
                <c:pt idx="419">
                  <c:v>13.252470000000001</c:v>
                </c:pt>
                <c:pt idx="420">
                  <c:v>13.25393</c:v>
                </c:pt>
                <c:pt idx="421">
                  <c:v>13.25539</c:v>
                </c:pt>
                <c:pt idx="422">
                  <c:v>13.25685</c:v>
                </c:pt>
                <c:pt idx="423">
                  <c:v>13.25831</c:v>
                </c:pt>
                <c:pt idx="424">
                  <c:v>13.25977</c:v>
                </c:pt>
                <c:pt idx="425">
                  <c:v>13.261229999999999</c:v>
                </c:pt>
                <c:pt idx="426">
                  <c:v>13.262689999999999</c:v>
                </c:pt>
                <c:pt idx="427">
                  <c:v>13.264150000000001</c:v>
                </c:pt>
                <c:pt idx="428">
                  <c:v>13.265610000000001</c:v>
                </c:pt>
                <c:pt idx="429">
                  <c:v>13.26707</c:v>
                </c:pt>
                <c:pt idx="430">
                  <c:v>13.26853</c:v>
                </c:pt>
                <c:pt idx="431">
                  <c:v>13.26999</c:v>
                </c:pt>
                <c:pt idx="432">
                  <c:v>13.27145</c:v>
                </c:pt>
                <c:pt idx="433">
                  <c:v>13.27291</c:v>
                </c:pt>
                <c:pt idx="434">
                  <c:v>13.274369999999999</c:v>
                </c:pt>
                <c:pt idx="435">
                  <c:v>13.275829999999999</c:v>
                </c:pt>
                <c:pt idx="436">
                  <c:v>13.277290000000001</c:v>
                </c:pt>
                <c:pt idx="437">
                  <c:v>13.27875</c:v>
                </c:pt>
                <c:pt idx="438">
                  <c:v>13.28021</c:v>
                </c:pt>
                <c:pt idx="439">
                  <c:v>13.28167</c:v>
                </c:pt>
                <c:pt idx="440">
                  <c:v>13.28313</c:v>
                </c:pt>
                <c:pt idx="441">
                  <c:v>13.28459</c:v>
                </c:pt>
                <c:pt idx="442">
                  <c:v>13.286049999999999</c:v>
                </c:pt>
                <c:pt idx="443">
                  <c:v>13.287509999999999</c:v>
                </c:pt>
                <c:pt idx="444">
                  <c:v>13.288970000000001</c:v>
                </c:pt>
                <c:pt idx="445">
                  <c:v>13.290430000000001</c:v>
                </c:pt>
                <c:pt idx="446">
                  <c:v>13.29189</c:v>
                </c:pt>
                <c:pt idx="447">
                  <c:v>13.29335</c:v>
                </c:pt>
                <c:pt idx="448">
                  <c:v>13.29481</c:v>
                </c:pt>
                <c:pt idx="449">
                  <c:v>13.29627</c:v>
                </c:pt>
                <c:pt idx="450">
                  <c:v>13.2978983</c:v>
                </c:pt>
                <c:pt idx="451">
                  <c:v>13.2996949</c:v>
                </c:pt>
                <c:pt idx="452">
                  <c:v>13.301491499999999</c:v>
                </c:pt>
                <c:pt idx="453">
                  <c:v>13.3032881</c:v>
                </c:pt>
                <c:pt idx="454">
                  <c:v>13.305084799999999</c:v>
                </c:pt>
                <c:pt idx="455">
                  <c:v>13.3068814</c:v>
                </c:pt>
                <c:pt idx="456">
                  <c:v>13.308678</c:v>
                </c:pt>
                <c:pt idx="457">
                  <c:v>13.310474599999999</c:v>
                </c:pt>
                <c:pt idx="458">
                  <c:v>13.3122712</c:v>
                </c:pt>
                <c:pt idx="459">
                  <c:v>13.3140678</c:v>
                </c:pt>
                <c:pt idx="460">
                  <c:v>13.315864400000001</c:v>
                </c:pt>
                <c:pt idx="461">
                  <c:v>13.317660999999999</c:v>
                </c:pt>
                <c:pt idx="462">
                  <c:v>13.3194576</c:v>
                </c:pt>
                <c:pt idx="463">
                  <c:v>13.3212542</c:v>
                </c:pt>
                <c:pt idx="464">
                  <c:v>13.3230509</c:v>
                </c:pt>
                <c:pt idx="465">
                  <c:v>13.324847500000001</c:v>
                </c:pt>
                <c:pt idx="466">
                  <c:v>13.326644099999999</c:v>
                </c:pt>
                <c:pt idx="467">
                  <c:v>13.3284407</c:v>
                </c:pt>
                <c:pt idx="468">
                  <c:v>13.3302373</c:v>
                </c:pt>
                <c:pt idx="469">
                  <c:v>13.332033900000001</c:v>
                </c:pt>
                <c:pt idx="470">
                  <c:v>13.333830499999999</c:v>
                </c:pt>
                <c:pt idx="471">
                  <c:v>13.3356271</c:v>
                </c:pt>
                <c:pt idx="472">
                  <c:v>13.3374237</c:v>
                </c:pt>
                <c:pt idx="473">
                  <c:v>13.339220299999999</c:v>
                </c:pt>
                <c:pt idx="474">
                  <c:v>13.341017000000001</c:v>
                </c:pt>
                <c:pt idx="475">
                  <c:v>13.342813599999999</c:v>
                </c:pt>
                <c:pt idx="476">
                  <c:v>13.3446102</c:v>
                </c:pt>
                <c:pt idx="477">
                  <c:v>13.3464068</c:v>
                </c:pt>
                <c:pt idx="478">
                  <c:v>13.348203399999999</c:v>
                </c:pt>
                <c:pt idx="479">
                  <c:v>13.35</c:v>
                </c:pt>
                <c:pt idx="480">
                  <c:v>13.3705</c:v>
                </c:pt>
                <c:pt idx="481">
                  <c:v>13.391</c:v>
                </c:pt>
                <c:pt idx="482">
                  <c:v>13.4115</c:v>
                </c:pt>
                <c:pt idx="483">
                  <c:v>13.432</c:v>
                </c:pt>
                <c:pt idx="484">
                  <c:v>13.452500000000001</c:v>
                </c:pt>
                <c:pt idx="485">
                  <c:v>13.473000000000001</c:v>
                </c:pt>
                <c:pt idx="486">
                  <c:v>13.493499999999999</c:v>
                </c:pt>
                <c:pt idx="487">
                  <c:v>13.513999999999999</c:v>
                </c:pt>
                <c:pt idx="488">
                  <c:v>13.5345</c:v>
                </c:pt>
                <c:pt idx="489">
                  <c:v>13.555</c:v>
                </c:pt>
                <c:pt idx="490">
                  <c:v>13.5755</c:v>
                </c:pt>
                <c:pt idx="491">
                  <c:v>13.596</c:v>
                </c:pt>
                <c:pt idx="492">
                  <c:v>13.6165</c:v>
                </c:pt>
                <c:pt idx="493">
                  <c:v>13.637</c:v>
                </c:pt>
                <c:pt idx="494">
                  <c:v>13.657500000000001</c:v>
                </c:pt>
                <c:pt idx="495">
                  <c:v>13.678000000000001</c:v>
                </c:pt>
                <c:pt idx="496">
                  <c:v>13.698499999999999</c:v>
                </c:pt>
                <c:pt idx="497">
                  <c:v>13.718999999999999</c:v>
                </c:pt>
                <c:pt idx="498">
                  <c:v>13.7395</c:v>
                </c:pt>
                <c:pt idx="499">
                  <c:v>13.76</c:v>
                </c:pt>
                <c:pt idx="500">
                  <c:v>13.7805</c:v>
                </c:pt>
                <c:pt idx="501">
                  <c:v>13.801</c:v>
                </c:pt>
                <c:pt idx="502">
                  <c:v>13.8215</c:v>
                </c:pt>
                <c:pt idx="503">
                  <c:v>13.842000000000001</c:v>
                </c:pt>
                <c:pt idx="504">
                  <c:v>13.862500000000001</c:v>
                </c:pt>
                <c:pt idx="505">
                  <c:v>13.882999999999999</c:v>
                </c:pt>
                <c:pt idx="506">
                  <c:v>13.9212364</c:v>
                </c:pt>
                <c:pt idx="507">
                  <c:v>13.959472699999999</c:v>
                </c:pt>
                <c:pt idx="508">
                  <c:v>13.9977091</c:v>
                </c:pt>
                <c:pt idx="509">
                  <c:v>14.0359455</c:v>
                </c:pt>
                <c:pt idx="510">
                  <c:v>14.0741818</c:v>
                </c:pt>
                <c:pt idx="511">
                  <c:v>14.1124182</c:v>
                </c:pt>
                <c:pt idx="512">
                  <c:v>14.150654599999999</c:v>
                </c:pt>
                <c:pt idx="513">
                  <c:v>14.188890900000001</c:v>
                </c:pt>
                <c:pt idx="514">
                  <c:v>14.227127299999999</c:v>
                </c:pt>
                <c:pt idx="515">
                  <c:v>14.265363600000001</c:v>
                </c:pt>
                <c:pt idx="516">
                  <c:v>14.303599999999999</c:v>
                </c:pt>
                <c:pt idx="517">
                  <c:v>14.3418364</c:v>
                </c:pt>
                <c:pt idx="518">
                  <c:v>14.380072699999999</c:v>
                </c:pt>
                <c:pt idx="519">
                  <c:v>14.4183091</c:v>
                </c:pt>
                <c:pt idx="520">
                  <c:v>14.456545500000001</c:v>
                </c:pt>
                <c:pt idx="521">
                  <c:v>14.4947818</c:v>
                </c:pt>
                <c:pt idx="522">
                  <c:v>14.533018200000001</c:v>
                </c:pt>
                <c:pt idx="523">
                  <c:v>14.5712546</c:v>
                </c:pt>
                <c:pt idx="524">
                  <c:v>14.609490900000001</c:v>
                </c:pt>
                <c:pt idx="525">
                  <c:v>14.6477273</c:v>
                </c:pt>
                <c:pt idx="526">
                  <c:v>14.685963599999999</c:v>
                </c:pt>
                <c:pt idx="527">
                  <c:v>14.7242</c:v>
                </c:pt>
                <c:pt idx="528">
                  <c:v>14.7624364</c:v>
                </c:pt>
                <c:pt idx="529">
                  <c:v>14.8006727</c:v>
                </c:pt>
                <c:pt idx="530">
                  <c:v>14.8389091</c:v>
                </c:pt>
                <c:pt idx="531">
                  <c:v>14.877145499999999</c:v>
                </c:pt>
                <c:pt idx="532">
                  <c:v>14.9153818</c:v>
                </c:pt>
                <c:pt idx="533">
                  <c:v>14.953618199999999</c:v>
                </c:pt>
                <c:pt idx="534">
                  <c:v>14.9918546</c:v>
                </c:pt>
                <c:pt idx="535">
                  <c:v>15.030090899999999</c:v>
                </c:pt>
                <c:pt idx="536">
                  <c:v>15.0683273</c:v>
                </c:pt>
                <c:pt idx="537">
                  <c:v>15.106563599999999</c:v>
                </c:pt>
                <c:pt idx="538">
                  <c:v>15.1448</c:v>
                </c:pt>
                <c:pt idx="539">
                  <c:v>15.183036400000001</c:v>
                </c:pt>
                <c:pt idx="540">
                  <c:v>15.2212727</c:v>
                </c:pt>
                <c:pt idx="541">
                  <c:v>15.259509100000001</c:v>
                </c:pt>
                <c:pt idx="542">
                  <c:v>15.2977455</c:v>
                </c:pt>
                <c:pt idx="543">
                  <c:v>15.335981800000001</c:v>
                </c:pt>
                <c:pt idx="544">
                  <c:v>15.3742182</c:v>
                </c:pt>
                <c:pt idx="545">
                  <c:v>15.4124546</c:v>
                </c:pt>
                <c:pt idx="546">
                  <c:v>15.4506909</c:v>
                </c:pt>
                <c:pt idx="547">
                  <c:v>15.4889273</c:v>
                </c:pt>
                <c:pt idx="548">
                  <c:v>15.5271636</c:v>
                </c:pt>
                <c:pt idx="549">
                  <c:v>15.5654</c:v>
                </c:pt>
                <c:pt idx="550">
                  <c:v>15.603636399999999</c:v>
                </c:pt>
                <c:pt idx="551">
                  <c:v>15.6418727</c:v>
                </c:pt>
                <c:pt idx="552">
                  <c:v>15.680109099999999</c:v>
                </c:pt>
                <c:pt idx="553">
                  <c:v>15.7183455</c:v>
                </c:pt>
                <c:pt idx="554">
                  <c:v>15.756581799999999</c:v>
                </c:pt>
                <c:pt idx="555">
                  <c:v>15.7948182</c:v>
                </c:pt>
                <c:pt idx="556">
                  <c:v>15.833054600000001</c:v>
                </c:pt>
                <c:pt idx="557">
                  <c:v>15.8712909</c:v>
                </c:pt>
                <c:pt idx="558">
                  <c:v>15.909527300000001</c:v>
                </c:pt>
                <c:pt idx="559">
                  <c:v>15.9477636</c:v>
                </c:pt>
                <c:pt idx="560">
                  <c:v>15.986000000000001</c:v>
                </c:pt>
                <c:pt idx="561">
                  <c:v>16.021599999999999</c:v>
                </c:pt>
                <c:pt idx="562">
                  <c:v>16.057200000000002</c:v>
                </c:pt>
                <c:pt idx="563">
                  <c:v>16.0928</c:v>
                </c:pt>
                <c:pt idx="564">
                  <c:v>16.128399999999999</c:v>
                </c:pt>
                <c:pt idx="565">
                  <c:v>16.164000000000001</c:v>
                </c:pt>
                <c:pt idx="566">
                  <c:v>16.1996</c:v>
                </c:pt>
                <c:pt idx="567">
                  <c:v>16.235199999999999</c:v>
                </c:pt>
                <c:pt idx="568">
                  <c:v>16.270800000000001</c:v>
                </c:pt>
                <c:pt idx="569">
                  <c:v>16.3064</c:v>
                </c:pt>
                <c:pt idx="570">
                  <c:v>16.341999999999999</c:v>
                </c:pt>
                <c:pt idx="571">
                  <c:v>16.4141111</c:v>
                </c:pt>
                <c:pt idx="572">
                  <c:v>16.4862222</c:v>
                </c:pt>
                <c:pt idx="573">
                  <c:v>16.558333300000001</c:v>
                </c:pt>
                <c:pt idx="574">
                  <c:v>16.630444399999998</c:v>
                </c:pt>
                <c:pt idx="575">
                  <c:v>16.7025556</c:v>
                </c:pt>
                <c:pt idx="576">
                  <c:v>16.774666700000001</c:v>
                </c:pt>
                <c:pt idx="577">
                  <c:v>16.846777800000002</c:v>
                </c:pt>
                <c:pt idx="578">
                  <c:v>16.918888899999999</c:v>
                </c:pt>
                <c:pt idx="579">
                  <c:v>16.991</c:v>
                </c:pt>
                <c:pt idx="580">
                  <c:v>17.013833300000002</c:v>
                </c:pt>
                <c:pt idx="581">
                  <c:v>17.036666700000001</c:v>
                </c:pt>
                <c:pt idx="582">
                  <c:v>17.0595</c:v>
                </c:pt>
                <c:pt idx="583">
                  <c:v>17.082333299999998</c:v>
                </c:pt>
                <c:pt idx="584">
                  <c:v>17.105166700000002</c:v>
                </c:pt>
                <c:pt idx="585">
                  <c:v>17.128</c:v>
                </c:pt>
                <c:pt idx="586">
                  <c:v>17.150833299999999</c:v>
                </c:pt>
                <c:pt idx="587">
                  <c:v>17.173666699999998</c:v>
                </c:pt>
                <c:pt idx="588">
                  <c:v>17.1965</c:v>
                </c:pt>
                <c:pt idx="589">
                  <c:v>17.219333299999999</c:v>
                </c:pt>
                <c:pt idx="590">
                  <c:v>17.242166699999999</c:v>
                </c:pt>
                <c:pt idx="591">
                  <c:v>17.265000000000001</c:v>
                </c:pt>
                <c:pt idx="592">
                  <c:v>17.287833299999999</c:v>
                </c:pt>
                <c:pt idx="593">
                  <c:v>17.310666699999999</c:v>
                </c:pt>
                <c:pt idx="594">
                  <c:v>17.333500000000001</c:v>
                </c:pt>
                <c:pt idx="595">
                  <c:v>17.356333299999999</c:v>
                </c:pt>
                <c:pt idx="596">
                  <c:v>17.379166699999999</c:v>
                </c:pt>
                <c:pt idx="597">
                  <c:v>17.402000000000001</c:v>
                </c:pt>
                <c:pt idx="598">
                  <c:v>17.4248333</c:v>
                </c:pt>
                <c:pt idx="599">
                  <c:v>17.447666699999999</c:v>
                </c:pt>
                <c:pt idx="600">
                  <c:v>17.470500000000001</c:v>
                </c:pt>
                <c:pt idx="601">
                  <c:v>17.4933333</c:v>
                </c:pt>
                <c:pt idx="602">
                  <c:v>17.516166699999999</c:v>
                </c:pt>
                <c:pt idx="603">
                  <c:v>17.539000000000001</c:v>
                </c:pt>
                <c:pt idx="604">
                  <c:v>17.5618333</c:v>
                </c:pt>
                <c:pt idx="605">
                  <c:v>17.5846667</c:v>
                </c:pt>
                <c:pt idx="606">
                  <c:v>17.607500000000002</c:v>
                </c:pt>
                <c:pt idx="607">
                  <c:v>17.6303333</c:v>
                </c:pt>
                <c:pt idx="608">
                  <c:v>17.6531667</c:v>
                </c:pt>
                <c:pt idx="609">
                  <c:v>17.675999999999998</c:v>
                </c:pt>
                <c:pt idx="610">
                  <c:v>17.742061899999999</c:v>
                </c:pt>
                <c:pt idx="611">
                  <c:v>17.808123699999999</c:v>
                </c:pt>
                <c:pt idx="612">
                  <c:v>17.874185600000001</c:v>
                </c:pt>
                <c:pt idx="613">
                  <c:v>17.940247400000001</c:v>
                </c:pt>
                <c:pt idx="614">
                  <c:v>18.006309300000002</c:v>
                </c:pt>
                <c:pt idx="615">
                  <c:v>18.072371100000002</c:v>
                </c:pt>
                <c:pt idx="616">
                  <c:v>18.138432999999999</c:v>
                </c:pt>
                <c:pt idx="617">
                  <c:v>18.2044949</c:v>
                </c:pt>
                <c:pt idx="618">
                  <c:v>18.2705567</c:v>
                </c:pt>
                <c:pt idx="619">
                  <c:v>18.336618600000001</c:v>
                </c:pt>
                <c:pt idx="620">
                  <c:v>18.402680400000001</c:v>
                </c:pt>
                <c:pt idx="621">
                  <c:v>18.468742299999999</c:v>
                </c:pt>
                <c:pt idx="622">
                  <c:v>18.534804099999999</c:v>
                </c:pt>
                <c:pt idx="623">
                  <c:v>18.600866</c:v>
                </c:pt>
                <c:pt idx="624">
                  <c:v>18.6669278</c:v>
                </c:pt>
                <c:pt idx="625">
                  <c:v>18.732989700000001</c:v>
                </c:pt>
                <c:pt idx="626">
                  <c:v>18.799051599999999</c:v>
                </c:pt>
                <c:pt idx="627">
                  <c:v>18.865113399999998</c:v>
                </c:pt>
                <c:pt idx="628">
                  <c:v>18.9311753</c:v>
                </c:pt>
                <c:pt idx="629">
                  <c:v>18.9972371</c:v>
                </c:pt>
                <c:pt idx="630">
                  <c:v>19.063299000000001</c:v>
                </c:pt>
                <c:pt idx="631">
                  <c:v>19.129360800000001</c:v>
                </c:pt>
                <c:pt idx="632">
                  <c:v>19.195422700000002</c:v>
                </c:pt>
                <c:pt idx="633">
                  <c:v>19.261484500000002</c:v>
                </c:pt>
                <c:pt idx="634">
                  <c:v>19.327546399999999</c:v>
                </c:pt>
                <c:pt idx="635">
                  <c:v>19.3936083</c:v>
                </c:pt>
                <c:pt idx="636">
                  <c:v>19.4596701</c:v>
                </c:pt>
                <c:pt idx="637">
                  <c:v>19.525732000000001</c:v>
                </c:pt>
                <c:pt idx="638">
                  <c:v>19.591793800000001</c:v>
                </c:pt>
                <c:pt idx="639">
                  <c:v>19.657855699999999</c:v>
                </c:pt>
                <c:pt idx="640">
                  <c:v>19.723917499999999</c:v>
                </c:pt>
                <c:pt idx="641">
                  <c:v>19.7899794</c:v>
                </c:pt>
                <c:pt idx="642">
                  <c:v>19.8560412</c:v>
                </c:pt>
                <c:pt idx="643">
                  <c:v>19.922103100000001</c:v>
                </c:pt>
                <c:pt idx="644">
                  <c:v>19.988164999999999</c:v>
                </c:pt>
                <c:pt idx="645">
                  <c:v>20.054226799999999</c:v>
                </c:pt>
                <c:pt idx="646">
                  <c:v>20.1202887</c:v>
                </c:pt>
                <c:pt idx="647">
                  <c:v>20.1863505</c:v>
                </c:pt>
                <c:pt idx="648">
                  <c:v>20.252412400000001</c:v>
                </c:pt>
                <c:pt idx="649">
                  <c:v>20.318474200000001</c:v>
                </c:pt>
                <c:pt idx="650">
                  <c:v>20.384536099999998</c:v>
                </c:pt>
                <c:pt idx="651">
                  <c:v>20.450597900000002</c:v>
                </c:pt>
                <c:pt idx="652">
                  <c:v>20.516659799999999</c:v>
                </c:pt>
                <c:pt idx="653">
                  <c:v>20.5827217</c:v>
                </c:pt>
                <c:pt idx="654">
                  <c:v>20.6487835</c:v>
                </c:pt>
                <c:pt idx="655">
                  <c:v>20.714845400000002</c:v>
                </c:pt>
                <c:pt idx="656">
                  <c:v>20.780907200000001</c:v>
                </c:pt>
                <c:pt idx="657">
                  <c:v>20.846969099999999</c:v>
                </c:pt>
                <c:pt idx="658">
                  <c:v>20.913030899999999</c:v>
                </c:pt>
                <c:pt idx="659">
                  <c:v>20.9790928</c:v>
                </c:pt>
                <c:pt idx="660">
                  <c:v>21.0451546</c:v>
                </c:pt>
                <c:pt idx="661">
                  <c:v>21.111216500000001</c:v>
                </c:pt>
                <c:pt idx="662">
                  <c:v>21.177278399999999</c:v>
                </c:pt>
                <c:pt idx="663">
                  <c:v>21.243340199999999</c:v>
                </c:pt>
                <c:pt idx="664">
                  <c:v>21.3094021</c:v>
                </c:pt>
                <c:pt idx="665">
                  <c:v>21.3754639</c:v>
                </c:pt>
                <c:pt idx="666">
                  <c:v>21.441525800000001</c:v>
                </c:pt>
                <c:pt idx="667">
                  <c:v>21.507587600000001</c:v>
                </c:pt>
                <c:pt idx="668">
                  <c:v>21.573649499999998</c:v>
                </c:pt>
                <c:pt idx="669">
                  <c:v>21.639711299999998</c:v>
                </c:pt>
                <c:pt idx="670">
                  <c:v>21.705773199999999</c:v>
                </c:pt>
                <c:pt idx="671">
                  <c:v>21.771835100000001</c:v>
                </c:pt>
                <c:pt idx="672">
                  <c:v>21.8378969</c:v>
                </c:pt>
                <c:pt idx="673">
                  <c:v>21.903958800000002</c:v>
                </c:pt>
                <c:pt idx="674">
                  <c:v>21.970020600000002</c:v>
                </c:pt>
                <c:pt idx="675">
                  <c:v>22.036082499999999</c:v>
                </c:pt>
                <c:pt idx="676">
                  <c:v>22.102144299999999</c:v>
                </c:pt>
                <c:pt idx="677">
                  <c:v>22.1682062</c:v>
                </c:pt>
                <c:pt idx="678">
                  <c:v>22.234268</c:v>
                </c:pt>
                <c:pt idx="679">
                  <c:v>22.300329900000001</c:v>
                </c:pt>
                <c:pt idx="680">
                  <c:v>22.366391799999999</c:v>
                </c:pt>
                <c:pt idx="681">
                  <c:v>22.432453599999999</c:v>
                </c:pt>
                <c:pt idx="682">
                  <c:v>22.4985155</c:v>
                </c:pt>
                <c:pt idx="683">
                  <c:v>22.5645773</c:v>
                </c:pt>
                <c:pt idx="684">
                  <c:v>22.630639200000001</c:v>
                </c:pt>
                <c:pt idx="685">
                  <c:v>22.696701000000001</c:v>
                </c:pt>
                <c:pt idx="686">
                  <c:v>22.762762899999998</c:v>
                </c:pt>
                <c:pt idx="687">
                  <c:v>22.828824699999998</c:v>
                </c:pt>
                <c:pt idx="688">
                  <c:v>22.8948866</c:v>
                </c:pt>
                <c:pt idx="689">
                  <c:v>22.960948500000001</c:v>
                </c:pt>
                <c:pt idx="690">
                  <c:v>23.027010300000001</c:v>
                </c:pt>
                <c:pt idx="691">
                  <c:v>23.093072200000002</c:v>
                </c:pt>
                <c:pt idx="692">
                  <c:v>23.159134000000002</c:v>
                </c:pt>
                <c:pt idx="693">
                  <c:v>23.225195899999999</c:v>
                </c:pt>
                <c:pt idx="694">
                  <c:v>23.291257699999999</c:v>
                </c:pt>
                <c:pt idx="695">
                  <c:v>23.3573196</c:v>
                </c:pt>
                <c:pt idx="696">
                  <c:v>23.4233814</c:v>
                </c:pt>
                <c:pt idx="697">
                  <c:v>23.489443300000001</c:v>
                </c:pt>
                <c:pt idx="698">
                  <c:v>23.555505199999999</c:v>
                </c:pt>
                <c:pt idx="699">
                  <c:v>23.621566999999999</c:v>
                </c:pt>
                <c:pt idx="700">
                  <c:v>23.6876289</c:v>
                </c:pt>
                <c:pt idx="701">
                  <c:v>23.7536907</c:v>
                </c:pt>
                <c:pt idx="702">
                  <c:v>23.819752600000001</c:v>
                </c:pt>
                <c:pt idx="703">
                  <c:v>23.885814400000001</c:v>
                </c:pt>
                <c:pt idx="704">
                  <c:v>23.951876299999999</c:v>
                </c:pt>
                <c:pt idx="705">
                  <c:v>24.017938099999999</c:v>
                </c:pt>
                <c:pt idx="706">
                  <c:v>24.084</c:v>
                </c:pt>
                <c:pt idx="707">
                  <c:v>24.135461500000002</c:v>
                </c:pt>
                <c:pt idx="708">
                  <c:v>24.186923100000001</c:v>
                </c:pt>
                <c:pt idx="709">
                  <c:v>24.2383846</c:v>
                </c:pt>
                <c:pt idx="710">
                  <c:v>24.289846199999999</c:v>
                </c:pt>
                <c:pt idx="711">
                  <c:v>24.341307700000002</c:v>
                </c:pt>
                <c:pt idx="712">
                  <c:v>24.3927692</c:v>
                </c:pt>
                <c:pt idx="713">
                  <c:v>24.4442308</c:v>
                </c:pt>
                <c:pt idx="714">
                  <c:v>24.495692300000002</c:v>
                </c:pt>
                <c:pt idx="715">
                  <c:v>24.547153900000001</c:v>
                </c:pt>
                <c:pt idx="716">
                  <c:v>24.5986154</c:v>
                </c:pt>
                <c:pt idx="717">
                  <c:v>24.650076899999998</c:v>
                </c:pt>
                <c:pt idx="718">
                  <c:v>24.701538500000002</c:v>
                </c:pt>
                <c:pt idx="719">
                  <c:v>24.753</c:v>
                </c:pt>
                <c:pt idx="720">
                  <c:v>24.804461499999999</c:v>
                </c:pt>
                <c:pt idx="721">
                  <c:v>24.855923099999998</c:v>
                </c:pt>
                <c:pt idx="722">
                  <c:v>24.9073846</c:v>
                </c:pt>
                <c:pt idx="723">
                  <c:v>24.9588462</c:v>
                </c:pt>
                <c:pt idx="724">
                  <c:v>25.010307699999998</c:v>
                </c:pt>
                <c:pt idx="725">
                  <c:v>25.061769200000001</c:v>
                </c:pt>
                <c:pt idx="726">
                  <c:v>25.1132308</c:v>
                </c:pt>
                <c:pt idx="727">
                  <c:v>25.164692299999999</c:v>
                </c:pt>
                <c:pt idx="728">
                  <c:v>25.216153899999998</c:v>
                </c:pt>
                <c:pt idx="729">
                  <c:v>25.2676154</c:v>
                </c:pt>
                <c:pt idx="730">
                  <c:v>25.319076899999999</c:v>
                </c:pt>
                <c:pt idx="731">
                  <c:v>25.370538499999999</c:v>
                </c:pt>
                <c:pt idx="732">
                  <c:v>25.422000000000001</c:v>
                </c:pt>
                <c:pt idx="733">
                  <c:v>25.473461499999999</c:v>
                </c:pt>
                <c:pt idx="734">
                  <c:v>25.524923099999999</c:v>
                </c:pt>
                <c:pt idx="735">
                  <c:v>25.576384600000001</c:v>
                </c:pt>
                <c:pt idx="736">
                  <c:v>25.6278462</c:v>
                </c:pt>
                <c:pt idx="737">
                  <c:v>25.679307699999999</c:v>
                </c:pt>
                <c:pt idx="738">
                  <c:v>25.730769200000001</c:v>
                </c:pt>
                <c:pt idx="739">
                  <c:v>25.782230800000001</c:v>
                </c:pt>
                <c:pt idx="740">
                  <c:v>25.833692299999999</c:v>
                </c:pt>
                <c:pt idx="741">
                  <c:v>25.885153899999999</c:v>
                </c:pt>
                <c:pt idx="742">
                  <c:v>25.936615400000001</c:v>
                </c:pt>
                <c:pt idx="743">
                  <c:v>25.988076899999999</c:v>
                </c:pt>
                <c:pt idx="744">
                  <c:v>26.039538499999999</c:v>
                </c:pt>
                <c:pt idx="745">
                  <c:v>26.091000000000001</c:v>
                </c:pt>
                <c:pt idx="746">
                  <c:v>26.1424615</c:v>
                </c:pt>
                <c:pt idx="747">
                  <c:v>26.193923099999999</c:v>
                </c:pt>
                <c:pt idx="748">
                  <c:v>26.245384600000001</c:v>
                </c:pt>
                <c:pt idx="749">
                  <c:v>26.296846200000001</c:v>
                </c:pt>
                <c:pt idx="750">
                  <c:v>26.348307699999999</c:v>
                </c:pt>
                <c:pt idx="751">
                  <c:v>26.399769200000001</c:v>
                </c:pt>
                <c:pt idx="752">
                  <c:v>26.451230800000001</c:v>
                </c:pt>
                <c:pt idx="753">
                  <c:v>26.5026923</c:v>
                </c:pt>
                <c:pt idx="754">
                  <c:v>26.554153899999999</c:v>
                </c:pt>
                <c:pt idx="755">
                  <c:v>26.605615400000001</c:v>
                </c:pt>
                <c:pt idx="756">
                  <c:v>26.6570769</c:v>
                </c:pt>
                <c:pt idx="757">
                  <c:v>26.7085385</c:v>
                </c:pt>
                <c:pt idx="758">
                  <c:v>26.76</c:v>
                </c:pt>
                <c:pt idx="759">
                  <c:v>26.8114615</c:v>
                </c:pt>
                <c:pt idx="760">
                  <c:v>26.8629231</c:v>
                </c:pt>
                <c:pt idx="761">
                  <c:v>26.914384600000002</c:v>
                </c:pt>
                <c:pt idx="762">
                  <c:v>26.965846200000001</c:v>
                </c:pt>
                <c:pt idx="763">
                  <c:v>27.0173077</c:v>
                </c:pt>
                <c:pt idx="764">
                  <c:v>27.068769199999998</c:v>
                </c:pt>
                <c:pt idx="765">
                  <c:v>27.120230800000002</c:v>
                </c:pt>
                <c:pt idx="766">
                  <c:v>27.1716923</c:v>
                </c:pt>
                <c:pt idx="767">
                  <c:v>27.2231539</c:v>
                </c:pt>
                <c:pt idx="768">
                  <c:v>27.274615399999998</c:v>
                </c:pt>
                <c:pt idx="769">
                  <c:v>27.3260769</c:v>
                </c:pt>
                <c:pt idx="770">
                  <c:v>27.3775385</c:v>
                </c:pt>
                <c:pt idx="771">
                  <c:v>27.428999999999998</c:v>
                </c:pt>
                <c:pt idx="772">
                  <c:v>27.480461500000001</c:v>
                </c:pt>
                <c:pt idx="773">
                  <c:v>27.5319231</c:v>
                </c:pt>
                <c:pt idx="774">
                  <c:v>27.583384599999999</c:v>
                </c:pt>
                <c:pt idx="775">
                  <c:v>27.634846199999998</c:v>
                </c:pt>
                <c:pt idx="776">
                  <c:v>27.6863077</c:v>
                </c:pt>
                <c:pt idx="777">
                  <c:v>27.737769199999999</c:v>
                </c:pt>
                <c:pt idx="778">
                  <c:v>27.789230799999999</c:v>
                </c:pt>
                <c:pt idx="779">
                  <c:v>27.840692300000001</c:v>
                </c:pt>
                <c:pt idx="780">
                  <c:v>27.8921539</c:v>
                </c:pt>
                <c:pt idx="781">
                  <c:v>27.943615399999999</c:v>
                </c:pt>
                <c:pt idx="782">
                  <c:v>27.995076900000001</c:v>
                </c:pt>
                <c:pt idx="783">
                  <c:v>28.0465385</c:v>
                </c:pt>
                <c:pt idx="784">
                  <c:v>28.097999999999999</c:v>
                </c:pt>
                <c:pt idx="785">
                  <c:v>28.126127700000001</c:v>
                </c:pt>
                <c:pt idx="786">
                  <c:v>28.154255299999999</c:v>
                </c:pt>
                <c:pt idx="787">
                  <c:v>28.182383000000002</c:v>
                </c:pt>
                <c:pt idx="788">
                  <c:v>28.210510599999999</c:v>
                </c:pt>
                <c:pt idx="789">
                  <c:v>28.238638300000002</c:v>
                </c:pt>
                <c:pt idx="790">
                  <c:v>28.266766000000001</c:v>
                </c:pt>
                <c:pt idx="791">
                  <c:v>28.294893600000002</c:v>
                </c:pt>
                <c:pt idx="792">
                  <c:v>28.323021300000001</c:v>
                </c:pt>
                <c:pt idx="793">
                  <c:v>28.351148899999998</c:v>
                </c:pt>
                <c:pt idx="794">
                  <c:v>28.379276600000001</c:v>
                </c:pt>
                <c:pt idx="795">
                  <c:v>28.4074043</c:v>
                </c:pt>
                <c:pt idx="796">
                  <c:v>28.435531900000001</c:v>
                </c:pt>
                <c:pt idx="797">
                  <c:v>28.4636596</c:v>
                </c:pt>
                <c:pt idx="798">
                  <c:v>28.491787200000001</c:v>
                </c:pt>
                <c:pt idx="799">
                  <c:v>28.5199149</c:v>
                </c:pt>
                <c:pt idx="800">
                  <c:v>28.548042599999999</c:v>
                </c:pt>
                <c:pt idx="801">
                  <c:v>28.5761702</c:v>
                </c:pt>
                <c:pt idx="802">
                  <c:v>28.604297899999999</c:v>
                </c:pt>
                <c:pt idx="803">
                  <c:v>28.6324255</c:v>
                </c:pt>
                <c:pt idx="804">
                  <c:v>28.660553199999999</c:v>
                </c:pt>
                <c:pt idx="805">
                  <c:v>28.688680900000001</c:v>
                </c:pt>
                <c:pt idx="806">
                  <c:v>28.716808499999999</c:v>
                </c:pt>
                <c:pt idx="807">
                  <c:v>28.744936200000001</c:v>
                </c:pt>
                <c:pt idx="808">
                  <c:v>28.773063799999999</c:v>
                </c:pt>
                <c:pt idx="809">
                  <c:v>28.801191500000002</c:v>
                </c:pt>
                <c:pt idx="810">
                  <c:v>28.8293192</c:v>
                </c:pt>
                <c:pt idx="811">
                  <c:v>28.857446800000002</c:v>
                </c:pt>
                <c:pt idx="812">
                  <c:v>28.885574500000001</c:v>
                </c:pt>
                <c:pt idx="813">
                  <c:v>28.913702099999998</c:v>
                </c:pt>
                <c:pt idx="814">
                  <c:v>28.941829800000001</c:v>
                </c:pt>
                <c:pt idx="815">
                  <c:v>28.9699575</c:v>
                </c:pt>
                <c:pt idx="816">
                  <c:v>28.998085100000001</c:v>
                </c:pt>
                <c:pt idx="817">
                  <c:v>29.0262128</c:v>
                </c:pt>
                <c:pt idx="818">
                  <c:v>29.054340400000001</c:v>
                </c:pt>
                <c:pt idx="819">
                  <c:v>29.0824681</c:v>
                </c:pt>
                <c:pt idx="820">
                  <c:v>29.110595700000001</c:v>
                </c:pt>
                <c:pt idx="821">
                  <c:v>29.1387234</c:v>
                </c:pt>
                <c:pt idx="822">
                  <c:v>29.166851099999999</c:v>
                </c:pt>
                <c:pt idx="823">
                  <c:v>29.1949787</c:v>
                </c:pt>
                <c:pt idx="824">
                  <c:v>29.223106399999999</c:v>
                </c:pt>
                <c:pt idx="825">
                  <c:v>29.251234</c:v>
                </c:pt>
                <c:pt idx="826">
                  <c:v>29.279361699999999</c:v>
                </c:pt>
                <c:pt idx="827">
                  <c:v>29.307489400000001</c:v>
                </c:pt>
                <c:pt idx="828">
                  <c:v>29.335616999999999</c:v>
                </c:pt>
                <c:pt idx="829">
                  <c:v>29.363744700000002</c:v>
                </c:pt>
                <c:pt idx="830">
                  <c:v>29.391872299999999</c:v>
                </c:pt>
                <c:pt idx="831">
                  <c:v>29.42</c:v>
                </c:pt>
                <c:pt idx="832">
                  <c:v>29.448127700000001</c:v>
                </c:pt>
                <c:pt idx="833">
                  <c:v>29.476255299999998</c:v>
                </c:pt>
                <c:pt idx="834">
                  <c:v>29.504383000000001</c:v>
                </c:pt>
                <c:pt idx="835">
                  <c:v>29.532510599999998</c:v>
                </c:pt>
                <c:pt idx="836">
                  <c:v>29.560638300000001</c:v>
                </c:pt>
                <c:pt idx="837">
                  <c:v>29.588766</c:v>
                </c:pt>
                <c:pt idx="838">
                  <c:v>29.616893600000001</c:v>
                </c:pt>
                <c:pt idx="839">
                  <c:v>29.6450213</c:v>
                </c:pt>
                <c:pt idx="840">
                  <c:v>29.673148900000001</c:v>
                </c:pt>
                <c:pt idx="841">
                  <c:v>29.7012766</c:v>
                </c:pt>
                <c:pt idx="842">
                  <c:v>29.729404299999999</c:v>
                </c:pt>
                <c:pt idx="843">
                  <c:v>29.7575319</c:v>
                </c:pt>
                <c:pt idx="844">
                  <c:v>29.785659599999999</c:v>
                </c:pt>
                <c:pt idx="845">
                  <c:v>29.8137872</c:v>
                </c:pt>
                <c:pt idx="846">
                  <c:v>29.841914899999999</c:v>
                </c:pt>
                <c:pt idx="847">
                  <c:v>29.870042600000001</c:v>
                </c:pt>
                <c:pt idx="848">
                  <c:v>29.898170199999999</c:v>
                </c:pt>
                <c:pt idx="849">
                  <c:v>29.926297900000002</c:v>
                </c:pt>
                <c:pt idx="850">
                  <c:v>29.954425499999999</c:v>
                </c:pt>
                <c:pt idx="851">
                  <c:v>29.982553200000002</c:v>
                </c:pt>
                <c:pt idx="852">
                  <c:v>30.010680900000001</c:v>
                </c:pt>
                <c:pt idx="853">
                  <c:v>30.038808499999998</c:v>
                </c:pt>
                <c:pt idx="854">
                  <c:v>30.066936200000001</c:v>
                </c:pt>
                <c:pt idx="855">
                  <c:v>30.095063799999998</c:v>
                </c:pt>
                <c:pt idx="856">
                  <c:v>30.123191500000001</c:v>
                </c:pt>
                <c:pt idx="857">
                  <c:v>30.1513192</c:v>
                </c:pt>
                <c:pt idx="858">
                  <c:v>30.179446800000001</c:v>
                </c:pt>
                <c:pt idx="859">
                  <c:v>30.2075745</c:v>
                </c:pt>
                <c:pt idx="860">
                  <c:v>30.235702100000001</c:v>
                </c:pt>
                <c:pt idx="861">
                  <c:v>30.2638298</c:v>
                </c:pt>
                <c:pt idx="862">
                  <c:v>30.291957499999999</c:v>
                </c:pt>
                <c:pt idx="863">
                  <c:v>30.3200851</c:v>
                </c:pt>
                <c:pt idx="864">
                  <c:v>30.348212799999999</c:v>
                </c:pt>
                <c:pt idx="865">
                  <c:v>30.3763404</c:v>
                </c:pt>
                <c:pt idx="866">
                  <c:v>30.404468099999999</c:v>
                </c:pt>
                <c:pt idx="867">
                  <c:v>30.4325957</c:v>
                </c:pt>
                <c:pt idx="868">
                  <c:v>30.460723399999999</c:v>
                </c:pt>
                <c:pt idx="869">
                  <c:v>30.488851100000002</c:v>
                </c:pt>
                <c:pt idx="870">
                  <c:v>30.516978699999999</c:v>
                </c:pt>
                <c:pt idx="871">
                  <c:v>30.545106400000002</c:v>
                </c:pt>
                <c:pt idx="872">
                  <c:v>30.573233999999999</c:v>
                </c:pt>
                <c:pt idx="873">
                  <c:v>30.601361699999998</c:v>
                </c:pt>
                <c:pt idx="874">
                  <c:v>30.629489400000001</c:v>
                </c:pt>
                <c:pt idx="875">
                  <c:v>30.657616999999998</c:v>
                </c:pt>
                <c:pt idx="876">
                  <c:v>30.685744700000001</c:v>
                </c:pt>
                <c:pt idx="877">
                  <c:v>30.713872299999998</c:v>
                </c:pt>
                <c:pt idx="878">
                  <c:v>30.742000000000001</c:v>
                </c:pt>
                <c:pt idx="879">
                  <c:v>30.7541619</c:v>
                </c:pt>
                <c:pt idx="880">
                  <c:v>30.766323799999999</c:v>
                </c:pt>
                <c:pt idx="881">
                  <c:v>30.778485700000001</c:v>
                </c:pt>
                <c:pt idx="882">
                  <c:v>30.7906476</c:v>
                </c:pt>
                <c:pt idx="883">
                  <c:v>30.802809499999999</c:v>
                </c:pt>
                <c:pt idx="884">
                  <c:v>30.814971400000001</c:v>
                </c:pt>
                <c:pt idx="885">
                  <c:v>30.8271333</c:v>
                </c:pt>
                <c:pt idx="886">
                  <c:v>30.839295199999999</c:v>
                </c:pt>
                <c:pt idx="887">
                  <c:v>30.851457100000001</c:v>
                </c:pt>
                <c:pt idx="888">
                  <c:v>30.863619100000001</c:v>
                </c:pt>
                <c:pt idx="889">
                  <c:v>30.875781</c:v>
                </c:pt>
                <c:pt idx="890">
                  <c:v>30.887942899999999</c:v>
                </c:pt>
                <c:pt idx="891">
                  <c:v>30.900104800000001</c:v>
                </c:pt>
                <c:pt idx="892">
                  <c:v>30.9122667</c:v>
                </c:pt>
                <c:pt idx="893">
                  <c:v>30.924428599999999</c:v>
                </c:pt>
                <c:pt idx="894">
                  <c:v>30.936590500000001</c:v>
                </c:pt>
                <c:pt idx="895">
                  <c:v>30.9487524</c:v>
                </c:pt>
                <c:pt idx="896">
                  <c:v>30.960914299999999</c:v>
                </c:pt>
                <c:pt idx="897">
                  <c:v>30.973076200000001</c:v>
                </c:pt>
                <c:pt idx="898">
                  <c:v>30.9852381</c:v>
                </c:pt>
                <c:pt idx="899">
                  <c:v>30.997399999999999</c:v>
                </c:pt>
                <c:pt idx="900">
                  <c:v>31.009561900000001</c:v>
                </c:pt>
                <c:pt idx="901">
                  <c:v>31.0217238</c:v>
                </c:pt>
                <c:pt idx="902">
                  <c:v>31.033885699999999</c:v>
                </c:pt>
                <c:pt idx="903">
                  <c:v>31.046047600000001</c:v>
                </c:pt>
                <c:pt idx="904">
                  <c:v>31.0582095</c:v>
                </c:pt>
                <c:pt idx="905">
                  <c:v>31.070371399999999</c:v>
                </c:pt>
                <c:pt idx="906">
                  <c:v>31.082533300000001</c:v>
                </c:pt>
                <c:pt idx="907">
                  <c:v>31.0946952</c:v>
                </c:pt>
                <c:pt idx="908">
                  <c:v>31.106857099999999</c:v>
                </c:pt>
                <c:pt idx="909">
                  <c:v>31.119019099999999</c:v>
                </c:pt>
                <c:pt idx="910">
                  <c:v>31.131181000000002</c:v>
                </c:pt>
                <c:pt idx="911">
                  <c:v>31.1433429</c:v>
                </c:pt>
                <c:pt idx="912">
                  <c:v>31.155504799999999</c:v>
                </c:pt>
                <c:pt idx="913">
                  <c:v>31.167666700000002</c:v>
                </c:pt>
                <c:pt idx="914">
                  <c:v>31.1798286</c:v>
                </c:pt>
                <c:pt idx="915">
                  <c:v>31.191990499999999</c:v>
                </c:pt>
                <c:pt idx="916">
                  <c:v>31.204152400000002</c:v>
                </c:pt>
                <c:pt idx="917">
                  <c:v>31.216314300000001</c:v>
                </c:pt>
                <c:pt idx="918">
                  <c:v>31.228476199999999</c:v>
                </c:pt>
                <c:pt idx="919">
                  <c:v>31.240638100000002</c:v>
                </c:pt>
                <c:pt idx="920">
                  <c:v>31.252800000000001</c:v>
                </c:pt>
                <c:pt idx="921">
                  <c:v>31.264961899999999</c:v>
                </c:pt>
                <c:pt idx="922">
                  <c:v>31.277123799999998</c:v>
                </c:pt>
                <c:pt idx="923">
                  <c:v>31.289285700000001</c:v>
                </c:pt>
                <c:pt idx="924">
                  <c:v>31.301447599999999</c:v>
                </c:pt>
                <c:pt idx="925">
                  <c:v>31.313609499999998</c:v>
                </c:pt>
                <c:pt idx="926">
                  <c:v>31.325771400000001</c:v>
                </c:pt>
                <c:pt idx="927">
                  <c:v>31.3379333</c:v>
                </c:pt>
                <c:pt idx="928">
                  <c:v>31.350095199999998</c:v>
                </c:pt>
                <c:pt idx="929">
                  <c:v>31.362257100000001</c:v>
                </c:pt>
                <c:pt idx="930">
                  <c:v>31.374419100000001</c:v>
                </c:pt>
                <c:pt idx="931">
                  <c:v>31.386581</c:v>
                </c:pt>
                <c:pt idx="932">
                  <c:v>31.398742899999998</c:v>
                </c:pt>
                <c:pt idx="933">
                  <c:v>31.410904800000001</c:v>
                </c:pt>
                <c:pt idx="934">
                  <c:v>31.4230667</c:v>
                </c:pt>
                <c:pt idx="935">
                  <c:v>31.435228599999999</c:v>
                </c:pt>
                <c:pt idx="936">
                  <c:v>31.447390500000001</c:v>
                </c:pt>
                <c:pt idx="937">
                  <c:v>31.4595524</c:v>
                </c:pt>
                <c:pt idx="938">
                  <c:v>31.471714299999999</c:v>
                </c:pt>
                <c:pt idx="939">
                  <c:v>31.483876200000001</c:v>
                </c:pt>
                <c:pt idx="940">
                  <c:v>31.4960381</c:v>
                </c:pt>
                <c:pt idx="941">
                  <c:v>31.508199999999999</c:v>
                </c:pt>
                <c:pt idx="942">
                  <c:v>31.520361900000001</c:v>
                </c:pt>
                <c:pt idx="943">
                  <c:v>31.5325238</c:v>
                </c:pt>
                <c:pt idx="944">
                  <c:v>31.544685699999999</c:v>
                </c:pt>
                <c:pt idx="945">
                  <c:v>31.556847600000001</c:v>
                </c:pt>
                <c:pt idx="946">
                  <c:v>31.5690095</c:v>
                </c:pt>
                <c:pt idx="947">
                  <c:v>31.581171399999999</c:v>
                </c:pt>
                <c:pt idx="948">
                  <c:v>31.593333300000001</c:v>
                </c:pt>
                <c:pt idx="949">
                  <c:v>31.6054952</c:v>
                </c:pt>
                <c:pt idx="950">
                  <c:v>31.617657099999999</c:v>
                </c:pt>
                <c:pt idx="951">
                  <c:v>31.629819099999999</c:v>
                </c:pt>
                <c:pt idx="952">
                  <c:v>31.641981000000001</c:v>
                </c:pt>
                <c:pt idx="953">
                  <c:v>31.6541429</c:v>
                </c:pt>
                <c:pt idx="954">
                  <c:v>31.666304799999999</c:v>
                </c:pt>
                <c:pt idx="955">
                  <c:v>31.678466700000001</c:v>
                </c:pt>
                <c:pt idx="956">
                  <c:v>31.6906286</c:v>
                </c:pt>
                <c:pt idx="957">
                  <c:v>31.702790499999999</c:v>
                </c:pt>
                <c:pt idx="958">
                  <c:v>31.714952400000001</c:v>
                </c:pt>
                <c:pt idx="959">
                  <c:v>31.7271143</c:v>
                </c:pt>
                <c:pt idx="960">
                  <c:v>31.739276199999999</c:v>
                </c:pt>
                <c:pt idx="961">
                  <c:v>31.751438100000001</c:v>
                </c:pt>
                <c:pt idx="962">
                  <c:v>31.7636</c:v>
                </c:pt>
                <c:pt idx="963">
                  <c:v>31.775761899999999</c:v>
                </c:pt>
                <c:pt idx="964">
                  <c:v>31.787923800000002</c:v>
                </c:pt>
                <c:pt idx="965">
                  <c:v>31.8000857</c:v>
                </c:pt>
                <c:pt idx="966">
                  <c:v>31.812247599999999</c:v>
                </c:pt>
                <c:pt idx="967">
                  <c:v>31.824409500000002</c:v>
                </c:pt>
                <c:pt idx="968">
                  <c:v>31.8365714</c:v>
                </c:pt>
                <c:pt idx="969">
                  <c:v>31.848733299999999</c:v>
                </c:pt>
                <c:pt idx="970">
                  <c:v>31.860895200000002</c:v>
                </c:pt>
                <c:pt idx="971">
                  <c:v>31.8730571</c:v>
                </c:pt>
                <c:pt idx="972">
                  <c:v>31.8852191</c:v>
                </c:pt>
                <c:pt idx="973">
                  <c:v>31.897380999999999</c:v>
                </c:pt>
                <c:pt idx="974">
                  <c:v>31.909542900000002</c:v>
                </c:pt>
                <c:pt idx="975">
                  <c:v>31.921704800000001</c:v>
                </c:pt>
                <c:pt idx="976">
                  <c:v>31.933866699999999</c:v>
                </c:pt>
                <c:pt idx="977">
                  <c:v>31.946028600000002</c:v>
                </c:pt>
                <c:pt idx="978">
                  <c:v>31.958190500000001</c:v>
                </c:pt>
                <c:pt idx="979">
                  <c:v>31.970352399999999</c:v>
                </c:pt>
                <c:pt idx="980">
                  <c:v>31.982514299999998</c:v>
                </c:pt>
                <c:pt idx="981">
                  <c:v>31.994676200000001</c:v>
                </c:pt>
                <c:pt idx="982">
                  <c:v>32.006838100000003</c:v>
                </c:pt>
                <c:pt idx="983">
                  <c:v>32.018999999999998</c:v>
                </c:pt>
                <c:pt idx="984">
                  <c:v>32.048000000000002</c:v>
                </c:pt>
                <c:pt idx="985">
                  <c:v>32.076999999999998</c:v>
                </c:pt>
                <c:pt idx="986">
                  <c:v>32.106000000000002</c:v>
                </c:pt>
                <c:pt idx="987">
                  <c:v>32.134999999999998</c:v>
                </c:pt>
                <c:pt idx="988">
                  <c:v>32.164000000000001</c:v>
                </c:pt>
                <c:pt idx="989">
                  <c:v>32.192999999999998</c:v>
                </c:pt>
                <c:pt idx="990">
                  <c:v>32.222000000000001</c:v>
                </c:pt>
                <c:pt idx="991">
                  <c:v>32.250999999999998</c:v>
                </c:pt>
                <c:pt idx="992">
                  <c:v>32.28</c:v>
                </c:pt>
                <c:pt idx="993">
                  <c:v>32.308999999999997</c:v>
                </c:pt>
                <c:pt idx="994">
                  <c:v>32.338000000000001</c:v>
                </c:pt>
                <c:pt idx="995">
                  <c:v>32.366999999999997</c:v>
                </c:pt>
                <c:pt idx="996">
                  <c:v>32.396000000000001</c:v>
                </c:pt>
                <c:pt idx="997">
                  <c:v>32.424999999999997</c:v>
                </c:pt>
                <c:pt idx="998">
                  <c:v>32.454000000000001</c:v>
                </c:pt>
                <c:pt idx="999">
                  <c:v>32.482999999999997</c:v>
                </c:pt>
                <c:pt idx="1000">
                  <c:v>32.512</c:v>
                </c:pt>
                <c:pt idx="1001">
                  <c:v>32.540999999999997</c:v>
                </c:pt>
                <c:pt idx="1002">
                  <c:v>32.57</c:v>
                </c:pt>
                <c:pt idx="1003">
                  <c:v>32.598999999999997</c:v>
                </c:pt>
                <c:pt idx="1004">
                  <c:v>32.628</c:v>
                </c:pt>
                <c:pt idx="1005">
                  <c:v>32.656999999999996</c:v>
                </c:pt>
                <c:pt idx="1006">
                  <c:v>32.686</c:v>
                </c:pt>
                <c:pt idx="1007">
                  <c:v>32.715000000000003</c:v>
                </c:pt>
                <c:pt idx="1008">
                  <c:v>32.744</c:v>
                </c:pt>
                <c:pt idx="1009">
                  <c:v>32.773000000000003</c:v>
                </c:pt>
                <c:pt idx="1010">
                  <c:v>32.802</c:v>
                </c:pt>
                <c:pt idx="1011">
                  <c:v>32.831000000000003</c:v>
                </c:pt>
                <c:pt idx="1012">
                  <c:v>32.86</c:v>
                </c:pt>
                <c:pt idx="1013">
                  <c:v>32.889000000000003</c:v>
                </c:pt>
                <c:pt idx="1014">
                  <c:v>32.917999999999999</c:v>
                </c:pt>
                <c:pt idx="1015">
                  <c:v>32.947000000000003</c:v>
                </c:pt>
                <c:pt idx="1016">
                  <c:v>32.975999999999999</c:v>
                </c:pt>
                <c:pt idx="1017">
                  <c:v>33.005000000000003</c:v>
                </c:pt>
                <c:pt idx="1018">
                  <c:v>33.033999999999999</c:v>
                </c:pt>
                <c:pt idx="1019">
                  <c:v>33.063000000000002</c:v>
                </c:pt>
                <c:pt idx="1020">
                  <c:v>33.091999999999999</c:v>
                </c:pt>
                <c:pt idx="1021">
                  <c:v>33.121000000000002</c:v>
                </c:pt>
                <c:pt idx="1022">
                  <c:v>33.15</c:v>
                </c:pt>
                <c:pt idx="1023">
                  <c:v>33.179000000000002</c:v>
                </c:pt>
                <c:pt idx="1024">
                  <c:v>33.207999999999998</c:v>
                </c:pt>
                <c:pt idx="1025">
                  <c:v>33.237000000000002</c:v>
                </c:pt>
                <c:pt idx="1026">
                  <c:v>33.265999999999998</c:v>
                </c:pt>
                <c:pt idx="1027">
                  <c:v>33.295000000000002</c:v>
                </c:pt>
                <c:pt idx="1028">
                  <c:v>33.323999999999998</c:v>
                </c:pt>
                <c:pt idx="1029">
                  <c:v>33.353000000000002</c:v>
                </c:pt>
                <c:pt idx="1030">
                  <c:v>33.381999999999998</c:v>
                </c:pt>
                <c:pt idx="1031">
                  <c:v>33.411000000000001</c:v>
                </c:pt>
                <c:pt idx="1032">
                  <c:v>33.44</c:v>
                </c:pt>
                <c:pt idx="1033">
                  <c:v>33.469000000000001</c:v>
                </c:pt>
                <c:pt idx="1034">
                  <c:v>33.497999999999998</c:v>
                </c:pt>
                <c:pt idx="1035">
                  <c:v>33.527000000000001</c:v>
                </c:pt>
                <c:pt idx="1036">
                  <c:v>33.555999999999997</c:v>
                </c:pt>
                <c:pt idx="1037">
                  <c:v>33.585000000000001</c:v>
                </c:pt>
                <c:pt idx="1038">
                  <c:v>33.613999999999997</c:v>
                </c:pt>
                <c:pt idx="1039">
                  <c:v>33.643000000000001</c:v>
                </c:pt>
                <c:pt idx="1040">
                  <c:v>33.671999999999997</c:v>
                </c:pt>
                <c:pt idx="1041">
                  <c:v>33.701000000000001</c:v>
                </c:pt>
                <c:pt idx="1042">
                  <c:v>33.729999999999997</c:v>
                </c:pt>
                <c:pt idx="1043">
                  <c:v>33.759</c:v>
                </c:pt>
                <c:pt idx="1044">
                  <c:v>33.787999999999997</c:v>
                </c:pt>
                <c:pt idx="1045">
                  <c:v>33.817</c:v>
                </c:pt>
                <c:pt idx="1046">
                  <c:v>33.845999999999997</c:v>
                </c:pt>
                <c:pt idx="1047">
                  <c:v>33.875</c:v>
                </c:pt>
                <c:pt idx="1048">
                  <c:v>33.904000000000003</c:v>
                </c:pt>
                <c:pt idx="1049">
                  <c:v>33.933</c:v>
                </c:pt>
                <c:pt idx="1050">
                  <c:v>33.962000000000003</c:v>
                </c:pt>
                <c:pt idx="1051">
                  <c:v>33.991</c:v>
                </c:pt>
                <c:pt idx="1052">
                  <c:v>34.020000000000003</c:v>
                </c:pt>
                <c:pt idx="1053">
                  <c:v>34.048999999999999</c:v>
                </c:pt>
                <c:pt idx="1054">
                  <c:v>34.078000000000003</c:v>
                </c:pt>
                <c:pt idx="1055">
                  <c:v>34.106999999999999</c:v>
                </c:pt>
                <c:pt idx="1056">
                  <c:v>34.136000000000003</c:v>
                </c:pt>
                <c:pt idx="1057">
                  <c:v>34.164999999999999</c:v>
                </c:pt>
                <c:pt idx="1058">
                  <c:v>34.194000000000003</c:v>
                </c:pt>
                <c:pt idx="1059">
                  <c:v>34.222999999999999</c:v>
                </c:pt>
                <c:pt idx="1060">
                  <c:v>34.252000000000002</c:v>
                </c:pt>
                <c:pt idx="1061">
                  <c:v>34.280999999999999</c:v>
                </c:pt>
                <c:pt idx="1062">
                  <c:v>34.31</c:v>
                </c:pt>
                <c:pt idx="1063">
                  <c:v>34.338999999999999</c:v>
                </c:pt>
                <c:pt idx="1064">
                  <c:v>34.368000000000002</c:v>
                </c:pt>
                <c:pt idx="1065">
                  <c:v>34.396999999999998</c:v>
                </c:pt>
              </c:numCache>
            </c:numRef>
          </c:xVal>
          <c:yVal>
            <c:numRef>
              <c:f>'XRF selectie'!$AB$2:$AB$1067</c:f>
              <c:numCache>
                <c:formatCode>General</c:formatCode>
                <c:ptCount val="1066"/>
                <c:pt idx="0">
                  <c:v>-5.2773137012743945</c:v>
                </c:pt>
                <c:pt idx="1">
                  <c:v>-5.2856694600456313</c:v>
                </c:pt>
                <c:pt idx="2">
                  <c:v>-5.2585936781828879</c:v>
                </c:pt>
                <c:pt idx="3">
                  <c:v>-5.1981420802431488</c:v>
                </c:pt>
                <c:pt idx="4">
                  <c:v>-5.2510321927225592</c:v>
                </c:pt>
                <c:pt idx="5">
                  <c:v>-5.3314177315585125</c:v>
                </c:pt>
                <c:pt idx="6">
                  <c:v>-5.3978792321704692</c:v>
                </c:pt>
                <c:pt idx="7">
                  <c:v>-5.3348316636459918</c:v>
                </c:pt>
                <c:pt idx="8">
                  <c:v>-5.3611870198946141</c:v>
                </c:pt>
                <c:pt idx="9">
                  <c:v>-5.297339961169361</c:v>
                </c:pt>
                <c:pt idx="10">
                  <c:v>-5.2621598103059117</c:v>
                </c:pt>
                <c:pt idx="11">
                  <c:v>-5.2906809543275974</c:v>
                </c:pt>
                <c:pt idx="12">
                  <c:v>-5.2423107177165118</c:v>
                </c:pt>
                <c:pt idx="13">
                  <c:v>-5.1954995767225469</c:v>
                </c:pt>
                <c:pt idx="14">
                  <c:v>-5.2655407408929333</c:v>
                </c:pt>
                <c:pt idx="15">
                  <c:v>-5.2985404314608511</c:v>
                </c:pt>
                <c:pt idx="16">
                  <c:v>-5.3888187141911956</c:v>
                </c:pt>
                <c:pt idx="17">
                  <c:v>-5.3634154527226752</c:v>
                </c:pt>
                <c:pt idx="18">
                  <c:v>-5.3457045140018771</c:v>
                </c:pt>
                <c:pt idx="19">
                  <c:v>-5.3985745140621182</c:v>
                </c:pt>
                <c:pt idx="20">
                  <c:v>-5.3909795969647343</c:v>
                </c:pt>
                <c:pt idx="21">
                  <c:v>-5.4015773093554449</c:v>
                </c:pt>
                <c:pt idx="22">
                  <c:v>-5.4164484568680997</c:v>
                </c:pt>
                <c:pt idx="23">
                  <c:v>-5.4084202198857909</c:v>
                </c:pt>
                <c:pt idx="24">
                  <c:v>-5.3899345006680672</c:v>
                </c:pt>
                <c:pt idx="25">
                  <c:v>-5.4335737365925647</c:v>
                </c:pt>
                <c:pt idx="26">
                  <c:v>-5.428855974548024</c:v>
                </c:pt>
                <c:pt idx="27">
                  <c:v>-5.4375980546913638</c:v>
                </c:pt>
                <c:pt idx="28">
                  <c:v>-5.3685258591133369</c:v>
                </c:pt>
                <c:pt idx="29">
                  <c:v>-5.3640346123067761</c:v>
                </c:pt>
                <c:pt idx="30">
                  <c:v>-5.3732751482569006</c:v>
                </c:pt>
                <c:pt idx="31">
                  <c:v>-5.4524190900626746</c:v>
                </c:pt>
                <c:pt idx="32">
                  <c:v>-5.4330121446771331</c:v>
                </c:pt>
                <c:pt idx="33">
                  <c:v>-5.4239828417695133</c:v>
                </c:pt>
                <c:pt idx="34">
                  <c:v>-5.3879486740504703</c:v>
                </c:pt>
                <c:pt idx="35">
                  <c:v>-5.3820046262171166</c:v>
                </c:pt>
                <c:pt idx="36">
                  <c:v>-5.4549942061190624</c:v>
                </c:pt>
                <c:pt idx="37">
                  <c:v>-5.4126239727936891</c:v>
                </c:pt>
                <c:pt idx="38">
                  <c:v>-5.4151259015588415</c:v>
                </c:pt>
                <c:pt idx="39">
                  <c:v>-5.3946109272950169</c:v>
                </c:pt>
                <c:pt idx="40">
                  <c:v>-5.3605348767675167</c:v>
                </c:pt>
                <c:pt idx="41">
                  <c:v>-5.3878465109670746</c:v>
                </c:pt>
                <c:pt idx="42">
                  <c:v>-5.3890657528505281</c:v>
                </c:pt>
                <c:pt idx="43">
                  <c:v>-5.3902838293248481</c:v>
                </c:pt>
                <c:pt idx="44">
                  <c:v>-5.3915007415651575</c:v>
                </c:pt>
                <c:pt idx="45">
                  <c:v>-5.3532098994202704</c:v>
                </c:pt>
                <c:pt idx="46">
                  <c:v>-5.421799962480323</c:v>
                </c:pt>
                <c:pt idx="47">
                  <c:v>-5.388323497356593</c:v>
                </c:pt>
                <c:pt idx="48">
                  <c:v>-5.3370185841774989</c:v>
                </c:pt>
                <c:pt idx="49">
                  <c:v>-5.3463479408594505</c:v>
                </c:pt>
                <c:pt idx="50">
                  <c:v>-5.3324709768074605</c:v>
                </c:pt>
                <c:pt idx="51">
                  <c:v>-5.3245292785752616</c:v>
                </c:pt>
                <c:pt idx="52">
                  <c:v>-5.2876129488252044</c:v>
                </c:pt>
                <c:pt idx="53">
                  <c:v>-5.3003553806334454</c:v>
                </c:pt>
                <c:pt idx="54">
                  <c:v>-5.4261770535011413</c:v>
                </c:pt>
                <c:pt idx="55">
                  <c:v>-5.3950989965246787</c:v>
                </c:pt>
                <c:pt idx="56">
                  <c:v>-5.3512537914074425</c:v>
                </c:pt>
                <c:pt idx="57">
                  <c:v>-5.428645103531748</c:v>
                </c:pt>
                <c:pt idx="58">
                  <c:v>-5.394834973101446</c:v>
                </c:pt>
                <c:pt idx="59">
                  <c:v>-5.4643867542619988</c:v>
                </c:pt>
                <c:pt idx="60">
                  <c:v>-5.3654438792575974</c:v>
                </c:pt>
                <c:pt idx="61">
                  <c:v>-5.3420049845263859</c:v>
                </c:pt>
                <c:pt idx="62">
                  <c:v>-5.4531180301485849</c:v>
                </c:pt>
                <c:pt idx="63">
                  <c:v>-5.4434898931801907</c:v>
                </c:pt>
                <c:pt idx="64">
                  <c:v>-5.4240352945370764</c:v>
                </c:pt>
                <c:pt idx="65">
                  <c:v>-5.390757860942033</c:v>
                </c:pt>
                <c:pt idx="66">
                  <c:v>-5.442078383353123</c:v>
                </c:pt>
                <c:pt idx="67">
                  <c:v>-5.4449198657384619</c:v>
                </c:pt>
                <c:pt idx="68">
                  <c:v>-5.4045851596499199</c:v>
                </c:pt>
                <c:pt idx="69">
                  <c:v>-5.4154023928893205</c:v>
                </c:pt>
                <c:pt idx="70">
                  <c:v>-5.4130918695368662</c:v>
                </c:pt>
                <c:pt idx="71">
                  <c:v>-5.4322678458920324</c:v>
                </c:pt>
                <c:pt idx="72">
                  <c:v>-5.4889113938847931</c:v>
                </c:pt>
                <c:pt idx="73">
                  <c:v>-5.4608196181215458</c:v>
                </c:pt>
                <c:pt idx="74">
                  <c:v>-5.3398925399617232</c:v>
                </c:pt>
                <c:pt idx="75">
                  <c:v>-5.343687528895595</c:v>
                </c:pt>
                <c:pt idx="76">
                  <c:v>-5.4210354359845692</c:v>
                </c:pt>
                <c:pt idx="77">
                  <c:v>-5.4372755630505258</c:v>
                </c:pt>
                <c:pt idx="78">
                  <c:v>-5.4271292445177162</c:v>
                </c:pt>
                <c:pt idx="79">
                  <c:v>-5.3971817516678646</c:v>
                </c:pt>
                <c:pt idx="80">
                  <c:v>-5.3679395727293882</c:v>
                </c:pt>
                <c:pt idx="81">
                  <c:v>-5.3678496141264107</c:v>
                </c:pt>
                <c:pt idx="82">
                  <c:v>-5.3457478742291133</c:v>
                </c:pt>
                <c:pt idx="83">
                  <c:v>-5.2875986259077674</c:v>
                </c:pt>
                <c:pt idx="84">
                  <c:v>-5.3654148899697658</c:v>
                </c:pt>
                <c:pt idx="85">
                  <c:v>-5.3803459781896876</c:v>
                </c:pt>
                <c:pt idx="86">
                  <c:v>-5.3954858508118013</c:v>
                </c:pt>
                <c:pt idx="87">
                  <c:v>-5.4108406925114405</c:v>
                </c:pt>
                <c:pt idx="88">
                  <c:v>-5.4202337534031724</c:v>
                </c:pt>
                <c:pt idx="89">
                  <c:v>-5.3522435383504412</c:v>
                </c:pt>
                <c:pt idx="90">
                  <c:v>-5.3529692122138002</c:v>
                </c:pt>
                <c:pt idx="91">
                  <c:v>-5.3900668195454466</c:v>
                </c:pt>
                <c:pt idx="92">
                  <c:v>-5.3016971600729494</c:v>
                </c:pt>
                <c:pt idx="93">
                  <c:v>-5.3501791399667891</c:v>
                </c:pt>
                <c:pt idx="94">
                  <c:v>-5.3823290173822755</c:v>
                </c:pt>
                <c:pt idx="95">
                  <c:v>-5.3527942653168159</c:v>
                </c:pt>
                <c:pt idx="96">
                  <c:v>-5.3980507786879723</c:v>
                </c:pt>
                <c:pt idx="97">
                  <c:v>-5.3474514874909245</c:v>
                </c:pt>
                <c:pt idx="98">
                  <c:v>-5.3409623663157069</c:v>
                </c:pt>
                <c:pt idx="99">
                  <c:v>-5.375527790372292</c:v>
                </c:pt>
                <c:pt idx="100">
                  <c:v>-5.427844064391361</c:v>
                </c:pt>
                <c:pt idx="101">
                  <c:v>-5.3539472643565045</c:v>
                </c:pt>
                <c:pt idx="102">
                  <c:v>-5.4022278352489179</c:v>
                </c:pt>
                <c:pt idx="103">
                  <c:v>-5.4078116621188261</c:v>
                </c:pt>
                <c:pt idx="104">
                  <c:v>-5.4596937402285546</c:v>
                </c:pt>
                <c:pt idx="105">
                  <c:v>-5.4149285264107068</c:v>
                </c:pt>
                <c:pt idx="106">
                  <c:v>-5.4523659789086105</c:v>
                </c:pt>
                <c:pt idx="107">
                  <c:v>-5.430409738991381</c:v>
                </c:pt>
                <c:pt idx="108">
                  <c:v>-5.4240912235696603</c:v>
                </c:pt>
                <c:pt idx="109">
                  <c:v>-5.4641734066474896</c:v>
                </c:pt>
                <c:pt idx="110">
                  <c:v>-5.4817717124768146</c:v>
                </c:pt>
                <c:pt idx="111">
                  <c:v>-5.3777948848900703</c:v>
                </c:pt>
                <c:pt idx="112">
                  <c:v>-5.4905064783512172</c:v>
                </c:pt>
                <c:pt idx="113">
                  <c:v>-5.5019592610468688</c:v>
                </c:pt>
                <c:pt idx="114">
                  <c:v>-5.4242199331374295</c:v>
                </c:pt>
                <c:pt idx="115">
                  <c:v>-5.5099185780770012</c:v>
                </c:pt>
                <c:pt idx="116">
                  <c:v>-5.5270542982883288</c:v>
                </c:pt>
                <c:pt idx="117">
                  <c:v>-5.450053143839769</c:v>
                </c:pt>
                <c:pt idx="118">
                  <c:v>-5.454371392674811</c:v>
                </c:pt>
                <c:pt idx="119">
                  <c:v>-5.4786221999221434</c:v>
                </c:pt>
                <c:pt idx="120">
                  <c:v>-5.4703368138989212</c:v>
                </c:pt>
                <c:pt idx="121">
                  <c:v>-5.4207596454554938</c:v>
                </c:pt>
                <c:pt idx="122">
                  <c:v>-5.4164260312177195</c:v>
                </c:pt>
                <c:pt idx="123">
                  <c:v>-5.4332071382474894</c:v>
                </c:pt>
                <c:pt idx="124">
                  <c:v>-5.4365045539383834</c:v>
                </c:pt>
                <c:pt idx="125">
                  <c:v>-5.4278351699246317</c:v>
                </c:pt>
                <c:pt idx="126">
                  <c:v>-5.429002328219628</c:v>
                </c:pt>
                <c:pt idx="127">
                  <c:v>-5.4190020023139969</c:v>
                </c:pt>
                <c:pt idx="128">
                  <c:v>-5.4154310463463453</c:v>
                </c:pt>
                <c:pt idx="129">
                  <c:v>-5.4420711872717957</c:v>
                </c:pt>
                <c:pt idx="130">
                  <c:v>-5.4137456585895398</c:v>
                </c:pt>
                <c:pt idx="131">
                  <c:v>-5.3692810166562266</c:v>
                </c:pt>
                <c:pt idx="132">
                  <c:v>-5.4601791896622771</c:v>
                </c:pt>
                <c:pt idx="133">
                  <c:v>-5.4655819695502323</c:v>
                </c:pt>
                <c:pt idx="134">
                  <c:v>-5.4554292051319546</c:v>
                </c:pt>
                <c:pt idx="135">
                  <c:v>-5.45357636868453</c:v>
                </c:pt>
                <c:pt idx="136">
                  <c:v>-5.4555188747627756</c:v>
                </c:pt>
                <c:pt idx="137">
                  <c:v>-5.4833991460992761</c:v>
                </c:pt>
                <c:pt idx="138">
                  <c:v>-5.4767033288937963</c:v>
                </c:pt>
                <c:pt idx="139">
                  <c:v>-5.5145892177367388</c:v>
                </c:pt>
                <c:pt idx="140">
                  <c:v>-5.5066419803604916</c:v>
                </c:pt>
                <c:pt idx="141">
                  <c:v>-5.4647303558366982</c:v>
                </c:pt>
                <c:pt idx="142">
                  <c:v>-5.4848618348694762</c:v>
                </c:pt>
                <c:pt idx="143">
                  <c:v>-5.4778037113430047</c:v>
                </c:pt>
                <c:pt idx="144">
                  <c:v>-5.4520076893812472</c:v>
                </c:pt>
                <c:pt idx="145">
                  <c:v>-5.4916663845585472</c:v>
                </c:pt>
                <c:pt idx="146">
                  <c:v>-5.5291654115948718</c:v>
                </c:pt>
                <c:pt idx="147">
                  <c:v>-5.4873151435301351</c:v>
                </c:pt>
                <c:pt idx="148">
                  <c:v>-5.4539407408134792</c:v>
                </c:pt>
                <c:pt idx="149">
                  <c:v>-5.4405826405538669</c:v>
                </c:pt>
                <c:pt idx="150">
                  <c:v>-5.4344660901771329</c:v>
                </c:pt>
                <c:pt idx="151">
                  <c:v>-5.4403264397945774</c:v>
                </c:pt>
                <c:pt idx="152">
                  <c:v>-5.4033718156420507</c:v>
                </c:pt>
                <c:pt idx="153">
                  <c:v>-5.4735023589263614</c:v>
                </c:pt>
                <c:pt idx="154">
                  <c:v>-5.4862481167047887</c:v>
                </c:pt>
                <c:pt idx="155">
                  <c:v>-5.4644587778245128</c:v>
                </c:pt>
                <c:pt idx="156">
                  <c:v>-5.4513601538909935</c:v>
                </c:pt>
                <c:pt idx="157">
                  <c:v>-5.4529555562028564</c:v>
                </c:pt>
                <c:pt idx="158">
                  <c:v>-5.4461206453812565</c:v>
                </c:pt>
                <c:pt idx="159">
                  <c:v>-5.4678498197229652</c:v>
                </c:pt>
                <c:pt idx="160">
                  <c:v>-5.4124588849292898</c:v>
                </c:pt>
                <c:pt idx="161">
                  <c:v>-5.4595405309004095</c:v>
                </c:pt>
                <c:pt idx="162">
                  <c:v>-5.4686884430035301</c:v>
                </c:pt>
                <c:pt idx="163">
                  <c:v>-5.5187746673488904</c:v>
                </c:pt>
                <c:pt idx="164">
                  <c:v>-5.3692149147452914</c:v>
                </c:pt>
                <c:pt idx="165">
                  <c:v>-5.4427361323371191</c:v>
                </c:pt>
                <c:pt idx="166">
                  <c:v>-5.4280822467291809</c:v>
                </c:pt>
                <c:pt idx="167">
                  <c:v>-5.433182037150158</c:v>
                </c:pt>
                <c:pt idx="168">
                  <c:v>-5.3955268821560143</c:v>
                </c:pt>
                <c:pt idx="169">
                  <c:v>-5.4287669726219328</c:v>
                </c:pt>
                <c:pt idx="170">
                  <c:v>-5.4284004026799551</c:v>
                </c:pt>
                <c:pt idx="171">
                  <c:v>-5.4007705607850536</c:v>
                </c:pt>
                <c:pt idx="172">
                  <c:v>-5.3664442801263075</c:v>
                </c:pt>
                <c:pt idx="173">
                  <c:v>-5.4614459967230689</c:v>
                </c:pt>
                <c:pt idx="174">
                  <c:v>-5.4494862939146316</c:v>
                </c:pt>
                <c:pt idx="175">
                  <c:v>-5.4372019452992113</c:v>
                </c:pt>
                <c:pt idx="176">
                  <c:v>-5.4145901513735613</c:v>
                </c:pt>
                <c:pt idx="177">
                  <c:v>-5.4279303262357965</c:v>
                </c:pt>
                <c:pt idx="178">
                  <c:v>-5.42815575291666</c:v>
                </c:pt>
                <c:pt idx="179">
                  <c:v>-5.473576805316533</c:v>
                </c:pt>
                <c:pt idx="180">
                  <c:v>-5.4272729833566213</c:v>
                </c:pt>
                <c:pt idx="181">
                  <c:v>-5.4689698664851303</c:v>
                </c:pt>
                <c:pt idx="182">
                  <c:v>-5.4645306599456376</c:v>
                </c:pt>
                <c:pt idx="183">
                  <c:v>-5.3914487302100156</c:v>
                </c:pt>
                <c:pt idx="184">
                  <c:v>-5.4339764181869619</c:v>
                </c:pt>
                <c:pt idx="185">
                  <c:v>-5.4950732899871193</c:v>
                </c:pt>
                <c:pt idx="186">
                  <c:v>-5.4090899910283312</c:v>
                </c:pt>
                <c:pt idx="187">
                  <c:v>-5.3810777133613419</c:v>
                </c:pt>
                <c:pt idx="188">
                  <c:v>-5.4108531651396605</c:v>
                </c:pt>
                <c:pt idx="189">
                  <c:v>-5.3758793838824808</c:v>
                </c:pt>
                <c:pt idx="190">
                  <c:v>-5.4257072007957836</c:v>
                </c:pt>
                <c:pt idx="191">
                  <c:v>-5.3721561452227684</c:v>
                </c:pt>
                <c:pt idx="192">
                  <c:v>-5.427141027107182</c:v>
                </c:pt>
                <c:pt idx="193">
                  <c:v>-5.3500394738644985</c:v>
                </c:pt>
                <c:pt idx="194">
                  <c:v>-5.4328992779381728</c:v>
                </c:pt>
                <c:pt idx="195">
                  <c:v>-5.4889249891227596</c:v>
                </c:pt>
                <c:pt idx="196">
                  <c:v>-5.4572593205787818</c:v>
                </c:pt>
                <c:pt idx="197">
                  <c:v>-5.4547517647692976</c:v>
                </c:pt>
                <c:pt idx="198">
                  <c:v>-5.5101264511373111</c:v>
                </c:pt>
                <c:pt idx="199">
                  <c:v>-5.5853184699754346</c:v>
                </c:pt>
                <c:pt idx="200">
                  <c:v>-5.4707219533595097</c:v>
                </c:pt>
                <c:pt idx="201">
                  <c:v>-5.5185461906841349</c:v>
                </c:pt>
                <c:pt idx="202">
                  <c:v>-5.4768356479445979</c:v>
                </c:pt>
                <c:pt idx="203">
                  <c:v>-5.4959221637103566</c:v>
                </c:pt>
                <c:pt idx="204">
                  <c:v>-5.4933613319000596</c:v>
                </c:pt>
                <c:pt idx="205">
                  <c:v>-5.4925850319848655</c:v>
                </c:pt>
                <c:pt idx="206">
                  <c:v>-5.4780038757039859</c:v>
                </c:pt>
                <c:pt idx="207">
                  <c:v>-5.5689371247600628</c:v>
                </c:pt>
                <c:pt idx="208">
                  <c:v>-5.4958367026336905</c:v>
                </c:pt>
                <c:pt idx="209">
                  <c:v>-5.4325598574690792</c:v>
                </c:pt>
                <c:pt idx="210">
                  <c:v>-5.5194867053634269</c:v>
                </c:pt>
                <c:pt idx="211">
                  <c:v>-5.5424333468213636</c:v>
                </c:pt>
                <c:pt idx="212">
                  <c:v>-5.5105278356882712</c:v>
                </c:pt>
                <c:pt idx="213">
                  <c:v>-5.5740471928194184</c:v>
                </c:pt>
                <c:pt idx="214">
                  <c:v>-5.5124640453666398</c:v>
                </c:pt>
                <c:pt idx="215">
                  <c:v>-5.5085107149175796</c:v>
                </c:pt>
                <c:pt idx="216">
                  <c:v>-5.4721599582653129</c:v>
                </c:pt>
                <c:pt idx="217">
                  <c:v>-5.4914651141191957</c:v>
                </c:pt>
                <c:pt idx="218">
                  <c:v>-5.6021373636067802</c:v>
                </c:pt>
                <c:pt idx="219">
                  <c:v>-5.5348858489255068</c:v>
                </c:pt>
                <c:pt idx="220">
                  <c:v>-5.4852314350347715</c:v>
                </c:pt>
                <c:pt idx="221">
                  <c:v>-5.5518844811473516</c:v>
                </c:pt>
                <c:pt idx="222">
                  <c:v>-5.5164651748466591</c:v>
                </c:pt>
                <c:pt idx="223">
                  <c:v>-5.5370632694136814</c:v>
                </c:pt>
                <c:pt idx="224">
                  <c:v>-5.5246831268713592</c:v>
                </c:pt>
                <c:pt idx="225">
                  <c:v>-5.5543867909373272</c:v>
                </c:pt>
                <c:pt idx="226">
                  <c:v>-5.5276226533371524</c:v>
                </c:pt>
                <c:pt idx="227">
                  <c:v>-5.4916423937950753</c:v>
                </c:pt>
                <c:pt idx="228">
                  <c:v>-5.5103408529303692</c:v>
                </c:pt>
                <c:pt idx="229">
                  <c:v>-5.4910892959925324</c:v>
                </c:pt>
                <c:pt idx="230">
                  <c:v>-5.4825511893485324</c:v>
                </c:pt>
                <c:pt idx="231">
                  <c:v>-5.549205981575235</c:v>
                </c:pt>
                <c:pt idx="232">
                  <c:v>-5.5411416958336686</c:v>
                </c:pt>
                <c:pt idx="233">
                  <c:v>-5.5699532148238946</c:v>
                </c:pt>
                <c:pt idx="234">
                  <c:v>-5.558426330104691</c:v>
                </c:pt>
                <c:pt idx="235">
                  <c:v>-5.5439043917636353</c:v>
                </c:pt>
                <c:pt idx="236">
                  <c:v>-5.5284822103607292</c:v>
                </c:pt>
                <c:pt idx="237">
                  <c:v>-5.4721703196639782</c:v>
                </c:pt>
                <c:pt idx="238">
                  <c:v>-5.5524271949935375</c:v>
                </c:pt>
                <c:pt idx="239">
                  <c:v>-5.5305570529663788</c:v>
                </c:pt>
                <c:pt idx="240">
                  <c:v>-5.5994668822230818</c:v>
                </c:pt>
                <c:pt idx="241">
                  <c:v>-5.4490543088141417</c:v>
                </c:pt>
                <c:pt idx="242">
                  <c:v>-5.5446935494238669</c:v>
                </c:pt>
                <c:pt idx="243">
                  <c:v>-5.5320722337777637</c:v>
                </c:pt>
                <c:pt idx="244">
                  <c:v>-5.4658248524735891</c:v>
                </c:pt>
                <c:pt idx="245">
                  <c:v>-5.5499172272299404</c:v>
                </c:pt>
                <c:pt idx="246">
                  <c:v>-5.5606904282180176</c:v>
                </c:pt>
                <c:pt idx="247">
                  <c:v>-5.547547850739539</c:v>
                </c:pt>
                <c:pt idx="248">
                  <c:v>-5.541180327708993</c:v>
                </c:pt>
                <c:pt idx="249">
                  <c:v>-5.5288978594416731</c:v>
                </c:pt>
                <c:pt idx="250">
                  <c:v>-5.5724384212273881</c:v>
                </c:pt>
                <c:pt idx="251">
                  <c:v>-5.4896603197187179</c:v>
                </c:pt>
                <c:pt idx="252">
                  <c:v>-5.4917833067786352</c:v>
                </c:pt>
                <c:pt idx="253">
                  <c:v>-5.5193284682921702</c:v>
                </c:pt>
                <c:pt idx="254">
                  <c:v>-5.4754937447734529</c:v>
                </c:pt>
                <c:pt idx="255">
                  <c:v>-5.4515947768067257</c:v>
                </c:pt>
                <c:pt idx="256">
                  <c:v>-5.5093523524767978</c:v>
                </c:pt>
                <c:pt idx="257">
                  <c:v>-5.4903031241130229</c:v>
                </c:pt>
                <c:pt idx="258">
                  <c:v>-5.5198672644216655</c:v>
                </c:pt>
                <c:pt idx="259">
                  <c:v>-5.4537975520125226</c:v>
                </c:pt>
                <c:pt idx="260">
                  <c:v>-5.4760153956825919</c:v>
                </c:pt>
                <c:pt idx="261">
                  <c:v>-5.5030513439741116</c:v>
                </c:pt>
                <c:pt idx="262">
                  <c:v>-5.5617273624097354</c:v>
                </c:pt>
                <c:pt idx="263">
                  <c:v>-5.5081776526095574</c:v>
                </c:pt>
                <c:pt idx="264">
                  <c:v>-5.5690656946056576</c:v>
                </c:pt>
                <c:pt idx="265">
                  <c:v>-5.5171138148237917</c:v>
                </c:pt>
                <c:pt idx="266">
                  <c:v>-5.4951880530016926</c:v>
                </c:pt>
                <c:pt idx="267">
                  <c:v>-5.5561997414769522</c:v>
                </c:pt>
                <c:pt idx="268">
                  <c:v>-5.5667508092064493</c:v>
                </c:pt>
                <c:pt idx="269">
                  <c:v>-5.5832257094024262</c:v>
                </c:pt>
                <c:pt idx="270">
                  <c:v>-5.4942011575443415</c:v>
                </c:pt>
                <c:pt idx="271">
                  <c:v>-5.477557284172283</c:v>
                </c:pt>
                <c:pt idx="272">
                  <c:v>-5.5451952607404644</c:v>
                </c:pt>
                <c:pt idx="273">
                  <c:v>-5.6142269814306287</c:v>
                </c:pt>
                <c:pt idx="274">
                  <c:v>-5.6083800544733844</c:v>
                </c:pt>
                <c:pt idx="275">
                  <c:v>-5.5808524952500331</c:v>
                </c:pt>
                <c:pt idx="276">
                  <c:v>-5.593424923020236</c:v>
                </c:pt>
                <c:pt idx="277">
                  <c:v>-5.5435474866982526</c:v>
                </c:pt>
                <c:pt idx="278">
                  <c:v>-5.5369664860421057</c:v>
                </c:pt>
                <c:pt idx="279">
                  <c:v>-5.6065991404414008</c:v>
                </c:pt>
                <c:pt idx="280">
                  <c:v>-5.546436478331489</c:v>
                </c:pt>
                <c:pt idx="281">
                  <c:v>-5.5581400653981641</c:v>
                </c:pt>
                <c:pt idx="282">
                  <c:v>-5.5651847747378387</c:v>
                </c:pt>
                <c:pt idx="283">
                  <c:v>-5.5070535214189738</c:v>
                </c:pt>
                <c:pt idx="284">
                  <c:v>-5.4536113306059271</c:v>
                </c:pt>
                <c:pt idx="285">
                  <c:v>-5.5831476828573026</c:v>
                </c:pt>
                <c:pt idx="286">
                  <c:v>-5.600651888371563</c:v>
                </c:pt>
                <c:pt idx="287">
                  <c:v>-5.6043841341332019</c:v>
                </c:pt>
                <c:pt idx="288">
                  <c:v>-5.5665222667962482</c:v>
                </c:pt>
                <c:pt idx="289">
                  <c:v>-5.5365650669123987</c:v>
                </c:pt>
                <c:pt idx="290">
                  <c:v>-5.5026344464233743</c:v>
                </c:pt>
                <c:pt idx="291">
                  <c:v>-5.5150169709489827</c:v>
                </c:pt>
                <c:pt idx="292">
                  <c:v>-5.5901340391278209</c:v>
                </c:pt>
                <c:pt idx="293">
                  <c:v>-5.5828902277503172</c:v>
                </c:pt>
                <c:pt idx="294">
                  <c:v>-5.4549362656047071</c:v>
                </c:pt>
                <c:pt idx="295">
                  <c:v>-5.4810364270241347</c:v>
                </c:pt>
                <c:pt idx="296">
                  <c:v>-5.5406014951627123</c:v>
                </c:pt>
                <c:pt idx="297">
                  <c:v>-5.4815435470846223</c:v>
                </c:pt>
                <c:pt idx="298">
                  <c:v>-5.4437781966500749</c:v>
                </c:pt>
                <c:pt idx="299">
                  <c:v>-5.396710683314744</c:v>
                </c:pt>
                <c:pt idx="300">
                  <c:v>-5.4270868730581574</c:v>
                </c:pt>
                <c:pt idx="301">
                  <c:v>-5.4039545039023125</c:v>
                </c:pt>
                <c:pt idx="302">
                  <c:v>-5.4170147222937715</c:v>
                </c:pt>
                <c:pt idx="303">
                  <c:v>-5.4112130797495075</c:v>
                </c:pt>
                <c:pt idx="304">
                  <c:v>-5.4412821042082307</c:v>
                </c:pt>
                <c:pt idx="305">
                  <c:v>-5.4016334119399394</c:v>
                </c:pt>
                <c:pt idx="306">
                  <c:v>-5.4239841334815475</c:v>
                </c:pt>
                <c:pt idx="307">
                  <c:v>-5.4007669775889617</c:v>
                </c:pt>
                <c:pt idx="308">
                  <c:v>-5.4095935368044135</c:v>
                </c:pt>
                <c:pt idx="309">
                  <c:v>-5.3527643004073573</c:v>
                </c:pt>
                <c:pt idx="310">
                  <c:v>-5.4218543258311351</c:v>
                </c:pt>
                <c:pt idx="311">
                  <c:v>-5.3332711244483422</c:v>
                </c:pt>
                <c:pt idx="312">
                  <c:v>-5.4113486245985962</c:v>
                </c:pt>
                <c:pt idx="313">
                  <c:v>-5.3836697842107446</c:v>
                </c:pt>
                <c:pt idx="314">
                  <c:v>-5.3913531325165307</c:v>
                </c:pt>
                <c:pt idx="315">
                  <c:v>-5.3946038087913708</c:v>
                </c:pt>
                <c:pt idx="316">
                  <c:v>-5.43213361888108</c:v>
                </c:pt>
                <c:pt idx="317">
                  <c:v>-5.3496144395039256</c:v>
                </c:pt>
                <c:pt idx="318">
                  <c:v>-5.3984065064228579</c:v>
                </c:pt>
                <c:pt idx="319">
                  <c:v>-5.3581424724979456</c:v>
                </c:pt>
                <c:pt idx="320">
                  <c:v>-5.4037791881588664</c:v>
                </c:pt>
                <c:pt idx="321">
                  <c:v>-5.420422950767616</c:v>
                </c:pt>
                <c:pt idx="322">
                  <c:v>-5.3628469997052681</c:v>
                </c:pt>
                <c:pt idx="323">
                  <c:v>-5.409973654632668</c:v>
                </c:pt>
                <c:pt idx="324">
                  <c:v>-5.4154890821327557</c:v>
                </c:pt>
                <c:pt idx="325">
                  <c:v>-5.3873644594467098</c:v>
                </c:pt>
                <c:pt idx="326">
                  <c:v>-5.4512200083156355</c:v>
                </c:pt>
                <c:pt idx="327">
                  <c:v>-5.4422098540805601</c:v>
                </c:pt>
                <c:pt idx="328">
                  <c:v>-5.3605996245632292</c:v>
                </c:pt>
                <c:pt idx="329">
                  <c:v>-5.3867637974973972</c:v>
                </c:pt>
                <c:pt idx="330">
                  <c:v>-5.3844736134905373</c:v>
                </c:pt>
                <c:pt idx="331">
                  <c:v>-5.4029144795151538</c:v>
                </c:pt>
                <c:pt idx="332">
                  <c:v>-5.4143486699306962</c:v>
                </c:pt>
                <c:pt idx="333">
                  <c:v>-5.4105148057170309</c:v>
                </c:pt>
                <c:pt idx="334">
                  <c:v>-5.3996686728572367</c:v>
                </c:pt>
                <c:pt idx="335">
                  <c:v>-5.4062469202500179</c:v>
                </c:pt>
                <c:pt idx="336">
                  <c:v>-5.4095430016582613</c:v>
                </c:pt>
                <c:pt idx="337">
                  <c:v>-5.4198038730852209</c:v>
                </c:pt>
                <c:pt idx="338">
                  <c:v>-5.3063714874628989</c:v>
                </c:pt>
                <c:pt idx="339">
                  <c:v>-5.3912393791150182</c:v>
                </c:pt>
                <c:pt idx="340">
                  <c:v>-5.3855921653890189</c:v>
                </c:pt>
                <c:pt idx="341">
                  <c:v>-5.3438865403725471</c:v>
                </c:pt>
                <c:pt idx="342">
                  <c:v>-5.4191502854607574</c:v>
                </c:pt>
                <c:pt idx="343">
                  <c:v>-5.4083807765351599</c:v>
                </c:pt>
                <c:pt idx="344">
                  <c:v>-5.4031575558908331</c:v>
                </c:pt>
                <c:pt idx="345">
                  <c:v>-5.3613785590673437</c:v>
                </c:pt>
                <c:pt idx="346">
                  <c:v>-5.405186122902367</c:v>
                </c:pt>
                <c:pt idx="347">
                  <c:v>-5.3745729301773633</c:v>
                </c:pt>
                <c:pt idx="348">
                  <c:v>-5.3427403569308876</c:v>
                </c:pt>
                <c:pt idx="349">
                  <c:v>-5.3534151849752467</c:v>
                </c:pt>
                <c:pt idx="350">
                  <c:v>-5.3810155757309852</c:v>
                </c:pt>
                <c:pt idx="351">
                  <c:v>-5.3791054311074671</c:v>
                </c:pt>
                <c:pt idx="352">
                  <c:v>-5.411296389019812</c:v>
                </c:pt>
                <c:pt idx="353">
                  <c:v>-5.3891578147191064</c:v>
                </c:pt>
                <c:pt idx="354">
                  <c:v>-5.4013551402885973</c:v>
                </c:pt>
                <c:pt idx="355">
                  <c:v>-5.3128651428276328</c:v>
                </c:pt>
                <c:pt idx="356">
                  <c:v>-5.2325252346539273</c:v>
                </c:pt>
                <c:pt idx="357">
                  <c:v>-5.3123692869513688</c:v>
                </c:pt>
                <c:pt idx="358">
                  <c:v>-5.2987759769665308</c:v>
                </c:pt>
                <c:pt idx="359">
                  <c:v>-5.3232979332266153</c:v>
                </c:pt>
                <c:pt idx="360">
                  <c:v>-5.3489654710566032</c:v>
                </c:pt>
                <c:pt idx="361">
                  <c:v>-5.3551270850860275</c:v>
                </c:pt>
                <c:pt idx="362">
                  <c:v>-5.3267912808376199</c:v>
                </c:pt>
                <c:pt idx="363">
                  <c:v>-5.3394897103262888</c:v>
                </c:pt>
                <c:pt idx="364">
                  <c:v>-5.4175681302685215</c:v>
                </c:pt>
                <c:pt idx="365">
                  <c:v>-5.3233832295315437</c:v>
                </c:pt>
                <c:pt idx="366">
                  <c:v>-5.3206239288615427</c:v>
                </c:pt>
                <c:pt idx="367">
                  <c:v>-5.3371799441821253</c:v>
                </c:pt>
                <c:pt idx="368">
                  <c:v>-5.3810592167976008</c:v>
                </c:pt>
                <c:pt idx="369">
                  <c:v>-5.3169974098244817</c:v>
                </c:pt>
                <c:pt idx="370">
                  <c:v>-5.310490753563009</c:v>
                </c:pt>
                <c:pt idx="371">
                  <c:v>-5.3564799340666847</c:v>
                </c:pt>
                <c:pt idx="372">
                  <c:v>-5.319918786568735</c:v>
                </c:pt>
                <c:pt idx="373">
                  <c:v>-5.3564855300506533</c:v>
                </c:pt>
                <c:pt idx="374">
                  <c:v>-5.3610242002333521</c:v>
                </c:pt>
                <c:pt idx="375">
                  <c:v>-5.3249818107632167</c:v>
                </c:pt>
                <c:pt idx="376">
                  <c:v>-5.424336553568728</c:v>
                </c:pt>
                <c:pt idx="377">
                  <c:v>-5.3489887875022086</c:v>
                </c:pt>
                <c:pt idx="378">
                  <c:v>-5.3352054226622583</c:v>
                </c:pt>
                <c:pt idx="379">
                  <c:v>-5.3489149192556917</c:v>
                </c:pt>
                <c:pt idx="380">
                  <c:v>-5.344814543784663</c:v>
                </c:pt>
                <c:pt idx="381">
                  <c:v>-5.3057023031254449</c:v>
                </c:pt>
                <c:pt idx="382">
                  <c:v>-5.314775765425261</c:v>
                </c:pt>
                <c:pt idx="383">
                  <c:v>-5.3283638318615818</c:v>
                </c:pt>
                <c:pt idx="384">
                  <c:v>-5.3496257474482212</c:v>
                </c:pt>
                <c:pt idx="385">
                  <c:v>-5.3871873462920066</c:v>
                </c:pt>
                <c:pt idx="386">
                  <c:v>-5.3350025363123201</c:v>
                </c:pt>
                <c:pt idx="387">
                  <c:v>-5.285530118741983</c:v>
                </c:pt>
                <c:pt idx="388">
                  <c:v>-5.2884554646207365</c:v>
                </c:pt>
                <c:pt idx="389">
                  <c:v>-5.3401179304780184</c:v>
                </c:pt>
                <c:pt idx="390">
                  <c:v>-5.3066810229095482</c:v>
                </c:pt>
                <c:pt idx="391">
                  <c:v>-5.3098773211304744</c:v>
                </c:pt>
                <c:pt idx="392">
                  <c:v>-5.3105023518758951</c:v>
                </c:pt>
                <c:pt idx="393">
                  <c:v>-5.4545337672638725</c:v>
                </c:pt>
                <c:pt idx="394">
                  <c:v>-5.3306875077440283</c:v>
                </c:pt>
                <c:pt idx="395">
                  <c:v>-5.3070694438142452</c:v>
                </c:pt>
                <c:pt idx="396">
                  <c:v>-5.2820181319833672</c:v>
                </c:pt>
                <c:pt idx="397">
                  <c:v>-5.3241776920137598</c:v>
                </c:pt>
                <c:pt idx="398">
                  <c:v>-5.2592190087782287</c:v>
                </c:pt>
                <c:pt idx="399">
                  <c:v>-5.2909609648529896</c:v>
                </c:pt>
                <c:pt idx="400">
                  <c:v>-5.2926916319772905</c:v>
                </c:pt>
                <c:pt idx="401">
                  <c:v>-5.2839054818145499</c:v>
                </c:pt>
                <c:pt idx="402">
                  <c:v>-5.2071591456984097</c:v>
                </c:pt>
                <c:pt idx="403">
                  <c:v>-5.3003221711837352</c:v>
                </c:pt>
                <c:pt idx="404">
                  <c:v>-5.3555931288010932</c:v>
                </c:pt>
                <c:pt idx="405">
                  <c:v>-5.2816124446583279</c:v>
                </c:pt>
                <c:pt idx="406">
                  <c:v>-5.2512183182196583</c:v>
                </c:pt>
                <c:pt idx="407">
                  <c:v>-5.2912933080942546</c:v>
                </c:pt>
                <c:pt idx="408">
                  <c:v>-5.2802509006278049</c:v>
                </c:pt>
                <c:pt idx="409">
                  <c:v>-5.3664138901403522</c:v>
                </c:pt>
                <c:pt idx="410">
                  <c:v>-5.3465254402800024</c:v>
                </c:pt>
                <c:pt idx="411">
                  <c:v>-5.3449938458326613</c:v>
                </c:pt>
                <c:pt idx="412">
                  <c:v>-5.3869422697276317</c:v>
                </c:pt>
                <c:pt idx="413">
                  <c:v>-5.331822370709026</c:v>
                </c:pt>
                <c:pt idx="414">
                  <c:v>-5.306287338309108</c:v>
                </c:pt>
                <c:pt idx="415">
                  <c:v>-5.350481132785311</c:v>
                </c:pt>
                <c:pt idx="416">
                  <c:v>-5.3124750193617203</c:v>
                </c:pt>
                <c:pt idx="417">
                  <c:v>-5.310473722132107</c:v>
                </c:pt>
                <c:pt idx="418">
                  <c:v>-5.3148257124545504</c:v>
                </c:pt>
                <c:pt idx="419">
                  <c:v>-5.3865518676035995</c:v>
                </c:pt>
                <c:pt idx="420">
                  <c:v>-5.3703389737176179</c:v>
                </c:pt>
                <c:pt idx="421">
                  <c:v>-5.3421710839510554</c:v>
                </c:pt>
                <c:pt idx="422">
                  <c:v>-5.4294336317490357</c:v>
                </c:pt>
                <c:pt idx="423">
                  <c:v>-5.3614555662066143</c:v>
                </c:pt>
                <c:pt idx="424">
                  <c:v>-5.3360451110869205</c:v>
                </c:pt>
                <c:pt idx="425">
                  <c:v>-5.3918605844287892</c:v>
                </c:pt>
                <c:pt idx="426">
                  <c:v>-5.3595243207826826</c:v>
                </c:pt>
                <c:pt idx="427">
                  <c:v>-5.329501926476536</c:v>
                </c:pt>
                <c:pt idx="428">
                  <c:v>-5.3679062231835299</c:v>
                </c:pt>
                <c:pt idx="429">
                  <c:v>-5.3372886367582364</c:v>
                </c:pt>
                <c:pt idx="430">
                  <c:v>-5.3412869661541071</c:v>
                </c:pt>
                <c:pt idx="431">
                  <c:v>-5.3861112194970202</c:v>
                </c:pt>
                <c:pt idx="432">
                  <c:v>-5.4082869103467068</c:v>
                </c:pt>
                <c:pt idx="433">
                  <c:v>-5.3786840058285614</c:v>
                </c:pt>
                <c:pt idx="434">
                  <c:v>-5.3581893789530186</c:v>
                </c:pt>
                <c:pt idx="435">
                  <c:v>-5.4195076867126541</c:v>
                </c:pt>
                <c:pt idx="436">
                  <c:v>-5.3648997810695818</c:v>
                </c:pt>
                <c:pt idx="437">
                  <c:v>-5.393655449305891</c:v>
                </c:pt>
                <c:pt idx="438">
                  <c:v>-5.3833450597362509</c:v>
                </c:pt>
                <c:pt idx="439">
                  <c:v>-5.3975422520831646</c:v>
                </c:pt>
                <c:pt idx="440">
                  <c:v>-5.3764619657018535</c:v>
                </c:pt>
                <c:pt idx="441">
                  <c:v>-5.3971351895878668</c:v>
                </c:pt>
                <c:pt idx="442">
                  <c:v>-5.4171370581673797</c:v>
                </c:pt>
                <c:pt idx="443">
                  <c:v>-5.4238215831431473</c:v>
                </c:pt>
                <c:pt idx="444">
                  <c:v>-5.4162006204068627</c:v>
                </c:pt>
                <c:pt idx="445">
                  <c:v>-5.4072955265238827</c:v>
                </c:pt>
                <c:pt idx="446">
                  <c:v>-5.3991690682890701</c:v>
                </c:pt>
                <c:pt idx="447">
                  <c:v>-5.4246018552342798</c:v>
                </c:pt>
                <c:pt idx="448">
                  <c:v>-5.4146601858770511</c:v>
                </c:pt>
                <c:pt idx="449">
                  <c:v>-5.416561337912051</c:v>
                </c:pt>
                <c:pt idx="450">
                  <c:v>-5.367447467995671</c:v>
                </c:pt>
                <c:pt idx="451">
                  <c:v>-5.3904193247104937</c:v>
                </c:pt>
                <c:pt idx="452">
                  <c:v>-5.3757245375153433</c:v>
                </c:pt>
                <c:pt idx="453">
                  <c:v>-5.4021474094968136</c:v>
                </c:pt>
                <c:pt idx="454">
                  <c:v>-5.3765118422857316</c:v>
                </c:pt>
                <c:pt idx="455">
                  <c:v>-5.3871723460094643</c:v>
                </c:pt>
                <c:pt idx="456">
                  <c:v>-5.4060660631404334</c:v>
                </c:pt>
                <c:pt idx="457">
                  <c:v>-5.3569322624659801</c:v>
                </c:pt>
                <c:pt idx="458">
                  <c:v>-5.3919063124988602</c:v>
                </c:pt>
                <c:pt idx="459">
                  <c:v>-5.3998674726334732</c:v>
                </c:pt>
                <c:pt idx="460">
                  <c:v>-5.3370497581043121</c:v>
                </c:pt>
                <c:pt idx="461">
                  <c:v>-5.3865769669747383</c:v>
                </c:pt>
                <c:pt idx="462">
                  <c:v>-5.3687383579135615</c:v>
                </c:pt>
                <c:pt idx="463">
                  <c:v>-5.3341328350171322</c:v>
                </c:pt>
                <c:pt idx="464">
                  <c:v>-5.351055570421134</c:v>
                </c:pt>
                <c:pt idx="465">
                  <c:v>-5.3730647930558515</c:v>
                </c:pt>
                <c:pt idx="466">
                  <c:v>-5.3661420906276858</c:v>
                </c:pt>
                <c:pt idx="467">
                  <c:v>-5.3485090206097201</c:v>
                </c:pt>
                <c:pt idx="468">
                  <c:v>-5.306927784552733</c:v>
                </c:pt>
                <c:pt idx="469">
                  <c:v>-5.3606666575771706</c:v>
                </c:pt>
                <c:pt idx="470">
                  <c:v>-5.3703223701359635</c:v>
                </c:pt>
                <c:pt idx="471">
                  <c:v>-5.3425017246886481</c:v>
                </c:pt>
                <c:pt idx="472">
                  <c:v>-5.3933688937525757</c:v>
                </c:pt>
                <c:pt idx="473">
                  <c:v>-5.3730783009982872</c:v>
                </c:pt>
                <c:pt idx="474">
                  <c:v>-5.3454028234195201</c:v>
                </c:pt>
                <c:pt idx="475">
                  <c:v>-5.3674096404734879</c:v>
                </c:pt>
                <c:pt idx="476">
                  <c:v>-5.3793239469754797</c:v>
                </c:pt>
                <c:pt idx="477">
                  <c:v>-5.3755494954611933</c:v>
                </c:pt>
                <c:pt idx="478">
                  <c:v>-5.3673639278688308</c:v>
                </c:pt>
                <c:pt idx="479">
                  <c:v>-5.3895891718614672</c:v>
                </c:pt>
                <c:pt idx="480">
                  <c:v>-5.3401248756031059</c:v>
                </c:pt>
                <c:pt idx="481">
                  <c:v>-5.3719944860432367</c:v>
                </c:pt>
                <c:pt idx="482">
                  <c:v>-5.3624526383869497</c:v>
                </c:pt>
                <c:pt idx="483">
                  <c:v>-5.354073415290058</c:v>
                </c:pt>
                <c:pt idx="484">
                  <c:v>-5.3493016724290676</c:v>
                </c:pt>
                <c:pt idx="485">
                  <c:v>-5.4106646083273953</c:v>
                </c:pt>
                <c:pt idx="486">
                  <c:v>-5.3472901724479591</c:v>
                </c:pt>
                <c:pt idx="487">
                  <c:v>-5.348378038539038</c:v>
                </c:pt>
                <c:pt idx="488">
                  <c:v>-5.3985188779084883</c:v>
                </c:pt>
                <c:pt idx="489">
                  <c:v>-5.3706334348297435</c:v>
                </c:pt>
                <c:pt idx="490">
                  <c:v>-5.3538148729365975</c:v>
                </c:pt>
                <c:pt idx="491">
                  <c:v>-5.3610218898660884</c:v>
                </c:pt>
                <c:pt idx="492">
                  <c:v>-5.3785318031253251</c:v>
                </c:pt>
                <c:pt idx="493">
                  <c:v>-5.3509004425280056</c:v>
                </c:pt>
                <c:pt idx="494">
                  <c:v>-5.3624325271878259</c:v>
                </c:pt>
                <c:pt idx="495">
                  <c:v>-5.3962764584007363</c:v>
                </c:pt>
                <c:pt idx="496">
                  <c:v>-5.3616532417198473</c:v>
                </c:pt>
                <c:pt idx="497">
                  <c:v>-5.4034307033707183</c:v>
                </c:pt>
                <c:pt idx="498">
                  <c:v>-5.3285104784765025</c:v>
                </c:pt>
                <c:pt idx="499">
                  <c:v>-5.2973639261452838</c:v>
                </c:pt>
                <c:pt idx="500">
                  <c:v>-5.283899997168473</c:v>
                </c:pt>
                <c:pt idx="501">
                  <c:v>-5.2824658664925748</c:v>
                </c:pt>
                <c:pt idx="502">
                  <c:v>-5.22303084387487</c:v>
                </c:pt>
                <c:pt idx="503">
                  <c:v>-5.1283889617409528</c:v>
                </c:pt>
                <c:pt idx="504">
                  <c:v>-5.1024820316383011</c:v>
                </c:pt>
                <c:pt idx="505">
                  <c:v>-5.2138679072589555</c:v>
                </c:pt>
                <c:pt idx="506">
                  <c:v>-5.2241164675797203</c:v>
                </c:pt>
                <c:pt idx="507">
                  <c:v>-5.227556344048466</c:v>
                </c:pt>
                <c:pt idx="508">
                  <c:v>-5.2310702580036361</c:v>
                </c:pt>
                <c:pt idx="509">
                  <c:v>-5.2346606500900545</c:v>
                </c:pt>
                <c:pt idx="510">
                  <c:v>-5.2383300663205787</c:v>
                </c:pt>
                <c:pt idx="511">
                  <c:v>-5.242081172211325</c:v>
                </c:pt>
                <c:pt idx="512">
                  <c:v>-5.2459167527362558</c:v>
                </c:pt>
                <c:pt idx="513">
                  <c:v>-5.2498397222278435</c:v>
                </c:pt>
                <c:pt idx="514">
                  <c:v>-5.2538531347778603</c:v>
                </c:pt>
                <c:pt idx="515">
                  <c:v>-5.2579601870890293</c:v>
                </c:pt>
                <c:pt idx="516">
                  <c:v>-5.2621642301431102</c:v>
                </c:pt>
                <c:pt idx="517">
                  <c:v>-5.2664687807923389</c:v>
                </c:pt>
                <c:pt idx="518">
                  <c:v>-5.2708775265594037</c:v>
                </c:pt>
                <c:pt idx="519">
                  <c:v>-5.2753943433818504</c:v>
                </c:pt>
                <c:pt idx="520">
                  <c:v>-5.2800233010787077</c:v>
                </c:pt>
                <c:pt idx="521">
                  <c:v>-5.2847686789166479</c:v>
                </c:pt>
                <c:pt idx="522">
                  <c:v>-5.2896349823692352</c:v>
                </c:pt>
                <c:pt idx="523">
                  <c:v>-5.2946269514319937</c:v>
                </c:pt>
                <c:pt idx="524">
                  <c:v>-5.2997495839234379</c:v>
                </c:pt>
                <c:pt idx="525">
                  <c:v>-5.3050081464601524</c:v>
                </c:pt>
                <c:pt idx="526">
                  <c:v>-5.3104081984162281</c:v>
                </c:pt>
                <c:pt idx="527">
                  <c:v>-5.3159556102563634</c:v>
                </c:pt>
                <c:pt idx="528">
                  <c:v>-5.3216565860394853</c:v>
                </c:pt>
                <c:pt idx="529">
                  <c:v>-5.3275176884480349</c:v>
                </c:pt>
                <c:pt idx="530">
                  <c:v>-5.3335458652099925</c:v>
                </c:pt>
                <c:pt idx="531">
                  <c:v>-5.3397484773676727</c:v>
                </c:pt>
                <c:pt idx="532">
                  <c:v>-5.3461333323581348</c:v>
                </c:pt>
                <c:pt idx="533">
                  <c:v>-5.3527087180163848</c:v>
                </c:pt>
                <c:pt idx="534">
                  <c:v>-5.3594834404741967</c:v>
                </c:pt>
                <c:pt idx="535">
                  <c:v>-5.3664668666873681</c:v>
                </c:pt>
                <c:pt idx="536">
                  <c:v>-5.3736689700446814</c:v>
                </c:pt>
                <c:pt idx="537">
                  <c:v>-5.381100381466398</c:v>
                </c:pt>
                <c:pt idx="538">
                  <c:v>-5.3887724445128269</c:v>
                </c:pt>
                <c:pt idx="539">
                  <c:v>-5.3966972783320726</c:v>
                </c:pt>
                <c:pt idx="540">
                  <c:v>-5.4048878459538532</c:v>
                </c:pt>
                <c:pt idx="541">
                  <c:v>-5.4750392966163863</c:v>
                </c:pt>
                <c:pt idx="542">
                  <c:v>-5.51439463271082</c:v>
                </c:pt>
                <c:pt idx="543">
                  <c:v>-5.510538467510794</c:v>
                </c:pt>
                <c:pt idx="544">
                  <c:v>-5.4437848581815897</c:v>
                </c:pt>
                <c:pt idx="545">
                  <c:v>-5.4390770858042732</c:v>
                </c:pt>
                <c:pt idx="546">
                  <c:v>-5.4877489551806882</c:v>
                </c:pt>
                <c:pt idx="547">
                  <c:v>-5.4014644743001474</c:v>
                </c:pt>
                <c:pt idx="548">
                  <c:v>-5.3997596734356286</c:v>
                </c:pt>
                <c:pt idx="549">
                  <c:v>-5.3979849584310715</c:v>
                </c:pt>
                <c:pt idx="550">
                  <c:v>-5.396135935760257</c:v>
                </c:pt>
                <c:pt idx="551">
                  <c:v>-5.4341583826898336</c:v>
                </c:pt>
                <c:pt idx="552">
                  <c:v>-5.4096880109514887</c:v>
                </c:pt>
                <c:pt idx="553">
                  <c:v>-5.4343537142829383</c:v>
                </c:pt>
                <c:pt idx="554">
                  <c:v>-5.3333148513212345</c:v>
                </c:pt>
                <c:pt idx="555">
                  <c:v>-5.3646239893081633</c:v>
                </c:pt>
                <c:pt idx="556">
                  <c:v>-5.4308577606605368</c:v>
                </c:pt>
                <c:pt idx="557">
                  <c:v>-5.499721034288072</c:v>
                </c:pt>
                <c:pt idx="558">
                  <c:v>-5.5056074360582681</c:v>
                </c:pt>
                <c:pt idx="559">
                  <c:v>-5.4786640867145424</c:v>
                </c:pt>
                <c:pt idx="560">
                  <c:v>-5.4637900854983998</c:v>
                </c:pt>
                <c:pt idx="561">
                  <c:v>-5.4247439221199878</c:v>
                </c:pt>
                <c:pt idx="562">
                  <c:v>-5.4422780554695454</c:v>
                </c:pt>
                <c:pt idx="563">
                  <c:v>-5.4533759048237664</c:v>
                </c:pt>
                <c:pt idx="564">
                  <c:v>-5.4902659151841986</c:v>
                </c:pt>
                <c:pt idx="565">
                  <c:v>-5.5397098115700674</c:v>
                </c:pt>
                <c:pt idx="566">
                  <c:v>-5.5210812386424735</c:v>
                </c:pt>
                <c:pt idx="567">
                  <c:v>-5.5165525705396794</c:v>
                </c:pt>
                <c:pt idx="568">
                  <c:v>-5.5999914316899337</c:v>
                </c:pt>
                <c:pt idx="569">
                  <c:v>-5.5670966917669418</c:v>
                </c:pt>
                <c:pt idx="570">
                  <c:v>-5.5536699890147814</c:v>
                </c:pt>
                <c:pt idx="571">
                  <c:v>-5.5417789321847941</c:v>
                </c:pt>
                <c:pt idx="572">
                  <c:v>-5.6155829527719137</c:v>
                </c:pt>
                <c:pt idx="573">
                  <c:v>-5.5376025389383718</c:v>
                </c:pt>
                <c:pt idx="574">
                  <c:v>-5.6178778436481878</c:v>
                </c:pt>
                <c:pt idx="575">
                  <c:v>-5.4893335502180616</c:v>
                </c:pt>
                <c:pt idx="576">
                  <c:v>-5.5552259626255021</c:v>
                </c:pt>
                <c:pt idx="577">
                  <c:v>-5.5301427178811933</c:v>
                </c:pt>
                <c:pt idx="578">
                  <c:v>-5.4785825638282484</c:v>
                </c:pt>
                <c:pt idx="579">
                  <c:v>-5.538191860352498</c:v>
                </c:pt>
                <c:pt idx="580">
                  <c:v>-5.5698397315252093</c:v>
                </c:pt>
                <c:pt idx="581">
                  <c:v>-5.5159597460137144</c:v>
                </c:pt>
                <c:pt idx="582">
                  <c:v>-5.5129413513782879</c:v>
                </c:pt>
                <c:pt idx="583">
                  <c:v>-5.5107193331210143</c:v>
                </c:pt>
                <c:pt idx="584">
                  <c:v>-5.4512363706101414</c:v>
                </c:pt>
                <c:pt idx="585">
                  <c:v>-5.470699711340866</c:v>
                </c:pt>
                <c:pt idx="586">
                  <c:v>-5.4307014454307074</c:v>
                </c:pt>
                <c:pt idx="587">
                  <c:v>-5.4818538956872773</c:v>
                </c:pt>
                <c:pt idx="588">
                  <c:v>-5.410168022096558</c:v>
                </c:pt>
                <c:pt idx="589">
                  <c:v>-5.4215656014225901</c:v>
                </c:pt>
                <c:pt idx="590">
                  <c:v>-5.4330001882982231</c:v>
                </c:pt>
                <c:pt idx="591">
                  <c:v>-5.5061398513787667</c:v>
                </c:pt>
                <c:pt idx="592">
                  <c:v>-5.4135368674208815</c:v>
                </c:pt>
                <c:pt idx="593">
                  <c:v>-5.4197116709454187</c:v>
                </c:pt>
                <c:pt idx="594">
                  <c:v>-5.4697131987769483</c:v>
                </c:pt>
                <c:pt idx="595">
                  <c:v>-5.4729419998047986</c:v>
                </c:pt>
                <c:pt idx="596">
                  <c:v>-5.5157189159120961</c:v>
                </c:pt>
                <c:pt idx="597">
                  <c:v>-5.5448007487279245</c:v>
                </c:pt>
                <c:pt idx="598">
                  <c:v>-5.4822492709403479</c:v>
                </c:pt>
                <c:pt idx="599">
                  <c:v>-5.5270242285396307</c:v>
                </c:pt>
                <c:pt idx="600">
                  <c:v>-5.4339942665619851</c:v>
                </c:pt>
                <c:pt idx="601">
                  <c:v>-5.5074478897164587</c:v>
                </c:pt>
                <c:pt idx="602">
                  <c:v>-5.7293687559763846</c:v>
                </c:pt>
                <c:pt idx="603">
                  <c:v>-6.2179249599711497</c:v>
                </c:pt>
                <c:pt idx="604">
                  <c:v>-5.4630451750021356</c:v>
                </c:pt>
                <c:pt idx="605">
                  <c:v>-5.465441487536169</c:v>
                </c:pt>
                <c:pt idx="606">
                  <c:v>-5.3790827046275824</c:v>
                </c:pt>
                <c:pt idx="607">
                  <c:v>-5.4198994445023905</c:v>
                </c:pt>
                <c:pt idx="608">
                  <c:v>-5.4702061806646523</c:v>
                </c:pt>
                <c:pt idx="609">
                  <c:v>-5.4769784195743938</c:v>
                </c:pt>
                <c:pt idx="610">
                  <c:v>-5.4764738154121648</c:v>
                </c:pt>
                <c:pt idx="611">
                  <c:v>-5.540293096145442</c:v>
                </c:pt>
                <c:pt idx="612">
                  <c:v>-5.5277515948885023</c:v>
                </c:pt>
                <c:pt idx="613">
                  <c:v>-5.5159162915693241</c:v>
                </c:pt>
                <c:pt idx="614">
                  <c:v>-5.5047284078418688</c:v>
                </c:pt>
                <c:pt idx="615">
                  <c:v>-5.4941355887391596</c:v>
                </c:pt>
                <c:pt idx="616">
                  <c:v>-5.4840910388737241</c:v>
                </c:pt>
                <c:pt idx="617">
                  <c:v>-5.4745527960692115</c:v>
                </c:pt>
                <c:pt idx="618">
                  <c:v>-5.4654831165131874</c:v>
                </c:pt>
                <c:pt idx="619">
                  <c:v>-5.4736062427598933</c:v>
                </c:pt>
                <c:pt idx="620">
                  <c:v>-5.4210028475948802</c:v>
                </c:pt>
                <c:pt idx="621">
                  <c:v>-5.4159471337544307</c:v>
                </c:pt>
                <c:pt idx="622">
                  <c:v>-5.3693659079414999</c:v>
                </c:pt>
                <c:pt idx="623">
                  <c:v>-5.3456598050280739</c:v>
                </c:pt>
                <c:pt idx="624">
                  <c:v>-5.3104114901034603</c:v>
                </c:pt>
                <c:pt idx="625">
                  <c:v>-5.3208667159364289</c:v>
                </c:pt>
                <c:pt idx="626">
                  <c:v>-5.3766045878773285</c:v>
                </c:pt>
                <c:pt idx="627">
                  <c:v>-5.3968925250947732</c:v>
                </c:pt>
                <c:pt idx="628">
                  <c:v>-5.3745499946166495</c:v>
                </c:pt>
                <c:pt idx="629">
                  <c:v>-5.4514143881786588</c:v>
                </c:pt>
                <c:pt idx="630">
                  <c:v>-5.3881679524101616</c:v>
                </c:pt>
                <c:pt idx="631">
                  <c:v>-5.3797071025444652</c:v>
                </c:pt>
                <c:pt idx="632">
                  <c:v>-5.4434217952530677</c:v>
                </c:pt>
                <c:pt idx="633">
                  <c:v>-5.4606852592279314</c:v>
                </c:pt>
                <c:pt idx="634">
                  <c:v>-5.3927688407049423</c:v>
                </c:pt>
                <c:pt idx="635">
                  <c:v>-5.3558158586092528</c:v>
                </c:pt>
                <c:pt idx="636">
                  <c:v>-5.3667906225387556</c:v>
                </c:pt>
                <c:pt idx="637">
                  <c:v>-5.4584314459260526</c:v>
                </c:pt>
                <c:pt idx="638">
                  <c:v>-5.399477699110431</c:v>
                </c:pt>
                <c:pt idx="639">
                  <c:v>-5.3557385761979877</c:v>
                </c:pt>
                <c:pt idx="640">
                  <c:v>-5.3706520235045234</c:v>
                </c:pt>
                <c:pt idx="641">
                  <c:v>-5.3198951672196948</c:v>
                </c:pt>
                <c:pt idx="642">
                  <c:v>-5.3127573286579715</c:v>
                </c:pt>
                <c:pt idx="643">
                  <c:v>-5.2773931040644495</c:v>
                </c:pt>
                <c:pt idx="644">
                  <c:v>-5.2424417084147139</c:v>
                </c:pt>
                <c:pt idx="645">
                  <c:v>-5.2227125105938521</c:v>
                </c:pt>
                <c:pt idx="646">
                  <c:v>-5.1082397390111201</c:v>
                </c:pt>
                <c:pt idx="647">
                  <c:v>-5.1418184878901672</c:v>
                </c:pt>
                <c:pt idx="648">
                  <c:v>-5.1240060512784913</c:v>
                </c:pt>
                <c:pt idx="649">
                  <c:v>-5.128598297896426</c:v>
                </c:pt>
                <c:pt idx="650">
                  <c:v>-5.1479665646305532</c:v>
                </c:pt>
                <c:pt idx="651">
                  <c:v>-5.1523477966595257</c:v>
                </c:pt>
                <c:pt idx="652">
                  <c:v>-5.0963606918625564</c:v>
                </c:pt>
                <c:pt idx="653">
                  <c:v>-5.1632356076059063</c:v>
                </c:pt>
                <c:pt idx="654">
                  <c:v>-5.2035439043691749</c:v>
                </c:pt>
                <c:pt idx="655">
                  <c:v>-5.1716287999850916</c:v>
                </c:pt>
                <c:pt idx="656">
                  <c:v>-5.1244515788721277</c:v>
                </c:pt>
                <c:pt idx="657">
                  <c:v>-5.1630813418162678</c:v>
                </c:pt>
                <c:pt idx="658">
                  <c:v>-5.0949656533960042</c:v>
                </c:pt>
                <c:pt idx="659">
                  <c:v>-5.1194839008211988</c:v>
                </c:pt>
                <c:pt idx="660">
                  <c:v>-5.1586062472770724</c:v>
                </c:pt>
                <c:pt idx="661">
                  <c:v>-5.1925713564888731</c:v>
                </c:pt>
                <c:pt idx="662">
                  <c:v>-5.1355510563071327</c:v>
                </c:pt>
                <c:pt idx="663">
                  <c:v>-5.2154343219387265</c:v>
                </c:pt>
                <c:pt idx="664">
                  <c:v>-5.1834341008808424</c:v>
                </c:pt>
                <c:pt idx="665">
                  <c:v>-5.2094244001810832</c:v>
                </c:pt>
                <c:pt idx="666">
                  <c:v>-5.1759593519003335</c:v>
                </c:pt>
                <c:pt idx="667">
                  <c:v>-5.1714781376902703</c:v>
                </c:pt>
                <c:pt idx="668">
                  <c:v>-5.1540805158038037</c:v>
                </c:pt>
                <c:pt idx="669">
                  <c:v>-5.0340966995378427</c:v>
                </c:pt>
                <c:pt idx="670">
                  <c:v>-5.0853563111445563</c:v>
                </c:pt>
                <c:pt idx="671">
                  <c:v>-5.1055703887015271</c:v>
                </c:pt>
                <c:pt idx="672">
                  <c:v>-5.1198321099920143</c:v>
                </c:pt>
                <c:pt idx="673">
                  <c:v>-5.0492814596899223</c:v>
                </c:pt>
                <c:pt idx="674">
                  <c:v>-5.0739043422572614</c:v>
                </c:pt>
                <c:pt idx="675">
                  <c:v>-5.1238910532409658</c:v>
                </c:pt>
                <c:pt idx="676">
                  <c:v>-5.1370384767067163</c:v>
                </c:pt>
                <c:pt idx="677">
                  <c:v>-5.1680808088307719</c:v>
                </c:pt>
                <c:pt idx="678">
                  <c:v>-5.1307857101323826</c:v>
                </c:pt>
                <c:pt idx="679">
                  <c:v>-5.2173564944585786</c:v>
                </c:pt>
                <c:pt idx="680">
                  <c:v>-5.1893703863994141</c:v>
                </c:pt>
                <c:pt idx="681">
                  <c:v>-5.1598316112861671</c:v>
                </c:pt>
                <c:pt idx="682">
                  <c:v>-5.1622716549568013</c:v>
                </c:pt>
                <c:pt idx="683">
                  <c:v>-5.1844690143437262</c:v>
                </c:pt>
                <c:pt idx="684">
                  <c:v>-5.2474512757480634</c:v>
                </c:pt>
                <c:pt idx="685">
                  <c:v>-5.2045302815648355</c:v>
                </c:pt>
                <c:pt idx="686">
                  <c:v>-5.1933295124433041</c:v>
                </c:pt>
                <c:pt idx="687">
                  <c:v>-5.1971667938657538</c:v>
                </c:pt>
                <c:pt idx="688">
                  <c:v>-5.2716516017393404</c:v>
                </c:pt>
                <c:pt idx="689">
                  <c:v>-5.2198307085560325</c:v>
                </c:pt>
                <c:pt idx="690">
                  <c:v>-5.2372546918018177</c:v>
                </c:pt>
                <c:pt idx="691">
                  <c:v>-5.1994746632099513</c:v>
                </c:pt>
                <c:pt idx="692">
                  <c:v>-5.2100630385409783</c:v>
                </c:pt>
                <c:pt idx="693">
                  <c:v>-5.2437137620450445</c:v>
                </c:pt>
                <c:pt idx="694">
                  <c:v>-5.2328159932717488</c:v>
                </c:pt>
                <c:pt idx="695">
                  <c:v>-5.1948989475837664</c:v>
                </c:pt>
                <c:pt idx="696">
                  <c:v>-5.1650577825350705</c:v>
                </c:pt>
                <c:pt idx="697">
                  <c:v>-5.1909598962715577</c:v>
                </c:pt>
                <c:pt idx="698">
                  <c:v>-5.2539078159986357</c:v>
                </c:pt>
                <c:pt idx="699">
                  <c:v>-5.2103770729932597</c:v>
                </c:pt>
                <c:pt idx="700">
                  <c:v>-5.1751546078666051</c:v>
                </c:pt>
                <c:pt idx="701">
                  <c:v>-5.2703545940260392</c:v>
                </c:pt>
                <c:pt idx="702">
                  <c:v>-5.1948776926070295</c:v>
                </c:pt>
                <c:pt idx="703">
                  <c:v>-5.2004820313982467</c:v>
                </c:pt>
                <c:pt idx="704">
                  <c:v>-5.1751083334578993</c:v>
                </c:pt>
                <c:pt idx="705">
                  <c:v>-5.2205482675867199</c:v>
                </c:pt>
                <c:pt idx="706">
                  <c:v>-5.1998545024911786</c:v>
                </c:pt>
                <c:pt idx="707">
                  <c:v>-5.1410447800150214</c:v>
                </c:pt>
                <c:pt idx="708">
                  <c:v>-5.1810418163123391</c:v>
                </c:pt>
                <c:pt idx="709">
                  <c:v>-5.186107875538049</c:v>
                </c:pt>
                <c:pt idx="710">
                  <c:v>-5.2111673450589056</c:v>
                </c:pt>
                <c:pt idx="711">
                  <c:v>-5.201630239186386</c:v>
                </c:pt>
                <c:pt idx="712">
                  <c:v>-5.2221842014405029</c:v>
                </c:pt>
                <c:pt idx="713">
                  <c:v>-5.2044432175254638</c:v>
                </c:pt>
                <c:pt idx="714">
                  <c:v>-5.1822156090587974</c:v>
                </c:pt>
                <c:pt idx="715">
                  <c:v>-5.1390943672096467</c:v>
                </c:pt>
                <c:pt idx="716">
                  <c:v>-5.2208415732079425</c:v>
                </c:pt>
                <c:pt idx="717">
                  <c:v>-5.1771074658912219</c:v>
                </c:pt>
                <c:pt idx="718">
                  <c:v>-5.1928414732724528</c:v>
                </c:pt>
                <c:pt idx="719">
                  <c:v>-5.2206185290037563</c:v>
                </c:pt>
                <c:pt idx="720">
                  <c:v>-5.1721118835899542</c:v>
                </c:pt>
                <c:pt idx="721">
                  <c:v>-5.1755328002389422</c:v>
                </c:pt>
                <c:pt idx="722">
                  <c:v>-5.1977691016541296</c:v>
                </c:pt>
                <c:pt idx="723">
                  <c:v>-5.2528698922923329</c:v>
                </c:pt>
                <c:pt idx="724">
                  <c:v>-5.233329102987768</c:v>
                </c:pt>
                <c:pt idx="725">
                  <c:v>-5.2403124539661583</c:v>
                </c:pt>
                <c:pt idx="726">
                  <c:v>-5.2575989047109237</c:v>
                </c:pt>
                <c:pt idx="727">
                  <c:v>-5.238205697342857</c:v>
                </c:pt>
                <c:pt idx="728">
                  <c:v>-5.2264823000930001</c:v>
                </c:pt>
                <c:pt idx="729">
                  <c:v>-5.2954224679488435</c:v>
                </c:pt>
                <c:pt idx="730">
                  <c:v>-5.2780598884603416</c:v>
                </c:pt>
                <c:pt idx="731">
                  <c:v>-5.2218666846669555</c:v>
                </c:pt>
                <c:pt idx="732">
                  <c:v>-5.2744535755411084</c:v>
                </c:pt>
                <c:pt idx="733">
                  <c:v>-5.2687944345629889</c:v>
                </c:pt>
                <c:pt idx="734">
                  <c:v>-5.2755653332769166</c:v>
                </c:pt>
                <c:pt idx="735">
                  <c:v>-5.2266482346014502</c:v>
                </c:pt>
                <c:pt idx="736">
                  <c:v>-5.2490839559790379</c:v>
                </c:pt>
                <c:pt idx="737">
                  <c:v>-5.2329580663579884</c:v>
                </c:pt>
                <c:pt idx="738">
                  <c:v>-5.1987189589155607</c:v>
                </c:pt>
                <c:pt idx="739">
                  <c:v>-5.2285010083232795</c:v>
                </c:pt>
                <c:pt idx="740">
                  <c:v>-5.2543271635089734</c:v>
                </c:pt>
                <c:pt idx="741">
                  <c:v>-5.2383414175436167</c:v>
                </c:pt>
                <c:pt idx="742">
                  <c:v>-5.2020351902199993</c:v>
                </c:pt>
                <c:pt idx="743">
                  <c:v>-5.2313671422440127</c:v>
                </c:pt>
                <c:pt idx="744">
                  <c:v>-5.1873941870907814</c:v>
                </c:pt>
                <c:pt idx="745">
                  <c:v>-5.2501514604908825</c:v>
                </c:pt>
                <c:pt idx="746">
                  <c:v>-5.2562771687540488</c:v>
                </c:pt>
                <c:pt idx="747">
                  <c:v>-5.2435121760058081</c:v>
                </c:pt>
                <c:pt idx="748">
                  <c:v>-5.2414518195901074</c:v>
                </c:pt>
                <c:pt idx="749">
                  <c:v>-5.2731210726291495</c:v>
                </c:pt>
                <c:pt idx="750">
                  <c:v>-5.3494797747766114</c:v>
                </c:pt>
                <c:pt idx="751">
                  <c:v>-5.3274939336192917</c:v>
                </c:pt>
                <c:pt idx="752">
                  <c:v>-5.3313588894853181</c:v>
                </c:pt>
                <c:pt idx="753">
                  <c:v>-5.2905042509566531</c:v>
                </c:pt>
                <c:pt idx="754">
                  <c:v>-5.3093189049985945</c:v>
                </c:pt>
                <c:pt idx="755">
                  <c:v>-5.2804883604122868</c:v>
                </c:pt>
                <c:pt idx="756">
                  <c:v>-5.3262805156453323</c:v>
                </c:pt>
                <c:pt idx="757">
                  <c:v>-5.2981431992278027</c:v>
                </c:pt>
                <c:pt idx="758">
                  <c:v>-5.3837559065547724</c:v>
                </c:pt>
                <c:pt idx="759">
                  <c:v>-5.3216653110963836</c:v>
                </c:pt>
                <c:pt idx="760">
                  <c:v>-5.3675856821904278</c:v>
                </c:pt>
                <c:pt idx="761">
                  <c:v>-5.3676089386893722</c:v>
                </c:pt>
                <c:pt idx="762">
                  <c:v>-5.3473092046114665</c:v>
                </c:pt>
                <c:pt idx="763">
                  <c:v>-5.2738682879237544</c:v>
                </c:pt>
                <c:pt idx="764">
                  <c:v>-5.3693490013009422</c:v>
                </c:pt>
                <c:pt idx="765">
                  <c:v>-5.3238972260167587</c:v>
                </c:pt>
                <c:pt idx="766">
                  <c:v>-5.3991946737431666</c:v>
                </c:pt>
                <c:pt idx="767">
                  <c:v>-5.4150288154547797</c:v>
                </c:pt>
                <c:pt idx="768">
                  <c:v>-5.3963314491883683</c:v>
                </c:pt>
                <c:pt idx="769">
                  <c:v>-5.4305338099224398</c:v>
                </c:pt>
                <c:pt idx="770">
                  <c:v>-5.4696576719090428</c:v>
                </c:pt>
                <c:pt idx="771">
                  <c:v>-5.4344520435285606</c:v>
                </c:pt>
                <c:pt idx="772">
                  <c:v>-5.4169817806016036</c:v>
                </c:pt>
                <c:pt idx="773">
                  <c:v>-5.394813797646119</c:v>
                </c:pt>
                <c:pt idx="774">
                  <c:v>-5.4264890731713971</c:v>
                </c:pt>
                <c:pt idx="775">
                  <c:v>-5.2899828362383818</c:v>
                </c:pt>
                <c:pt idx="776">
                  <c:v>-5.2964437975387071</c:v>
                </c:pt>
                <c:pt idx="777">
                  <c:v>-5.2380269676411357</c:v>
                </c:pt>
                <c:pt idx="778">
                  <c:v>-5.2712764906923413</c:v>
                </c:pt>
                <c:pt idx="779">
                  <c:v>-5.2304405610939595</c:v>
                </c:pt>
                <c:pt idx="780">
                  <c:v>-5.2223836624401914</c:v>
                </c:pt>
                <c:pt idx="781">
                  <c:v>-5.2241219291025658</c:v>
                </c:pt>
                <c:pt idx="782">
                  <c:v>-5.2440768084429665</c:v>
                </c:pt>
                <c:pt idx="783">
                  <c:v>-5.2825500729568038</c:v>
                </c:pt>
                <c:pt idx="784">
                  <c:v>-5.1988737913528507</c:v>
                </c:pt>
                <c:pt idx="785">
                  <c:v>-5.3271362384044938</c:v>
                </c:pt>
                <c:pt idx="786">
                  <c:v>-5.2397887041698965</c:v>
                </c:pt>
                <c:pt idx="787">
                  <c:v>-5.2965104288150195</c:v>
                </c:pt>
                <c:pt idx="788">
                  <c:v>-5.3398799196025308</c:v>
                </c:pt>
                <c:pt idx="789">
                  <c:v>-5.2586499185525133</c:v>
                </c:pt>
                <c:pt idx="790">
                  <c:v>-5.3721445545051596</c:v>
                </c:pt>
                <c:pt idx="791">
                  <c:v>-5.3624883871038405</c:v>
                </c:pt>
                <c:pt idx="792">
                  <c:v>-5.3203038478480327</c:v>
                </c:pt>
                <c:pt idx="793">
                  <c:v>-5.3552718746658696</c:v>
                </c:pt>
                <c:pt idx="794">
                  <c:v>-5.3533177728668822</c:v>
                </c:pt>
                <c:pt idx="795">
                  <c:v>-5.3015694668175701</c:v>
                </c:pt>
                <c:pt idx="796">
                  <c:v>-5.2468365780191286</c:v>
                </c:pt>
                <c:pt idx="797">
                  <c:v>-5.3462651500007876</c:v>
                </c:pt>
                <c:pt idx="798">
                  <c:v>-5.270818928036535</c:v>
                </c:pt>
                <c:pt idx="799">
                  <c:v>-5.3044244022029678</c:v>
                </c:pt>
                <c:pt idx="800">
                  <c:v>-5.275152075494618</c:v>
                </c:pt>
                <c:pt idx="801">
                  <c:v>-5.2547397100753628</c:v>
                </c:pt>
                <c:pt idx="802">
                  <c:v>-5.2572187851085799</c:v>
                </c:pt>
                <c:pt idx="803">
                  <c:v>-5.1819515056163636</c:v>
                </c:pt>
                <c:pt idx="804">
                  <c:v>-5.2146620332477065</c:v>
                </c:pt>
                <c:pt idx="805">
                  <c:v>-5.2097194316948654</c:v>
                </c:pt>
                <c:pt idx="806">
                  <c:v>-5.2017840609172552</c:v>
                </c:pt>
                <c:pt idx="807">
                  <c:v>-5.2371760963314529</c:v>
                </c:pt>
                <c:pt idx="808">
                  <c:v>-5.2265553026589453</c:v>
                </c:pt>
                <c:pt idx="809">
                  <c:v>-5.3027759879285075</c:v>
                </c:pt>
                <c:pt idx="810">
                  <c:v>-5.34050003396381</c:v>
                </c:pt>
                <c:pt idx="811">
                  <c:v>-5.236823340912049</c:v>
                </c:pt>
                <c:pt idx="812">
                  <c:v>-5.2141941700155385</c:v>
                </c:pt>
                <c:pt idx="813">
                  <c:v>-5.2487378199584036</c:v>
                </c:pt>
                <c:pt idx="814">
                  <c:v>-5.2293308183919631</c:v>
                </c:pt>
                <c:pt idx="815">
                  <c:v>-5.2471921205588199</c:v>
                </c:pt>
                <c:pt idx="816">
                  <c:v>-5.2526803690462511</c:v>
                </c:pt>
                <c:pt idx="817">
                  <c:v>-5.2638068544359635</c:v>
                </c:pt>
                <c:pt idx="818">
                  <c:v>-5.2939591980017511</c:v>
                </c:pt>
                <c:pt idx="819">
                  <c:v>-5.3282640347153185</c:v>
                </c:pt>
                <c:pt idx="820">
                  <c:v>-5.2730644451744171</c:v>
                </c:pt>
                <c:pt idx="821">
                  <c:v>-5.2769591885465372</c:v>
                </c:pt>
                <c:pt idx="822">
                  <c:v>-5.3811414069642183</c:v>
                </c:pt>
                <c:pt idx="823">
                  <c:v>-5.283621825267506</c:v>
                </c:pt>
                <c:pt idx="824">
                  <c:v>-5.2426147901941826</c:v>
                </c:pt>
                <c:pt idx="825">
                  <c:v>-5.2932809709955571</c:v>
                </c:pt>
                <c:pt idx="826">
                  <c:v>-5.2447061572451821</c:v>
                </c:pt>
                <c:pt idx="827">
                  <c:v>-5.3122179492102539</c:v>
                </c:pt>
                <c:pt idx="828">
                  <c:v>-5.366742153444382</c:v>
                </c:pt>
                <c:pt idx="829">
                  <c:v>-5.4192908149536265</c:v>
                </c:pt>
                <c:pt idx="830">
                  <c:v>-5.4700382545972683</c:v>
                </c:pt>
                <c:pt idx="831">
                  <c:v>-5.519137716844484</c:v>
                </c:pt>
                <c:pt idx="832">
                  <c:v>-5.5667246669620916</c:v>
                </c:pt>
                <c:pt idx="833">
                  <c:v>-5.6129194694969504</c:v>
                </c:pt>
                <c:pt idx="834">
                  <c:v>-5.6578295812186203</c:v>
                </c:pt>
                <c:pt idx="835">
                  <c:v>-5.683686014682598</c:v>
                </c:pt>
                <c:pt idx="836">
                  <c:v>-5.720530131193537</c:v>
                </c:pt>
                <c:pt idx="837">
                  <c:v>-5.2207999379701375</c:v>
                </c:pt>
                <c:pt idx="838">
                  <c:v>-5.287083863408097</c:v>
                </c:pt>
                <c:pt idx="839">
                  <c:v>-5.2852852985264116</c:v>
                </c:pt>
                <c:pt idx="840">
                  <c:v>-5.2622449430997875</c:v>
                </c:pt>
                <c:pt idx="841">
                  <c:v>-5.2266044001236001</c:v>
                </c:pt>
                <c:pt idx="842">
                  <c:v>-5.1906226489035427</c:v>
                </c:pt>
                <c:pt idx="843">
                  <c:v>-5.2460455172048581</c:v>
                </c:pt>
                <c:pt idx="844">
                  <c:v>-5.1587291153588497</c:v>
                </c:pt>
                <c:pt idx="845">
                  <c:v>-5.2284020977337491</c:v>
                </c:pt>
                <c:pt idx="846">
                  <c:v>-5.2271144769470492</c:v>
                </c:pt>
                <c:pt idx="847">
                  <c:v>-5.2586874379140838</c:v>
                </c:pt>
                <c:pt idx="848">
                  <c:v>-5.2739314399778694</c:v>
                </c:pt>
                <c:pt idx="849">
                  <c:v>-5.1422468112370989</c:v>
                </c:pt>
                <c:pt idx="850">
                  <c:v>-5.2319764178475614</c:v>
                </c:pt>
                <c:pt idx="851">
                  <c:v>-5.2430154689644635</c:v>
                </c:pt>
                <c:pt idx="852">
                  <c:v>-5.2189830433756761</c:v>
                </c:pt>
                <c:pt idx="853">
                  <c:v>-5.236783455154713</c:v>
                </c:pt>
                <c:pt idx="854">
                  <c:v>-5.4088460176975213</c:v>
                </c:pt>
                <c:pt idx="855">
                  <c:v>-5.6362046464009037</c:v>
                </c:pt>
                <c:pt idx="856">
                  <c:v>-5.3072888026366636</c:v>
                </c:pt>
                <c:pt idx="857">
                  <c:v>-5.7469754004356455</c:v>
                </c:pt>
                <c:pt idx="858">
                  <c:v>-5.2426143320233551</c:v>
                </c:pt>
                <c:pt idx="859">
                  <c:v>-5.2825875022429338</c:v>
                </c:pt>
                <c:pt idx="860">
                  <c:v>-5.2315024319601493</c:v>
                </c:pt>
                <c:pt idx="861">
                  <c:v>-5.2401092273285821</c:v>
                </c:pt>
                <c:pt idx="862">
                  <c:v>-5.2720644377324337</c:v>
                </c:pt>
                <c:pt idx="863">
                  <c:v>-5.4904291366430291</c:v>
                </c:pt>
                <c:pt idx="864">
                  <c:v>-5.4608234160040805</c:v>
                </c:pt>
                <c:pt idx="865">
                  <c:v>-5.3496438408870572</c:v>
                </c:pt>
                <c:pt idx="866">
                  <c:v>-5.3137209576804132</c:v>
                </c:pt>
                <c:pt idx="867">
                  <c:v>-4.954350417833477</c:v>
                </c:pt>
                <c:pt idx="868">
                  <c:v>-5.3942605104777668</c:v>
                </c:pt>
                <c:pt idx="869">
                  <c:v>-5.4504328434298577</c:v>
                </c:pt>
                <c:pt idx="870">
                  <c:v>-5.5043327547009051</c:v>
                </c:pt>
                <c:pt idx="871">
                  <c:v>-5.5561692692027114</c:v>
                </c:pt>
                <c:pt idx="872">
                  <c:v>-5.6061245506026163</c:v>
                </c:pt>
                <c:pt idx="873">
                  <c:v>-5.6543583334747236</c:v>
                </c:pt>
                <c:pt idx="874">
                  <c:v>-5.3554805755539103</c:v>
                </c:pt>
                <c:pt idx="875">
                  <c:v>-5.3710069395147846</c:v>
                </c:pt>
                <c:pt idx="876">
                  <c:v>-5.3065120226930382</c:v>
                </c:pt>
                <c:pt idx="877">
                  <c:v>-5.2672434491274158</c:v>
                </c:pt>
                <c:pt idx="878">
                  <c:v>-5.2621889375955275</c:v>
                </c:pt>
                <c:pt idx="879">
                  <c:v>-5.2750682649904475</c:v>
                </c:pt>
                <c:pt idx="880">
                  <c:v>-5.2888929380954908</c:v>
                </c:pt>
                <c:pt idx="881">
                  <c:v>-5.3184240574392874</c:v>
                </c:pt>
                <c:pt idx="882">
                  <c:v>-5.3014530146560617</c:v>
                </c:pt>
                <c:pt idx="883">
                  <c:v>-5.2632698445950581</c:v>
                </c:pt>
                <c:pt idx="884">
                  <c:v>-5.3039122074319147</c:v>
                </c:pt>
                <c:pt idx="885">
                  <c:v>-5.2518717187320352</c:v>
                </c:pt>
                <c:pt idx="886">
                  <c:v>-5.2021534043208648</c:v>
                </c:pt>
                <c:pt idx="887">
                  <c:v>-5.2503998029723302</c:v>
                </c:pt>
                <c:pt idx="888">
                  <c:v>-5.2416405675930156</c:v>
                </c:pt>
                <c:pt idx="889">
                  <c:v>-5.208734250187546</c:v>
                </c:pt>
                <c:pt idx="890">
                  <c:v>-5.231661025799168</c:v>
                </c:pt>
                <c:pt idx="891">
                  <c:v>-5.2586384214042123</c:v>
                </c:pt>
                <c:pt idx="892">
                  <c:v>-5.2580338249346523</c:v>
                </c:pt>
                <c:pt idx="893">
                  <c:v>-5.257473564392928</c:v>
                </c:pt>
                <c:pt idx="894">
                  <c:v>-5.2569529353619915</c:v>
                </c:pt>
                <c:pt idx="895">
                  <c:v>-5.2564678762694097</c:v>
                </c:pt>
                <c:pt idx="896">
                  <c:v>-5.2459171517457248</c:v>
                </c:pt>
                <c:pt idx="897">
                  <c:v>-5.3135488771576487</c:v>
                </c:pt>
                <c:pt idx="898">
                  <c:v>-5.2899854612809163</c:v>
                </c:pt>
                <c:pt idx="899">
                  <c:v>-5.317556772201617</c:v>
                </c:pt>
                <c:pt idx="900">
                  <c:v>-5.2510610853909743</c:v>
                </c:pt>
                <c:pt idx="901">
                  <c:v>-5.3129757026523095</c:v>
                </c:pt>
                <c:pt idx="902">
                  <c:v>-5.2943921675968548</c:v>
                </c:pt>
                <c:pt idx="903">
                  <c:v>-5.3088672777129613</c:v>
                </c:pt>
                <c:pt idx="904">
                  <c:v>-5.3195050356168778</c:v>
                </c:pt>
                <c:pt idx="905">
                  <c:v>-5.2602883106903278</c:v>
                </c:pt>
                <c:pt idx="906">
                  <c:v>-5.2437868084606682</c:v>
                </c:pt>
                <c:pt idx="907">
                  <c:v>-5.3126667971826347</c:v>
                </c:pt>
                <c:pt idx="908">
                  <c:v>-5.2950991278127759</c:v>
                </c:pt>
                <c:pt idx="909">
                  <c:v>-5.1576212477741432</c:v>
                </c:pt>
                <c:pt idx="910">
                  <c:v>-5.1908356321300424</c:v>
                </c:pt>
                <c:pt idx="911">
                  <c:v>-5.3136418038471165</c:v>
                </c:pt>
                <c:pt idx="912">
                  <c:v>-5.3617451402772716</c:v>
                </c:pt>
                <c:pt idx="913">
                  <c:v>-5.3378942262000075</c:v>
                </c:pt>
                <c:pt idx="914">
                  <c:v>-5.368854299221872</c:v>
                </c:pt>
                <c:pt idx="915">
                  <c:v>-5.3388545429939098</c:v>
                </c:pt>
                <c:pt idx="916">
                  <c:v>-5.3304295252304543</c:v>
                </c:pt>
                <c:pt idx="917">
                  <c:v>-5.3689739205259883</c:v>
                </c:pt>
                <c:pt idx="918">
                  <c:v>-5.272418163198533</c:v>
                </c:pt>
                <c:pt idx="919">
                  <c:v>-5.3067322520690263</c:v>
                </c:pt>
                <c:pt idx="920">
                  <c:v>-5.3002308164532783</c:v>
                </c:pt>
                <c:pt idx="921">
                  <c:v>-5.2978959005597561</c:v>
                </c:pt>
                <c:pt idx="922">
                  <c:v>-5.3113590618415687</c:v>
                </c:pt>
                <c:pt idx="923">
                  <c:v>-5.2590738731310687</c:v>
                </c:pt>
                <c:pt idx="924">
                  <c:v>-5.3323982270414456</c:v>
                </c:pt>
                <c:pt idx="925">
                  <c:v>-5.3493947906427364</c:v>
                </c:pt>
                <c:pt idx="926">
                  <c:v>-5.3222469929978784</c:v>
                </c:pt>
                <c:pt idx="927">
                  <c:v>-5.2656373783028485</c:v>
                </c:pt>
                <c:pt idx="928">
                  <c:v>-5.2004128178532136</c:v>
                </c:pt>
                <c:pt idx="929">
                  <c:v>-5.2812073457747477</c:v>
                </c:pt>
                <c:pt idx="930">
                  <c:v>-5.3504521258280562</c:v>
                </c:pt>
                <c:pt idx="931">
                  <c:v>-5.2936945831592874</c:v>
                </c:pt>
                <c:pt idx="932">
                  <c:v>-5.3728864316765854</c:v>
                </c:pt>
                <c:pt idx="933">
                  <c:v>-5.2600267020488163</c:v>
                </c:pt>
                <c:pt idx="934">
                  <c:v>-5.348553529092702</c:v>
                </c:pt>
                <c:pt idx="935">
                  <c:v>-5.3179767242448461</c:v>
                </c:pt>
                <c:pt idx="936">
                  <c:v>-5.3720968020012547</c:v>
                </c:pt>
                <c:pt idx="937">
                  <c:v>-5.4047856600017967</c:v>
                </c:pt>
                <c:pt idx="938">
                  <c:v>-5.3892778580083531</c:v>
                </c:pt>
                <c:pt idx="939">
                  <c:v>-5.3909965280703478</c:v>
                </c:pt>
                <c:pt idx="940">
                  <c:v>-5.3993309588822491</c:v>
                </c:pt>
                <c:pt idx="941">
                  <c:v>-5.3806070814421849</c:v>
                </c:pt>
                <c:pt idx="942">
                  <c:v>-5.356299589509379</c:v>
                </c:pt>
                <c:pt idx="943">
                  <c:v>-5.3634337206873024</c:v>
                </c:pt>
                <c:pt idx="944">
                  <c:v>-5.3946129600193506</c:v>
                </c:pt>
                <c:pt idx="945">
                  <c:v>-5.2598756629555101</c:v>
                </c:pt>
                <c:pt idx="946">
                  <c:v>-5.3706489309345908</c:v>
                </c:pt>
                <c:pt idx="947">
                  <c:v>-5.3675309212451365</c:v>
                </c:pt>
                <c:pt idx="948">
                  <c:v>-5.4197178169283378</c:v>
                </c:pt>
                <c:pt idx="949">
                  <c:v>-5.3326486579247607</c:v>
                </c:pt>
                <c:pt idx="950">
                  <c:v>-5.3355895752574147</c:v>
                </c:pt>
                <c:pt idx="951">
                  <c:v>-5.3553300732292115</c:v>
                </c:pt>
                <c:pt idx="952">
                  <c:v>-5.3563616827157796</c:v>
                </c:pt>
                <c:pt idx="953">
                  <c:v>-5.3599775854655913</c:v>
                </c:pt>
                <c:pt idx="954">
                  <c:v>-5.3328680492837028</c:v>
                </c:pt>
                <c:pt idx="955">
                  <c:v>-5.2710189515656172</c:v>
                </c:pt>
                <c:pt idx="956">
                  <c:v>-5.2959713616043178</c:v>
                </c:pt>
                <c:pt idx="957">
                  <c:v>-5.2815212612655813</c:v>
                </c:pt>
                <c:pt idx="958">
                  <c:v>-5.2647798786052018</c:v>
                </c:pt>
                <c:pt idx="959">
                  <c:v>-5.2328171251005031</c:v>
                </c:pt>
                <c:pt idx="960">
                  <c:v>-5.3594248155352071</c:v>
                </c:pt>
                <c:pt idx="961">
                  <c:v>-5.2935361210924485</c:v>
                </c:pt>
                <c:pt idx="962">
                  <c:v>-5.234779345744049</c:v>
                </c:pt>
                <c:pt idx="963">
                  <c:v>-5.2242459332844868</c:v>
                </c:pt>
                <c:pt idx="964">
                  <c:v>-5.2448236291654418</c:v>
                </c:pt>
                <c:pt idx="965">
                  <c:v>-5.2576342223473604</c:v>
                </c:pt>
                <c:pt idx="966">
                  <c:v>-5.2286657565914663</c:v>
                </c:pt>
                <c:pt idx="967">
                  <c:v>-5.2043582124905443</c:v>
                </c:pt>
                <c:pt idx="968">
                  <c:v>-5.202814176039845</c:v>
                </c:pt>
                <c:pt idx="969">
                  <c:v>-5.2012187305501998</c:v>
                </c:pt>
                <c:pt idx="970">
                  <c:v>-5.1995692603704446</c:v>
                </c:pt>
                <c:pt idx="971">
                  <c:v>-5.1978629735013042</c:v>
                </c:pt>
                <c:pt idx="972">
                  <c:v>-5.1960968800439478</c:v>
                </c:pt>
                <c:pt idx="973">
                  <c:v>-5.1942677766871457</c:v>
                </c:pt>
                <c:pt idx="974">
                  <c:v>-5.1923722264947223</c:v>
                </c:pt>
                <c:pt idx="975">
                  <c:v>-5.1796116451356973</c:v>
                </c:pt>
                <c:pt idx="976">
                  <c:v>-5.3010970476375183</c:v>
                </c:pt>
                <c:pt idx="977">
                  <c:v>-5.1764904162523315</c:v>
                </c:pt>
                <c:pt idx="978">
                  <c:v>-5.2022081690414419</c:v>
                </c:pt>
                <c:pt idx="979">
                  <c:v>-5.2228138444209034</c:v>
                </c:pt>
                <c:pt idx="980">
                  <c:v>-5.2610186066286815</c:v>
                </c:pt>
                <c:pt idx="981">
                  <c:v>-5.28067003986851</c:v>
                </c:pt>
                <c:pt idx="982">
                  <c:v>-5.2082002907773157</c:v>
                </c:pt>
                <c:pt idx="983">
                  <c:v>-5.2388877394316253</c:v>
                </c:pt>
                <c:pt idx="984">
                  <c:v>-5.1966837737201121</c:v>
                </c:pt>
                <c:pt idx="985">
                  <c:v>-5.2338130036656656</c:v>
                </c:pt>
                <c:pt idx="986">
                  <c:v>-5.2857991986274548</c:v>
                </c:pt>
                <c:pt idx="987">
                  <c:v>-5.2504720058158565</c:v>
                </c:pt>
                <c:pt idx="988">
                  <c:v>-5.2679620657552126</c:v>
                </c:pt>
                <c:pt idx="989">
                  <c:v>-5.302925575669355</c:v>
                </c:pt>
                <c:pt idx="990">
                  <c:v>-5.2976235441283803</c:v>
                </c:pt>
                <c:pt idx="991">
                  <c:v>-5.3197232474985796</c:v>
                </c:pt>
                <c:pt idx="992">
                  <c:v>-5.3940370551522854</c:v>
                </c:pt>
                <c:pt idx="993">
                  <c:v>-5.3531227685718941</c:v>
                </c:pt>
                <c:pt idx="994">
                  <c:v>-5.2924509627382763</c:v>
                </c:pt>
                <c:pt idx="995">
                  <c:v>-5.2687648492029435</c:v>
                </c:pt>
                <c:pt idx="996">
                  <c:v>-5.2349102319047365</c:v>
                </c:pt>
                <c:pt idx="997">
                  <c:v>-5.27203303320091</c:v>
                </c:pt>
                <c:pt idx="998">
                  <c:v>-5.261963567902634</c:v>
                </c:pt>
                <c:pt idx="999">
                  <c:v>-5.2865331337741539</c:v>
                </c:pt>
                <c:pt idx="1000">
                  <c:v>-5.3452428525000304</c:v>
                </c:pt>
                <c:pt idx="1001">
                  <c:v>-5.3849098437824612</c:v>
                </c:pt>
                <c:pt idx="1002">
                  <c:v>-5.3824760206238604</c:v>
                </c:pt>
                <c:pt idx="1003">
                  <c:v>-5.2936053379717434</c:v>
                </c:pt>
                <c:pt idx="1004">
                  <c:v>-5.2603009607094817</c:v>
                </c:pt>
                <c:pt idx="1005">
                  <c:v>-5.2255912231118886</c:v>
                </c:pt>
                <c:pt idx="1006">
                  <c:v>-5.2541502575340377</c:v>
                </c:pt>
                <c:pt idx="1007">
                  <c:v>-5.267830093483421</c:v>
                </c:pt>
                <c:pt idx="1008">
                  <c:v>-5.2338206418201603</c:v>
                </c:pt>
                <c:pt idx="1009">
                  <c:v>-5.2510055098924697</c:v>
                </c:pt>
                <c:pt idx="1010">
                  <c:v>-5.2918793275906397</c:v>
                </c:pt>
                <c:pt idx="1011">
                  <c:v>-5.2424179258973442</c:v>
                </c:pt>
                <c:pt idx="1012">
                  <c:v>-5.2213245626123941</c:v>
                </c:pt>
                <c:pt idx="1013">
                  <c:v>-5.2128460060751127</c:v>
                </c:pt>
                <c:pt idx="1014">
                  <c:v>-5.2187113210359293</c:v>
                </c:pt>
                <c:pt idx="1015">
                  <c:v>-5.2080631328196425</c:v>
                </c:pt>
                <c:pt idx="1016">
                  <c:v>-5.2006926823867579</c:v>
                </c:pt>
                <c:pt idx="1017">
                  <c:v>-5.2066129027784012</c:v>
                </c:pt>
                <c:pt idx="1018">
                  <c:v>-5.2585970577181449</c:v>
                </c:pt>
                <c:pt idx="1019">
                  <c:v>-5.1882177025482683</c:v>
                </c:pt>
                <c:pt idx="1020">
                  <c:v>-5.2634777400785069</c:v>
                </c:pt>
                <c:pt idx="1021">
                  <c:v>-5.2259968839344451</c:v>
                </c:pt>
                <c:pt idx="1022">
                  <c:v>-5.2587935880003593</c:v>
                </c:pt>
                <c:pt idx="1023">
                  <c:v>-5.2392739593822748</c:v>
                </c:pt>
                <c:pt idx="1024">
                  <c:v>-5.2340180007711474</c:v>
                </c:pt>
                <c:pt idx="1025">
                  <c:v>-5.2472012985676848</c:v>
                </c:pt>
                <c:pt idx="1026">
                  <c:v>-5.2348985121971641</c:v>
                </c:pt>
                <c:pt idx="1027">
                  <c:v>-5.206294135385809</c:v>
                </c:pt>
                <c:pt idx="1028">
                  <c:v>-5.2174812023890329</c:v>
                </c:pt>
                <c:pt idx="1029">
                  <c:v>-5.2163275153717068</c:v>
                </c:pt>
                <c:pt idx="1030">
                  <c:v>-5.3251568359199535</c:v>
                </c:pt>
                <c:pt idx="1031">
                  <c:v>-5.2796343926806033</c:v>
                </c:pt>
                <c:pt idx="1032">
                  <c:v>-5.2057374463384143</c:v>
                </c:pt>
                <c:pt idx="1033">
                  <c:v>-5.2429000279301592</c:v>
                </c:pt>
                <c:pt idx="1034">
                  <c:v>-5.2851112178900053</c:v>
                </c:pt>
                <c:pt idx="1035">
                  <c:v>-5.2611721948112669</c:v>
                </c:pt>
                <c:pt idx="1036">
                  <c:v>-5.2725906405905487</c:v>
                </c:pt>
                <c:pt idx="1037">
                  <c:v>-5.2801189898934195</c:v>
                </c:pt>
                <c:pt idx="1038">
                  <c:v>-5.2646182199736549</c:v>
                </c:pt>
                <c:pt idx="1039">
                  <c:v>-5.2994581065609374</c:v>
                </c:pt>
                <c:pt idx="1040">
                  <c:v>-5.2714302874176591</c:v>
                </c:pt>
                <c:pt idx="1041">
                  <c:v>-5.2733885931591944</c:v>
                </c:pt>
                <c:pt idx="1042">
                  <c:v>-5.3181554504364872</c:v>
                </c:pt>
                <c:pt idx="1043">
                  <c:v>-5.288519612372049</c:v>
                </c:pt>
                <c:pt idx="1044">
                  <c:v>-5.3069353724418367</c:v>
                </c:pt>
                <c:pt idx="1045">
                  <c:v>-5.2211164205275651</c:v>
                </c:pt>
                <c:pt idx="1046">
                  <c:v>-5.1675741322425512</c:v>
                </c:pt>
                <c:pt idx="1047">
                  <c:v>-5.1193731158280498</c:v>
                </c:pt>
                <c:pt idx="1048">
                  <c:v>-5.1158811283889616</c:v>
                </c:pt>
                <c:pt idx="1049">
                  <c:v>-5.1070951505794788</c:v>
                </c:pt>
                <c:pt idx="1050">
                  <c:v>-5.082937211608713</c:v>
                </c:pt>
                <c:pt idx="1051">
                  <c:v>-5.0643988073916741</c:v>
                </c:pt>
                <c:pt idx="1052">
                  <c:v>-5.1684915730284713</c:v>
                </c:pt>
                <c:pt idx="1053">
                  <c:v>-5.1501520794561992</c:v>
                </c:pt>
                <c:pt idx="1054">
                  <c:v>-5.1631400914224477</c:v>
                </c:pt>
                <c:pt idx="1055">
                  <c:v>-5.14185515502915</c:v>
                </c:pt>
                <c:pt idx="1056">
                  <c:v>-5.0904527168900211</c:v>
                </c:pt>
                <c:pt idx="1057">
                  <c:v>-5.1343591186787441</c:v>
                </c:pt>
                <c:pt idx="1058">
                  <c:v>-5.2192150767580081</c:v>
                </c:pt>
                <c:pt idx="1059">
                  <c:v>-5.0842954560785332</c:v>
                </c:pt>
                <c:pt idx="1060">
                  <c:v>-5.0712115590357589</c:v>
                </c:pt>
                <c:pt idx="1061">
                  <c:v>-5.1074377887574434</c:v>
                </c:pt>
                <c:pt idx="1062">
                  <c:v>-5.1435766686254265</c:v>
                </c:pt>
                <c:pt idx="1063">
                  <c:v>-5.1140437379963197</c:v>
                </c:pt>
                <c:pt idx="1064">
                  <c:v>-5.1140516046528566</c:v>
                </c:pt>
                <c:pt idx="1065">
                  <c:v>-5.1092093762456923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4D-4197-BB58-3D275F4CB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7220344"/>
        <c:axId val="1137216024"/>
      </c:scatterChart>
      <c:valAx>
        <c:axId val="1137220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37216024"/>
        <c:crosses val="autoZero"/>
        <c:crossBetween val="midCat"/>
      </c:valAx>
      <c:valAx>
        <c:axId val="113721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37220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'XRF samples'!$B$2:$B$16</c:f>
              <c:numCache>
                <c:formatCode>General</c:formatCode>
                <c:ptCount val="15"/>
                <c:pt idx="0">
                  <c:v>10.2980526</c:v>
                </c:pt>
                <c:pt idx="1">
                  <c:v>11.768077699999999</c:v>
                </c:pt>
                <c:pt idx="2">
                  <c:v>12.1405049</c:v>
                </c:pt>
                <c:pt idx="3">
                  <c:v>12.6819275</c:v>
                </c:pt>
                <c:pt idx="4">
                  <c:v>12.904340100000001</c:v>
                </c:pt>
                <c:pt idx="5">
                  <c:v>13.4115</c:v>
                </c:pt>
                <c:pt idx="6">
                  <c:v>15.2977455</c:v>
                </c:pt>
                <c:pt idx="7">
                  <c:v>17.6303333</c:v>
                </c:pt>
                <c:pt idx="8">
                  <c:v>19.7899794</c:v>
                </c:pt>
                <c:pt idx="9">
                  <c:v>22.102144299999999</c:v>
                </c:pt>
                <c:pt idx="10">
                  <c:v>26.1424615</c:v>
                </c:pt>
                <c:pt idx="11">
                  <c:v>29.476255299999998</c:v>
                </c:pt>
                <c:pt idx="12">
                  <c:v>30.863619100000001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'XRF samples'!$T$2:$T$16</c:f>
              <c:numCache>
                <c:formatCode>General</c:formatCode>
                <c:ptCount val="15"/>
                <c:pt idx="0">
                  <c:v>0.94408901712885041</c:v>
                </c:pt>
                <c:pt idx="1">
                  <c:v>0.9375661704192314</c:v>
                </c:pt>
                <c:pt idx="2">
                  <c:v>0.41573791833812135</c:v>
                </c:pt>
                <c:pt idx="3">
                  <c:v>-0.14181589770270375</c:v>
                </c:pt>
                <c:pt idx="4">
                  <c:v>-0.61870546704901697</c:v>
                </c:pt>
                <c:pt idx="5">
                  <c:v>-0.63691565655264959</c:v>
                </c:pt>
                <c:pt idx="6">
                  <c:v>-0.94204294297966096</c:v>
                </c:pt>
                <c:pt idx="7">
                  <c:v>-1.4516293214330522</c:v>
                </c:pt>
                <c:pt idx="8">
                  <c:v>-1.9317111061209387</c:v>
                </c:pt>
                <c:pt idx="9">
                  <c:v>-1.8135296565834829</c:v>
                </c:pt>
                <c:pt idx="10">
                  <c:v>-1.4403604749861554</c:v>
                </c:pt>
                <c:pt idx="11">
                  <c:v>-1.2843028038601634</c:v>
                </c:pt>
                <c:pt idx="12">
                  <c:v>-1.1897315615390827</c:v>
                </c:pt>
                <c:pt idx="13">
                  <c:v>-1.1961038536760809</c:v>
                </c:pt>
                <c:pt idx="14">
                  <c:v>-1.1202203155084132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50-41ED-8E08-2EC5C13A9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8977608"/>
        <c:axId val="1138977968"/>
      </c:scatterChart>
      <c:valAx>
        <c:axId val="1138977608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38977968"/>
        <c:crosses val="autoZero"/>
        <c:crossBetween val="midCat"/>
      </c:valAx>
      <c:valAx>
        <c:axId val="113897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38977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'XRF samples'!$B$2:$B$16</c:f>
              <c:numCache>
                <c:formatCode>General</c:formatCode>
                <c:ptCount val="15"/>
                <c:pt idx="0">
                  <c:v>10.2980526</c:v>
                </c:pt>
                <c:pt idx="1">
                  <c:v>11.768077699999999</c:v>
                </c:pt>
                <c:pt idx="2">
                  <c:v>12.1405049</c:v>
                </c:pt>
                <c:pt idx="3">
                  <c:v>12.6819275</c:v>
                </c:pt>
                <c:pt idx="4">
                  <c:v>12.904340100000001</c:v>
                </c:pt>
                <c:pt idx="5">
                  <c:v>13.4115</c:v>
                </c:pt>
                <c:pt idx="6">
                  <c:v>15.2977455</c:v>
                </c:pt>
                <c:pt idx="7">
                  <c:v>17.6303333</c:v>
                </c:pt>
                <c:pt idx="8">
                  <c:v>19.7899794</c:v>
                </c:pt>
                <c:pt idx="9">
                  <c:v>22.102144299999999</c:v>
                </c:pt>
                <c:pt idx="10">
                  <c:v>26.1424615</c:v>
                </c:pt>
                <c:pt idx="11">
                  <c:v>29.476255299999998</c:v>
                </c:pt>
                <c:pt idx="12">
                  <c:v>30.863619100000001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'XRF samples'!$V$2:$V$16</c:f>
              <c:numCache>
                <c:formatCode>General</c:formatCode>
                <c:ptCount val="15"/>
                <c:pt idx="0">
                  <c:v>2.3031689968889197</c:v>
                </c:pt>
                <c:pt idx="1">
                  <c:v>2.3250727427731319</c:v>
                </c:pt>
                <c:pt idx="2">
                  <c:v>2.3217192560271118</c:v>
                </c:pt>
                <c:pt idx="3">
                  <c:v>2.3082741306970331</c:v>
                </c:pt>
                <c:pt idx="4">
                  <c:v>2.2529454614881659</c:v>
                </c:pt>
                <c:pt idx="5">
                  <c:v>2.2490420308362151</c:v>
                </c:pt>
                <c:pt idx="6">
                  <c:v>2.2485456109967799</c:v>
                </c:pt>
                <c:pt idx="7">
                  <c:v>2.2318021010022009</c:v>
                </c:pt>
                <c:pt idx="8">
                  <c:v>2.1741187002317131</c:v>
                </c:pt>
                <c:pt idx="9">
                  <c:v>2.1466123237469303</c:v>
                </c:pt>
                <c:pt idx="10">
                  <c:v>2.1877398594819724</c:v>
                </c:pt>
                <c:pt idx="11">
                  <c:v>2.157479695860244</c:v>
                </c:pt>
                <c:pt idx="12">
                  <c:v>2.1634735610634963</c:v>
                </c:pt>
                <c:pt idx="13">
                  <c:v>2.0935147007606076</c:v>
                </c:pt>
                <c:pt idx="14">
                  <c:v>2.1171771016288083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E1-41AD-B3FD-225F78543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7243304"/>
        <c:axId val="1457244384"/>
      </c:scatterChart>
      <c:valAx>
        <c:axId val="1457243304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457244384"/>
        <c:crosses val="autoZero"/>
        <c:crossBetween val="midCat"/>
      </c:valAx>
      <c:valAx>
        <c:axId val="145724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ln(Fe/k)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457243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14787183571646"/>
          <c:y val="4.5976000220814529E-2"/>
          <c:w val="0.86151674317187121"/>
          <c:h val="0.8118004664706938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'XRF selectie'!$Y$2:$Y$1067</c:f>
              <c:numCache>
                <c:formatCode>General</c:formatCode>
                <c:ptCount val="1066"/>
                <c:pt idx="0">
                  <c:v>8.6873684200000003</c:v>
                </c:pt>
                <c:pt idx="1">
                  <c:v>8.7033157899999996</c:v>
                </c:pt>
                <c:pt idx="2">
                  <c:v>8.7192631600000006</c:v>
                </c:pt>
                <c:pt idx="3">
                  <c:v>8.7352105299999998</c:v>
                </c:pt>
                <c:pt idx="4">
                  <c:v>8.7511579000000008</c:v>
                </c:pt>
                <c:pt idx="5">
                  <c:v>8.7671052599999992</c:v>
                </c:pt>
                <c:pt idx="6">
                  <c:v>8.7830526300000002</c:v>
                </c:pt>
                <c:pt idx="7">
                  <c:v>8.7989999999999995</c:v>
                </c:pt>
                <c:pt idx="8">
                  <c:v>8.8149473700000005</c:v>
                </c:pt>
                <c:pt idx="9">
                  <c:v>8.8308947399999997</c:v>
                </c:pt>
                <c:pt idx="10">
                  <c:v>8.8468421100000008</c:v>
                </c:pt>
                <c:pt idx="11">
                  <c:v>8.8627894699999992</c:v>
                </c:pt>
                <c:pt idx="12">
                  <c:v>8.8787368400000002</c:v>
                </c:pt>
                <c:pt idx="13">
                  <c:v>8.8946842099999994</c:v>
                </c:pt>
                <c:pt idx="14">
                  <c:v>8.9106315800000004</c:v>
                </c:pt>
                <c:pt idx="15">
                  <c:v>8.9265789499999997</c:v>
                </c:pt>
                <c:pt idx="16">
                  <c:v>8.9425263200000007</c:v>
                </c:pt>
                <c:pt idx="17">
                  <c:v>8.9584736800000009</c:v>
                </c:pt>
                <c:pt idx="18">
                  <c:v>8.9744210500000001</c:v>
                </c:pt>
                <c:pt idx="19">
                  <c:v>8.9903684199999994</c:v>
                </c:pt>
                <c:pt idx="20">
                  <c:v>9.0063157900000004</c:v>
                </c:pt>
                <c:pt idx="21">
                  <c:v>9.0222631599999996</c:v>
                </c:pt>
                <c:pt idx="22">
                  <c:v>9.0382105300000006</c:v>
                </c:pt>
                <c:pt idx="23">
                  <c:v>9.0541578999999999</c:v>
                </c:pt>
                <c:pt idx="24">
                  <c:v>9.0701052600000001</c:v>
                </c:pt>
                <c:pt idx="25">
                  <c:v>9.0860526299999993</c:v>
                </c:pt>
                <c:pt idx="26">
                  <c:v>9.1020000000000003</c:v>
                </c:pt>
                <c:pt idx="27">
                  <c:v>9.1179473699999996</c:v>
                </c:pt>
                <c:pt idx="28">
                  <c:v>9.1338947400000006</c:v>
                </c:pt>
                <c:pt idx="29">
                  <c:v>9.1498421099999998</c:v>
                </c:pt>
                <c:pt idx="30">
                  <c:v>9.16578947</c:v>
                </c:pt>
                <c:pt idx="31">
                  <c:v>9.1817368399999992</c:v>
                </c:pt>
                <c:pt idx="32">
                  <c:v>9.1976842100000002</c:v>
                </c:pt>
                <c:pt idx="33">
                  <c:v>9.2136315799999995</c:v>
                </c:pt>
                <c:pt idx="34">
                  <c:v>9.2295789500000005</c:v>
                </c:pt>
                <c:pt idx="35">
                  <c:v>9.2455263199999997</c:v>
                </c:pt>
                <c:pt idx="36">
                  <c:v>9.2614736799999999</c:v>
                </c:pt>
                <c:pt idx="37">
                  <c:v>9.2774210499999992</c:v>
                </c:pt>
                <c:pt idx="38">
                  <c:v>9.2933684200000002</c:v>
                </c:pt>
                <c:pt idx="39">
                  <c:v>9.3093157899999994</c:v>
                </c:pt>
                <c:pt idx="40">
                  <c:v>9.3252631600000004</c:v>
                </c:pt>
                <c:pt idx="41">
                  <c:v>9.3412105299999997</c:v>
                </c:pt>
                <c:pt idx="42">
                  <c:v>9.3571579000000007</c:v>
                </c:pt>
                <c:pt idx="43">
                  <c:v>9.3731052600000009</c:v>
                </c:pt>
                <c:pt idx="44">
                  <c:v>9.3890526300000001</c:v>
                </c:pt>
                <c:pt idx="45">
                  <c:v>9.4049999999999994</c:v>
                </c:pt>
                <c:pt idx="46">
                  <c:v>9.4209473700000004</c:v>
                </c:pt>
                <c:pt idx="47">
                  <c:v>9.4368947399999996</c:v>
                </c:pt>
                <c:pt idx="48">
                  <c:v>9.4528421100000006</c:v>
                </c:pt>
                <c:pt idx="49">
                  <c:v>9.4687894700000008</c:v>
                </c:pt>
                <c:pt idx="50">
                  <c:v>9.4847368400000001</c:v>
                </c:pt>
                <c:pt idx="51">
                  <c:v>9.5006842099999993</c:v>
                </c:pt>
                <c:pt idx="52">
                  <c:v>9.5166315800000003</c:v>
                </c:pt>
                <c:pt idx="53">
                  <c:v>9.5325789499999996</c:v>
                </c:pt>
                <c:pt idx="54">
                  <c:v>9.5485263200000006</c:v>
                </c:pt>
                <c:pt idx="55">
                  <c:v>9.5644736800000008</c:v>
                </c:pt>
                <c:pt idx="56">
                  <c:v>9.58042105</c:v>
                </c:pt>
                <c:pt idx="57">
                  <c:v>9.5963684199999992</c:v>
                </c:pt>
                <c:pt idx="58">
                  <c:v>9.6123157900000002</c:v>
                </c:pt>
                <c:pt idx="59">
                  <c:v>9.6282631599999995</c:v>
                </c:pt>
                <c:pt idx="60">
                  <c:v>9.6442105300000005</c:v>
                </c:pt>
                <c:pt idx="61">
                  <c:v>9.6601578999999997</c:v>
                </c:pt>
                <c:pt idx="62">
                  <c:v>9.6761052599999999</c:v>
                </c:pt>
                <c:pt idx="63">
                  <c:v>9.6920526299999992</c:v>
                </c:pt>
                <c:pt idx="64">
                  <c:v>9.7080000000000002</c:v>
                </c:pt>
                <c:pt idx="65">
                  <c:v>9.7239473699999994</c:v>
                </c:pt>
                <c:pt idx="66">
                  <c:v>9.7398947400000004</c:v>
                </c:pt>
                <c:pt idx="67">
                  <c:v>9.7558421099999997</c:v>
                </c:pt>
                <c:pt idx="68">
                  <c:v>9.7717894699999999</c:v>
                </c:pt>
                <c:pt idx="69">
                  <c:v>9.7877368400000009</c:v>
                </c:pt>
                <c:pt idx="70">
                  <c:v>9.8036842100000001</c:v>
                </c:pt>
                <c:pt idx="71">
                  <c:v>9.8196315799999994</c:v>
                </c:pt>
                <c:pt idx="72">
                  <c:v>9.8355789500000004</c:v>
                </c:pt>
                <c:pt idx="73">
                  <c:v>9.8515263199999996</c:v>
                </c:pt>
                <c:pt idx="74">
                  <c:v>9.8674736799999998</c:v>
                </c:pt>
                <c:pt idx="75">
                  <c:v>9.8834210500000008</c:v>
                </c:pt>
                <c:pt idx="76">
                  <c:v>9.8993684200000001</c:v>
                </c:pt>
                <c:pt idx="77">
                  <c:v>9.9153157899999993</c:v>
                </c:pt>
                <c:pt idx="78">
                  <c:v>9.9312631600000003</c:v>
                </c:pt>
                <c:pt idx="79">
                  <c:v>9.9472105299999996</c:v>
                </c:pt>
                <c:pt idx="80">
                  <c:v>9.9631579000000006</c:v>
                </c:pt>
                <c:pt idx="81">
                  <c:v>9.9791052600000008</c:v>
                </c:pt>
                <c:pt idx="82">
                  <c:v>9.99505263</c:v>
                </c:pt>
                <c:pt idx="83">
                  <c:v>10.010999999999999</c:v>
                </c:pt>
                <c:pt idx="84">
                  <c:v>10.026947399999999</c:v>
                </c:pt>
                <c:pt idx="85">
                  <c:v>10.0428947</c:v>
                </c:pt>
                <c:pt idx="86">
                  <c:v>10.0588421</c:v>
                </c:pt>
                <c:pt idx="87">
                  <c:v>10.0747895</c:v>
                </c:pt>
                <c:pt idx="88">
                  <c:v>10.0907368</c:v>
                </c:pt>
                <c:pt idx="89">
                  <c:v>10.1066842</c:v>
                </c:pt>
                <c:pt idx="90">
                  <c:v>10.1226316</c:v>
                </c:pt>
                <c:pt idx="91">
                  <c:v>10.138579</c:v>
                </c:pt>
                <c:pt idx="92">
                  <c:v>10.154526300000001</c:v>
                </c:pt>
                <c:pt idx="93">
                  <c:v>10.170473700000001</c:v>
                </c:pt>
                <c:pt idx="94">
                  <c:v>10.1864211</c:v>
                </c:pt>
                <c:pt idx="95">
                  <c:v>10.202368399999999</c:v>
                </c:pt>
                <c:pt idx="96">
                  <c:v>10.218315799999999</c:v>
                </c:pt>
                <c:pt idx="97">
                  <c:v>10.234263199999999</c:v>
                </c:pt>
                <c:pt idx="98">
                  <c:v>10.2502105</c:v>
                </c:pt>
                <c:pt idx="99">
                  <c:v>10.2661579</c:v>
                </c:pt>
                <c:pt idx="100">
                  <c:v>10.2821053</c:v>
                </c:pt>
                <c:pt idx="101">
                  <c:v>10.2980526</c:v>
                </c:pt>
                <c:pt idx="102">
                  <c:v>10.314</c:v>
                </c:pt>
                <c:pt idx="103">
                  <c:v>10.3299474</c:v>
                </c:pt>
                <c:pt idx="104">
                  <c:v>10.345894700000001</c:v>
                </c:pt>
                <c:pt idx="105">
                  <c:v>10.3618421</c:v>
                </c:pt>
                <c:pt idx="106">
                  <c:v>10.3777895</c:v>
                </c:pt>
                <c:pt idx="107">
                  <c:v>10.393736799999999</c:v>
                </c:pt>
                <c:pt idx="108">
                  <c:v>10.409684199999999</c:v>
                </c:pt>
                <c:pt idx="109">
                  <c:v>10.425631600000001</c:v>
                </c:pt>
                <c:pt idx="110">
                  <c:v>10.441579000000001</c:v>
                </c:pt>
                <c:pt idx="111">
                  <c:v>10.4575263</c:v>
                </c:pt>
                <c:pt idx="112">
                  <c:v>10.4734737</c:v>
                </c:pt>
                <c:pt idx="113">
                  <c:v>10.489421099999999</c:v>
                </c:pt>
                <c:pt idx="114">
                  <c:v>10.5053684</c:v>
                </c:pt>
                <c:pt idx="115">
                  <c:v>10.5213158</c:v>
                </c:pt>
                <c:pt idx="116">
                  <c:v>10.5372632</c:v>
                </c:pt>
                <c:pt idx="117">
                  <c:v>10.5532105</c:v>
                </c:pt>
                <c:pt idx="118">
                  <c:v>10.5691579</c:v>
                </c:pt>
                <c:pt idx="119">
                  <c:v>10.5851053</c:v>
                </c:pt>
                <c:pt idx="120">
                  <c:v>10.601052599999999</c:v>
                </c:pt>
                <c:pt idx="121">
                  <c:v>10.617000000000001</c:v>
                </c:pt>
                <c:pt idx="122">
                  <c:v>10.632947400000001</c:v>
                </c:pt>
                <c:pt idx="123">
                  <c:v>10.6488947</c:v>
                </c:pt>
                <c:pt idx="124">
                  <c:v>10.6648421</c:v>
                </c:pt>
                <c:pt idx="125">
                  <c:v>10.680789499999999</c:v>
                </c:pt>
                <c:pt idx="126">
                  <c:v>10.6967368</c:v>
                </c:pt>
                <c:pt idx="127">
                  <c:v>10.7126842</c:v>
                </c:pt>
                <c:pt idx="128">
                  <c:v>10.7286316</c:v>
                </c:pt>
                <c:pt idx="129">
                  <c:v>10.744579</c:v>
                </c:pt>
                <c:pt idx="130">
                  <c:v>10.7605263</c:v>
                </c:pt>
                <c:pt idx="131">
                  <c:v>10.7764737</c:v>
                </c:pt>
                <c:pt idx="132">
                  <c:v>10.7924211</c:v>
                </c:pt>
                <c:pt idx="133">
                  <c:v>10.808368400000001</c:v>
                </c:pt>
                <c:pt idx="134">
                  <c:v>10.824315800000001</c:v>
                </c:pt>
                <c:pt idx="135">
                  <c:v>10.840263200000001</c:v>
                </c:pt>
                <c:pt idx="136">
                  <c:v>10.8562105</c:v>
                </c:pt>
                <c:pt idx="137">
                  <c:v>10.872157899999999</c:v>
                </c:pt>
                <c:pt idx="138">
                  <c:v>10.888105299999999</c:v>
                </c:pt>
                <c:pt idx="139">
                  <c:v>10.9040526</c:v>
                </c:pt>
                <c:pt idx="140">
                  <c:v>10.92</c:v>
                </c:pt>
                <c:pt idx="141">
                  <c:v>10.9359474</c:v>
                </c:pt>
                <c:pt idx="142">
                  <c:v>10.9518947</c:v>
                </c:pt>
                <c:pt idx="143">
                  <c:v>10.9678421</c:v>
                </c:pt>
                <c:pt idx="144">
                  <c:v>10.9837895</c:v>
                </c:pt>
                <c:pt idx="145">
                  <c:v>10.999736800000001</c:v>
                </c:pt>
                <c:pt idx="146">
                  <c:v>11.015684200000001</c:v>
                </c:pt>
                <c:pt idx="147">
                  <c:v>11.031631600000001</c:v>
                </c:pt>
                <c:pt idx="148">
                  <c:v>11.047579000000001</c:v>
                </c:pt>
                <c:pt idx="149">
                  <c:v>11.063526299999999</c:v>
                </c:pt>
                <c:pt idx="150">
                  <c:v>11.079473699999999</c:v>
                </c:pt>
                <c:pt idx="151">
                  <c:v>11.095421099999999</c:v>
                </c:pt>
                <c:pt idx="152">
                  <c:v>11.1113684</c:v>
                </c:pt>
                <c:pt idx="153">
                  <c:v>11.1273158</c:v>
                </c:pt>
                <c:pt idx="154">
                  <c:v>11.1432632</c:v>
                </c:pt>
                <c:pt idx="155">
                  <c:v>11.1592105</c:v>
                </c:pt>
                <c:pt idx="156">
                  <c:v>11.1751579</c:v>
                </c:pt>
                <c:pt idx="157">
                  <c:v>11.1911053</c:v>
                </c:pt>
                <c:pt idx="158">
                  <c:v>11.207052600000001</c:v>
                </c:pt>
                <c:pt idx="159">
                  <c:v>11.223000000000001</c:v>
                </c:pt>
                <c:pt idx="160">
                  <c:v>11.238947400000001</c:v>
                </c:pt>
                <c:pt idx="161">
                  <c:v>11.254894699999999</c:v>
                </c:pt>
                <c:pt idx="162">
                  <c:v>11.270842099999999</c:v>
                </c:pt>
                <c:pt idx="163">
                  <c:v>11.286789499999999</c:v>
                </c:pt>
                <c:pt idx="164">
                  <c:v>11.3027368</c:v>
                </c:pt>
                <c:pt idx="165">
                  <c:v>11.3186842</c:v>
                </c:pt>
                <c:pt idx="166">
                  <c:v>11.3346316</c:v>
                </c:pt>
                <c:pt idx="167">
                  <c:v>11.350579</c:v>
                </c:pt>
                <c:pt idx="168">
                  <c:v>11.3665263</c:v>
                </c:pt>
                <c:pt idx="169">
                  <c:v>11.3824737</c:v>
                </c:pt>
                <c:pt idx="170">
                  <c:v>11.3984211</c:v>
                </c:pt>
                <c:pt idx="171">
                  <c:v>11.414368400000001</c:v>
                </c:pt>
                <c:pt idx="172">
                  <c:v>11.430315800000001</c:v>
                </c:pt>
                <c:pt idx="173">
                  <c:v>11.446263200000001</c:v>
                </c:pt>
                <c:pt idx="174">
                  <c:v>11.462210499999999</c:v>
                </c:pt>
                <c:pt idx="175">
                  <c:v>11.478157899999999</c:v>
                </c:pt>
                <c:pt idx="176">
                  <c:v>11.494105299999999</c:v>
                </c:pt>
                <c:pt idx="177">
                  <c:v>11.5100526</c:v>
                </c:pt>
                <c:pt idx="178">
                  <c:v>11.526</c:v>
                </c:pt>
                <c:pt idx="179">
                  <c:v>11.5446214</c:v>
                </c:pt>
                <c:pt idx="180">
                  <c:v>11.5632427</c:v>
                </c:pt>
                <c:pt idx="181">
                  <c:v>11.581864100000001</c:v>
                </c:pt>
                <c:pt idx="182">
                  <c:v>11.6004854</c:v>
                </c:pt>
                <c:pt idx="183">
                  <c:v>11.619106800000001</c:v>
                </c:pt>
                <c:pt idx="184">
                  <c:v>11.6377282</c:v>
                </c:pt>
                <c:pt idx="185">
                  <c:v>11.656349499999999</c:v>
                </c:pt>
                <c:pt idx="186">
                  <c:v>11.6749709</c:v>
                </c:pt>
                <c:pt idx="187">
                  <c:v>11.693592199999999</c:v>
                </c:pt>
                <c:pt idx="188">
                  <c:v>11.7122136</c:v>
                </c:pt>
                <c:pt idx="189">
                  <c:v>11.730835000000001</c:v>
                </c:pt>
                <c:pt idx="190">
                  <c:v>11.7494563</c:v>
                </c:pt>
                <c:pt idx="191">
                  <c:v>11.768077699999999</c:v>
                </c:pt>
                <c:pt idx="192">
                  <c:v>11.786699</c:v>
                </c:pt>
                <c:pt idx="193">
                  <c:v>11.805320399999999</c:v>
                </c:pt>
                <c:pt idx="194">
                  <c:v>11.8239418</c:v>
                </c:pt>
                <c:pt idx="195">
                  <c:v>11.8425631</c:v>
                </c:pt>
                <c:pt idx="196">
                  <c:v>11.8611845</c:v>
                </c:pt>
                <c:pt idx="197">
                  <c:v>11.8798058</c:v>
                </c:pt>
                <c:pt idx="198">
                  <c:v>11.8984272</c:v>
                </c:pt>
                <c:pt idx="199">
                  <c:v>11.9170485</c:v>
                </c:pt>
                <c:pt idx="200">
                  <c:v>11.935669900000001</c:v>
                </c:pt>
                <c:pt idx="201">
                  <c:v>11.9542913</c:v>
                </c:pt>
                <c:pt idx="202">
                  <c:v>11.972912600000001</c:v>
                </c:pt>
                <c:pt idx="203">
                  <c:v>11.991534</c:v>
                </c:pt>
                <c:pt idx="204">
                  <c:v>12.010155299999999</c:v>
                </c:pt>
                <c:pt idx="205">
                  <c:v>12.0287767</c:v>
                </c:pt>
                <c:pt idx="206">
                  <c:v>12.047398100000001</c:v>
                </c:pt>
                <c:pt idx="207">
                  <c:v>12.0660194</c:v>
                </c:pt>
                <c:pt idx="208">
                  <c:v>12.084640800000001</c:v>
                </c:pt>
                <c:pt idx="209">
                  <c:v>12.1032621</c:v>
                </c:pt>
                <c:pt idx="210">
                  <c:v>12.121883499999999</c:v>
                </c:pt>
                <c:pt idx="211">
                  <c:v>12.1405049</c:v>
                </c:pt>
                <c:pt idx="212">
                  <c:v>12.159126199999999</c:v>
                </c:pt>
                <c:pt idx="213">
                  <c:v>12.1777476</c:v>
                </c:pt>
                <c:pt idx="214">
                  <c:v>12.1963689</c:v>
                </c:pt>
                <c:pt idx="215">
                  <c:v>12.2149903</c:v>
                </c:pt>
                <c:pt idx="216">
                  <c:v>12.233611700000001</c:v>
                </c:pt>
                <c:pt idx="217">
                  <c:v>12.252233</c:v>
                </c:pt>
                <c:pt idx="218">
                  <c:v>12.270854399999999</c:v>
                </c:pt>
                <c:pt idx="219">
                  <c:v>12.289475700000001</c:v>
                </c:pt>
                <c:pt idx="220">
                  <c:v>12.308097099999999</c:v>
                </c:pt>
                <c:pt idx="221">
                  <c:v>12.3267185</c:v>
                </c:pt>
                <c:pt idx="222">
                  <c:v>12.3453398</c:v>
                </c:pt>
                <c:pt idx="223">
                  <c:v>12.3639612</c:v>
                </c:pt>
                <c:pt idx="224">
                  <c:v>12.3825825</c:v>
                </c:pt>
                <c:pt idx="225">
                  <c:v>12.401203900000001</c:v>
                </c:pt>
                <c:pt idx="226">
                  <c:v>12.4198252</c:v>
                </c:pt>
                <c:pt idx="227">
                  <c:v>12.438446600000001</c:v>
                </c:pt>
                <c:pt idx="228">
                  <c:v>12.457068</c:v>
                </c:pt>
                <c:pt idx="229">
                  <c:v>12.475689300000001</c:v>
                </c:pt>
                <c:pt idx="230">
                  <c:v>12.486911900000001</c:v>
                </c:pt>
                <c:pt idx="231">
                  <c:v>12.4907358</c:v>
                </c:pt>
                <c:pt idx="232">
                  <c:v>12.494559600000001</c:v>
                </c:pt>
                <c:pt idx="233">
                  <c:v>12.4983834</c:v>
                </c:pt>
                <c:pt idx="234">
                  <c:v>12.5022073</c:v>
                </c:pt>
                <c:pt idx="235">
                  <c:v>12.5060311</c:v>
                </c:pt>
                <c:pt idx="236">
                  <c:v>12.509854900000001</c:v>
                </c:pt>
                <c:pt idx="237">
                  <c:v>12.513678799999999</c:v>
                </c:pt>
                <c:pt idx="238">
                  <c:v>12.5175026</c:v>
                </c:pt>
                <c:pt idx="239">
                  <c:v>12.5213264</c:v>
                </c:pt>
                <c:pt idx="240">
                  <c:v>12.5251503</c:v>
                </c:pt>
                <c:pt idx="241">
                  <c:v>12.528974099999999</c:v>
                </c:pt>
                <c:pt idx="242">
                  <c:v>12.5327979</c:v>
                </c:pt>
                <c:pt idx="243">
                  <c:v>12.536621800000001</c:v>
                </c:pt>
                <c:pt idx="244">
                  <c:v>12.5404456</c:v>
                </c:pt>
                <c:pt idx="245">
                  <c:v>12.544269399999999</c:v>
                </c:pt>
                <c:pt idx="246">
                  <c:v>12.5480933</c:v>
                </c:pt>
                <c:pt idx="247">
                  <c:v>12.551917100000001</c:v>
                </c:pt>
                <c:pt idx="248">
                  <c:v>12.5557409</c:v>
                </c:pt>
                <c:pt idx="249">
                  <c:v>12.5595648</c:v>
                </c:pt>
                <c:pt idx="250">
                  <c:v>12.5633886</c:v>
                </c:pt>
                <c:pt idx="251">
                  <c:v>12.567212400000001</c:v>
                </c:pt>
                <c:pt idx="252">
                  <c:v>12.571036299999999</c:v>
                </c:pt>
                <c:pt idx="253">
                  <c:v>12.5748601</c:v>
                </c:pt>
                <c:pt idx="254">
                  <c:v>12.5786839</c:v>
                </c:pt>
                <c:pt idx="255">
                  <c:v>12.5825078</c:v>
                </c:pt>
                <c:pt idx="256">
                  <c:v>12.586331599999999</c:v>
                </c:pt>
                <c:pt idx="257">
                  <c:v>12.5901554</c:v>
                </c:pt>
                <c:pt idx="258">
                  <c:v>12.593979300000001</c:v>
                </c:pt>
                <c:pt idx="259">
                  <c:v>12.5978031</c:v>
                </c:pt>
                <c:pt idx="260">
                  <c:v>12.601626899999999</c:v>
                </c:pt>
                <c:pt idx="261">
                  <c:v>12.6054508</c:v>
                </c:pt>
                <c:pt idx="262">
                  <c:v>12.609274599999999</c:v>
                </c:pt>
                <c:pt idx="263">
                  <c:v>12.6130985</c:v>
                </c:pt>
                <c:pt idx="264">
                  <c:v>12.616922300000001</c:v>
                </c:pt>
                <c:pt idx="265">
                  <c:v>12.6207461</c:v>
                </c:pt>
                <c:pt idx="266">
                  <c:v>12.62457</c:v>
                </c:pt>
                <c:pt idx="267">
                  <c:v>12.6283938</c:v>
                </c:pt>
                <c:pt idx="268">
                  <c:v>12.632217600000001</c:v>
                </c:pt>
                <c:pt idx="269">
                  <c:v>12.636041499999999</c:v>
                </c:pt>
                <c:pt idx="270">
                  <c:v>12.6398653</c:v>
                </c:pt>
                <c:pt idx="271">
                  <c:v>12.6436891</c:v>
                </c:pt>
                <c:pt idx="272">
                  <c:v>12.647513</c:v>
                </c:pt>
                <c:pt idx="273">
                  <c:v>12.651336799999999</c:v>
                </c:pt>
                <c:pt idx="274">
                  <c:v>12.6551606</c:v>
                </c:pt>
                <c:pt idx="275">
                  <c:v>12.658984500000001</c:v>
                </c:pt>
                <c:pt idx="276">
                  <c:v>12.6628083</c:v>
                </c:pt>
                <c:pt idx="277">
                  <c:v>12.666632099999999</c:v>
                </c:pt>
                <c:pt idx="278">
                  <c:v>12.670456</c:v>
                </c:pt>
                <c:pt idx="279">
                  <c:v>12.674279800000001</c:v>
                </c:pt>
                <c:pt idx="280">
                  <c:v>12.6781036</c:v>
                </c:pt>
                <c:pt idx="281">
                  <c:v>12.6819275</c:v>
                </c:pt>
                <c:pt idx="282">
                  <c:v>12.6857513</c:v>
                </c:pt>
                <c:pt idx="283">
                  <c:v>12.689575100000001</c:v>
                </c:pt>
                <c:pt idx="284">
                  <c:v>12.693398999999999</c:v>
                </c:pt>
                <c:pt idx="285">
                  <c:v>12.6972228</c:v>
                </c:pt>
                <c:pt idx="286">
                  <c:v>12.7010466</c:v>
                </c:pt>
                <c:pt idx="287">
                  <c:v>12.7048705</c:v>
                </c:pt>
                <c:pt idx="288">
                  <c:v>12.708694299999999</c:v>
                </c:pt>
                <c:pt idx="289">
                  <c:v>12.7125181</c:v>
                </c:pt>
                <c:pt idx="290">
                  <c:v>12.716341999999999</c:v>
                </c:pt>
                <c:pt idx="291">
                  <c:v>12.7201658</c:v>
                </c:pt>
                <c:pt idx="292">
                  <c:v>12.723989599999999</c:v>
                </c:pt>
                <c:pt idx="293">
                  <c:v>12.7278135</c:v>
                </c:pt>
                <c:pt idx="294">
                  <c:v>12.731637299999999</c:v>
                </c:pt>
                <c:pt idx="295">
                  <c:v>12.7354611</c:v>
                </c:pt>
                <c:pt idx="296">
                  <c:v>12.739285000000001</c:v>
                </c:pt>
                <c:pt idx="297">
                  <c:v>12.7431088</c:v>
                </c:pt>
                <c:pt idx="298">
                  <c:v>12.746932599999999</c:v>
                </c:pt>
                <c:pt idx="299">
                  <c:v>12.7507565</c:v>
                </c:pt>
                <c:pt idx="300">
                  <c:v>12.754580300000001</c:v>
                </c:pt>
                <c:pt idx="301">
                  <c:v>12.758404199999999</c:v>
                </c:pt>
                <c:pt idx="302">
                  <c:v>12.762228</c:v>
                </c:pt>
                <c:pt idx="303">
                  <c:v>12.7660518</c:v>
                </c:pt>
                <c:pt idx="304">
                  <c:v>12.7698757</c:v>
                </c:pt>
                <c:pt idx="305">
                  <c:v>12.773699499999999</c:v>
                </c:pt>
                <c:pt idx="306">
                  <c:v>12.7775233</c:v>
                </c:pt>
                <c:pt idx="307">
                  <c:v>12.781347200000001</c:v>
                </c:pt>
                <c:pt idx="308">
                  <c:v>12.785171</c:v>
                </c:pt>
                <c:pt idx="309">
                  <c:v>12.788994799999999</c:v>
                </c:pt>
                <c:pt idx="310">
                  <c:v>12.7928187</c:v>
                </c:pt>
                <c:pt idx="311">
                  <c:v>12.796642500000001</c:v>
                </c:pt>
                <c:pt idx="312">
                  <c:v>12.8004663</c:v>
                </c:pt>
                <c:pt idx="313">
                  <c:v>12.804290200000001</c:v>
                </c:pt>
                <c:pt idx="314">
                  <c:v>12.808114</c:v>
                </c:pt>
                <c:pt idx="315">
                  <c:v>12.811937800000001</c:v>
                </c:pt>
                <c:pt idx="316">
                  <c:v>12.815761699999999</c:v>
                </c:pt>
                <c:pt idx="317">
                  <c:v>12.819585500000001</c:v>
                </c:pt>
                <c:pt idx="318">
                  <c:v>12.8234093</c:v>
                </c:pt>
                <c:pt idx="319">
                  <c:v>12.8272332</c:v>
                </c:pt>
                <c:pt idx="320">
                  <c:v>12.831056999999999</c:v>
                </c:pt>
                <c:pt idx="321">
                  <c:v>12.834880800000001</c:v>
                </c:pt>
                <c:pt idx="322">
                  <c:v>12.838704699999999</c:v>
                </c:pt>
                <c:pt idx="323">
                  <c:v>12.8425285</c:v>
                </c:pt>
                <c:pt idx="324">
                  <c:v>12.8463523</c:v>
                </c:pt>
                <c:pt idx="325">
                  <c:v>12.8501762</c:v>
                </c:pt>
                <c:pt idx="326">
                  <c:v>12.853999999999999</c:v>
                </c:pt>
                <c:pt idx="327">
                  <c:v>12.859033999999999</c:v>
                </c:pt>
                <c:pt idx="328">
                  <c:v>12.864068</c:v>
                </c:pt>
                <c:pt idx="329">
                  <c:v>12.869102</c:v>
                </c:pt>
                <c:pt idx="330">
                  <c:v>12.874136099999999</c:v>
                </c:pt>
                <c:pt idx="331">
                  <c:v>12.8791701</c:v>
                </c:pt>
                <c:pt idx="332">
                  <c:v>12.8842041</c:v>
                </c:pt>
                <c:pt idx="333">
                  <c:v>12.8892381</c:v>
                </c:pt>
                <c:pt idx="334">
                  <c:v>12.8942721</c:v>
                </c:pt>
                <c:pt idx="335">
                  <c:v>12.8993061</c:v>
                </c:pt>
                <c:pt idx="336">
                  <c:v>12.904340100000001</c:v>
                </c:pt>
                <c:pt idx="337">
                  <c:v>12.9093742</c:v>
                </c:pt>
                <c:pt idx="338">
                  <c:v>12.9144082</c:v>
                </c:pt>
                <c:pt idx="339">
                  <c:v>12.919442200000001</c:v>
                </c:pt>
                <c:pt idx="340">
                  <c:v>12.924476200000001</c:v>
                </c:pt>
                <c:pt idx="341">
                  <c:v>12.929510199999999</c:v>
                </c:pt>
                <c:pt idx="342">
                  <c:v>12.934544199999999</c:v>
                </c:pt>
                <c:pt idx="343">
                  <c:v>12.9395782</c:v>
                </c:pt>
                <c:pt idx="344">
                  <c:v>12.9446122</c:v>
                </c:pt>
                <c:pt idx="345">
                  <c:v>12.949646299999999</c:v>
                </c:pt>
                <c:pt idx="346">
                  <c:v>12.9546803</c:v>
                </c:pt>
                <c:pt idx="347">
                  <c:v>12.9597143</c:v>
                </c:pt>
                <c:pt idx="348">
                  <c:v>12.9647483</c:v>
                </c:pt>
                <c:pt idx="349">
                  <c:v>12.9697823</c:v>
                </c:pt>
                <c:pt idx="350">
                  <c:v>12.974816300000001</c:v>
                </c:pt>
                <c:pt idx="351">
                  <c:v>12.979850300000001</c:v>
                </c:pt>
                <c:pt idx="352">
                  <c:v>12.9848844</c:v>
                </c:pt>
                <c:pt idx="353">
                  <c:v>12.989918400000001</c:v>
                </c:pt>
                <c:pt idx="354">
                  <c:v>12.994952400000001</c:v>
                </c:pt>
                <c:pt idx="355">
                  <c:v>12.999986399999999</c:v>
                </c:pt>
                <c:pt idx="356">
                  <c:v>13.005020399999999</c:v>
                </c:pt>
                <c:pt idx="357">
                  <c:v>13.0100544</c:v>
                </c:pt>
                <c:pt idx="358">
                  <c:v>13.0150884</c:v>
                </c:pt>
                <c:pt idx="359">
                  <c:v>13.020122499999999</c:v>
                </c:pt>
                <c:pt idx="360">
                  <c:v>13.0251565</c:v>
                </c:pt>
                <c:pt idx="361">
                  <c:v>13.0301905</c:v>
                </c:pt>
                <c:pt idx="362">
                  <c:v>13.0352245</c:v>
                </c:pt>
                <c:pt idx="363">
                  <c:v>13.0402585</c:v>
                </c:pt>
                <c:pt idx="364">
                  <c:v>13.0452925</c:v>
                </c:pt>
                <c:pt idx="365">
                  <c:v>13.050326500000001</c:v>
                </c:pt>
                <c:pt idx="366">
                  <c:v>13.055360500000001</c:v>
                </c:pt>
                <c:pt idx="367">
                  <c:v>13.0603946</c:v>
                </c:pt>
                <c:pt idx="368">
                  <c:v>13.065428600000001</c:v>
                </c:pt>
                <c:pt idx="369">
                  <c:v>13.070462600000001</c:v>
                </c:pt>
                <c:pt idx="370">
                  <c:v>13.075496599999999</c:v>
                </c:pt>
                <c:pt idx="371">
                  <c:v>13.080530599999999</c:v>
                </c:pt>
                <c:pt idx="372">
                  <c:v>13.0855646</c:v>
                </c:pt>
                <c:pt idx="373">
                  <c:v>13.0905986</c:v>
                </c:pt>
                <c:pt idx="374">
                  <c:v>13.095632699999999</c:v>
                </c:pt>
                <c:pt idx="375">
                  <c:v>13.1006667</c:v>
                </c:pt>
                <c:pt idx="376">
                  <c:v>13.1057007</c:v>
                </c:pt>
                <c:pt idx="377">
                  <c:v>13.1107347</c:v>
                </c:pt>
                <c:pt idx="378">
                  <c:v>13.1157687</c:v>
                </c:pt>
                <c:pt idx="379">
                  <c:v>13.1208027</c:v>
                </c:pt>
                <c:pt idx="380">
                  <c:v>13.125836700000001</c:v>
                </c:pt>
                <c:pt idx="381">
                  <c:v>13.1308708</c:v>
                </c:pt>
                <c:pt idx="382">
                  <c:v>13.1359048</c:v>
                </c:pt>
                <c:pt idx="383">
                  <c:v>13.140938800000001</c:v>
                </c:pt>
                <c:pt idx="384">
                  <c:v>13.145972799999999</c:v>
                </c:pt>
                <c:pt idx="385">
                  <c:v>13.151006799999999</c:v>
                </c:pt>
                <c:pt idx="386">
                  <c:v>13.1560408</c:v>
                </c:pt>
                <c:pt idx="387">
                  <c:v>13.1610748</c:v>
                </c:pt>
                <c:pt idx="388">
                  <c:v>13.1661088</c:v>
                </c:pt>
                <c:pt idx="389">
                  <c:v>13.1711429</c:v>
                </c:pt>
                <c:pt idx="390">
                  <c:v>13.1761769</c:v>
                </c:pt>
                <c:pt idx="391">
                  <c:v>13.1812109</c:v>
                </c:pt>
                <c:pt idx="392">
                  <c:v>13.1862449</c:v>
                </c:pt>
                <c:pt idx="393">
                  <c:v>13.1912789</c:v>
                </c:pt>
                <c:pt idx="394">
                  <c:v>13.196312900000001</c:v>
                </c:pt>
                <c:pt idx="395">
                  <c:v>13.201346900000001</c:v>
                </c:pt>
                <c:pt idx="396">
                  <c:v>13.206381</c:v>
                </c:pt>
                <c:pt idx="397">
                  <c:v>13.211415000000001</c:v>
                </c:pt>
                <c:pt idx="398">
                  <c:v>13.216449000000001</c:v>
                </c:pt>
                <c:pt idx="399">
                  <c:v>13.221482999999999</c:v>
                </c:pt>
                <c:pt idx="400">
                  <c:v>13.224729999999999</c:v>
                </c:pt>
                <c:pt idx="401">
                  <c:v>13.226190000000001</c:v>
                </c:pt>
                <c:pt idx="402">
                  <c:v>13.227650000000001</c:v>
                </c:pt>
                <c:pt idx="403">
                  <c:v>13.22911</c:v>
                </c:pt>
                <c:pt idx="404">
                  <c:v>13.23057</c:v>
                </c:pt>
                <c:pt idx="405">
                  <c:v>13.23203</c:v>
                </c:pt>
                <c:pt idx="406">
                  <c:v>13.23349</c:v>
                </c:pt>
                <c:pt idx="407">
                  <c:v>13.23495</c:v>
                </c:pt>
                <c:pt idx="408">
                  <c:v>13.236409999999999</c:v>
                </c:pt>
                <c:pt idx="409">
                  <c:v>13.237869999999999</c:v>
                </c:pt>
                <c:pt idx="410">
                  <c:v>13.239330000000001</c:v>
                </c:pt>
                <c:pt idx="411">
                  <c:v>13.240790000000001</c:v>
                </c:pt>
                <c:pt idx="412">
                  <c:v>13.24225</c:v>
                </c:pt>
                <c:pt idx="413">
                  <c:v>13.24371</c:v>
                </c:pt>
                <c:pt idx="414">
                  <c:v>13.24517</c:v>
                </c:pt>
                <c:pt idx="415">
                  <c:v>13.24663</c:v>
                </c:pt>
                <c:pt idx="416">
                  <c:v>13.248089999999999</c:v>
                </c:pt>
                <c:pt idx="417">
                  <c:v>13.249549999999999</c:v>
                </c:pt>
                <c:pt idx="418">
                  <c:v>13.251010000000001</c:v>
                </c:pt>
                <c:pt idx="419">
                  <c:v>13.252470000000001</c:v>
                </c:pt>
                <c:pt idx="420">
                  <c:v>13.25393</c:v>
                </c:pt>
                <c:pt idx="421">
                  <c:v>13.25539</c:v>
                </c:pt>
                <c:pt idx="422">
                  <c:v>13.25685</c:v>
                </c:pt>
                <c:pt idx="423">
                  <c:v>13.25831</c:v>
                </c:pt>
                <c:pt idx="424">
                  <c:v>13.25977</c:v>
                </c:pt>
                <c:pt idx="425">
                  <c:v>13.261229999999999</c:v>
                </c:pt>
                <c:pt idx="426">
                  <c:v>13.262689999999999</c:v>
                </c:pt>
                <c:pt idx="427">
                  <c:v>13.264150000000001</c:v>
                </c:pt>
                <c:pt idx="428">
                  <c:v>13.265610000000001</c:v>
                </c:pt>
                <c:pt idx="429">
                  <c:v>13.26707</c:v>
                </c:pt>
                <c:pt idx="430">
                  <c:v>13.26853</c:v>
                </c:pt>
                <c:pt idx="431">
                  <c:v>13.26999</c:v>
                </c:pt>
                <c:pt idx="432">
                  <c:v>13.27145</c:v>
                </c:pt>
                <c:pt idx="433">
                  <c:v>13.27291</c:v>
                </c:pt>
                <c:pt idx="434">
                  <c:v>13.274369999999999</c:v>
                </c:pt>
                <c:pt idx="435">
                  <c:v>13.275829999999999</c:v>
                </c:pt>
                <c:pt idx="436">
                  <c:v>13.277290000000001</c:v>
                </c:pt>
                <c:pt idx="437">
                  <c:v>13.27875</c:v>
                </c:pt>
                <c:pt idx="438">
                  <c:v>13.28021</c:v>
                </c:pt>
                <c:pt idx="439">
                  <c:v>13.28167</c:v>
                </c:pt>
                <c:pt idx="440">
                  <c:v>13.28313</c:v>
                </c:pt>
                <c:pt idx="441">
                  <c:v>13.28459</c:v>
                </c:pt>
                <c:pt idx="442">
                  <c:v>13.286049999999999</c:v>
                </c:pt>
                <c:pt idx="443">
                  <c:v>13.287509999999999</c:v>
                </c:pt>
                <c:pt idx="444">
                  <c:v>13.288970000000001</c:v>
                </c:pt>
                <c:pt idx="445">
                  <c:v>13.290430000000001</c:v>
                </c:pt>
                <c:pt idx="446">
                  <c:v>13.29189</c:v>
                </c:pt>
                <c:pt idx="447">
                  <c:v>13.29335</c:v>
                </c:pt>
                <c:pt idx="448">
                  <c:v>13.29481</c:v>
                </c:pt>
                <c:pt idx="449">
                  <c:v>13.29627</c:v>
                </c:pt>
                <c:pt idx="450">
                  <c:v>13.2978983</c:v>
                </c:pt>
                <c:pt idx="451">
                  <c:v>13.2996949</c:v>
                </c:pt>
                <c:pt idx="452">
                  <c:v>13.301491499999999</c:v>
                </c:pt>
                <c:pt idx="453">
                  <c:v>13.3032881</c:v>
                </c:pt>
                <c:pt idx="454">
                  <c:v>13.305084799999999</c:v>
                </c:pt>
                <c:pt idx="455">
                  <c:v>13.3068814</c:v>
                </c:pt>
                <c:pt idx="456">
                  <c:v>13.308678</c:v>
                </c:pt>
                <c:pt idx="457">
                  <c:v>13.310474599999999</c:v>
                </c:pt>
                <c:pt idx="458">
                  <c:v>13.3122712</c:v>
                </c:pt>
                <c:pt idx="459">
                  <c:v>13.3140678</c:v>
                </c:pt>
                <c:pt idx="460">
                  <c:v>13.315864400000001</c:v>
                </c:pt>
                <c:pt idx="461">
                  <c:v>13.317660999999999</c:v>
                </c:pt>
                <c:pt idx="462">
                  <c:v>13.3194576</c:v>
                </c:pt>
                <c:pt idx="463">
                  <c:v>13.3212542</c:v>
                </c:pt>
                <c:pt idx="464">
                  <c:v>13.3230509</c:v>
                </c:pt>
                <c:pt idx="465">
                  <c:v>13.324847500000001</c:v>
                </c:pt>
                <c:pt idx="466">
                  <c:v>13.326644099999999</c:v>
                </c:pt>
                <c:pt idx="467">
                  <c:v>13.3284407</c:v>
                </c:pt>
                <c:pt idx="468">
                  <c:v>13.3302373</c:v>
                </c:pt>
                <c:pt idx="469">
                  <c:v>13.332033900000001</c:v>
                </c:pt>
                <c:pt idx="470">
                  <c:v>13.333830499999999</c:v>
                </c:pt>
                <c:pt idx="471">
                  <c:v>13.3356271</c:v>
                </c:pt>
                <c:pt idx="472">
                  <c:v>13.3374237</c:v>
                </c:pt>
                <c:pt idx="473">
                  <c:v>13.339220299999999</c:v>
                </c:pt>
                <c:pt idx="474">
                  <c:v>13.341017000000001</c:v>
                </c:pt>
                <c:pt idx="475">
                  <c:v>13.342813599999999</c:v>
                </c:pt>
                <c:pt idx="476">
                  <c:v>13.3446102</c:v>
                </c:pt>
                <c:pt idx="477">
                  <c:v>13.3464068</c:v>
                </c:pt>
                <c:pt idx="478">
                  <c:v>13.348203399999999</c:v>
                </c:pt>
                <c:pt idx="479">
                  <c:v>13.35</c:v>
                </c:pt>
                <c:pt idx="480">
                  <c:v>13.3705</c:v>
                </c:pt>
                <c:pt idx="481">
                  <c:v>13.391</c:v>
                </c:pt>
                <c:pt idx="482">
                  <c:v>13.4115</c:v>
                </c:pt>
                <c:pt idx="483">
                  <c:v>13.432</c:v>
                </c:pt>
                <c:pt idx="484">
                  <c:v>13.452500000000001</c:v>
                </c:pt>
                <c:pt idx="485">
                  <c:v>13.473000000000001</c:v>
                </c:pt>
                <c:pt idx="486">
                  <c:v>13.493499999999999</c:v>
                </c:pt>
                <c:pt idx="487">
                  <c:v>13.513999999999999</c:v>
                </c:pt>
                <c:pt idx="488">
                  <c:v>13.5345</c:v>
                </c:pt>
                <c:pt idx="489">
                  <c:v>13.555</c:v>
                </c:pt>
                <c:pt idx="490">
                  <c:v>13.5755</c:v>
                </c:pt>
                <c:pt idx="491">
                  <c:v>13.596</c:v>
                </c:pt>
                <c:pt idx="492">
                  <c:v>13.6165</c:v>
                </c:pt>
                <c:pt idx="493">
                  <c:v>13.637</c:v>
                </c:pt>
                <c:pt idx="494">
                  <c:v>13.657500000000001</c:v>
                </c:pt>
                <c:pt idx="495">
                  <c:v>13.678000000000001</c:v>
                </c:pt>
                <c:pt idx="496">
                  <c:v>13.698499999999999</c:v>
                </c:pt>
                <c:pt idx="497">
                  <c:v>13.718999999999999</c:v>
                </c:pt>
                <c:pt idx="498">
                  <c:v>13.7395</c:v>
                </c:pt>
                <c:pt idx="499">
                  <c:v>13.76</c:v>
                </c:pt>
                <c:pt idx="500">
                  <c:v>13.7805</c:v>
                </c:pt>
                <c:pt idx="501">
                  <c:v>13.801</c:v>
                </c:pt>
                <c:pt idx="502">
                  <c:v>13.8215</c:v>
                </c:pt>
                <c:pt idx="503">
                  <c:v>13.842000000000001</c:v>
                </c:pt>
                <c:pt idx="504">
                  <c:v>13.862500000000001</c:v>
                </c:pt>
                <c:pt idx="505">
                  <c:v>13.882999999999999</c:v>
                </c:pt>
                <c:pt idx="506">
                  <c:v>13.9212364</c:v>
                </c:pt>
                <c:pt idx="507">
                  <c:v>13.959472699999999</c:v>
                </c:pt>
                <c:pt idx="508">
                  <c:v>13.9977091</c:v>
                </c:pt>
                <c:pt idx="509">
                  <c:v>14.0359455</c:v>
                </c:pt>
                <c:pt idx="510">
                  <c:v>14.0741818</c:v>
                </c:pt>
                <c:pt idx="511">
                  <c:v>14.1124182</c:v>
                </c:pt>
                <c:pt idx="512">
                  <c:v>14.150654599999999</c:v>
                </c:pt>
                <c:pt idx="513">
                  <c:v>14.188890900000001</c:v>
                </c:pt>
                <c:pt idx="514">
                  <c:v>14.227127299999999</c:v>
                </c:pt>
                <c:pt idx="515">
                  <c:v>14.265363600000001</c:v>
                </c:pt>
                <c:pt idx="516">
                  <c:v>14.303599999999999</c:v>
                </c:pt>
                <c:pt idx="517">
                  <c:v>14.3418364</c:v>
                </c:pt>
                <c:pt idx="518">
                  <c:v>14.380072699999999</c:v>
                </c:pt>
                <c:pt idx="519">
                  <c:v>14.4183091</c:v>
                </c:pt>
                <c:pt idx="520">
                  <c:v>14.456545500000001</c:v>
                </c:pt>
                <c:pt idx="521">
                  <c:v>14.4947818</c:v>
                </c:pt>
                <c:pt idx="522">
                  <c:v>14.533018200000001</c:v>
                </c:pt>
                <c:pt idx="523">
                  <c:v>14.5712546</c:v>
                </c:pt>
                <c:pt idx="524">
                  <c:v>14.609490900000001</c:v>
                </c:pt>
                <c:pt idx="525">
                  <c:v>14.6477273</c:v>
                </c:pt>
                <c:pt idx="526">
                  <c:v>14.685963599999999</c:v>
                </c:pt>
                <c:pt idx="527">
                  <c:v>14.7242</c:v>
                </c:pt>
                <c:pt idx="528">
                  <c:v>14.7624364</c:v>
                </c:pt>
                <c:pt idx="529">
                  <c:v>14.8006727</c:v>
                </c:pt>
                <c:pt idx="530">
                  <c:v>14.8389091</c:v>
                </c:pt>
                <c:pt idx="531">
                  <c:v>14.877145499999999</c:v>
                </c:pt>
                <c:pt idx="532">
                  <c:v>14.9153818</c:v>
                </c:pt>
                <c:pt idx="533">
                  <c:v>14.953618199999999</c:v>
                </c:pt>
                <c:pt idx="534">
                  <c:v>14.9918546</c:v>
                </c:pt>
                <c:pt idx="535">
                  <c:v>15.030090899999999</c:v>
                </c:pt>
                <c:pt idx="536">
                  <c:v>15.0683273</c:v>
                </c:pt>
                <c:pt idx="537">
                  <c:v>15.106563599999999</c:v>
                </c:pt>
                <c:pt idx="538">
                  <c:v>15.1448</c:v>
                </c:pt>
                <c:pt idx="539">
                  <c:v>15.183036400000001</c:v>
                </c:pt>
                <c:pt idx="540">
                  <c:v>15.2212727</c:v>
                </c:pt>
                <c:pt idx="541">
                  <c:v>15.259509100000001</c:v>
                </c:pt>
                <c:pt idx="542">
                  <c:v>15.2977455</c:v>
                </c:pt>
                <c:pt idx="543">
                  <c:v>15.335981800000001</c:v>
                </c:pt>
                <c:pt idx="544">
                  <c:v>15.3742182</c:v>
                </c:pt>
                <c:pt idx="545">
                  <c:v>15.4124546</c:v>
                </c:pt>
                <c:pt idx="546">
                  <c:v>15.4506909</c:v>
                </c:pt>
                <c:pt idx="547">
                  <c:v>15.4889273</c:v>
                </c:pt>
                <c:pt idx="548">
                  <c:v>15.5271636</c:v>
                </c:pt>
                <c:pt idx="549">
                  <c:v>15.5654</c:v>
                </c:pt>
                <c:pt idx="550">
                  <c:v>15.603636399999999</c:v>
                </c:pt>
                <c:pt idx="551">
                  <c:v>15.6418727</c:v>
                </c:pt>
                <c:pt idx="552">
                  <c:v>15.680109099999999</c:v>
                </c:pt>
                <c:pt idx="553">
                  <c:v>15.7183455</c:v>
                </c:pt>
                <c:pt idx="554">
                  <c:v>15.756581799999999</c:v>
                </c:pt>
                <c:pt idx="555">
                  <c:v>15.7948182</c:v>
                </c:pt>
                <c:pt idx="556">
                  <c:v>15.833054600000001</c:v>
                </c:pt>
                <c:pt idx="557">
                  <c:v>15.8712909</c:v>
                </c:pt>
                <c:pt idx="558">
                  <c:v>15.909527300000001</c:v>
                </c:pt>
                <c:pt idx="559">
                  <c:v>15.9477636</c:v>
                </c:pt>
                <c:pt idx="560">
                  <c:v>15.986000000000001</c:v>
                </c:pt>
                <c:pt idx="561">
                  <c:v>16.021599999999999</c:v>
                </c:pt>
                <c:pt idx="562">
                  <c:v>16.057200000000002</c:v>
                </c:pt>
                <c:pt idx="563">
                  <c:v>16.0928</c:v>
                </c:pt>
                <c:pt idx="564">
                  <c:v>16.128399999999999</c:v>
                </c:pt>
                <c:pt idx="565">
                  <c:v>16.164000000000001</c:v>
                </c:pt>
                <c:pt idx="566">
                  <c:v>16.1996</c:v>
                </c:pt>
                <c:pt idx="567">
                  <c:v>16.235199999999999</c:v>
                </c:pt>
                <c:pt idx="568">
                  <c:v>16.270800000000001</c:v>
                </c:pt>
                <c:pt idx="569">
                  <c:v>16.3064</c:v>
                </c:pt>
                <c:pt idx="570">
                  <c:v>16.341999999999999</c:v>
                </c:pt>
                <c:pt idx="571">
                  <c:v>16.4141111</c:v>
                </c:pt>
                <c:pt idx="572">
                  <c:v>16.4862222</c:v>
                </c:pt>
                <c:pt idx="573">
                  <c:v>16.558333300000001</c:v>
                </c:pt>
                <c:pt idx="574">
                  <c:v>16.630444399999998</c:v>
                </c:pt>
                <c:pt idx="575">
                  <c:v>16.7025556</c:v>
                </c:pt>
                <c:pt idx="576">
                  <c:v>16.774666700000001</c:v>
                </c:pt>
                <c:pt idx="577">
                  <c:v>16.846777800000002</c:v>
                </c:pt>
                <c:pt idx="578">
                  <c:v>16.918888899999999</c:v>
                </c:pt>
                <c:pt idx="579">
                  <c:v>16.991</c:v>
                </c:pt>
                <c:pt idx="580">
                  <c:v>17.013833300000002</c:v>
                </c:pt>
                <c:pt idx="581">
                  <c:v>17.036666700000001</c:v>
                </c:pt>
                <c:pt idx="582">
                  <c:v>17.0595</c:v>
                </c:pt>
                <c:pt idx="583">
                  <c:v>17.082333299999998</c:v>
                </c:pt>
                <c:pt idx="584">
                  <c:v>17.105166700000002</c:v>
                </c:pt>
                <c:pt idx="585">
                  <c:v>17.128</c:v>
                </c:pt>
                <c:pt idx="586">
                  <c:v>17.150833299999999</c:v>
                </c:pt>
                <c:pt idx="587">
                  <c:v>17.173666699999998</c:v>
                </c:pt>
                <c:pt idx="588">
                  <c:v>17.1965</c:v>
                </c:pt>
                <c:pt idx="589">
                  <c:v>17.219333299999999</c:v>
                </c:pt>
                <c:pt idx="590">
                  <c:v>17.242166699999999</c:v>
                </c:pt>
                <c:pt idx="591">
                  <c:v>17.265000000000001</c:v>
                </c:pt>
                <c:pt idx="592">
                  <c:v>17.287833299999999</c:v>
                </c:pt>
                <c:pt idx="593">
                  <c:v>17.310666699999999</c:v>
                </c:pt>
                <c:pt idx="594">
                  <c:v>17.333500000000001</c:v>
                </c:pt>
                <c:pt idx="595">
                  <c:v>17.356333299999999</c:v>
                </c:pt>
                <c:pt idx="596">
                  <c:v>17.379166699999999</c:v>
                </c:pt>
                <c:pt idx="597">
                  <c:v>17.402000000000001</c:v>
                </c:pt>
                <c:pt idx="598">
                  <c:v>17.4248333</c:v>
                </c:pt>
                <c:pt idx="599">
                  <c:v>17.447666699999999</c:v>
                </c:pt>
                <c:pt idx="600">
                  <c:v>17.470500000000001</c:v>
                </c:pt>
                <c:pt idx="601">
                  <c:v>17.4933333</c:v>
                </c:pt>
                <c:pt idx="602">
                  <c:v>17.516166699999999</c:v>
                </c:pt>
                <c:pt idx="603">
                  <c:v>17.539000000000001</c:v>
                </c:pt>
                <c:pt idx="604">
                  <c:v>17.5618333</c:v>
                </c:pt>
                <c:pt idx="605">
                  <c:v>17.5846667</c:v>
                </c:pt>
                <c:pt idx="606">
                  <c:v>17.607500000000002</c:v>
                </c:pt>
                <c:pt idx="607">
                  <c:v>17.6303333</c:v>
                </c:pt>
                <c:pt idx="608">
                  <c:v>17.6531667</c:v>
                </c:pt>
                <c:pt idx="609">
                  <c:v>17.675999999999998</c:v>
                </c:pt>
                <c:pt idx="610">
                  <c:v>17.742061899999999</c:v>
                </c:pt>
                <c:pt idx="611">
                  <c:v>17.808123699999999</c:v>
                </c:pt>
                <c:pt idx="612">
                  <c:v>17.874185600000001</c:v>
                </c:pt>
                <c:pt idx="613">
                  <c:v>17.940247400000001</c:v>
                </c:pt>
                <c:pt idx="614">
                  <c:v>18.006309300000002</c:v>
                </c:pt>
                <c:pt idx="615">
                  <c:v>18.072371100000002</c:v>
                </c:pt>
                <c:pt idx="616">
                  <c:v>18.138432999999999</c:v>
                </c:pt>
                <c:pt idx="617">
                  <c:v>18.2044949</c:v>
                </c:pt>
                <c:pt idx="618">
                  <c:v>18.2705567</c:v>
                </c:pt>
                <c:pt idx="619">
                  <c:v>18.336618600000001</c:v>
                </c:pt>
                <c:pt idx="620">
                  <c:v>18.402680400000001</c:v>
                </c:pt>
                <c:pt idx="621">
                  <c:v>18.468742299999999</c:v>
                </c:pt>
                <c:pt idx="622">
                  <c:v>18.534804099999999</c:v>
                </c:pt>
                <c:pt idx="623">
                  <c:v>18.600866</c:v>
                </c:pt>
                <c:pt idx="624">
                  <c:v>18.6669278</c:v>
                </c:pt>
                <c:pt idx="625">
                  <c:v>18.732989700000001</c:v>
                </c:pt>
                <c:pt idx="626">
                  <c:v>18.799051599999999</c:v>
                </c:pt>
                <c:pt idx="627">
                  <c:v>18.865113399999998</c:v>
                </c:pt>
                <c:pt idx="628">
                  <c:v>18.9311753</c:v>
                </c:pt>
                <c:pt idx="629">
                  <c:v>18.9972371</c:v>
                </c:pt>
                <c:pt idx="630">
                  <c:v>19.063299000000001</c:v>
                </c:pt>
                <c:pt idx="631">
                  <c:v>19.129360800000001</c:v>
                </c:pt>
                <c:pt idx="632">
                  <c:v>19.195422700000002</c:v>
                </c:pt>
                <c:pt idx="633">
                  <c:v>19.261484500000002</c:v>
                </c:pt>
                <c:pt idx="634">
                  <c:v>19.327546399999999</c:v>
                </c:pt>
                <c:pt idx="635">
                  <c:v>19.3936083</c:v>
                </c:pt>
                <c:pt idx="636">
                  <c:v>19.4596701</c:v>
                </c:pt>
                <c:pt idx="637">
                  <c:v>19.525732000000001</c:v>
                </c:pt>
                <c:pt idx="638">
                  <c:v>19.591793800000001</c:v>
                </c:pt>
                <c:pt idx="639">
                  <c:v>19.657855699999999</c:v>
                </c:pt>
                <c:pt idx="640">
                  <c:v>19.723917499999999</c:v>
                </c:pt>
                <c:pt idx="641">
                  <c:v>19.7899794</c:v>
                </c:pt>
                <c:pt idx="642">
                  <c:v>19.8560412</c:v>
                </c:pt>
                <c:pt idx="643">
                  <c:v>19.922103100000001</c:v>
                </c:pt>
                <c:pt idx="644">
                  <c:v>19.988164999999999</c:v>
                </c:pt>
                <c:pt idx="645">
                  <c:v>20.054226799999999</c:v>
                </c:pt>
                <c:pt idx="646">
                  <c:v>20.1202887</c:v>
                </c:pt>
                <c:pt idx="647">
                  <c:v>20.1863505</c:v>
                </c:pt>
                <c:pt idx="648">
                  <c:v>20.252412400000001</c:v>
                </c:pt>
                <c:pt idx="649">
                  <c:v>20.318474200000001</c:v>
                </c:pt>
                <c:pt idx="650">
                  <c:v>20.384536099999998</c:v>
                </c:pt>
                <c:pt idx="651">
                  <c:v>20.450597900000002</c:v>
                </c:pt>
                <c:pt idx="652">
                  <c:v>20.516659799999999</c:v>
                </c:pt>
                <c:pt idx="653">
                  <c:v>20.5827217</c:v>
                </c:pt>
                <c:pt idx="654">
                  <c:v>20.6487835</c:v>
                </c:pt>
                <c:pt idx="655">
                  <c:v>20.714845400000002</c:v>
                </c:pt>
                <c:pt idx="656">
                  <c:v>20.780907200000001</c:v>
                </c:pt>
                <c:pt idx="657">
                  <c:v>20.846969099999999</c:v>
                </c:pt>
                <c:pt idx="658">
                  <c:v>20.913030899999999</c:v>
                </c:pt>
                <c:pt idx="659">
                  <c:v>20.9790928</c:v>
                </c:pt>
                <c:pt idx="660">
                  <c:v>21.0451546</c:v>
                </c:pt>
                <c:pt idx="661">
                  <c:v>21.111216500000001</c:v>
                </c:pt>
                <c:pt idx="662">
                  <c:v>21.177278399999999</c:v>
                </c:pt>
                <c:pt idx="663">
                  <c:v>21.243340199999999</c:v>
                </c:pt>
                <c:pt idx="664">
                  <c:v>21.3094021</c:v>
                </c:pt>
                <c:pt idx="665">
                  <c:v>21.3754639</c:v>
                </c:pt>
                <c:pt idx="666">
                  <c:v>21.441525800000001</c:v>
                </c:pt>
                <c:pt idx="667">
                  <c:v>21.507587600000001</c:v>
                </c:pt>
                <c:pt idx="668">
                  <c:v>21.573649499999998</c:v>
                </c:pt>
                <c:pt idx="669">
                  <c:v>21.639711299999998</c:v>
                </c:pt>
                <c:pt idx="670">
                  <c:v>21.705773199999999</c:v>
                </c:pt>
                <c:pt idx="671">
                  <c:v>21.771835100000001</c:v>
                </c:pt>
                <c:pt idx="672">
                  <c:v>21.8378969</c:v>
                </c:pt>
                <c:pt idx="673">
                  <c:v>21.903958800000002</c:v>
                </c:pt>
                <c:pt idx="674">
                  <c:v>21.970020600000002</c:v>
                </c:pt>
                <c:pt idx="675">
                  <c:v>22.036082499999999</c:v>
                </c:pt>
                <c:pt idx="676">
                  <c:v>22.102144299999999</c:v>
                </c:pt>
                <c:pt idx="677">
                  <c:v>22.1682062</c:v>
                </c:pt>
                <c:pt idx="678">
                  <c:v>22.234268</c:v>
                </c:pt>
                <c:pt idx="679">
                  <c:v>22.300329900000001</c:v>
                </c:pt>
                <c:pt idx="680">
                  <c:v>22.366391799999999</c:v>
                </c:pt>
                <c:pt idx="681">
                  <c:v>22.432453599999999</c:v>
                </c:pt>
                <c:pt idx="682">
                  <c:v>22.4985155</c:v>
                </c:pt>
                <c:pt idx="683">
                  <c:v>22.5645773</c:v>
                </c:pt>
                <c:pt idx="684">
                  <c:v>22.630639200000001</c:v>
                </c:pt>
                <c:pt idx="685">
                  <c:v>22.696701000000001</c:v>
                </c:pt>
                <c:pt idx="686">
                  <c:v>22.762762899999998</c:v>
                </c:pt>
                <c:pt idx="687">
                  <c:v>22.828824699999998</c:v>
                </c:pt>
                <c:pt idx="688">
                  <c:v>22.8948866</c:v>
                </c:pt>
                <c:pt idx="689">
                  <c:v>22.960948500000001</c:v>
                </c:pt>
                <c:pt idx="690">
                  <c:v>23.027010300000001</c:v>
                </c:pt>
                <c:pt idx="691">
                  <c:v>23.093072200000002</c:v>
                </c:pt>
                <c:pt idx="692">
                  <c:v>23.159134000000002</c:v>
                </c:pt>
                <c:pt idx="693">
                  <c:v>23.225195899999999</c:v>
                </c:pt>
                <c:pt idx="694">
                  <c:v>23.291257699999999</c:v>
                </c:pt>
                <c:pt idx="695">
                  <c:v>23.3573196</c:v>
                </c:pt>
                <c:pt idx="696">
                  <c:v>23.4233814</c:v>
                </c:pt>
                <c:pt idx="697">
                  <c:v>23.489443300000001</c:v>
                </c:pt>
                <c:pt idx="698">
                  <c:v>23.555505199999999</c:v>
                </c:pt>
                <c:pt idx="699">
                  <c:v>23.621566999999999</c:v>
                </c:pt>
                <c:pt idx="700">
                  <c:v>23.6876289</c:v>
                </c:pt>
                <c:pt idx="701">
                  <c:v>23.7536907</c:v>
                </c:pt>
                <c:pt idx="702">
                  <c:v>23.819752600000001</c:v>
                </c:pt>
                <c:pt idx="703">
                  <c:v>23.885814400000001</c:v>
                </c:pt>
                <c:pt idx="704">
                  <c:v>23.951876299999999</c:v>
                </c:pt>
                <c:pt idx="705">
                  <c:v>24.017938099999999</c:v>
                </c:pt>
                <c:pt idx="706">
                  <c:v>24.084</c:v>
                </c:pt>
                <c:pt idx="707">
                  <c:v>24.135461500000002</c:v>
                </c:pt>
                <c:pt idx="708">
                  <c:v>24.186923100000001</c:v>
                </c:pt>
                <c:pt idx="709">
                  <c:v>24.2383846</c:v>
                </c:pt>
                <c:pt idx="710">
                  <c:v>24.289846199999999</c:v>
                </c:pt>
                <c:pt idx="711">
                  <c:v>24.341307700000002</c:v>
                </c:pt>
                <c:pt idx="712">
                  <c:v>24.3927692</c:v>
                </c:pt>
                <c:pt idx="713">
                  <c:v>24.4442308</c:v>
                </c:pt>
                <c:pt idx="714">
                  <c:v>24.495692300000002</c:v>
                </c:pt>
                <c:pt idx="715">
                  <c:v>24.547153900000001</c:v>
                </c:pt>
                <c:pt idx="716">
                  <c:v>24.5986154</c:v>
                </c:pt>
                <c:pt idx="717">
                  <c:v>24.650076899999998</c:v>
                </c:pt>
                <c:pt idx="718">
                  <c:v>24.701538500000002</c:v>
                </c:pt>
                <c:pt idx="719">
                  <c:v>24.753</c:v>
                </c:pt>
                <c:pt idx="720">
                  <c:v>24.804461499999999</c:v>
                </c:pt>
                <c:pt idx="721">
                  <c:v>24.855923099999998</c:v>
                </c:pt>
                <c:pt idx="722">
                  <c:v>24.9073846</c:v>
                </c:pt>
                <c:pt idx="723">
                  <c:v>24.9588462</c:v>
                </c:pt>
                <c:pt idx="724">
                  <c:v>25.010307699999998</c:v>
                </c:pt>
                <c:pt idx="725">
                  <c:v>25.061769200000001</c:v>
                </c:pt>
                <c:pt idx="726">
                  <c:v>25.1132308</c:v>
                </c:pt>
                <c:pt idx="727">
                  <c:v>25.164692299999999</c:v>
                </c:pt>
                <c:pt idx="728">
                  <c:v>25.216153899999998</c:v>
                </c:pt>
                <c:pt idx="729">
                  <c:v>25.2676154</c:v>
                </c:pt>
                <c:pt idx="730">
                  <c:v>25.319076899999999</c:v>
                </c:pt>
                <c:pt idx="731">
                  <c:v>25.370538499999999</c:v>
                </c:pt>
                <c:pt idx="732">
                  <c:v>25.422000000000001</c:v>
                </c:pt>
                <c:pt idx="733">
                  <c:v>25.473461499999999</c:v>
                </c:pt>
                <c:pt idx="734">
                  <c:v>25.524923099999999</c:v>
                </c:pt>
                <c:pt idx="735">
                  <c:v>25.576384600000001</c:v>
                </c:pt>
                <c:pt idx="736">
                  <c:v>25.6278462</c:v>
                </c:pt>
                <c:pt idx="737">
                  <c:v>25.679307699999999</c:v>
                </c:pt>
                <c:pt idx="738">
                  <c:v>25.730769200000001</c:v>
                </c:pt>
                <c:pt idx="739">
                  <c:v>25.782230800000001</c:v>
                </c:pt>
                <c:pt idx="740">
                  <c:v>25.833692299999999</c:v>
                </c:pt>
                <c:pt idx="741">
                  <c:v>25.885153899999999</c:v>
                </c:pt>
                <c:pt idx="742">
                  <c:v>25.936615400000001</c:v>
                </c:pt>
                <c:pt idx="743">
                  <c:v>25.988076899999999</c:v>
                </c:pt>
                <c:pt idx="744">
                  <c:v>26.039538499999999</c:v>
                </c:pt>
                <c:pt idx="745">
                  <c:v>26.091000000000001</c:v>
                </c:pt>
                <c:pt idx="746">
                  <c:v>26.1424615</c:v>
                </c:pt>
                <c:pt idx="747">
                  <c:v>26.193923099999999</c:v>
                </c:pt>
                <c:pt idx="748">
                  <c:v>26.245384600000001</c:v>
                </c:pt>
                <c:pt idx="749">
                  <c:v>26.296846200000001</c:v>
                </c:pt>
                <c:pt idx="750">
                  <c:v>26.348307699999999</c:v>
                </c:pt>
                <c:pt idx="751">
                  <c:v>26.399769200000001</c:v>
                </c:pt>
                <c:pt idx="752">
                  <c:v>26.451230800000001</c:v>
                </c:pt>
                <c:pt idx="753">
                  <c:v>26.5026923</c:v>
                </c:pt>
                <c:pt idx="754">
                  <c:v>26.554153899999999</c:v>
                </c:pt>
                <c:pt idx="755">
                  <c:v>26.605615400000001</c:v>
                </c:pt>
                <c:pt idx="756">
                  <c:v>26.6570769</c:v>
                </c:pt>
                <c:pt idx="757">
                  <c:v>26.7085385</c:v>
                </c:pt>
                <c:pt idx="758">
                  <c:v>26.76</c:v>
                </c:pt>
                <c:pt idx="759">
                  <c:v>26.8114615</c:v>
                </c:pt>
                <c:pt idx="760">
                  <c:v>26.8629231</c:v>
                </c:pt>
                <c:pt idx="761">
                  <c:v>26.914384600000002</c:v>
                </c:pt>
                <c:pt idx="762">
                  <c:v>26.965846200000001</c:v>
                </c:pt>
                <c:pt idx="763">
                  <c:v>27.0173077</c:v>
                </c:pt>
                <c:pt idx="764">
                  <c:v>27.068769199999998</c:v>
                </c:pt>
                <c:pt idx="765">
                  <c:v>27.120230800000002</c:v>
                </c:pt>
                <c:pt idx="766">
                  <c:v>27.1716923</c:v>
                </c:pt>
                <c:pt idx="767">
                  <c:v>27.2231539</c:v>
                </c:pt>
                <c:pt idx="768">
                  <c:v>27.274615399999998</c:v>
                </c:pt>
                <c:pt idx="769">
                  <c:v>27.3260769</c:v>
                </c:pt>
                <c:pt idx="770">
                  <c:v>27.3775385</c:v>
                </c:pt>
                <c:pt idx="771">
                  <c:v>27.428999999999998</c:v>
                </c:pt>
                <c:pt idx="772">
                  <c:v>27.480461500000001</c:v>
                </c:pt>
                <c:pt idx="773">
                  <c:v>27.5319231</c:v>
                </c:pt>
                <c:pt idx="774">
                  <c:v>27.583384599999999</c:v>
                </c:pt>
                <c:pt idx="775">
                  <c:v>27.634846199999998</c:v>
                </c:pt>
                <c:pt idx="776">
                  <c:v>27.6863077</c:v>
                </c:pt>
                <c:pt idx="777">
                  <c:v>27.737769199999999</c:v>
                </c:pt>
                <c:pt idx="778">
                  <c:v>27.789230799999999</c:v>
                </c:pt>
                <c:pt idx="779">
                  <c:v>27.840692300000001</c:v>
                </c:pt>
                <c:pt idx="780">
                  <c:v>27.8921539</c:v>
                </c:pt>
                <c:pt idx="781">
                  <c:v>27.943615399999999</c:v>
                </c:pt>
                <c:pt idx="782">
                  <c:v>27.995076900000001</c:v>
                </c:pt>
                <c:pt idx="783">
                  <c:v>28.0465385</c:v>
                </c:pt>
                <c:pt idx="784">
                  <c:v>28.097999999999999</c:v>
                </c:pt>
                <c:pt idx="785">
                  <c:v>28.126127700000001</c:v>
                </c:pt>
                <c:pt idx="786">
                  <c:v>28.154255299999999</c:v>
                </c:pt>
                <c:pt idx="787">
                  <c:v>28.182383000000002</c:v>
                </c:pt>
                <c:pt idx="788">
                  <c:v>28.210510599999999</c:v>
                </c:pt>
                <c:pt idx="789">
                  <c:v>28.238638300000002</c:v>
                </c:pt>
                <c:pt idx="790">
                  <c:v>28.266766000000001</c:v>
                </c:pt>
                <c:pt idx="791">
                  <c:v>28.294893600000002</c:v>
                </c:pt>
                <c:pt idx="792">
                  <c:v>28.323021300000001</c:v>
                </c:pt>
                <c:pt idx="793">
                  <c:v>28.351148899999998</c:v>
                </c:pt>
                <c:pt idx="794">
                  <c:v>28.379276600000001</c:v>
                </c:pt>
                <c:pt idx="795">
                  <c:v>28.4074043</c:v>
                </c:pt>
                <c:pt idx="796">
                  <c:v>28.435531900000001</c:v>
                </c:pt>
                <c:pt idx="797">
                  <c:v>28.4636596</c:v>
                </c:pt>
                <c:pt idx="798">
                  <c:v>28.491787200000001</c:v>
                </c:pt>
                <c:pt idx="799">
                  <c:v>28.5199149</c:v>
                </c:pt>
                <c:pt idx="800">
                  <c:v>28.548042599999999</c:v>
                </c:pt>
                <c:pt idx="801">
                  <c:v>28.5761702</c:v>
                </c:pt>
                <c:pt idx="802">
                  <c:v>28.604297899999999</c:v>
                </c:pt>
                <c:pt idx="803">
                  <c:v>28.6324255</c:v>
                </c:pt>
                <c:pt idx="804">
                  <c:v>28.660553199999999</c:v>
                </c:pt>
                <c:pt idx="805">
                  <c:v>28.688680900000001</c:v>
                </c:pt>
                <c:pt idx="806">
                  <c:v>28.716808499999999</c:v>
                </c:pt>
                <c:pt idx="807">
                  <c:v>28.744936200000001</c:v>
                </c:pt>
                <c:pt idx="808">
                  <c:v>28.773063799999999</c:v>
                </c:pt>
                <c:pt idx="809">
                  <c:v>28.801191500000002</c:v>
                </c:pt>
                <c:pt idx="810">
                  <c:v>28.8293192</c:v>
                </c:pt>
                <c:pt idx="811">
                  <c:v>28.857446800000002</c:v>
                </c:pt>
                <c:pt idx="812">
                  <c:v>28.885574500000001</c:v>
                </c:pt>
                <c:pt idx="813">
                  <c:v>28.913702099999998</c:v>
                </c:pt>
                <c:pt idx="814">
                  <c:v>28.941829800000001</c:v>
                </c:pt>
                <c:pt idx="815">
                  <c:v>28.9699575</c:v>
                </c:pt>
                <c:pt idx="816">
                  <c:v>28.998085100000001</c:v>
                </c:pt>
                <c:pt idx="817">
                  <c:v>29.0262128</c:v>
                </c:pt>
                <c:pt idx="818">
                  <c:v>29.054340400000001</c:v>
                </c:pt>
                <c:pt idx="819">
                  <c:v>29.0824681</c:v>
                </c:pt>
                <c:pt idx="820">
                  <c:v>29.110595700000001</c:v>
                </c:pt>
                <c:pt idx="821">
                  <c:v>29.1387234</c:v>
                </c:pt>
                <c:pt idx="822">
                  <c:v>29.166851099999999</c:v>
                </c:pt>
                <c:pt idx="823">
                  <c:v>29.1949787</c:v>
                </c:pt>
                <c:pt idx="824">
                  <c:v>29.223106399999999</c:v>
                </c:pt>
                <c:pt idx="825">
                  <c:v>29.251234</c:v>
                </c:pt>
                <c:pt idx="826">
                  <c:v>29.279361699999999</c:v>
                </c:pt>
                <c:pt idx="827">
                  <c:v>29.307489400000001</c:v>
                </c:pt>
                <c:pt idx="828">
                  <c:v>29.335616999999999</c:v>
                </c:pt>
                <c:pt idx="829">
                  <c:v>29.363744700000002</c:v>
                </c:pt>
                <c:pt idx="830">
                  <c:v>29.391872299999999</c:v>
                </c:pt>
                <c:pt idx="831">
                  <c:v>29.42</c:v>
                </c:pt>
                <c:pt idx="832">
                  <c:v>29.448127700000001</c:v>
                </c:pt>
                <c:pt idx="833">
                  <c:v>29.476255299999998</c:v>
                </c:pt>
                <c:pt idx="834">
                  <c:v>29.504383000000001</c:v>
                </c:pt>
                <c:pt idx="835">
                  <c:v>29.532510599999998</c:v>
                </c:pt>
                <c:pt idx="836">
                  <c:v>29.560638300000001</c:v>
                </c:pt>
                <c:pt idx="837">
                  <c:v>29.588766</c:v>
                </c:pt>
                <c:pt idx="838">
                  <c:v>29.616893600000001</c:v>
                </c:pt>
                <c:pt idx="839">
                  <c:v>29.6450213</c:v>
                </c:pt>
                <c:pt idx="840">
                  <c:v>29.673148900000001</c:v>
                </c:pt>
                <c:pt idx="841">
                  <c:v>29.7012766</c:v>
                </c:pt>
                <c:pt idx="842">
                  <c:v>29.729404299999999</c:v>
                </c:pt>
                <c:pt idx="843">
                  <c:v>29.7575319</c:v>
                </c:pt>
                <c:pt idx="844">
                  <c:v>29.785659599999999</c:v>
                </c:pt>
                <c:pt idx="845">
                  <c:v>29.8137872</c:v>
                </c:pt>
                <c:pt idx="846">
                  <c:v>29.841914899999999</c:v>
                </c:pt>
                <c:pt idx="847">
                  <c:v>29.870042600000001</c:v>
                </c:pt>
                <c:pt idx="848">
                  <c:v>29.898170199999999</c:v>
                </c:pt>
                <c:pt idx="849">
                  <c:v>29.926297900000002</c:v>
                </c:pt>
                <c:pt idx="850">
                  <c:v>29.954425499999999</c:v>
                </c:pt>
                <c:pt idx="851">
                  <c:v>29.982553200000002</c:v>
                </c:pt>
                <c:pt idx="852">
                  <c:v>30.010680900000001</c:v>
                </c:pt>
                <c:pt idx="853">
                  <c:v>30.038808499999998</c:v>
                </c:pt>
                <c:pt idx="854">
                  <c:v>30.066936200000001</c:v>
                </c:pt>
                <c:pt idx="855">
                  <c:v>30.095063799999998</c:v>
                </c:pt>
                <c:pt idx="856">
                  <c:v>30.123191500000001</c:v>
                </c:pt>
                <c:pt idx="857">
                  <c:v>30.1513192</c:v>
                </c:pt>
                <c:pt idx="858">
                  <c:v>30.179446800000001</c:v>
                </c:pt>
                <c:pt idx="859">
                  <c:v>30.2075745</c:v>
                </c:pt>
                <c:pt idx="860">
                  <c:v>30.235702100000001</c:v>
                </c:pt>
                <c:pt idx="861">
                  <c:v>30.2638298</c:v>
                </c:pt>
                <c:pt idx="862">
                  <c:v>30.291957499999999</c:v>
                </c:pt>
                <c:pt idx="863">
                  <c:v>30.3200851</c:v>
                </c:pt>
                <c:pt idx="864">
                  <c:v>30.348212799999999</c:v>
                </c:pt>
                <c:pt idx="865">
                  <c:v>30.3763404</c:v>
                </c:pt>
                <c:pt idx="866">
                  <c:v>30.404468099999999</c:v>
                </c:pt>
                <c:pt idx="867">
                  <c:v>30.4325957</c:v>
                </c:pt>
                <c:pt idx="868">
                  <c:v>30.460723399999999</c:v>
                </c:pt>
                <c:pt idx="869">
                  <c:v>30.488851100000002</c:v>
                </c:pt>
                <c:pt idx="870">
                  <c:v>30.516978699999999</c:v>
                </c:pt>
                <c:pt idx="871">
                  <c:v>30.545106400000002</c:v>
                </c:pt>
                <c:pt idx="872">
                  <c:v>30.573233999999999</c:v>
                </c:pt>
                <c:pt idx="873">
                  <c:v>30.601361699999998</c:v>
                </c:pt>
                <c:pt idx="874">
                  <c:v>30.629489400000001</c:v>
                </c:pt>
                <c:pt idx="875">
                  <c:v>30.657616999999998</c:v>
                </c:pt>
                <c:pt idx="876">
                  <c:v>30.685744700000001</c:v>
                </c:pt>
                <c:pt idx="877">
                  <c:v>30.713872299999998</c:v>
                </c:pt>
                <c:pt idx="878">
                  <c:v>30.742000000000001</c:v>
                </c:pt>
                <c:pt idx="879">
                  <c:v>30.7541619</c:v>
                </c:pt>
                <c:pt idx="880">
                  <c:v>30.766323799999999</c:v>
                </c:pt>
                <c:pt idx="881">
                  <c:v>30.778485700000001</c:v>
                </c:pt>
                <c:pt idx="882">
                  <c:v>30.7906476</c:v>
                </c:pt>
                <c:pt idx="883">
                  <c:v>30.802809499999999</c:v>
                </c:pt>
                <c:pt idx="884">
                  <c:v>30.814971400000001</c:v>
                </c:pt>
                <c:pt idx="885">
                  <c:v>30.8271333</c:v>
                </c:pt>
                <c:pt idx="886">
                  <c:v>30.839295199999999</c:v>
                </c:pt>
                <c:pt idx="887">
                  <c:v>30.851457100000001</c:v>
                </c:pt>
                <c:pt idx="888">
                  <c:v>30.863619100000001</c:v>
                </c:pt>
                <c:pt idx="889">
                  <c:v>30.875781</c:v>
                </c:pt>
                <c:pt idx="890">
                  <c:v>30.887942899999999</c:v>
                </c:pt>
                <c:pt idx="891">
                  <c:v>30.900104800000001</c:v>
                </c:pt>
                <c:pt idx="892">
                  <c:v>30.9122667</c:v>
                </c:pt>
                <c:pt idx="893">
                  <c:v>30.924428599999999</c:v>
                </c:pt>
                <c:pt idx="894">
                  <c:v>30.936590500000001</c:v>
                </c:pt>
                <c:pt idx="895">
                  <c:v>30.9487524</c:v>
                </c:pt>
                <c:pt idx="896">
                  <c:v>30.960914299999999</c:v>
                </c:pt>
                <c:pt idx="897">
                  <c:v>30.973076200000001</c:v>
                </c:pt>
                <c:pt idx="898">
                  <c:v>30.9852381</c:v>
                </c:pt>
                <c:pt idx="899">
                  <c:v>30.997399999999999</c:v>
                </c:pt>
                <c:pt idx="900">
                  <c:v>31.009561900000001</c:v>
                </c:pt>
                <c:pt idx="901">
                  <c:v>31.0217238</c:v>
                </c:pt>
                <c:pt idx="902">
                  <c:v>31.033885699999999</c:v>
                </c:pt>
                <c:pt idx="903">
                  <c:v>31.046047600000001</c:v>
                </c:pt>
                <c:pt idx="904">
                  <c:v>31.0582095</c:v>
                </c:pt>
                <c:pt idx="905">
                  <c:v>31.070371399999999</c:v>
                </c:pt>
                <c:pt idx="906">
                  <c:v>31.082533300000001</c:v>
                </c:pt>
                <c:pt idx="907">
                  <c:v>31.0946952</c:v>
                </c:pt>
                <c:pt idx="908">
                  <c:v>31.106857099999999</c:v>
                </c:pt>
                <c:pt idx="909">
                  <c:v>31.119019099999999</c:v>
                </c:pt>
                <c:pt idx="910">
                  <c:v>31.131181000000002</c:v>
                </c:pt>
                <c:pt idx="911">
                  <c:v>31.1433429</c:v>
                </c:pt>
                <c:pt idx="912">
                  <c:v>31.155504799999999</c:v>
                </c:pt>
                <c:pt idx="913">
                  <c:v>31.167666700000002</c:v>
                </c:pt>
                <c:pt idx="914">
                  <c:v>31.1798286</c:v>
                </c:pt>
                <c:pt idx="915">
                  <c:v>31.191990499999999</c:v>
                </c:pt>
                <c:pt idx="916">
                  <c:v>31.204152400000002</c:v>
                </c:pt>
                <c:pt idx="917">
                  <c:v>31.216314300000001</c:v>
                </c:pt>
                <c:pt idx="918">
                  <c:v>31.228476199999999</c:v>
                </c:pt>
                <c:pt idx="919">
                  <c:v>31.240638100000002</c:v>
                </c:pt>
                <c:pt idx="920">
                  <c:v>31.252800000000001</c:v>
                </c:pt>
                <c:pt idx="921">
                  <c:v>31.264961899999999</c:v>
                </c:pt>
                <c:pt idx="922">
                  <c:v>31.277123799999998</c:v>
                </c:pt>
                <c:pt idx="923">
                  <c:v>31.289285700000001</c:v>
                </c:pt>
                <c:pt idx="924">
                  <c:v>31.301447599999999</c:v>
                </c:pt>
                <c:pt idx="925">
                  <c:v>31.313609499999998</c:v>
                </c:pt>
                <c:pt idx="926">
                  <c:v>31.325771400000001</c:v>
                </c:pt>
                <c:pt idx="927">
                  <c:v>31.3379333</c:v>
                </c:pt>
                <c:pt idx="928">
                  <c:v>31.350095199999998</c:v>
                </c:pt>
                <c:pt idx="929">
                  <c:v>31.362257100000001</c:v>
                </c:pt>
                <c:pt idx="930">
                  <c:v>31.374419100000001</c:v>
                </c:pt>
                <c:pt idx="931">
                  <c:v>31.386581</c:v>
                </c:pt>
                <c:pt idx="932">
                  <c:v>31.398742899999998</c:v>
                </c:pt>
                <c:pt idx="933">
                  <c:v>31.410904800000001</c:v>
                </c:pt>
                <c:pt idx="934">
                  <c:v>31.4230667</c:v>
                </c:pt>
                <c:pt idx="935">
                  <c:v>31.435228599999999</c:v>
                </c:pt>
                <c:pt idx="936">
                  <c:v>31.447390500000001</c:v>
                </c:pt>
                <c:pt idx="937">
                  <c:v>31.4595524</c:v>
                </c:pt>
                <c:pt idx="938">
                  <c:v>31.471714299999999</c:v>
                </c:pt>
                <c:pt idx="939">
                  <c:v>31.483876200000001</c:v>
                </c:pt>
                <c:pt idx="940">
                  <c:v>31.4960381</c:v>
                </c:pt>
                <c:pt idx="941">
                  <c:v>31.508199999999999</c:v>
                </c:pt>
                <c:pt idx="942">
                  <c:v>31.520361900000001</c:v>
                </c:pt>
                <c:pt idx="943">
                  <c:v>31.5325238</c:v>
                </c:pt>
                <c:pt idx="944">
                  <c:v>31.544685699999999</c:v>
                </c:pt>
                <c:pt idx="945">
                  <c:v>31.556847600000001</c:v>
                </c:pt>
                <c:pt idx="946">
                  <c:v>31.5690095</c:v>
                </c:pt>
                <c:pt idx="947">
                  <c:v>31.581171399999999</c:v>
                </c:pt>
                <c:pt idx="948">
                  <c:v>31.593333300000001</c:v>
                </c:pt>
                <c:pt idx="949">
                  <c:v>31.6054952</c:v>
                </c:pt>
                <c:pt idx="950">
                  <c:v>31.617657099999999</c:v>
                </c:pt>
                <c:pt idx="951">
                  <c:v>31.629819099999999</c:v>
                </c:pt>
                <c:pt idx="952">
                  <c:v>31.641981000000001</c:v>
                </c:pt>
                <c:pt idx="953">
                  <c:v>31.6541429</c:v>
                </c:pt>
                <c:pt idx="954">
                  <c:v>31.666304799999999</c:v>
                </c:pt>
                <c:pt idx="955">
                  <c:v>31.678466700000001</c:v>
                </c:pt>
                <c:pt idx="956">
                  <c:v>31.6906286</c:v>
                </c:pt>
                <c:pt idx="957">
                  <c:v>31.702790499999999</c:v>
                </c:pt>
                <c:pt idx="958">
                  <c:v>31.714952400000001</c:v>
                </c:pt>
                <c:pt idx="959">
                  <c:v>31.7271143</c:v>
                </c:pt>
                <c:pt idx="960">
                  <c:v>31.739276199999999</c:v>
                </c:pt>
                <c:pt idx="961">
                  <c:v>31.751438100000001</c:v>
                </c:pt>
                <c:pt idx="962">
                  <c:v>31.7636</c:v>
                </c:pt>
                <c:pt idx="963">
                  <c:v>31.775761899999999</c:v>
                </c:pt>
                <c:pt idx="964">
                  <c:v>31.787923800000002</c:v>
                </c:pt>
                <c:pt idx="965">
                  <c:v>31.8000857</c:v>
                </c:pt>
                <c:pt idx="966">
                  <c:v>31.812247599999999</c:v>
                </c:pt>
                <c:pt idx="967">
                  <c:v>31.824409500000002</c:v>
                </c:pt>
                <c:pt idx="968">
                  <c:v>31.8365714</c:v>
                </c:pt>
                <c:pt idx="969">
                  <c:v>31.848733299999999</c:v>
                </c:pt>
                <c:pt idx="970">
                  <c:v>31.860895200000002</c:v>
                </c:pt>
                <c:pt idx="971">
                  <c:v>31.8730571</c:v>
                </c:pt>
                <c:pt idx="972">
                  <c:v>31.8852191</c:v>
                </c:pt>
                <c:pt idx="973">
                  <c:v>31.897380999999999</c:v>
                </c:pt>
                <c:pt idx="974">
                  <c:v>31.909542900000002</c:v>
                </c:pt>
                <c:pt idx="975">
                  <c:v>31.921704800000001</c:v>
                </c:pt>
                <c:pt idx="976">
                  <c:v>31.933866699999999</c:v>
                </c:pt>
                <c:pt idx="977">
                  <c:v>31.946028600000002</c:v>
                </c:pt>
                <c:pt idx="978">
                  <c:v>31.958190500000001</c:v>
                </c:pt>
                <c:pt idx="979">
                  <c:v>31.970352399999999</c:v>
                </c:pt>
                <c:pt idx="980">
                  <c:v>31.982514299999998</c:v>
                </c:pt>
                <c:pt idx="981">
                  <c:v>31.994676200000001</c:v>
                </c:pt>
                <c:pt idx="982">
                  <c:v>32.006838100000003</c:v>
                </c:pt>
                <c:pt idx="983">
                  <c:v>32.018999999999998</c:v>
                </c:pt>
                <c:pt idx="984">
                  <c:v>32.048000000000002</c:v>
                </c:pt>
                <c:pt idx="985">
                  <c:v>32.076999999999998</c:v>
                </c:pt>
                <c:pt idx="986">
                  <c:v>32.106000000000002</c:v>
                </c:pt>
                <c:pt idx="987">
                  <c:v>32.134999999999998</c:v>
                </c:pt>
                <c:pt idx="988">
                  <c:v>32.164000000000001</c:v>
                </c:pt>
                <c:pt idx="989">
                  <c:v>32.192999999999998</c:v>
                </c:pt>
                <c:pt idx="990">
                  <c:v>32.222000000000001</c:v>
                </c:pt>
                <c:pt idx="991">
                  <c:v>32.250999999999998</c:v>
                </c:pt>
                <c:pt idx="992">
                  <c:v>32.28</c:v>
                </c:pt>
                <c:pt idx="993">
                  <c:v>32.308999999999997</c:v>
                </c:pt>
                <c:pt idx="994">
                  <c:v>32.338000000000001</c:v>
                </c:pt>
                <c:pt idx="995">
                  <c:v>32.366999999999997</c:v>
                </c:pt>
                <c:pt idx="996">
                  <c:v>32.396000000000001</c:v>
                </c:pt>
                <c:pt idx="997">
                  <c:v>32.424999999999997</c:v>
                </c:pt>
                <c:pt idx="998">
                  <c:v>32.454000000000001</c:v>
                </c:pt>
                <c:pt idx="999">
                  <c:v>32.482999999999997</c:v>
                </c:pt>
                <c:pt idx="1000">
                  <c:v>32.512</c:v>
                </c:pt>
                <c:pt idx="1001">
                  <c:v>32.540999999999997</c:v>
                </c:pt>
                <c:pt idx="1002">
                  <c:v>32.57</c:v>
                </c:pt>
                <c:pt idx="1003">
                  <c:v>32.598999999999997</c:v>
                </c:pt>
                <c:pt idx="1004">
                  <c:v>32.628</c:v>
                </c:pt>
                <c:pt idx="1005">
                  <c:v>32.656999999999996</c:v>
                </c:pt>
                <c:pt idx="1006">
                  <c:v>32.686</c:v>
                </c:pt>
                <c:pt idx="1007">
                  <c:v>32.715000000000003</c:v>
                </c:pt>
                <c:pt idx="1008">
                  <c:v>32.744</c:v>
                </c:pt>
                <c:pt idx="1009">
                  <c:v>32.773000000000003</c:v>
                </c:pt>
                <c:pt idx="1010">
                  <c:v>32.802</c:v>
                </c:pt>
                <c:pt idx="1011">
                  <c:v>32.831000000000003</c:v>
                </c:pt>
                <c:pt idx="1012">
                  <c:v>32.86</c:v>
                </c:pt>
                <c:pt idx="1013">
                  <c:v>32.889000000000003</c:v>
                </c:pt>
                <c:pt idx="1014">
                  <c:v>32.917999999999999</c:v>
                </c:pt>
                <c:pt idx="1015">
                  <c:v>32.947000000000003</c:v>
                </c:pt>
                <c:pt idx="1016">
                  <c:v>32.975999999999999</c:v>
                </c:pt>
                <c:pt idx="1017">
                  <c:v>33.005000000000003</c:v>
                </c:pt>
                <c:pt idx="1018">
                  <c:v>33.033999999999999</c:v>
                </c:pt>
                <c:pt idx="1019">
                  <c:v>33.063000000000002</c:v>
                </c:pt>
                <c:pt idx="1020">
                  <c:v>33.091999999999999</c:v>
                </c:pt>
                <c:pt idx="1021">
                  <c:v>33.121000000000002</c:v>
                </c:pt>
                <c:pt idx="1022">
                  <c:v>33.15</c:v>
                </c:pt>
                <c:pt idx="1023">
                  <c:v>33.179000000000002</c:v>
                </c:pt>
                <c:pt idx="1024">
                  <c:v>33.207999999999998</c:v>
                </c:pt>
                <c:pt idx="1025">
                  <c:v>33.237000000000002</c:v>
                </c:pt>
                <c:pt idx="1026">
                  <c:v>33.265999999999998</c:v>
                </c:pt>
                <c:pt idx="1027">
                  <c:v>33.295000000000002</c:v>
                </c:pt>
                <c:pt idx="1028">
                  <c:v>33.323999999999998</c:v>
                </c:pt>
                <c:pt idx="1029">
                  <c:v>33.353000000000002</c:v>
                </c:pt>
                <c:pt idx="1030">
                  <c:v>33.381999999999998</c:v>
                </c:pt>
                <c:pt idx="1031">
                  <c:v>33.411000000000001</c:v>
                </c:pt>
                <c:pt idx="1032">
                  <c:v>33.44</c:v>
                </c:pt>
                <c:pt idx="1033">
                  <c:v>33.469000000000001</c:v>
                </c:pt>
                <c:pt idx="1034">
                  <c:v>33.497999999999998</c:v>
                </c:pt>
                <c:pt idx="1035">
                  <c:v>33.527000000000001</c:v>
                </c:pt>
                <c:pt idx="1036">
                  <c:v>33.555999999999997</c:v>
                </c:pt>
                <c:pt idx="1037">
                  <c:v>33.585000000000001</c:v>
                </c:pt>
                <c:pt idx="1038">
                  <c:v>33.613999999999997</c:v>
                </c:pt>
                <c:pt idx="1039">
                  <c:v>33.643000000000001</c:v>
                </c:pt>
                <c:pt idx="1040">
                  <c:v>33.671999999999997</c:v>
                </c:pt>
                <c:pt idx="1041">
                  <c:v>33.701000000000001</c:v>
                </c:pt>
                <c:pt idx="1042">
                  <c:v>33.729999999999997</c:v>
                </c:pt>
                <c:pt idx="1043">
                  <c:v>33.759</c:v>
                </c:pt>
                <c:pt idx="1044">
                  <c:v>33.787999999999997</c:v>
                </c:pt>
                <c:pt idx="1045">
                  <c:v>33.817</c:v>
                </c:pt>
                <c:pt idx="1046">
                  <c:v>33.845999999999997</c:v>
                </c:pt>
                <c:pt idx="1047">
                  <c:v>33.875</c:v>
                </c:pt>
                <c:pt idx="1048">
                  <c:v>33.904000000000003</c:v>
                </c:pt>
                <c:pt idx="1049">
                  <c:v>33.933</c:v>
                </c:pt>
                <c:pt idx="1050">
                  <c:v>33.962000000000003</c:v>
                </c:pt>
                <c:pt idx="1051">
                  <c:v>33.991</c:v>
                </c:pt>
                <c:pt idx="1052">
                  <c:v>34.020000000000003</c:v>
                </c:pt>
                <c:pt idx="1053">
                  <c:v>34.048999999999999</c:v>
                </c:pt>
                <c:pt idx="1054">
                  <c:v>34.078000000000003</c:v>
                </c:pt>
                <c:pt idx="1055">
                  <c:v>34.106999999999999</c:v>
                </c:pt>
                <c:pt idx="1056">
                  <c:v>34.136000000000003</c:v>
                </c:pt>
                <c:pt idx="1057">
                  <c:v>34.164999999999999</c:v>
                </c:pt>
                <c:pt idx="1058">
                  <c:v>34.194000000000003</c:v>
                </c:pt>
                <c:pt idx="1059">
                  <c:v>34.222999999999999</c:v>
                </c:pt>
                <c:pt idx="1060">
                  <c:v>34.252000000000002</c:v>
                </c:pt>
                <c:pt idx="1061">
                  <c:v>34.280999999999999</c:v>
                </c:pt>
                <c:pt idx="1062">
                  <c:v>34.31</c:v>
                </c:pt>
                <c:pt idx="1063">
                  <c:v>34.338999999999999</c:v>
                </c:pt>
                <c:pt idx="1064">
                  <c:v>34.368000000000002</c:v>
                </c:pt>
                <c:pt idx="1065">
                  <c:v>34.396999999999998</c:v>
                </c:pt>
              </c:numCache>
            </c:numRef>
          </c:xVal>
          <c:yVal>
            <c:numRef>
              <c:f>'XRF selectie'!$T:$T</c:f>
              <c:numCache>
                <c:formatCode>General</c:formatCode>
                <c:ptCount val="1048576"/>
                <c:pt idx="0">
                  <c:v>0</c:v>
                </c:pt>
                <c:pt idx="2">
                  <c:v>1.2007184544674683</c:v>
                </c:pt>
                <c:pt idx="3">
                  <c:v>1.2249034793224851</c:v>
                </c:pt>
                <c:pt idx="4">
                  <c:v>1.2509364473548226</c:v>
                </c:pt>
                <c:pt idx="5">
                  <c:v>1.2646114801454607</c:v>
                </c:pt>
                <c:pt idx="6">
                  <c:v>1.2962595263983177</c:v>
                </c:pt>
                <c:pt idx="7">
                  <c:v>1.2947969661674348</c:v>
                </c:pt>
                <c:pt idx="8">
                  <c:v>1.280639655366836</c:v>
                </c:pt>
                <c:pt idx="9">
                  <c:v>1.2859090477511381</c:v>
                </c:pt>
                <c:pt idx="10">
                  <c:v>1.2966406742574632</c:v>
                </c:pt>
                <c:pt idx="11">
                  <c:v>1.3101076946983812</c:v>
                </c:pt>
                <c:pt idx="12">
                  <c:v>1.2730918757209455</c:v>
                </c:pt>
                <c:pt idx="13">
                  <c:v>1.2456044573789207</c:v>
                </c:pt>
                <c:pt idx="14">
                  <c:v>1.2374661325834397</c:v>
                </c:pt>
                <c:pt idx="15">
                  <c:v>1.2525252220920899</c:v>
                </c:pt>
                <c:pt idx="16">
                  <c:v>1.2581997511565011</c:v>
                </c:pt>
                <c:pt idx="17">
                  <c:v>1.2817238137738338</c:v>
                </c:pt>
                <c:pt idx="18">
                  <c:v>1.3036013836419693</c:v>
                </c:pt>
                <c:pt idx="19">
                  <c:v>1.2797685626703414</c:v>
                </c:pt>
                <c:pt idx="20">
                  <c:v>1.3203791187740574</c:v>
                </c:pt>
                <c:pt idx="21">
                  <c:v>1.3257380339906317</c:v>
                </c:pt>
                <c:pt idx="22">
                  <c:v>1.4221732502260238</c:v>
                </c:pt>
                <c:pt idx="23">
                  <c:v>1.4114783195577358</c:v>
                </c:pt>
                <c:pt idx="24">
                  <c:v>1.3887765395589506</c:v>
                </c:pt>
                <c:pt idx="25">
                  <c:v>1.3550099867996768</c:v>
                </c:pt>
                <c:pt idx="26">
                  <c:v>1.3260592581285497</c:v>
                </c:pt>
                <c:pt idx="27">
                  <c:v>1.3385788641800793</c:v>
                </c:pt>
                <c:pt idx="28">
                  <c:v>1.3557566384073587</c:v>
                </c:pt>
                <c:pt idx="29">
                  <c:v>1.3704438304211433</c:v>
                </c:pt>
                <c:pt idx="30">
                  <c:v>1.3678124757715697</c:v>
                </c:pt>
                <c:pt idx="31">
                  <c:v>1.3578600849307267</c:v>
                </c:pt>
                <c:pt idx="32">
                  <c:v>1.3575119394477355</c:v>
                </c:pt>
                <c:pt idx="33">
                  <c:v>1.3490087108445807</c:v>
                </c:pt>
                <c:pt idx="34">
                  <c:v>1.2868948390364199</c:v>
                </c:pt>
                <c:pt idx="35">
                  <c:v>1.2725593575084302</c:v>
                </c:pt>
                <c:pt idx="36">
                  <c:v>1.2992983532668825</c:v>
                </c:pt>
                <c:pt idx="37">
                  <c:v>1.3662358756319026</c:v>
                </c:pt>
                <c:pt idx="38">
                  <c:v>1.3607502575152364</c:v>
                </c:pt>
                <c:pt idx="39">
                  <c:v>1.3282847204200066</c:v>
                </c:pt>
                <c:pt idx="40">
                  <c:v>1.2724680274203228</c:v>
                </c:pt>
                <c:pt idx="41">
                  <c:v>1.2261044701174013</c:v>
                </c:pt>
                <c:pt idx="42">
                  <c:v>1.2056776273328287</c:v>
                </c:pt>
                <c:pt idx="43">
                  <c:v>1.2180050301889622</c:v>
                </c:pt>
                <c:pt idx="44">
                  <c:v>1.2587142376301221</c:v>
                </c:pt>
                <c:pt idx="45">
                  <c:v>1.1681406123765727</c:v>
                </c:pt>
                <c:pt idx="46">
                  <c:v>1.1898532147237717</c:v>
                </c:pt>
                <c:pt idx="47">
                  <c:v>1.1875606215040835</c:v>
                </c:pt>
                <c:pt idx="48">
                  <c:v>1.2527980170810042</c:v>
                </c:pt>
                <c:pt idx="49">
                  <c:v>1.1953902300004022</c:v>
                </c:pt>
                <c:pt idx="50">
                  <c:v>1.202762871635545</c:v>
                </c:pt>
                <c:pt idx="51">
                  <c:v>1.2615816336793684</c:v>
                </c:pt>
                <c:pt idx="52">
                  <c:v>1.3432009665318987</c:v>
                </c:pt>
                <c:pt idx="53">
                  <c:v>1.3130620664238013</c:v>
                </c:pt>
                <c:pt idx="54">
                  <c:v>1.2967295748321013</c:v>
                </c:pt>
                <c:pt idx="55">
                  <c:v>1.2826282330181416</c:v>
                </c:pt>
                <c:pt idx="56">
                  <c:v>1.295182627201318</c:v>
                </c:pt>
                <c:pt idx="57">
                  <c:v>1.2794444776384841</c:v>
                </c:pt>
                <c:pt idx="58">
                  <c:v>1.2454278570225392</c:v>
                </c:pt>
                <c:pt idx="59">
                  <c:v>1.2343264713568067</c:v>
                </c:pt>
                <c:pt idx="60">
                  <c:v>1.237448487769103</c:v>
                </c:pt>
                <c:pt idx="61">
                  <c:v>1.2373282145771987</c:v>
                </c:pt>
                <c:pt idx="62">
                  <c:v>1.2392097102549302</c:v>
                </c:pt>
                <c:pt idx="63">
                  <c:v>1.2349800334854308</c:v>
                </c:pt>
                <c:pt idx="64">
                  <c:v>1.2302811687880106</c:v>
                </c:pt>
                <c:pt idx="65">
                  <c:v>1.2198671508297469</c:v>
                </c:pt>
                <c:pt idx="66">
                  <c:v>1.2053245286719441</c:v>
                </c:pt>
                <c:pt idx="67">
                  <c:v>1.1846978765678253</c:v>
                </c:pt>
                <c:pt idx="68">
                  <c:v>1.1504840257896571</c:v>
                </c:pt>
                <c:pt idx="69">
                  <c:v>1.1553580179108838</c:v>
                </c:pt>
                <c:pt idx="70">
                  <c:v>1.1696429503698198</c:v>
                </c:pt>
                <c:pt idx="71">
                  <c:v>1.208730438597134</c:v>
                </c:pt>
                <c:pt idx="72">
                  <c:v>1.2282978671074003</c:v>
                </c:pt>
                <c:pt idx="73">
                  <c:v>1.2061391076775041</c:v>
                </c:pt>
                <c:pt idx="74">
                  <c:v>1.2038161414463375</c:v>
                </c:pt>
                <c:pt idx="75">
                  <c:v>1.2091925640967596</c:v>
                </c:pt>
                <c:pt idx="76">
                  <c:v>1.2469804196589667</c:v>
                </c:pt>
                <c:pt idx="77">
                  <c:v>1.2373695792899022</c:v>
                </c:pt>
                <c:pt idx="78">
                  <c:v>1.246923996398307</c:v>
                </c:pt>
                <c:pt idx="79">
                  <c:v>1.2464491385299803</c:v>
                </c:pt>
                <c:pt idx="80">
                  <c:v>1.2817977818553135</c:v>
                </c:pt>
                <c:pt idx="81">
                  <c:v>1.285499877583661</c:v>
                </c:pt>
                <c:pt idx="82">
                  <c:v>1.2925363733048227</c:v>
                </c:pt>
                <c:pt idx="83">
                  <c:v>1.2782374579488731</c:v>
                </c:pt>
                <c:pt idx="84">
                  <c:v>1.2643107174672874</c:v>
                </c:pt>
                <c:pt idx="85">
                  <c:v>1.2565333956414229</c:v>
                </c:pt>
                <c:pt idx="86">
                  <c:v>1.2619862786744953</c:v>
                </c:pt>
                <c:pt idx="87">
                  <c:v>1.2611100110926279</c:v>
                </c:pt>
                <c:pt idx="88">
                  <c:v>1.2576533814017281</c:v>
                </c:pt>
                <c:pt idx="89">
                  <c:v>1.25630265410938</c:v>
                </c:pt>
                <c:pt idx="90">
                  <c:v>1.26928633199476</c:v>
                </c:pt>
                <c:pt idx="91">
                  <c:v>1.2816889362645096</c:v>
                </c:pt>
                <c:pt idx="92">
                  <c:v>1.2929053459733344</c:v>
                </c:pt>
                <c:pt idx="93">
                  <c:v>1.2883869078990837</c:v>
                </c:pt>
                <c:pt idx="94">
                  <c:v>1.276951771601486</c:v>
                </c:pt>
                <c:pt idx="95">
                  <c:v>1.2785048221206059</c:v>
                </c:pt>
                <c:pt idx="96">
                  <c:v>1.2844442218536825</c:v>
                </c:pt>
                <c:pt idx="97">
                  <c:v>1.3035114952811124</c:v>
                </c:pt>
                <c:pt idx="98">
                  <c:v>1.2872239211498284</c:v>
                </c:pt>
                <c:pt idx="99">
                  <c:v>1.2544499172195911</c:v>
                </c:pt>
                <c:pt idx="100">
                  <c:v>1.2413095024156282</c:v>
                </c:pt>
                <c:pt idx="101">
                  <c:v>1.2405781408120105</c:v>
                </c:pt>
                <c:pt idx="102">
                  <c:v>1.247767791537624</c:v>
                </c:pt>
                <c:pt idx="103">
                  <c:v>1.2433631277805708</c:v>
                </c:pt>
                <c:pt idx="104">
                  <c:v>1.2318391380384819</c:v>
                </c:pt>
                <c:pt idx="105">
                  <c:v>1.2352577129088202</c:v>
                </c:pt>
                <c:pt idx="106">
                  <c:v>1.1760682884748792</c:v>
                </c:pt>
                <c:pt idx="107">
                  <c:v>1.186098183885065</c:v>
                </c:pt>
                <c:pt idx="108">
                  <c:v>1.1928269022141438</c:v>
                </c:pt>
                <c:pt idx="109">
                  <c:v>1.2531599692241218</c:v>
                </c:pt>
                <c:pt idx="110">
                  <c:v>1.2515755668227733</c:v>
                </c:pt>
                <c:pt idx="111">
                  <c:v>1.2417054950087556</c:v>
                </c:pt>
                <c:pt idx="112">
                  <c:v>1.2434915055961169</c:v>
                </c:pt>
                <c:pt idx="113">
                  <c:v>1.250833287354473</c:v>
                </c:pt>
                <c:pt idx="114">
                  <c:v>1.2561675557919318</c:v>
                </c:pt>
                <c:pt idx="115">
                  <c:v>1.2622266223350689</c:v>
                </c:pt>
                <c:pt idx="116">
                  <c:v>1.2812234001131693</c:v>
                </c:pt>
                <c:pt idx="117">
                  <c:v>1.3022822793904263</c:v>
                </c:pt>
                <c:pt idx="118">
                  <c:v>1.3008361872093275</c:v>
                </c:pt>
                <c:pt idx="119">
                  <c:v>1.3033722524537339</c:v>
                </c:pt>
                <c:pt idx="120">
                  <c:v>1.3035188858679401</c:v>
                </c:pt>
                <c:pt idx="121">
                  <c:v>1.3054648771353419</c:v>
                </c:pt>
                <c:pt idx="122">
                  <c:v>1.2715913396047438</c:v>
                </c:pt>
                <c:pt idx="123">
                  <c:v>1.2443725249990718</c:v>
                </c:pt>
                <c:pt idx="124">
                  <c:v>1.2389975717210031</c:v>
                </c:pt>
                <c:pt idx="125">
                  <c:v>1.2435343898643465</c:v>
                </c:pt>
                <c:pt idx="126">
                  <c:v>1.2448251757798869</c:v>
                </c:pt>
                <c:pt idx="127">
                  <c:v>1.2454724447369439</c:v>
                </c:pt>
                <c:pt idx="128">
                  <c:v>1.2457953196968157</c:v>
                </c:pt>
                <c:pt idx="129">
                  <c:v>1.2725745730863609</c:v>
                </c:pt>
                <c:pt idx="130">
                  <c:v>1.2692017402869864</c:v>
                </c:pt>
                <c:pt idx="131">
                  <c:v>1.2801666976565063</c:v>
                </c:pt>
                <c:pt idx="132">
                  <c:v>1.2660874231639978</c:v>
                </c:pt>
                <c:pt idx="133">
                  <c:v>1.2547545957189685</c:v>
                </c:pt>
                <c:pt idx="134">
                  <c:v>1.2412336664886443</c:v>
                </c:pt>
                <c:pt idx="135">
                  <c:v>1.2120765133791129</c:v>
                </c:pt>
                <c:pt idx="136">
                  <c:v>1.1704362251055442</c:v>
                </c:pt>
                <c:pt idx="137">
                  <c:v>1.1775760240564048</c:v>
                </c:pt>
                <c:pt idx="138">
                  <c:v>1.183678008068288</c:v>
                </c:pt>
                <c:pt idx="139">
                  <c:v>1.2219749804492699</c:v>
                </c:pt>
                <c:pt idx="140">
                  <c:v>1.2206442864691078</c:v>
                </c:pt>
                <c:pt idx="141">
                  <c:v>1.2076689547977422</c:v>
                </c:pt>
                <c:pt idx="142">
                  <c:v>1.212448754983148</c:v>
                </c:pt>
                <c:pt idx="143">
                  <c:v>1.18604756522888</c:v>
                </c:pt>
                <c:pt idx="144">
                  <c:v>1.2099421422871346</c:v>
                </c:pt>
                <c:pt idx="145">
                  <c:v>1.1978111747142919</c:v>
                </c:pt>
                <c:pt idx="146">
                  <c:v>1.2041924533480615</c:v>
                </c:pt>
                <c:pt idx="147">
                  <c:v>1.1960786133979944</c:v>
                </c:pt>
                <c:pt idx="148">
                  <c:v>1.1317586396737582</c:v>
                </c:pt>
                <c:pt idx="149">
                  <c:v>1.0715370383511333</c:v>
                </c:pt>
                <c:pt idx="150">
                  <c:v>1.0450909138231506</c:v>
                </c:pt>
                <c:pt idx="151">
                  <c:v>1.0785457824545353</c:v>
                </c:pt>
                <c:pt idx="152">
                  <c:v>1.1239299742979256</c:v>
                </c:pt>
                <c:pt idx="153">
                  <c:v>1.1202100229641305</c:v>
                </c:pt>
                <c:pt idx="154">
                  <c:v>1.1264611725121831</c:v>
                </c:pt>
                <c:pt idx="155">
                  <c:v>1.1231643868361256</c:v>
                </c:pt>
                <c:pt idx="156">
                  <c:v>1.1129222102384688</c:v>
                </c:pt>
                <c:pt idx="157">
                  <c:v>1.1171912933121437</c:v>
                </c:pt>
                <c:pt idx="158">
                  <c:v>1.1043385971720265</c:v>
                </c:pt>
                <c:pt idx="159">
                  <c:v>1.1081010276239511</c:v>
                </c:pt>
                <c:pt idx="160">
                  <c:v>1.1083376900158965</c:v>
                </c:pt>
                <c:pt idx="161">
                  <c:v>1.0944637002888182</c:v>
                </c:pt>
                <c:pt idx="162">
                  <c:v>1.0616438401844599</c:v>
                </c:pt>
                <c:pt idx="163">
                  <c:v>1.0226240447410586</c:v>
                </c:pt>
                <c:pt idx="164">
                  <c:v>1.033028323474996</c:v>
                </c:pt>
                <c:pt idx="165">
                  <c:v>1.0518120865841967</c:v>
                </c:pt>
                <c:pt idx="166">
                  <c:v>1.0453481536804832</c:v>
                </c:pt>
                <c:pt idx="167">
                  <c:v>1.0268383844520756</c:v>
                </c:pt>
                <c:pt idx="168">
                  <c:v>1.0060776585110414</c:v>
                </c:pt>
                <c:pt idx="169">
                  <c:v>0.99805956412161778</c:v>
                </c:pt>
                <c:pt idx="170">
                  <c:v>0.9803402745368377</c:v>
                </c:pt>
                <c:pt idx="171">
                  <c:v>0.94490166693171418</c:v>
                </c:pt>
                <c:pt idx="172">
                  <c:v>0.9268611919167139</c:v>
                </c:pt>
                <c:pt idx="173">
                  <c:v>0.92458512355969791</c:v>
                </c:pt>
                <c:pt idx="174">
                  <c:v>0.9453536860252546</c:v>
                </c:pt>
                <c:pt idx="175">
                  <c:v>0.93375931065791118</c:v>
                </c:pt>
                <c:pt idx="176">
                  <c:v>0.93049780562472817</c:v>
                </c:pt>
                <c:pt idx="177">
                  <c:v>0.92652848490957218</c:v>
                </c:pt>
                <c:pt idx="178">
                  <c:v>0.92123583113104068</c:v>
                </c:pt>
                <c:pt idx="179">
                  <c:v>0.86105400795456155</c:v>
                </c:pt>
                <c:pt idx="180">
                  <c:v>0.79886357200310998</c:v>
                </c:pt>
                <c:pt idx="181">
                  <c:v>0.71280132758905712</c:v>
                </c:pt>
                <c:pt idx="182">
                  <c:v>0.67576296725057194</c:v>
                </c:pt>
                <c:pt idx="183">
                  <c:v>0.57521260318546774</c:v>
                </c:pt>
                <c:pt idx="184">
                  <c:v>0.63412962310305587</c:v>
                </c:pt>
                <c:pt idx="185">
                  <c:v>0.65838357575141659</c:v>
                </c:pt>
                <c:pt idx="186">
                  <c:v>0.76286283876470529</c:v>
                </c:pt>
                <c:pt idx="187">
                  <c:v>0.74159950513273687</c:v>
                </c:pt>
                <c:pt idx="188">
                  <c:v>0.70327676847550469</c:v>
                </c:pt>
                <c:pt idx="189">
                  <c:v>0.68182796749520191</c:v>
                </c:pt>
                <c:pt idx="190">
                  <c:v>0.69636532925998151</c:v>
                </c:pt>
                <c:pt idx="191">
                  <c:v>0.70371021346636853</c:v>
                </c:pt>
                <c:pt idx="192">
                  <c:v>0.69830519598119822</c:v>
                </c:pt>
                <c:pt idx="193">
                  <c:v>0.63162952530607763</c:v>
                </c:pt>
                <c:pt idx="194">
                  <c:v>0.5423902556321889</c:v>
                </c:pt>
                <c:pt idx="195">
                  <c:v>0.51801096040494743</c:v>
                </c:pt>
                <c:pt idx="196">
                  <c:v>0.60561781749525989</c:v>
                </c:pt>
                <c:pt idx="197">
                  <c:v>0.69344832347886831</c:v>
                </c:pt>
                <c:pt idx="198">
                  <c:v>0.72411444254187673</c:v>
                </c:pt>
                <c:pt idx="199">
                  <c:v>0.72482820270159054</c:v>
                </c:pt>
                <c:pt idx="200">
                  <c:v>0.73358227709441415</c:v>
                </c:pt>
                <c:pt idx="201">
                  <c:v>0.56696272879852883</c:v>
                </c:pt>
                <c:pt idx="202">
                  <c:v>0.5182689751560009</c:v>
                </c:pt>
                <c:pt idx="203">
                  <c:v>0.58585671813091078</c:v>
                </c:pt>
                <c:pt idx="204">
                  <c:v>0.85223552684367687</c:v>
                </c:pt>
                <c:pt idx="205">
                  <c:v>0.9369490003324582</c:v>
                </c:pt>
                <c:pt idx="206">
                  <c:v>0.98015827747961604</c:v>
                </c:pt>
                <c:pt idx="207">
                  <c:v>0.98404803234839855</c:v>
                </c:pt>
                <c:pt idx="208">
                  <c:v>1.0016869695239581</c:v>
                </c:pt>
                <c:pt idx="209">
                  <c:v>0.98869408120506774</c:v>
                </c:pt>
                <c:pt idx="210">
                  <c:v>0.96738378473984177</c:v>
                </c:pt>
                <c:pt idx="211">
                  <c:v>0.94360413430508583</c:v>
                </c:pt>
                <c:pt idx="212">
                  <c:v>0.94352448319192384</c:v>
                </c:pt>
                <c:pt idx="213">
                  <c:v>0.95873791818913789</c:v>
                </c:pt>
                <c:pt idx="214">
                  <c:v>0.96259604492548279</c:v>
                </c:pt>
                <c:pt idx="215">
                  <c:v>0.95372811457024242</c:v>
                </c:pt>
                <c:pt idx="216">
                  <c:v>0.92176562192507516</c:v>
                </c:pt>
                <c:pt idx="217">
                  <c:v>0.93454041442706559</c:v>
                </c:pt>
                <c:pt idx="218">
                  <c:v>0.94712314784483642</c:v>
                </c:pt>
                <c:pt idx="219">
                  <c:v>0.96056328532646873</c:v>
                </c:pt>
                <c:pt idx="220">
                  <c:v>0.95771785593680836</c:v>
                </c:pt>
                <c:pt idx="221">
                  <c:v>0.96107395684408081</c:v>
                </c:pt>
                <c:pt idx="222">
                  <c:v>0.96962095317644226</c:v>
                </c:pt>
                <c:pt idx="223">
                  <c:v>0.95672647398215505</c:v>
                </c:pt>
                <c:pt idx="224">
                  <c:v>0.93780568396649266</c:v>
                </c:pt>
                <c:pt idx="225">
                  <c:v>0.92264358911310851</c:v>
                </c:pt>
                <c:pt idx="226">
                  <c:v>0.91635907832039198</c:v>
                </c:pt>
                <c:pt idx="227">
                  <c:v>0.90267724694177265</c:v>
                </c:pt>
                <c:pt idx="228">
                  <c:v>0.8953322162424282</c:v>
                </c:pt>
                <c:pt idx="229">
                  <c:v>0.90146935762374236</c:v>
                </c:pt>
                <c:pt idx="230">
                  <c:v>0.91295716383998526</c:v>
                </c:pt>
                <c:pt idx="231">
                  <c:v>0.91036318902447799</c:v>
                </c:pt>
                <c:pt idx="232">
                  <c:v>0.91566022533385338</c:v>
                </c:pt>
                <c:pt idx="233">
                  <c:v>0.8977764898817292</c:v>
                </c:pt>
                <c:pt idx="234">
                  <c:v>0.89148136600109096</c:v>
                </c:pt>
                <c:pt idx="235">
                  <c:v>0.85793069901060337</c:v>
                </c:pt>
                <c:pt idx="236">
                  <c:v>0.84907075895531159</c:v>
                </c:pt>
                <c:pt idx="237">
                  <c:v>0.83370285470200056</c:v>
                </c:pt>
                <c:pt idx="238">
                  <c:v>0.81495376865144298</c:v>
                </c:pt>
                <c:pt idx="239">
                  <c:v>0.80169594809912681</c:v>
                </c:pt>
                <c:pt idx="240">
                  <c:v>0.79897565813806537</c:v>
                </c:pt>
                <c:pt idx="241">
                  <c:v>0.79874346098173732</c:v>
                </c:pt>
                <c:pt idx="242">
                  <c:v>0.78367772521203027</c:v>
                </c:pt>
                <c:pt idx="243">
                  <c:v>0.75870253006031552</c:v>
                </c:pt>
                <c:pt idx="244">
                  <c:v>0.65977303434593704</c:v>
                </c:pt>
                <c:pt idx="245">
                  <c:v>0.62685132541054811</c:v>
                </c:pt>
                <c:pt idx="246">
                  <c:v>0.59399610269560477</c:v>
                </c:pt>
                <c:pt idx="247">
                  <c:v>0.65270483782799793</c:v>
                </c:pt>
                <c:pt idx="248">
                  <c:v>0.64202284989173164</c:v>
                </c:pt>
                <c:pt idx="249">
                  <c:v>0.62760935168450704</c:v>
                </c:pt>
                <c:pt idx="250">
                  <c:v>0.60458372240668989</c:v>
                </c:pt>
                <c:pt idx="251">
                  <c:v>0.58813391306405549</c:v>
                </c:pt>
                <c:pt idx="252">
                  <c:v>0.58478470202050492</c:v>
                </c:pt>
                <c:pt idx="253">
                  <c:v>0.5817032524329625</c:v>
                </c:pt>
                <c:pt idx="254">
                  <c:v>0.57525989453575754</c:v>
                </c:pt>
                <c:pt idx="255">
                  <c:v>0.56549171800983522</c:v>
                </c:pt>
                <c:pt idx="256">
                  <c:v>0.55986899438856985</c:v>
                </c:pt>
                <c:pt idx="257">
                  <c:v>0.56355141610614723</c:v>
                </c:pt>
                <c:pt idx="258">
                  <c:v>0.55217118057260561</c:v>
                </c:pt>
                <c:pt idx="259">
                  <c:v>0.54652890334709658</c:v>
                </c:pt>
                <c:pt idx="260">
                  <c:v>0.5019671742871602</c:v>
                </c:pt>
                <c:pt idx="261">
                  <c:v>0.48581046426371138</c:v>
                </c:pt>
                <c:pt idx="262">
                  <c:v>0.44587693077173823</c:v>
                </c:pt>
                <c:pt idx="263">
                  <c:v>0.31689972972762936</c:v>
                </c:pt>
                <c:pt idx="264">
                  <c:v>0.13575758141160243</c:v>
                </c:pt>
                <c:pt idx="265">
                  <c:v>-3.1248578873288895E-2</c:v>
                </c:pt>
                <c:pt idx="266">
                  <c:v>-9.4097683178200678E-2</c:v>
                </c:pt>
                <c:pt idx="267">
                  <c:v>-9.7365520383539406E-2</c:v>
                </c:pt>
                <c:pt idx="268">
                  <c:v>-9.6671026376118893E-2</c:v>
                </c:pt>
                <c:pt idx="269">
                  <c:v>-8.792470453817984E-2</c:v>
                </c:pt>
                <c:pt idx="270">
                  <c:v>-0.10715412494041489</c:v>
                </c:pt>
                <c:pt idx="271">
                  <c:v>-0.16386763600766938</c:v>
                </c:pt>
                <c:pt idx="272">
                  <c:v>-0.18325024668303172</c:v>
                </c:pt>
                <c:pt idx="273">
                  <c:v>-0.20957086494358315</c:v>
                </c:pt>
                <c:pt idx="274">
                  <c:v>-0.21782545167678521</c:v>
                </c:pt>
                <c:pt idx="275">
                  <c:v>-0.23241940411054404</c:v>
                </c:pt>
                <c:pt idx="276">
                  <c:v>-0.24693068953668598</c:v>
                </c:pt>
                <c:pt idx="277">
                  <c:v>-0.23556274535824684</c:v>
                </c:pt>
                <c:pt idx="278">
                  <c:v>-0.25209986307813215</c:v>
                </c:pt>
                <c:pt idx="279">
                  <c:v>-0.26235451974119034</c:v>
                </c:pt>
                <c:pt idx="280">
                  <c:v>-0.29583723873842616</c:v>
                </c:pt>
                <c:pt idx="281">
                  <c:v>-0.31250249118071527</c:v>
                </c:pt>
                <c:pt idx="282">
                  <c:v>-0.35183242952405053</c:v>
                </c:pt>
                <c:pt idx="283">
                  <c:v>-0.44953506518488112</c:v>
                </c:pt>
                <c:pt idx="284">
                  <c:v>-0.55957397244821061</c:v>
                </c:pt>
                <c:pt idx="285">
                  <c:v>-0.59237905456824735</c:v>
                </c:pt>
                <c:pt idx="286">
                  <c:v>-0.51165057037208783</c:v>
                </c:pt>
                <c:pt idx="287">
                  <c:v>-0.41494749675282039</c:v>
                </c:pt>
                <c:pt idx="288">
                  <c:v>-0.35058675226774111</c:v>
                </c:pt>
                <c:pt idx="289">
                  <c:v>-0.34179121874799923</c:v>
                </c:pt>
                <c:pt idx="290">
                  <c:v>-0.37014080018029621</c:v>
                </c:pt>
                <c:pt idx="291">
                  <c:v>-0.39236495635103469</c:v>
                </c:pt>
                <c:pt idx="292">
                  <c:v>-0.41392595783253511</c:v>
                </c:pt>
                <c:pt idx="293">
                  <c:v>-0.43173783278288691</c:v>
                </c:pt>
                <c:pt idx="294">
                  <c:v>-0.5149022093990453</c:v>
                </c:pt>
                <c:pt idx="295">
                  <c:v>-0.59053697219747336</c:v>
                </c:pt>
                <c:pt idx="296">
                  <c:v>-0.61030779105552113</c:v>
                </c:pt>
                <c:pt idx="297">
                  <c:v>-0.5842148326298231</c:v>
                </c:pt>
                <c:pt idx="298">
                  <c:v>-0.57994941802895461</c:v>
                </c:pt>
                <c:pt idx="299">
                  <c:v>-0.63083295100431813</c:v>
                </c:pt>
                <c:pt idx="300">
                  <c:v>-0.67146414290417622</c:v>
                </c:pt>
                <c:pt idx="301">
                  <c:v>-0.71786586585061318</c:v>
                </c:pt>
                <c:pt idx="302">
                  <c:v>-0.75861414227686519</c:v>
                </c:pt>
                <c:pt idx="303">
                  <c:v>-0.81756898384441179</c:v>
                </c:pt>
                <c:pt idx="304">
                  <c:v>-0.85077189102756101</c:v>
                </c:pt>
                <c:pt idx="305">
                  <c:v>-0.87394211131719757</c:v>
                </c:pt>
                <c:pt idx="306">
                  <c:v>-0.88248865200093674</c:v>
                </c:pt>
                <c:pt idx="307">
                  <c:v>-0.89998887228076319</c:v>
                </c:pt>
                <c:pt idx="308">
                  <c:v>-0.89272449432829093</c:v>
                </c:pt>
                <c:pt idx="309">
                  <c:v>-0.91314543411212934</c:v>
                </c:pt>
                <c:pt idx="310">
                  <c:v>-0.94636907833445783</c:v>
                </c:pt>
                <c:pt idx="311">
                  <c:v>-0.97537441924500456</c:v>
                </c:pt>
                <c:pt idx="312">
                  <c:v>-0.99242757088149514</c:v>
                </c:pt>
                <c:pt idx="313">
                  <c:v>-1.0124835735694504</c:v>
                </c:pt>
                <c:pt idx="314">
                  <c:v>-1.0296925632311276</c:v>
                </c:pt>
                <c:pt idx="315">
                  <c:v>-1.081737501084528</c:v>
                </c:pt>
                <c:pt idx="316">
                  <c:v>-1.0967172824447062</c:v>
                </c:pt>
                <c:pt idx="317">
                  <c:v>-1.0963374514194901</c:v>
                </c:pt>
                <c:pt idx="318">
                  <c:v>-1.0700136083879006</c:v>
                </c:pt>
                <c:pt idx="319">
                  <c:v>-1.0445942032212594</c:v>
                </c:pt>
                <c:pt idx="320">
                  <c:v>-1.0531391390914719</c:v>
                </c:pt>
                <c:pt idx="321">
                  <c:v>-1.0387302095360491</c:v>
                </c:pt>
                <c:pt idx="322">
                  <c:v>-1.0528492100257492</c:v>
                </c:pt>
                <c:pt idx="323">
                  <c:v>-1.0365728934965726</c:v>
                </c:pt>
                <c:pt idx="324">
                  <c:v>-1.0332580492508801</c:v>
                </c:pt>
                <c:pt idx="325">
                  <c:v>-1.0098173408498912</c:v>
                </c:pt>
                <c:pt idx="326">
                  <c:v>-1.0809753916973186</c:v>
                </c:pt>
                <c:pt idx="327">
                  <c:v>-1.071892472546395</c:v>
                </c:pt>
                <c:pt idx="328">
                  <c:v>-1.0593204038979953</c:v>
                </c:pt>
                <c:pt idx="329">
                  <c:v>-0.98855236391926915</c:v>
                </c:pt>
                <c:pt idx="330">
                  <c:v>-1.000826450544136</c:v>
                </c:pt>
                <c:pt idx="331">
                  <c:v>-1.0020236223896759</c:v>
                </c:pt>
                <c:pt idx="332">
                  <c:v>-1.0083153042280613</c:v>
                </c:pt>
                <c:pt idx="333">
                  <c:v>-1.0031937566328994</c:v>
                </c:pt>
                <c:pt idx="334">
                  <c:v>-1.0167613183886377</c:v>
                </c:pt>
                <c:pt idx="335">
                  <c:v>-1.0278013889165323</c:v>
                </c:pt>
                <c:pt idx="336">
                  <c:v>-1.0357815239559089</c:v>
                </c:pt>
                <c:pt idx="337">
                  <c:v>-1.0315523158559567</c:v>
                </c:pt>
                <c:pt idx="338">
                  <c:v>-1.0131549722584106</c:v>
                </c:pt>
                <c:pt idx="339">
                  <c:v>-1.0134550679938359</c:v>
                </c:pt>
                <c:pt idx="340">
                  <c:v>-1.0227162540729982</c:v>
                </c:pt>
                <c:pt idx="341">
                  <c:v>-1.0163928568967731</c:v>
                </c:pt>
                <c:pt idx="342">
                  <c:v>-1.006024874433525</c:v>
                </c:pt>
                <c:pt idx="343">
                  <c:v>-0.98058054559426766</c:v>
                </c:pt>
                <c:pt idx="344">
                  <c:v>-0.96102968190143834</c:v>
                </c:pt>
                <c:pt idx="345">
                  <c:v>-0.94935430504521057</c:v>
                </c:pt>
                <c:pt idx="346">
                  <c:v>-0.94404002819752897</c:v>
                </c:pt>
                <c:pt idx="347">
                  <c:v>-0.95906347538614012</c:v>
                </c:pt>
                <c:pt idx="348">
                  <c:v>-0.94692813717348656</c:v>
                </c:pt>
                <c:pt idx="349">
                  <c:v>-0.94216387577744609</c:v>
                </c:pt>
                <c:pt idx="350">
                  <c:v>-0.93853475613631743</c:v>
                </c:pt>
                <c:pt idx="351">
                  <c:v>-0.93744729508804869</c:v>
                </c:pt>
                <c:pt idx="352">
                  <c:v>-0.92731584504337838</c:v>
                </c:pt>
                <c:pt idx="353">
                  <c:v>-0.91717926569105979</c:v>
                </c:pt>
                <c:pt idx="354">
                  <c:v>-0.92721100698889725</c:v>
                </c:pt>
                <c:pt idx="355">
                  <c:v>-0.92788028162730729</c:v>
                </c:pt>
                <c:pt idx="356">
                  <c:v>-0.90962459275812757</c:v>
                </c:pt>
                <c:pt idx="357">
                  <c:v>-0.88395099075356276</c:v>
                </c:pt>
                <c:pt idx="358">
                  <c:v>-0.87559475464689296</c:v>
                </c:pt>
                <c:pt idx="359">
                  <c:v>-0.86515138501836508</c:v>
                </c:pt>
                <c:pt idx="360">
                  <c:v>-0.85732856805894153</c:v>
                </c:pt>
                <c:pt idx="361">
                  <c:v>-0.84667338206195852</c:v>
                </c:pt>
                <c:pt idx="362">
                  <c:v>-0.88091761711022809</c:v>
                </c:pt>
                <c:pt idx="363">
                  <c:v>-0.91133086044780587</c:v>
                </c:pt>
                <c:pt idx="364">
                  <c:v>-0.94592653079641897</c:v>
                </c:pt>
                <c:pt idx="365">
                  <c:v>-0.93380905727686647</c:v>
                </c:pt>
                <c:pt idx="366">
                  <c:v>-0.91872499945410191</c:v>
                </c:pt>
                <c:pt idx="367">
                  <c:v>-0.89506829241418728</c:v>
                </c:pt>
                <c:pt idx="368">
                  <c:v>-0.89710996194450388</c:v>
                </c:pt>
                <c:pt idx="369">
                  <c:v>-0.90854696257643808</c:v>
                </c:pt>
                <c:pt idx="370">
                  <c:v>-0.89071413505271135</c:v>
                </c:pt>
                <c:pt idx="371">
                  <c:v>-0.86231442046008711</c:v>
                </c:pt>
                <c:pt idx="372">
                  <c:v>-0.83728913590902032</c:v>
                </c:pt>
                <c:pt idx="373">
                  <c:v>-0.8500499760349175</c:v>
                </c:pt>
                <c:pt idx="374">
                  <c:v>-0.86689501614604003</c:v>
                </c:pt>
                <c:pt idx="375">
                  <c:v>-0.86353573964149177</c:v>
                </c:pt>
                <c:pt idx="376">
                  <c:v>-0.86494579436222951</c:v>
                </c:pt>
                <c:pt idx="377">
                  <c:v>-0.85248305458291407</c:v>
                </c:pt>
                <c:pt idx="378">
                  <c:v>-0.8638100394806365</c:v>
                </c:pt>
                <c:pt idx="379">
                  <c:v>-0.86440008356340448</c:v>
                </c:pt>
                <c:pt idx="380">
                  <c:v>-0.86721951686039167</c:v>
                </c:pt>
                <c:pt idx="381">
                  <c:v>-0.8582456011661096</c:v>
                </c:pt>
                <c:pt idx="382">
                  <c:v>-0.83909242455852773</c:v>
                </c:pt>
                <c:pt idx="383">
                  <c:v>-0.84766312617157258</c:v>
                </c:pt>
                <c:pt idx="384">
                  <c:v>-0.84029770399659787</c:v>
                </c:pt>
                <c:pt idx="385">
                  <c:v>-0.85108016353166815</c:v>
                </c:pt>
                <c:pt idx="386">
                  <c:v>-0.85595231883900313</c:v>
                </c:pt>
                <c:pt idx="387">
                  <c:v>-0.85674402286455076</c:v>
                </c:pt>
                <c:pt idx="388">
                  <c:v>-0.85350667698326455</c:v>
                </c:pt>
                <c:pt idx="389">
                  <c:v>-0.84132243766093273</c:v>
                </c:pt>
                <c:pt idx="390">
                  <c:v>-0.76379622647825995</c:v>
                </c:pt>
                <c:pt idx="391">
                  <c:v>-0.7285720967251107</c:v>
                </c:pt>
                <c:pt idx="392">
                  <c:v>-0.69592861607258383</c:v>
                </c:pt>
                <c:pt idx="393">
                  <c:v>-0.74581360274452779</c:v>
                </c:pt>
                <c:pt idx="394">
                  <c:v>-0.76858276308660434</c:v>
                </c:pt>
                <c:pt idx="395">
                  <c:v>-0.7879394840406011</c:v>
                </c:pt>
                <c:pt idx="396">
                  <c:v>-0.81541628408391509</c:v>
                </c:pt>
                <c:pt idx="397">
                  <c:v>-0.83131990409052126</c:v>
                </c:pt>
                <c:pt idx="398">
                  <c:v>-0.8371165921742808</c:v>
                </c:pt>
                <c:pt idx="399">
                  <c:v>-0.83945299033059195</c:v>
                </c:pt>
                <c:pt idx="400">
                  <c:v>-0.83297172971848221</c:v>
                </c:pt>
                <c:pt idx="401">
                  <c:v>-0.82398027811999508</c:v>
                </c:pt>
                <c:pt idx="402">
                  <c:v>-0.80563259175001711</c:v>
                </c:pt>
                <c:pt idx="403">
                  <c:v>-0.79471656913031741</c:v>
                </c:pt>
                <c:pt idx="404">
                  <c:v>-0.7933534642389608</c:v>
                </c:pt>
                <c:pt idx="405">
                  <c:v>-0.79627964893559089</c:v>
                </c:pt>
                <c:pt idx="406">
                  <c:v>-0.79526927508559686</c:v>
                </c:pt>
                <c:pt idx="407">
                  <c:v>-0.79977916866636589</c:v>
                </c:pt>
                <c:pt idx="408">
                  <c:v>-0.79051213461638126</c:v>
                </c:pt>
                <c:pt idx="409">
                  <c:v>-0.8205432275851795</c:v>
                </c:pt>
                <c:pt idx="410">
                  <c:v>-0.84865292365412104</c:v>
                </c:pt>
                <c:pt idx="411">
                  <c:v>-0.85712619015728597</c:v>
                </c:pt>
                <c:pt idx="412">
                  <c:v>-0.82407633070572006</c:v>
                </c:pt>
                <c:pt idx="413">
                  <c:v>-0.78050516255624691</c:v>
                </c:pt>
                <c:pt idx="414">
                  <c:v>-0.73670974269491341</c:v>
                </c:pt>
                <c:pt idx="415">
                  <c:v>-0.69823923153325917</c:v>
                </c:pt>
                <c:pt idx="416">
                  <c:v>-0.6416815997932227</c:v>
                </c:pt>
                <c:pt idx="417">
                  <c:v>-0.6161379444988605</c:v>
                </c:pt>
                <c:pt idx="418">
                  <c:v>-0.62331444112070533</c:v>
                </c:pt>
                <c:pt idx="419">
                  <c:v>-0.61617924619375886</c:v>
                </c:pt>
                <c:pt idx="420">
                  <c:v>-0.65714992764748714</c:v>
                </c:pt>
                <c:pt idx="421">
                  <c:v>-0.64996084826302258</c:v>
                </c:pt>
                <c:pt idx="422">
                  <c:v>-0.61876229875799715</c:v>
                </c:pt>
                <c:pt idx="423">
                  <c:v>-0.55641400825911613</c:v>
                </c:pt>
                <c:pt idx="424">
                  <c:v>-0.56355804564733258</c:v>
                </c:pt>
                <c:pt idx="425">
                  <c:v>-0.58253118627252287</c:v>
                </c:pt>
                <c:pt idx="426">
                  <c:v>-0.56859079160742576</c:v>
                </c:pt>
                <c:pt idx="427">
                  <c:v>-0.49513410370573058</c:v>
                </c:pt>
                <c:pt idx="428">
                  <c:v>-0.46531673697757481</c:v>
                </c:pt>
                <c:pt idx="429">
                  <c:v>-0.44133731168481322</c:v>
                </c:pt>
                <c:pt idx="430">
                  <c:v>-0.40713198265618261</c:v>
                </c:pt>
                <c:pt idx="431">
                  <c:v>-0.39112884554198318</c:v>
                </c:pt>
                <c:pt idx="432">
                  <c:v>-0.36352497990887828</c:v>
                </c:pt>
                <c:pt idx="433">
                  <c:v>-0.37194511940296088</c:v>
                </c:pt>
                <c:pt idx="434">
                  <c:v>-0.36119783434758562</c:v>
                </c:pt>
                <c:pt idx="435">
                  <c:v>-0.37567359149171198</c:v>
                </c:pt>
                <c:pt idx="436">
                  <c:v>-0.354482915733354</c:v>
                </c:pt>
                <c:pt idx="437">
                  <c:v>-0.34680663126166539</c:v>
                </c:pt>
                <c:pt idx="438">
                  <c:v>-0.34258530072905047</c:v>
                </c:pt>
                <c:pt idx="439">
                  <c:v>-0.35915733601316063</c:v>
                </c:pt>
                <c:pt idx="440">
                  <c:v>-0.35434935379782523</c:v>
                </c:pt>
                <c:pt idx="441">
                  <c:v>-0.35208920590334869</c:v>
                </c:pt>
                <c:pt idx="442">
                  <c:v>-0.336873335880644</c:v>
                </c:pt>
                <c:pt idx="443">
                  <c:v>-0.34024548134431382</c:v>
                </c:pt>
                <c:pt idx="444">
                  <c:v>-0.34229750002563114</c:v>
                </c:pt>
                <c:pt idx="445">
                  <c:v>-0.32551690500764902</c:v>
                </c:pt>
                <c:pt idx="446">
                  <c:v>-0.31597896323999802</c:v>
                </c:pt>
                <c:pt idx="447">
                  <c:v>-0.29810759494887956</c:v>
                </c:pt>
                <c:pt idx="448">
                  <c:v>-0.30072664130108856</c:v>
                </c:pt>
                <c:pt idx="449">
                  <c:v>-0.29294324853952497</c:v>
                </c:pt>
                <c:pt idx="450">
                  <c:v>-0.32209713503928744</c:v>
                </c:pt>
                <c:pt idx="451">
                  <c:v>-0.42896739569001446</c:v>
                </c:pt>
                <c:pt idx="452">
                  <c:v>-0.63326870050651995</c:v>
                </c:pt>
                <c:pt idx="453">
                  <c:v>-0.65740762179525969</c:v>
                </c:pt>
                <c:pt idx="454">
                  <c:v>-0.55170822665866126</c:v>
                </c:pt>
                <c:pt idx="455">
                  <c:v>-0.35387898145239571</c:v>
                </c:pt>
                <c:pt idx="456">
                  <c:v>-0.30032508688187121</c:v>
                </c:pt>
                <c:pt idx="457">
                  <c:v>-0.30428716535061273</c:v>
                </c:pt>
                <c:pt idx="458">
                  <c:v>-0.31433621602706302</c:v>
                </c:pt>
                <c:pt idx="459">
                  <c:v>-0.30424663225906906</c:v>
                </c:pt>
                <c:pt idx="460">
                  <c:v>-0.33108203980869044</c:v>
                </c:pt>
                <c:pt idx="461">
                  <c:v>-0.40029005319410116</c:v>
                </c:pt>
                <c:pt idx="462">
                  <c:v>-0.52767257615996799</c:v>
                </c:pt>
                <c:pt idx="463">
                  <c:v>-0.53693422757857079</c:v>
                </c:pt>
                <c:pt idx="464">
                  <c:v>-0.50612194725254778</c:v>
                </c:pt>
                <c:pt idx="465">
                  <c:v>-0.45151747629919248</c:v>
                </c:pt>
                <c:pt idx="466">
                  <c:v>-0.45551720075479302</c:v>
                </c:pt>
                <c:pt idx="467">
                  <c:v>-0.41884963408040171</c:v>
                </c:pt>
                <c:pt idx="468">
                  <c:v>-0.36446956222378857</c:v>
                </c:pt>
                <c:pt idx="469">
                  <c:v>-0.32865354039353684</c:v>
                </c:pt>
                <c:pt idx="470">
                  <c:v>-0.34976791547069258</c:v>
                </c:pt>
                <c:pt idx="471">
                  <c:v>-0.3946092531609402</c:v>
                </c:pt>
                <c:pt idx="472">
                  <c:v>-0.43113564078076722</c:v>
                </c:pt>
                <c:pt idx="473">
                  <c:v>-0.45935220597741466</c:v>
                </c:pt>
                <c:pt idx="474">
                  <c:v>-0.45917874992142349</c:v>
                </c:pt>
                <c:pt idx="475">
                  <c:v>-0.49930764586483267</c:v>
                </c:pt>
                <c:pt idx="476">
                  <c:v>-0.49188194902011412</c:v>
                </c:pt>
                <c:pt idx="477">
                  <c:v>-0.49419148330129398</c:v>
                </c:pt>
                <c:pt idx="478">
                  <c:v>-0.48548849655133702</c:v>
                </c:pt>
                <c:pt idx="479">
                  <c:v>-0.50707289026912228</c:v>
                </c:pt>
                <c:pt idx="480">
                  <c:v>-0.50296345839632139</c:v>
                </c:pt>
                <c:pt idx="481">
                  <c:v>-0.47323540315461621</c:v>
                </c:pt>
                <c:pt idx="482">
                  <c:v>-0.46572545054158687</c:v>
                </c:pt>
                <c:pt idx="483">
                  <c:v>-0.45993079634645256</c:v>
                </c:pt>
                <c:pt idx="484">
                  <c:v>-0.46404337790014849</c:v>
                </c:pt>
                <c:pt idx="485">
                  <c:v>-0.46240000569950251</c:v>
                </c:pt>
                <c:pt idx="486">
                  <c:v>-0.43257927873405905</c:v>
                </c:pt>
                <c:pt idx="487">
                  <c:v>-0.42844344919547012</c:v>
                </c:pt>
                <c:pt idx="488">
                  <c:v>-0.40742730252335163</c:v>
                </c:pt>
                <c:pt idx="489">
                  <c:v>-0.40699455956324931</c:v>
                </c:pt>
                <c:pt idx="490">
                  <c:v>-0.38253474806301635</c:v>
                </c:pt>
                <c:pt idx="491">
                  <c:v>-0.34669335745631019</c:v>
                </c:pt>
                <c:pt idx="492">
                  <c:v>-0.35646470971583727</c:v>
                </c:pt>
                <c:pt idx="493">
                  <c:v>-0.3629502637068045</c:v>
                </c:pt>
                <c:pt idx="494">
                  <c:v>-0.40294440598548853</c:v>
                </c:pt>
                <c:pt idx="495">
                  <c:v>-0.3831407935187523</c:v>
                </c:pt>
                <c:pt idx="496">
                  <c:v>-0.36206057058257318</c:v>
                </c:pt>
                <c:pt idx="497">
                  <c:v>-0.35981089914238162</c:v>
                </c:pt>
                <c:pt idx="498">
                  <c:v>-0.47937008158223104</c:v>
                </c:pt>
                <c:pt idx="499">
                  <c:v>-0.56045118668053762</c:v>
                </c:pt>
                <c:pt idx="500">
                  <c:v>-0.55267256512441632</c:v>
                </c:pt>
                <c:pt idx="501">
                  <c:v>-0.48518675083913454</c:v>
                </c:pt>
                <c:pt idx="502">
                  <c:v>-0.48907729097606545</c:v>
                </c:pt>
                <c:pt idx="503">
                  <c:v>-0.57579382843353255</c:v>
                </c:pt>
                <c:pt idx="504">
                  <c:v>-0.63599010989063398</c:v>
                </c:pt>
                <c:pt idx="505">
                  <c:v>-0.54934391812576866</c:v>
                </c:pt>
                <c:pt idx="506">
                  <c:v>-0.41050883276371392</c:v>
                </c:pt>
                <c:pt idx="507">
                  <c:v>-0.28256455839979594</c:v>
                </c:pt>
                <c:pt idx="508">
                  <c:v>-0.26918165247259829</c:v>
                </c:pt>
                <c:pt idx="509">
                  <c:v>-0.27424942257140628</c:v>
                </c:pt>
                <c:pt idx="510">
                  <c:v>-0.27942936840841598</c:v>
                </c:pt>
                <c:pt idx="511">
                  <c:v>-0.28472532881898727</c:v>
                </c:pt>
                <c:pt idx="512">
                  <c:v>-0.29014132252756591</c:v>
                </c:pt>
                <c:pt idx="513">
                  <c:v>-0.29568155992517547</c:v>
                </c:pt>
                <c:pt idx="514">
                  <c:v>-0.3013504544378382</c:v>
                </c:pt>
                <c:pt idx="515">
                  <c:v>-0.30715263520090286</c:v>
                </c:pt>
                <c:pt idx="516">
                  <c:v>-0.31309296074383275</c:v>
                </c:pt>
                <c:pt idx="517">
                  <c:v>-0.3191765332423937</c:v>
                </c:pt>
                <c:pt idx="518">
                  <c:v>-0.32540871524375214</c:v>
                </c:pt>
                <c:pt idx="519">
                  <c:v>-0.33179514554542849</c:v>
                </c:pt>
                <c:pt idx="520">
                  <c:v>-0.33834175859237031</c:v>
                </c:pt>
                <c:pt idx="521">
                  <c:v>-0.34505480407904104</c:v>
                </c:pt>
                <c:pt idx="522">
                  <c:v>-0.35194086867359403</c:v>
                </c:pt>
                <c:pt idx="523">
                  <c:v>-0.35900689963843746</c:v>
                </c:pt>
                <c:pt idx="524">
                  <c:v>-0.36626022995568097</c:v>
                </c:pt>
                <c:pt idx="525">
                  <c:v>-0.37370860713029347</c:v>
                </c:pt>
                <c:pt idx="526">
                  <c:v>-0.38136022217576021</c:v>
                </c:pt>
                <c:pt idx="527">
                  <c:v>-0.38922374367972462</c:v>
                </c:pt>
                <c:pt idx="528">
                  <c:v>-0.39730835349405363</c:v>
                </c:pt>
                <c:pt idx="529">
                  <c:v>-0.40562378630160495</c:v>
                </c:pt>
                <c:pt idx="530">
                  <c:v>-0.41418037303197169</c:v>
                </c:pt>
                <c:pt idx="531">
                  <c:v>-0.42298908792470091</c:v>
                </c:pt>
                <c:pt idx="532">
                  <c:v>-0.43206160188507331</c:v>
                </c:pt>
                <c:pt idx="533">
                  <c:v>-0.44141033859759754</c:v>
                </c:pt>
                <c:pt idx="534">
                  <c:v>-0.45104853914850773</c:v>
                </c:pt>
                <c:pt idx="535">
                  <c:v>-0.46099033176789056</c:v>
                </c:pt>
                <c:pt idx="536">
                  <c:v>-0.47125080963024102</c:v>
                </c:pt>
                <c:pt idx="537">
                  <c:v>-0.48184611726435822</c:v>
                </c:pt>
                <c:pt idx="538">
                  <c:v>-0.49279354599463127</c:v>
                </c:pt>
                <c:pt idx="539">
                  <c:v>-0.50411164210651993</c:v>
                </c:pt>
                <c:pt idx="540">
                  <c:v>-0.51582032470255257</c:v>
                </c:pt>
                <c:pt idx="541">
                  <c:v>-0.58901867604677483</c:v>
                </c:pt>
                <c:pt idx="542">
                  <c:v>-0.54239048228057252</c:v>
                </c:pt>
                <c:pt idx="543">
                  <c:v>-0.5083661431327311</c:v>
                </c:pt>
                <c:pt idx="544">
                  <c:v>-0.43121670050132238</c:v>
                </c:pt>
                <c:pt idx="545">
                  <c:v>-0.46090076328241647</c:v>
                </c:pt>
                <c:pt idx="546">
                  <c:v>-0.47687118007708817</c:v>
                </c:pt>
                <c:pt idx="547">
                  <c:v>-0.46069222882967198</c:v>
                </c:pt>
                <c:pt idx="548">
                  <c:v>-0.44684283974894073</c:v>
                </c:pt>
                <c:pt idx="549">
                  <c:v>-0.42275794277375095</c:v>
                </c:pt>
                <c:pt idx="550">
                  <c:v>-0.40076451506052929</c:v>
                </c:pt>
                <c:pt idx="551">
                  <c:v>-0.40997696942460821</c:v>
                </c:pt>
                <c:pt idx="552">
                  <c:v>-0.42924161933752164</c:v>
                </c:pt>
                <c:pt idx="553">
                  <c:v>-0.44957009068414822</c:v>
                </c:pt>
                <c:pt idx="554">
                  <c:v>-0.46364261455075195</c:v>
                </c:pt>
                <c:pt idx="555">
                  <c:v>-0.48865664538528525</c:v>
                </c:pt>
                <c:pt idx="556">
                  <c:v>-0.59566456013663627</c:v>
                </c:pt>
                <c:pt idx="557">
                  <c:v>-0.69382314791960376</c:v>
                </c:pt>
                <c:pt idx="558">
                  <c:v>-0.74600348997840404</c:v>
                </c:pt>
                <c:pt idx="559">
                  <c:v>-0.73830634522027294</c:v>
                </c:pt>
                <c:pt idx="560">
                  <c:v>-0.72852671461673835</c:v>
                </c:pt>
                <c:pt idx="561">
                  <c:v>-0.7555351778110696</c:v>
                </c:pt>
                <c:pt idx="562">
                  <c:v>-0.75222127856569954</c:v>
                </c:pt>
                <c:pt idx="563">
                  <c:v>-0.74400366634157844</c:v>
                </c:pt>
                <c:pt idx="564">
                  <c:v>-0.75881786667750217</c:v>
                </c:pt>
                <c:pt idx="565">
                  <c:v>-0.75125013060901324</c:v>
                </c:pt>
                <c:pt idx="566">
                  <c:v>-0.78034647940312774</c:v>
                </c:pt>
                <c:pt idx="567">
                  <c:v>-0.80087901560101482</c:v>
                </c:pt>
                <c:pt idx="568">
                  <c:v>-0.89018663152710664</c:v>
                </c:pt>
                <c:pt idx="569">
                  <c:v>-1.004285889800286</c:v>
                </c:pt>
                <c:pt idx="570">
                  <c:v>-1.0881230370067698</c:v>
                </c:pt>
                <c:pt idx="571">
                  <c:v>-1.1174415566588882</c:v>
                </c:pt>
                <c:pt idx="572">
                  <c:v>-1.0784908468904399</c:v>
                </c:pt>
                <c:pt idx="573">
                  <c:v>-1.0417271532714683</c:v>
                </c:pt>
                <c:pt idx="574">
                  <c:v>-1.0819174493254822</c:v>
                </c:pt>
                <c:pt idx="575">
                  <c:v>-1.1165917264724856</c:v>
                </c:pt>
                <c:pt idx="576">
                  <c:v>-1.154549701714872</c:v>
                </c:pt>
                <c:pt idx="577">
                  <c:v>-1.176720040640501</c:v>
                </c:pt>
                <c:pt idx="578">
                  <c:v>-1.2300208250123854</c:v>
                </c:pt>
                <c:pt idx="579">
                  <c:v>-1.3147879087052239</c:v>
                </c:pt>
                <c:pt idx="580">
                  <c:v>-1.4018437373194468</c:v>
                </c:pt>
                <c:pt idx="581">
                  <c:v>-1.4675931485803531</c:v>
                </c:pt>
                <c:pt idx="582">
                  <c:v>-1.5660458458302287</c:v>
                </c:pt>
                <c:pt idx="583">
                  <c:v>-1.6592740470703014</c:v>
                </c:pt>
                <c:pt idx="584">
                  <c:v>-1.7524792038172015</c:v>
                </c:pt>
                <c:pt idx="585">
                  <c:v>-1.8004055839654498</c:v>
                </c:pt>
                <c:pt idx="586">
                  <c:v>-1.8092095666101733</c:v>
                </c:pt>
                <c:pt idx="587">
                  <c:v>-1.8486404446828828</c:v>
                </c:pt>
                <c:pt idx="588">
                  <c:v>-1.8683187133062376</c:v>
                </c:pt>
                <c:pt idx="589">
                  <c:v>-1.8876305364601729</c:v>
                </c:pt>
                <c:pt idx="590">
                  <c:v>-1.8563147619254752</c:v>
                </c:pt>
                <c:pt idx="591">
                  <c:v>-1.8740987465604722</c:v>
                </c:pt>
                <c:pt idx="592">
                  <c:v>-1.8824618067302812</c:v>
                </c:pt>
                <c:pt idx="593">
                  <c:v>-1.9167087139608565</c:v>
                </c:pt>
                <c:pt idx="594">
                  <c:v>-1.8830971679378592</c:v>
                </c:pt>
                <c:pt idx="595">
                  <c:v>-1.8887209656906851</c:v>
                </c:pt>
                <c:pt idx="596">
                  <c:v>-1.9039860045297463</c:v>
                </c:pt>
                <c:pt idx="597">
                  <c:v>-1.9262145785973006</c:v>
                </c:pt>
                <c:pt idx="598">
                  <c:v>-1.9124839377259224</c:v>
                </c:pt>
                <c:pt idx="599">
                  <c:v>-1.8954186888340312</c:v>
                </c:pt>
                <c:pt idx="600">
                  <c:v>-1.9126239847353774</c:v>
                </c:pt>
                <c:pt idx="601">
                  <c:v>-1.9545546778288425</c:v>
                </c:pt>
                <c:pt idx="602">
                  <c:v>-1.9806622481705911</c:v>
                </c:pt>
                <c:pt idx="603">
                  <c:v>-1.9758531801591703</c:v>
                </c:pt>
                <c:pt idx="604">
                  <c:v>-1.9770036819884058</c:v>
                </c:pt>
                <c:pt idx="605">
                  <c:v>-1.968481686914102</c:v>
                </c:pt>
                <c:pt idx="606">
                  <c:v>-1.989546233549192</c:v>
                </c:pt>
                <c:pt idx="607">
                  <c:v>-1.9702548780374094</c:v>
                </c:pt>
                <c:pt idx="608">
                  <c:v>-1.9598161592244112</c:v>
                </c:pt>
                <c:pt idx="609">
                  <c:v>-1.9249564611590335</c:v>
                </c:pt>
                <c:pt idx="610">
                  <c:v>-1.9172512451257937</c:v>
                </c:pt>
                <c:pt idx="611">
                  <c:v>-1.8957215985877232</c:v>
                </c:pt>
                <c:pt idx="612">
                  <c:v>-1.8839702632859232</c:v>
                </c:pt>
                <c:pt idx="613">
                  <c:v>-1.8651494938372004</c:v>
                </c:pt>
                <c:pt idx="614">
                  <c:v>-1.8646108937806518</c:v>
                </c:pt>
                <c:pt idx="615">
                  <c:v>-1.864092849837762</c:v>
                </c:pt>
                <c:pt idx="616">
                  <c:v>-1.8635942068260896</c:v>
                </c:pt>
                <c:pt idx="617">
                  <c:v>-1.86311389462127</c:v>
                </c:pt>
                <c:pt idx="618">
                  <c:v>-1.8626509203210633</c:v>
                </c:pt>
                <c:pt idx="619">
                  <c:v>-1.8715197806921273</c:v>
                </c:pt>
                <c:pt idx="620">
                  <c:v>-1.9029219404765809</c:v>
                </c:pt>
                <c:pt idx="621">
                  <c:v>-1.9487137030741526</c:v>
                </c:pt>
                <c:pt idx="622">
                  <c:v>-2.0343449821121431</c:v>
                </c:pt>
                <c:pt idx="623">
                  <c:v>-2.0725996004575693</c:v>
                </c:pt>
                <c:pt idx="624">
                  <c:v>-2.0892758044642772</c:v>
                </c:pt>
                <c:pt idx="625">
                  <c:v>-2.0690289619116853</c:v>
                </c:pt>
                <c:pt idx="626">
                  <c:v>-2.0741786942400782</c:v>
                </c:pt>
                <c:pt idx="627">
                  <c:v>-2.0992480399345372</c:v>
                </c:pt>
                <c:pt idx="628">
                  <c:v>-2.0897880337482451</c:v>
                </c:pt>
                <c:pt idx="629">
                  <c:v>-2.0476399720608653</c:v>
                </c:pt>
                <c:pt idx="630">
                  <c:v>-2.0351590161105872</c:v>
                </c:pt>
                <c:pt idx="631">
                  <c:v>-2.063024772361985</c:v>
                </c:pt>
                <c:pt idx="632">
                  <c:v>-2.134777203585438</c:v>
                </c:pt>
                <c:pt idx="633">
                  <c:v>-2.1614334883062534</c:v>
                </c:pt>
                <c:pt idx="634">
                  <c:v>-2.1416627303240929</c:v>
                </c:pt>
                <c:pt idx="635">
                  <c:v>-2.12616329145665</c:v>
                </c:pt>
                <c:pt idx="636">
                  <c:v>-2.053838572647344</c:v>
                </c:pt>
                <c:pt idx="637">
                  <c:v>-2.0432081251989227</c:v>
                </c:pt>
                <c:pt idx="638">
                  <c:v>-2.0352126112130851</c:v>
                </c:pt>
                <c:pt idx="639">
                  <c:v>-2.0739062820220791</c:v>
                </c:pt>
                <c:pt idx="640">
                  <c:v>-2.0682567005590555</c:v>
                </c:pt>
                <c:pt idx="641">
                  <c:v>-2.0447614103597913</c:v>
                </c:pt>
                <c:pt idx="642">
                  <c:v>-2.0509613187001334</c:v>
                </c:pt>
                <c:pt idx="643">
                  <c:v>-2.0632909540634405</c:v>
                </c:pt>
                <c:pt idx="644">
                  <c:v>-2.0456002002162488</c:v>
                </c:pt>
                <c:pt idx="645">
                  <c:v>-2.0059795079097911</c:v>
                </c:pt>
                <c:pt idx="646">
                  <c:v>-1.977560690506061</c:v>
                </c:pt>
                <c:pt idx="647">
                  <c:v>-1.9427160784280491</c:v>
                </c:pt>
                <c:pt idx="648">
                  <c:v>-1.9181022959612284</c:v>
                </c:pt>
                <c:pt idx="649">
                  <c:v>-1.898348159482165</c:v>
                </c:pt>
                <c:pt idx="650">
                  <c:v>-1.9098471911570465</c:v>
                </c:pt>
                <c:pt idx="651">
                  <c:v>-1.8991120442108798</c:v>
                </c:pt>
                <c:pt idx="652">
                  <c:v>-1.856690037614219</c:v>
                </c:pt>
                <c:pt idx="653">
                  <c:v>-1.8049583500844191</c:v>
                </c:pt>
                <c:pt idx="654">
                  <c:v>-1.768511356876483</c:v>
                </c:pt>
                <c:pt idx="655">
                  <c:v>-1.7368445541875446</c:v>
                </c:pt>
                <c:pt idx="656">
                  <c:v>-1.7276252449530933</c:v>
                </c:pt>
                <c:pt idx="657">
                  <c:v>-1.7520829302628442</c:v>
                </c:pt>
                <c:pt idx="658">
                  <c:v>-1.7424184794037654</c:v>
                </c:pt>
                <c:pt idx="659">
                  <c:v>-1.7593362948544959</c:v>
                </c:pt>
                <c:pt idx="660">
                  <c:v>-1.7375469550318616</c:v>
                </c:pt>
                <c:pt idx="661">
                  <c:v>-1.7504345510720187</c:v>
                </c:pt>
                <c:pt idx="662">
                  <c:v>-1.7513552965133883</c:v>
                </c:pt>
                <c:pt idx="663">
                  <c:v>-1.7611548528008443</c:v>
                </c:pt>
                <c:pt idx="664">
                  <c:v>-1.7897800782743201</c:v>
                </c:pt>
                <c:pt idx="665">
                  <c:v>-1.7847595202263375</c:v>
                </c:pt>
                <c:pt idx="666">
                  <c:v>-1.780677594021068</c:v>
                </c:pt>
                <c:pt idx="667">
                  <c:v>-1.7356117826115025</c:v>
                </c:pt>
                <c:pt idx="668">
                  <c:v>-1.7729009069757986</c:v>
                </c:pt>
                <c:pt idx="669">
                  <c:v>-1.7547812903702411</c:v>
                </c:pt>
                <c:pt idx="670">
                  <c:v>-1.768385270276486</c:v>
                </c:pt>
                <c:pt idx="671">
                  <c:v>-1.7605977393318042</c:v>
                </c:pt>
                <c:pt idx="672">
                  <c:v>-1.7605798601297877</c:v>
                </c:pt>
                <c:pt idx="673">
                  <c:v>-1.7619554312442876</c:v>
                </c:pt>
                <c:pt idx="674">
                  <c:v>-1.7330007557885903</c:v>
                </c:pt>
                <c:pt idx="675">
                  <c:v>-1.7502760429395565</c:v>
                </c:pt>
                <c:pt idx="676">
                  <c:v>-1.7861497405496098</c:v>
                </c:pt>
                <c:pt idx="677">
                  <c:v>-1.773715120338428</c:v>
                </c:pt>
                <c:pt idx="678">
                  <c:v>-1.7816504114964948</c:v>
                </c:pt>
                <c:pt idx="679">
                  <c:v>-1.7640543880651087</c:v>
                </c:pt>
                <c:pt idx="680">
                  <c:v>-1.7832982897202303</c:v>
                </c:pt>
                <c:pt idx="681">
                  <c:v>-1.7861030374143876</c:v>
                </c:pt>
                <c:pt idx="682">
                  <c:v>-1.7877035429833967</c:v>
                </c:pt>
                <c:pt idx="683">
                  <c:v>-1.786808841671305</c:v>
                </c:pt>
                <c:pt idx="684">
                  <c:v>-1.790801203118763</c:v>
                </c:pt>
                <c:pt idx="685">
                  <c:v>-1.7985653928341563</c:v>
                </c:pt>
                <c:pt idx="686">
                  <c:v>-1.8097639118452797</c:v>
                </c:pt>
                <c:pt idx="687">
                  <c:v>-1.8009380318126949</c:v>
                </c:pt>
                <c:pt idx="688">
                  <c:v>-1.8136746003616506</c:v>
                </c:pt>
                <c:pt idx="689">
                  <c:v>-1.833797331978354</c:v>
                </c:pt>
                <c:pt idx="690">
                  <c:v>-1.8811815806050269</c:v>
                </c:pt>
                <c:pt idx="691">
                  <c:v>-1.8951814670342877</c:v>
                </c:pt>
                <c:pt idx="692">
                  <c:v>-1.8867564404251205</c:v>
                </c:pt>
                <c:pt idx="693">
                  <c:v>-1.9102032307066832</c:v>
                </c:pt>
                <c:pt idx="694">
                  <c:v>-1.9365488331502674</c:v>
                </c:pt>
                <c:pt idx="695">
                  <c:v>-1.9761523948038329</c:v>
                </c:pt>
                <c:pt idx="696">
                  <c:v>-1.944945149106112</c:v>
                </c:pt>
                <c:pt idx="697">
                  <c:v>-1.948926454675038</c:v>
                </c:pt>
                <c:pt idx="698">
                  <c:v>-1.9680838424757117</c:v>
                </c:pt>
                <c:pt idx="699">
                  <c:v>-1.9808653428947596</c:v>
                </c:pt>
                <c:pt idx="700">
                  <c:v>-1.97357735662342</c:v>
                </c:pt>
                <c:pt idx="701">
                  <c:v>-1.9493277141887664</c:v>
                </c:pt>
                <c:pt idx="702">
                  <c:v>-1.9414875680641286</c:v>
                </c:pt>
                <c:pt idx="703">
                  <c:v>-1.9537417981721168</c:v>
                </c:pt>
                <c:pt idx="704">
                  <c:v>-1.9459400308354666</c:v>
                </c:pt>
                <c:pt idx="705">
                  <c:v>-1.9707748559680276</c:v>
                </c:pt>
                <c:pt idx="706">
                  <c:v>-1.9481349046984064</c:v>
                </c:pt>
                <c:pt idx="707">
                  <c:v>-1.9309542471216987</c:v>
                </c:pt>
                <c:pt idx="708">
                  <c:v>-1.8878168441290242</c:v>
                </c:pt>
                <c:pt idx="709">
                  <c:v>-1.8725505939307669</c:v>
                </c:pt>
                <c:pt idx="710">
                  <c:v>-1.8745167385348627</c:v>
                </c:pt>
                <c:pt idx="711">
                  <c:v>-1.8882322697898684</c:v>
                </c:pt>
                <c:pt idx="712">
                  <c:v>-1.931034351672049</c:v>
                </c:pt>
                <c:pt idx="713">
                  <c:v>-1.9068253500499985</c:v>
                </c:pt>
                <c:pt idx="714">
                  <c:v>-1.8558976871507682</c:v>
                </c:pt>
                <c:pt idx="715">
                  <c:v>-1.7848355713072361</c:v>
                </c:pt>
                <c:pt idx="716">
                  <c:v>-1.8007476872320296</c:v>
                </c:pt>
                <c:pt idx="717">
                  <c:v>-1.8066144575785605</c:v>
                </c:pt>
                <c:pt idx="718">
                  <c:v>-1.7837409921291858</c:v>
                </c:pt>
                <c:pt idx="719">
                  <c:v>-1.7679595745890893</c:v>
                </c:pt>
                <c:pt idx="720">
                  <c:v>-1.7707016732267942</c:v>
                </c:pt>
                <c:pt idx="721">
                  <c:v>-1.8096441687304619</c:v>
                </c:pt>
                <c:pt idx="722">
                  <c:v>-1.8117856689634779</c:v>
                </c:pt>
                <c:pt idx="723">
                  <c:v>-1.8131474875956002</c:v>
                </c:pt>
                <c:pt idx="724">
                  <c:v>-1.809568480633964</c:v>
                </c:pt>
                <c:pt idx="725">
                  <c:v>-1.8084934851020502</c:v>
                </c:pt>
                <c:pt idx="726">
                  <c:v>-1.8325102450178437</c:v>
                </c:pt>
                <c:pt idx="727">
                  <c:v>-1.8493675821884563</c:v>
                </c:pt>
                <c:pt idx="728">
                  <c:v>-1.8855036514781673</c:v>
                </c:pt>
                <c:pt idx="729">
                  <c:v>-1.903772777348868</c:v>
                </c:pt>
                <c:pt idx="730">
                  <c:v>-1.8503888394033821</c:v>
                </c:pt>
                <c:pt idx="731">
                  <c:v>-1.7330156058429669</c:v>
                </c:pt>
                <c:pt idx="732">
                  <c:v>-1.642450873769622</c:v>
                </c:pt>
                <c:pt idx="733">
                  <c:v>-1.667679430666908</c:v>
                </c:pt>
                <c:pt idx="734">
                  <c:v>-1.7507842369863653</c:v>
                </c:pt>
                <c:pt idx="735">
                  <c:v>-1.7726834110213006</c:v>
                </c:pt>
                <c:pt idx="736">
                  <c:v>-1.7876318281782961</c:v>
                </c:pt>
                <c:pt idx="737">
                  <c:v>-1.7117365736811501</c:v>
                </c:pt>
                <c:pt idx="738">
                  <c:v>-1.6539023902104546</c:v>
                </c:pt>
                <c:pt idx="739">
                  <c:v>-1.5704393713838891</c:v>
                </c:pt>
                <c:pt idx="740">
                  <c:v>-1.5680776503514462</c:v>
                </c:pt>
                <c:pt idx="741">
                  <c:v>-1.597461903637061</c:v>
                </c:pt>
                <c:pt idx="742">
                  <c:v>-1.6299731948814629</c:v>
                </c:pt>
                <c:pt idx="743">
                  <c:v>-1.651466793837115</c:v>
                </c:pt>
                <c:pt idx="744">
                  <c:v>-1.6534229217503871</c:v>
                </c:pt>
                <c:pt idx="745">
                  <c:v>-1.6062399594748171</c:v>
                </c:pt>
                <c:pt idx="746">
                  <c:v>-1.5840408364028995</c:v>
                </c:pt>
                <c:pt idx="747">
                  <c:v>-1.5715075637724676</c:v>
                </c:pt>
                <c:pt idx="748">
                  <c:v>-1.6049094784575131</c:v>
                </c:pt>
                <c:pt idx="749">
                  <c:v>-1.579551953969103</c:v>
                </c:pt>
                <c:pt idx="750">
                  <c:v>-1.5774805364177009</c:v>
                </c:pt>
                <c:pt idx="751">
                  <c:v>-1.5848024237061662</c:v>
                </c:pt>
                <c:pt idx="752">
                  <c:v>-1.6258606757661627</c:v>
                </c:pt>
                <c:pt idx="753">
                  <c:v>-1.6609701601116804</c:v>
                </c:pt>
                <c:pt idx="754">
                  <c:v>-1.6541890816720191</c:v>
                </c:pt>
                <c:pt idx="755">
                  <c:v>-1.6531347470480757</c:v>
                </c:pt>
                <c:pt idx="756">
                  <c:v>-1.6428563610629023</c:v>
                </c:pt>
                <c:pt idx="757">
                  <c:v>-1.6439098458610053</c:v>
                </c:pt>
                <c:pt idx="758">
                  <c:v>-1.6612619149664785</c:v>
                </c:pt>
                <c:pt idx="759">
                  <c:v>-1.6550161803559209</c:v>
                </c:pt>
                <c:pt idx="760">
                  <c:v>-1.6829585775423703</c:v>
                </c:pt>
                <c:pt idx="761">
                  <c:v>-1.6702897867935953</c:v>
                </c:pt>
                <c:pt idx="762">
                  <c:v>-1.6545377469934397</c:v>
                </c:pt>
                <c:pt idx="763">
                  <c:v>-1.620219809822762</c:v>
                </c:pt>
                <c:pt idx="764">
                  <c:v>-1.6142945865310612</c:v>
                </c:pt>
                <c:pt idx="765">
                  <c:v>-1.601906646358022</c:v>
                </c:pt>
                <c:pt idx="766">
                  <c:v>-1.5148006407969925</c:v>
                </c:pt>
                <c:pt idx="767">
                  <c:v>-1.4294102483977982</c:v>
                </c:pt>
                <c:pt idx="768">
                  <c:v>-1.3765837979002606</c:v>
                </c:pt>
                <c:pt idx="769">
                  <c:v>-1.4037084936247775</c:v>
                </c:pt>
                <c:pt idx="770">
                  <c:v>-1.4034393300855326</c:v>
                </c:pt>
                <c:pt idx="771">
                  <c:v>-1.3874902775585884</c:v>
                </c:pt>
                <c:pt idx="772">
                  <c:v>-1.3771401369781326</c:v>
                </c:pt>
                <c:pt idx="773">
                  <c:v>-1.4161189073584595</c:v>
                </c:pt>
                <c:pt idx="774">
                  <c:v>-1.4231749969030021</c:v>
                </c:pt>
                <c:pt idx="775">
                  <c:v>-1.4328162661710373</c:v>
                </c:pt>
                <c:pt idx="776">
                  <c:v>-1.3609251341164539</c:v>
                </c:pt>
                <c:pt idx="777">
                  <c:v>-1.3503309591525208</c:v>
                </c:pt>
                <c:pt idx="778">
                  <c:v>-1.3289489182483445</c:v>
                </c:pt>
                <c:pt idx="779">
                  <c:v>-1.369608741500306</c:v>
                </c:pt>
                <c:pt idx="780">
                  <c:v>-1.3736418063660485</c:v>
                </c:pt>
                <c:pt idx="781">
                  <c:v>-1.3824922619487443</c:v>
                </c:pt>
                <c:pt idx="782">
                  <c:v>-1.3636705000642122</c:v>
                </c:pt>
                <c:pt idx="783">
                  <c:v>-1.3564101950731489</c:v>
                </c:pt>
                <c:pt idx="784">
                  <c:v>-1.3437123843008345</c:v>
                </c:pt>
                <c:pt idx="785">
                  <c:v>-1.3296085995816176</c:v>
                </c:pt>
                <c:pt idx="786">
                  <c:v>-1.3287833805350904</c:v>
                </c:pt>
                <c:pt idx="787">
                  <c:v>-1.3357044441079093</c:v>
                </c:pt>
                <c:pt idx="788">
                  <c:v>-1.3718969300485782</c:v>
                </c:pt>
                <c:pt idx="789">
                  <c:v>-1.3975577980037592</c:v>
                </c:pt>
                <c:pt idx="790">
                  <c:v>-1.4338331521006709</c:v>
                </c:pt>
                <c:pt idx="791">
                  <c:v>-1.430276425659595</c:v>
                </c:pt>
                <c:pt idx="792">
                  <c:v>-1.4246114352584314</c:v>
                </c:pt>
                <c:pt idx="793">
                  <c:v>-1.4011379344779453</c:v>
                </c:pt>
                <c:pt idx="794">
                  <c:v>-1.4095747367140141</c:v>
                </c:pt>
                <c:pt idx="795">
                  <c:v>-1.4073246751237651</c:v>
                </c:pt>
                <c:pt idx="796">
                  <c:v>-1.3805803898586613</c:v>
                </c:pt>
                <c:pt idx="797">
                  <c:v>-1.3606009628629809</c:v>
                </c:pt>
                <c:pt idx="798">
                  <c:v>-1.3669017809429989</c:v>
                </c:pt>
                <c:pt idx="799">
                  <c:v>-1.3920525794203817</c:v>
                </c:pt>
                <c:pt idx="800">
                  <c:v>-1.3756743350212062</c:v>
                </c:pt>
                <c:pt idx="801">
                  <c:v>-1.3415604032128561</c:v>
                </c:pt>
                <c:pt idx="802">
                  <c:v>-1.3036736107053606</c:v>
                </c:pt>
                <c:pt idx="803">
                  <c:v>-1.2874705574505265</c:v>
                </c:pt>
                <c:pt idx="804">
                  <c:v>-1.2647010581759088</c:v>
                </c:pt>
                <c:pt idx="805">
                  <c:v>-1.2189068875721978</c:v>
                </c:pt>
                <c:pt idx="806">
                  <c:v>-1.1859118627610565</c:v>
                </c:pt>
                <c:pt idx="807">
                  <c:v>-1.1440423251240406</c:v>
                </c:pt>
                <c:pt idx="808">
                  <c:v>-1.1384062276910469</c:v>
                </c:pt>
                <c:pt idx="809">
                  <c:v>-1.2235838637887462</c:v>
                </c:pt>
                <c:pt idx="810">
                  <c:v>-1.2995183778192219</c:v>
                </c:pt>
                <c:pt idx="811">
                  <c:v>-1.3573882904820795</c:v>
                </c:pt>
                <c:pt idx="812">
                  <c:v>-1.2937905171726427</c:v>
                </c:pt>
                <c:pt idx="813">
                  <c:v>-1.2541742663320574</c:v>
                </c:pt>
                <c:pt idx="814">
                  <c:v>-1.2232845654947715</c:v>
                </c:pt>
                <c:pt idx="815">
                  <c:v>-1.2124611688434423</c:v>
                </c:pt>
                <c:pt idx="816">
                  <c:v>-1.1989902596960242</c:v>
                </c:pt>
                <c:pt idx="817">
                  <c:v>-1.162262459120595</c:v>
                </c:pt>
                <c:pt idx="818">
                  <c:v>-1.1892603664636641</c:v>
                </c:pt>
                <c:pt idx="819">
                  <c:v>-1.263763295787985</c:v>
                </c:pt>
                <c:pt idx="820">
                  <c:v>-1.3639299199293384</c:v>
                </c:pt>
                <c:pt idx="821">
                  <c:v>-1.4296532582270869</c:v>
                </c:pt>
                <c:pt idx="822">
                  <c:v>-1.4102639110225905</c:v>
                </c:pt>
                <c:pt idx="823">
                  <c:v>-1.3353605750205604</c:v>
                </c:pt>
                <c:pt idx="824">
                  <c:v>-1.2166256772189901</c:v>
                </c:pt>
                <c:pt idx="825">
                  <c:v>-1.1895449653319998</c:v>
                </c:pt>
                <c:pt idx="826">
                  <c:v>-1.2358426958079873</c:v>
                </c:pt>
                <c:pt idx="827">
                  <c:v>-1.245113923635113</c:v>
                </c:pt>
                <c:pt idx="828">
                  <c:v>-1.194294984170347</c:v>
                </c:pt>
                <c:pt idx="829">
                  <c:v>-1.1045290318730396</c:v>
                </c:pt>
                <c:pt idx="830">
                  <c:v>-1.0641144937370177</c:v>
                </c:pt>
                <c:pt idx="831">
                  <c:v>-1.0251275001316069</c:v>
                </c:pt>
                <c:pt idx="832">
                  <c:v>-0.98746544308217865</c:v>
                </c:pt>
                <c:pt idx="833">
                  <c:v>-0.95103637397364038</c:v>
                </c:pt>
                <c:pt idx="834">
                  <c:v>-0.91575757652992007</c:v>
                </c:pt>
                <c:pt idx="835">
                  <c:v>-0.92647727056292839</c:v>
                </c:pt>
                <c:pt idx="836">
                  <c:v>-1.0091259393719534</c:v>
                </c:pt>
                <c:pt idx="837">
                  <c:v>-1.3139580268550697</c:v>
                </c:pt>
                <c:pt idx="838">
                  <c:v>-1.5242155400934028</c:v>
                </c:pt>
                <c:pt idx="839">
                  <c:v>-1.7314039741899567</c:v>
                </c:pt>
                <c:pt idx="840">
                  <c:v>-1.7166444185382745</c:v>
                </c:pt>
                <c:pt idx="841">
                  <c:v>-1.6860946609056617</c:v>
                </c:pt>
                <c:pt idx="842">
                  <c:v>-1.5023658748401456</c:v>
                </c:pt>
                <c:pt idx="843">
                  <c:v>-1.3519882805768306</c:v>
                </c:pt>
                <c:pt idx="844">
                  <c:v>-1.2405649443760842</c:v>
                </c:pt>
                <c:pt idx="845">
                  <c:v>-1.2368750622246416</c:v>
                </c:pt>
                <c:pt idx="846">
                  <c:v>-1.1813787327619341</c:v>
                </c:pt>
                <c:pt idx="847">
                  <c:v>-1.1992802411587022</c:v>
                </c:pt>
                <c:pt idx="848">
                  <c:v>-1.2138723323114078</c:v>
                </c:pt>
                <c:pt idx="849">
                  <c:v>-1.2844056108892017</c:v>
                </c:pt>
                <c:pt idx="850">
                  <c:v>-1.3042503064513531</c:v>
                </c:pt>
                <c:pt idx="851">
                  <c:v>-1.3203104602551108</c:v>
                </c:pt>
                <c:pt idx="852">
                  <c:v>-1.3402235193433256</c:v>
                </c:pt>
                <c:pt idx="853">
                  <c:v>-1.3214919841835362</c:v>
                </c:pt>
                <c:pt idx="854">
                  <c:v>-1.3020880841036013</c:v>
                </c:pt>
                <c:pt idx="855">
                  <c:v>-1.2593079414720518</c:v>
                </c:pt>
                <c:pt idx="856">
                  <c:v>-1.280438791538242</c:v>
                </c:pt>
                <c:pt idx="857">
                  <c:v>-1.3079324998036184</c:v>
                </c:pt>
                <c:pt idx="858">
                  <c:v>-1.3324378983719598</c:v>
                </c:pt>
                <c:pt idx="859">
                  <c:v>-1.3619683159666913</c:v>
                </c:pt>
                <c:pt idx="860">
                  <c:v>-1.4182725139470236</c:v>
                </c:pt>
                <c:pt idx="861">
                  <c:v>-1.4404782791010291</c:v>
                </c:pt>
                <c:pt idx="862">
                  <c:v>-1.4023665091024935</c:v>
                </c:pt>
                <c:pt idx="863">
                  <c:v>-1.3408423420094693</c:v>
                </c:pt>
                <c:pt idx="864">
                  <c:v>-1.3788771533699649</c:v>
                </c:pt>
                <c:pt idx="865">
                  <c:v>-1.4997649197059848</c:v>
                </c:pt>
                <c:pt idx="866">
                  <c:v>-1.5863273434543574</c:v>
                </c:pt>
                <c:pt idx="867">
                  <c:v>-1.5912834379659735</c:v>
                </c:pt>
                <c:pt idx="868">
                  <c:v>-1.6234437023779658</c:v>
                </c:pt>
                <c:pt idx="869">
                  <c:v>-1.6631291632820375</c:v>
                </c:pt>
                <c:pt idx="870">
                  <c:v>-1.7008705335744791</c:v>
                </c:pt>
                <c:pt idx="871">
                  <c:v>-1.6578921529544035</c:v>
                </c:pt>
                <c:pt idx="872">
                  <c:v>-1.6111244745300206</c:v>
                </c:pt>
                <c:pt idx="873">
                  <c:v>-1.5599823692788852</c:v>
                </c:pt>
                <c:pt idx="874">
                  <c:v>-1.4962833340667865</c:v>
                </c:pt>
                <c:pt idx="875">
                  <c:v>-1.4909836954771578</c:v>
                </c:pt>
                <c:pt idx="876">
                  <c:v>-1.4461255692405572</c:v>
                </c:pt>
                <c:pt idx="877">
                  <c:v>-1.4383753782071906</c:v>
                </c:pt>
                <c:pt idx="878">
                  <c:v>-1.3916586400630153</c:v>
                </c:pt>
                <c:pt idx="879">
                  <c:v>-1.4157042482827809</c:v>
                </c:pt>
                <c:pt idx="880">
                  <c:v>-1.4184751687316384</c:v>
                </c:pt>
                <c:pt idx="881">
                  <c:v>-1.4230939410082384</c:v>
                </c:pt>
                <c:pt idx="882">
                  <c:v>-1.4308144728406635</c:v>
                </c:pt>
                <c:pt idx="883">
                  <c:v>-1.4301902848478543</c:v>
                </c:pt>
                <c:pt idx="884">
                  <c:v>-1.4070145199854505</c:v>
                </c:pt>
                <c:pt idx="885">
                  <c:v>-1.3678328484632811</c:v>
                </c:pt>
                <c:pt idx="886">
                  <c:v>-1.3489380596189779</c:v>
                </c:pt>
                <c:pt idx="887">
                  <c:v>-1.350582494769718</c:v>
                </c:pt>
                <c:pt idx="888">
                  <c:v>-1.3502406341199222</c:v>
                </c:pt>
                <c:pt idx="889">
                  <c:v>-1.3503758633247909</c:v>
                </c:pt>
                <c:pt idx="890">
                  <c:v>-1.3813395309296732</c:v>
                </c:pt>
                <c:pt idx="891">
                  <c:v>-1.4747360012696538</c:v>
                </c:pt>
                <c:pt idx="892">
                  <c:v>-1.5328762452655018</c:v>
                </c:pt>
                <c:pt idx="893">
                  <c:v>-1.5222652035492397</c:v>
                </c:pt>
                <c:pt idx="894">
                  <c:v>-1.4151742582312634</c:v>
                </c:pt>
                <c:pt idx="895">
                  <c:v>-1.3057790102295765</c:v>
                </c:pt>
                <c:pt idx="896">
                  <c:v>-1.2546366735170162</c:v>
                </c:pt>
                <c:pt idx="897">
                  <c:v>-1.2179152497829955</c:v>
                </c:pt>
                <c:pt idx="898">
                  <c:v>-1.229348029801552</c:v>
                </c:pt>
                <c:pt idx="899">
                  <c:v>-1.2202284240824464</c:v>
                </c:pt>
                <c:pt idx="900">
                  <c:v>-1.2422872766551167</c:v>
                </c:pt>
                <c:pt idx="901">
                  <c:v>-1.1911331819472222</c:v>
                </c:pt>
                <c:pt idx="902">
                  <c:v>-1.1469425846222692</c:v>
                </c:pt>
                <c:pt idx="903">
                  <c:v>-1.1149405163231936</c:v>
                </c:pt>
                <c:pt idx="904">
                  <c:v>-1.1511066616039656</c:v>
                </c:pt>
                <c:pt idx="905">
                  <c:v>-1.1172703861220634</c:v>
                </c:pt>
                <c:pt idx="906">
                  <c:v>-1.0364552728505598</c:v>
                </c:pt>
                <c:pt idx="907">
                  <c:v>-1.0199316714236775</c:v>
                </c:pt>
                <c:pt idx="908">
                  <c:v>-1.041384668199302</c:v>
                </c:pt>
                <c:pt idx="909">
                  <c:v>-0.77420522430894445</c:v>
                </c:pt>
                <c:pt idx="910">
                  <c:v>-0.62562065393643451</c:v>
                </c:pt>
                <c:pt idx="911">
                  <c:v>-0.67780513999707892</c:v>
                </c:pt>
                <c:pt idx="912">
                  <c:v>-0.98553487660467842</c:v>
                </c:pt>
                <c:pt idx="913">
                  <c:v>-1.0811528674935045</c:v>
                </c:pt>
                <c:pt idx="914">
                  <c:v>-0.97005450292801554</c:v>
                </c:pt>
                <c:pt idx="915">
                  <c:v>-0.87041237014725292</c:v>
                </c:pt>
                <c:pt idx="916">
                  <c:v>-0.93029692076691495</c:v>
                </c:pt>
                <c:pt idx="917">
                  <c:v>-0.96091700854090245</c:v>
                </c:pt>
                <c:pt idx="918">
                  <c:v>-0.97154631932509083</c:v>
                </c:pt>
                <c:pt idx="919">
                  <c:v>-0.88420058291701242</c:v>
                </c:pt>
                <c:pt idx="920">
                  <c:v>-0.62428004547406057</c:v>
                </c:pt>
                <c:pt idx="921">
                  <c:v>-0.45011015990843828</c:v>
                </c:pt>
                <c:pt idx="922">
                  <c:v>-0.1867232441387979</c:v>
                </c:pt>
                <c:pt idx="923">
                  <c:v>-0.35881597660650538</c:v>
                </c:pt>
                <c:pt idx="924">
                  <c:v>-0.5137038469798586</c:v>
                </c:pt>
                <c:pt idx="925">
                  <c:v>-0.75418502110113383</c:v>
                </c:pt>
                <c:pt idx="926">
                  <c:v>-0.82882961557036083</c:v>
                </c:pt>
                <c:pt idx="927">
                  <c:v>-0.9335126828327075</c:v>
                </c:pt>
                <c:pt idx="928">
                  <c:v>-1.0416553398115025</c:v>
                </c:pt>
                <c:pt idx="929">
                  <c:v>-1.1200515263170312</c:v>
                </c:pt>
                <c:pt idx="930">
                  <c:v>-1.1775772662413866</c:v>
                </c:pt>
                <c:pt idx="931">
                  <c:v>-1.1431206234006499</c:v>
                </c:pt>
                <c:pt idx="932">
                  <c:v>-1.2299644885698806</c:v>
                </c:pt>
                <c:pt idx="933">
                  <c:v>-1.1115521240984361</c:v>
                </c:pt>
                <c:pt idx="934">
                  <c:v>-0.88447807014018609</c:v>
                </c:pt>
                <c:pt idx="935">
                  <c:v>-0.53353561307969122</c:v>
                </c:pt>
                <c:pt idx="936">
                  <c:v>-0.41965188080895155</c:v>
                </c:pt>
                <c:pt idx="937">
                  <c:v>-0.5327514797946129</c:v>
                </c:pt>
                <c:pt idx="938">
                  <c:v>-0.57432971559979273</c:v>
                </c:pt>
                <c:pt idx="939">
                  <c:v>-0.72060809812264826</c:v>
                </c:pt>
                <c:pt idx="940">
                  <c:v>-0.92141130971025031</c:v>
                </c:pt>
                <c:pt idx="941">
                  <c:v>-0.86393926418257905</c:v>
                </c:pt>
                <c:pt idx="942">
                  <c:v>-0.54095139782587076</c:v>
                </c:pt>
                <c:pt idx="943">
                  <c:v>-0.26110009759047653</c:v>
                </c:pt>
                <c:pt idx="944">
                  <c:v>-0.36358083841404448</c:v>
                </c:pt>
                <c:pt idx="945">
                  <c:v>-0.50221556078512808</c:v>
                </c:pt>
                <c:pt idx="946">
                  <c:v>-0.5976953974027821</c:v>
                </c:pt>
                <c:pt idx="947">
                  <c:v>-0.74082859407676771</c:v>
                </c:pt>
                <c:pt idx="948">
                  <c:v>-0.7615193701494819</c:v>
                </c:pt>
                <c:pt idx="949">
                  <c:v>-0.62954288578298512</c:v>
                </c:pt>
                <c:pt idx="950">
                  <c:v>-0.40177021739335211</c:v>
                </c:pt>
                <c:pt idx="951">
                  <c:v>-0.35680664309244498</c:v>
                </c:pt>
                <c:pt idx="952">
                  <c:v>-0.50920582266104386</c:v>
                </c:pt>
                <c:pt idx="953">
                  <c:v>-0.54211798149842227</c:v>
                </c:pt>
                <c:pt idx="954">
                  <c:v>-0.46336689960040073</c:v>
                </c:pt>
                <c:pt idx="955">
                  <c:v>-0.20307460015088208</c:v>
                </c:pt>
                <c:pt idx="956">
                  <c:v>-0.20219833213552837</c:v>
                </c:pt>
                <c:pt idx="957">
                  <c:v>-0.4313540716696232</c:v>
                </c:pt>
                <c:pt idx="958">
                  <c:v>-0.7032306757895791</c:v>
                </c:pt>
                <c:pt idx="959">
                  <c:v>-0.83315663212130031</c:v>
                </c:pt>
                <c:pt idx="960">
                  <c:v>-0.89966491511762425</c:v>
                </c:pt>
                <c:pt idx="961">
                  <c:v>-0.94439832266098411</c:v>
                </c:pt>
                <c:pt idx="962">
                  <c:v>-1.0129720232700199</c:v>
                </c:pt>
                <c:pt idx="963">
                  <c:v>-1.0416809048005782</c:v>
                </c:pt>
                <c:pt idx="964">
                  <c:v>-1.0777376945714019</c:v>
                </c:pt>
                <c:pt idx="965">
                  <c:v>-1.0953059082149792</c:v>
                </c:pt>
                <c:pt idx="966">
                  <c:v>-1.0577089783981422</c:v>
                </c:pt>
                <c:pt idx="967">
                  <c:v>-0.85991249192231389</c:v>
                </c:pt>
                <c:pt idx="968">
                  <c:v>-0.64648828163453032</c:v>
                </c:pt>
                <c:pt idx="969">
                  <c:v>-0.49375365505055452</c:v>
                </c:pt>
                <c:pt idx="970">
                  <c:v>-0.48966583404811415</c:v>
                </c:pt>
                <c:pt idx="971">
                  <c:v>-0.48553292048607849</c:v>
                </c:pt>
                <c:pt idx="972">
                  <c:v>-0.4813541280119637</c:v>
                </c:pt>
                <c:pt idx="973">
                  <c:v>-0.47712865164743173</c:v>
                </c:pt>
                <c:pt idx="974">
                  <c:v>-0.47285566611718394</c:v>
                </c:pt>
                <c:pt idx="975">
                  <c:v>-0.5857525769421591</c:v>
                </c:pt>
                <c:pt idx="976">
                  <c:v>-0.67145173719621687</c:v>
                </c:pt>
                <c:pt idx="977">
                  <c:v>-0.70807108841724153</c:v>
                </c:pt>
                <c:pt idx="978">
                  <c:v>-0.64891927591894671</c:v>
                </c:pt>
                <c:pt idx="979">
                  <c:v>-0.48920401022431131</c:v>
                </c:pt>
                <c:pt idx="980">
                  <c:v>-0.31922025602788479</c:v>
                </c:pt>
                <c:pt idx="981">
                  <c:v>-0.23484029712262644</c:v>
                </c:pt>
                <c:pt idx="982">
                  <c:v>-0.37859853198039045</c:v>
                </c:pt>
                <c:pt idx="983">
                  <c:v>-0.5916587186417599</c:v>
                </c:pt>
                <c:pt idx="984">
                  <c:v>-0.71342713526558599</c:v>
                </c:pt>
                <c:pt idx="985">
                  <c:v>-0.75650374899504758</c:v>
                </c:pt>
                <c:pt idx="986">
                  <c:v>-0.76774947029137885</c:v>
                </c:pt>
                <c:pt idx="987">
                  <c:v>-0.78736753214111266</c:v>
                </c:pt>
                <c:pt idx="988">
                  <c:v>-0.76587248219955362</c:v>
                </c:pt>
                <c:pt idx="989">
                  <c:v>-0.81277219796587608</c:v>
                </c:pt>
                <c:pt idx="990">
                  <c:v>-0.84442474754324748</c:v>
                </c:pt>
                <c:pt idx="991">
                  <c:v>-0.80517813344822475</c:v>
                </c:pt>
                <c:pt idx="992">
                  <c:v>-0.61161819689586938</c:v>
                </c:pt>
                <c:pt idx="993">
                  <c:v>-0.45811092325084229</c:v>
                </c:pt>
                <c:pt idx="994">
                  <c:v>-0.74280455149595281</c:v>
                </c:pt>
                <c:pt idx="995">
                  <c:v>-1.0183902671097309</c:v>
                </c:pt>
                <c:pt idx="996">
                  <c:v>-1.150024177380339</c:v>
                </c:pt>
                <c:pt idx="997">
                  <c:v>-0.96867593455741263</c:v>
                </c:pt>
                <c:pt idx="998">
                  <c:v>-0.8821502784007893</c:v>
                </c:pt>
                <c:pt idx="999">
                  <c:v>-0.88140958223807953</c:v>
                </c:pt>
                <c:pt idx="1000">
                  <c:v>-0.91882054742862318</c:v>
                </c:pt>
                <c:pt idx="1001">
                  <c:v>-1.1173583348012499</c:v>
                </c:pt>
                <c:pt idx="1002">
                  <c:v>-1.204088545589008</c:v>
                </c:pt>
                <c:pt idx="1003">
                  <c:v>-1.1879672269528612</c:v>
                </c:pt>
                <c:pt idx="1004">
                  <c:v>-1.0054853233259169</c:v>
                </c:pt>
                <c:pt idx="1005">
                  <c:v>-0.96140212828889327</c:v>
                </c:pt>
                <c:pt idx="1006">
                  <c:v>-0.96021519967716307</c:v>
                </c:pt>
                <c:pt idx="1007">
                  <c:v>-0.9786453003779485</c:v>
                </c:pt>
                <c:pt idx="1008">
                  <c:v>-0.95913330457060575</c:v>
                </c:pt>
                <c:pt idx="1009">
                  <c:v>-0.9361033376415927</c:v>
                </c:pt>
                <c:pt idx="1010">
                  <c:v>-0.94331737610577893</c:v>
                </c:pt>
                <c:pt idx="1011">
                  <c:v>-0.91553582905150999</c:v>
                </c:pt>
                <c:pt idx="1012">
                  <c:v>-0.92519545422138483</c:v>
                </c:pt>
                <c:pt idx="1013">
                  <c:v>-0.87005765900061682</c:v>
                </c:pt>
                <c:pt idx="1014">
                  <c:v>-0.94454220524422683</c:v>
                </c:pt>
                <c:pt idx="1015">
                  <c:v>-0.93562400568246507</c:v>
                </c:pt>
                <c:pt idx="1016">
                  <c:v>-0.98328020325369625</c:v>
                </c:pt>
                <c:pt idx="1017">
                  <c:v>-0.92476751864418094</c:v>
                </c:pt>
                <c:pt idx="1018">
                  <c:v>-0.9168061877930942</c:v>
                </c:pt>
                <c:pt idx="1019">
                  <c:v>-0.93622223213894173</c:v>
                </c:pt>
                <c:pt idx="1020">
                  <c:v>-0.97486855451017052</c:v>
                </c:pt>
                <c:pt idx="1021">
                  <c:v>-0.98347488282087048</c:v>
                </c:pt>
                <c:pt idx="1022">
                  <c:v>-0.96401486396787017</c:v>
                </c:pt>
                <c:pt idx="1023">
                  <c:v>-0.9348309022288287</c:v>
                </c:pt>
                <c:pt idx="1024">
                  <c:v>-0.94248338079109206</c:v>
                </c:pt>
                <c:pt idx="1025">
                  <c:v>-0.89387082507426985</c:v>
                </c:pt>
                <c:pt idx="1026">
                  <c:v>-0.87091509569757808</c:v>
                </c:pt>
                <c:pt idx="1027">
                  <c:v>-0.8283855395086559</c:v>
                </c:pt>
                <c:pt idx="1028">
                  <c:v>-0.84276891859509229</c:v>
                </c:pt>
                <c:pt idx="1029">
                  <c:v>-0.81945953029926122</c:v>
                </c:pt>
                <c:pt idx="1030">
                  <c:v>-0.83115596074257159</c:v>
                </c:pt>
                <c:pt idx="1031">
                  <c:v>-0.81444710097391881</c:v>
                </c:pt>
                <c:pt idx="1032">
                  <c:v>-0.80704258245463356</c:v>
                </c:pt>
                <c:pt idx="1033">
                  <c:v>-0.73546287752364325</c:v>
                </c:pt>
                <c:pt idx="1034">
                  <c:v>-0.73220431635821059</c:v>
                </c:pt>
                <c:pt idx="1035">
                  <c:v>-0.77367348054494867</c:v>
                </c:pt>
                <c:pt idx="1036">
                  <c:v>-0.86193524775332653</c:v>
                </c:pt>
                <c:pt idx="1037">
                  <c:v>-0.89634963038357596</c:v>
                </c:pt>
                <c:pt idx="1038">
                  <c:v>-0.95276932966853656</c:v>
                </c:pt>
                <c:pt idx="1039">
                  <c:v>-0.96132842647611783</c:v>
                </c:pt>
                <c:pt idx="1040">
                  <c:v>-0.98482664674973641</c:v>
                </c:pt>
                <c:pt idx="1041">
                  <c:v>-1.0212354338102694</c:v>
                </c:pt>
                <c:pt idx="1042">
                  <c:v>-1.037719634954372</c:v>
                </c:pt>
                <c:pt idx="1043">
                  <c:v>-0.99043928356161082</c:v>
                </c:pt>
                <c:pt idx="1044">
                  <c:v>-0.95058572555035992</c:v>
                </c:pt>
                <c:pt idx="1045">
                  <c:v>-0.95765667104561203</c:v>
                </c:pt>
                <c:pt idx="1046">
                  <c:v>-1.2083513312564442</c:v>
                </c:pt>
                <c:pt idx="1047">
                  <c:v>-1.0119640835347425</c:v>
                </c:pt>
                <c:pt idx="1048">
                  <c:v>-0.65127085518205885</c:v>
                </c:pt>
                <c:pt idx="1049">
                  <c:v>-8.6795742024535036E-2</c:v>
                </c:pt>
                <c:pt idx="1050">
                  <c:v>8.4003403704758797E-2</c:v>
                </c:pt>
                <c:pt idx="1051">
                  <c:v>-2.7239601716665209E-3</c:v>
                </c:pt>
                <c:pt idx="1052">
                  <c:v>-1.9573051941507793E-2</c:v>
                </c:pt>
                <c:pt idx="1053">
                  <c:v>-7.2238625010185034E-2</c:v>
                </c:pt>
                <c:pt idx="1054">
                  <c:v>-0.25025068237079207</c:v>
                </c:pt>
                <c:pt idx="1055">
                  <c:v>-0.47294449537700983</c:v>
                </c:pt>
                <c:pt idx="1056">
                  <c:v>-0.75271127958605477</c:v>
                </c:pt>
                <c:pt idx="1057">
                  <c:v>-0.85090167088271984</c:v>
                </c:pt>
                <c:pt idx="1058">
                  <c:v>-1.0335427848490859</c:v>
                </c:pt>
                <c:pt idx="1059">
                  <c:v>-1.0675248567645184</c:v>
                </c:pt>
                <c:pt idx="1060">
                  <c:v>-1.0869459244966453</c:v>
                </c:pt>
                <c:pt idx="1061">
                  <c:v>-1.0470574327743585</c:v>
                </c:pt>
                <c:pt idx="1062">
                  <c:v>-0.96636003191071707</c:v>
                </c:pt>
                <c:pt idx="1063">
                  <c:v>-0.93260474385085157</c:v>
                </c:pt>
                <c:pt idx="1064">
                  <c:v>-0.94002180594807605</c:v>
                </c:pt>
                <c:pt idx="1065">
                  <c:v>-1.0892586148464518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3A-44E4-91A1-6EF481339BC9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31750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9-105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13A-44E4-91A1-6EF481339B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9-015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B13A-44E4-91A1-6EF481339B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8-145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13A-44E4-91A1-6EF481339B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8-075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13A-44E4-91A1-6EF481339B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8-020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B13A-44E4-91A1-6EF481339B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7-025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B13A-44E4-91A1-6EF481339B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6a-075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B13A-44E4-91A1-6EF481339B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6a-010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B13A-44E4-91A1-6EF481339B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6-125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B13A-44E4-91A1-6EF481339B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6-090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B13A-44E4-91A1-6EF481339B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6-020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B13A-44E4-91A1-6EF481339BC9}"/>
                </c:ext>
              </c:extLst>
            </c:dLbl>
            <c:dLbl>
              <c:idx val="11"/>
              <c:tx>
                <c:rich>
                  <a:bodyPr rot="0" spcFirstLastPara="1" vertOverflow="overflow" horzOverflow="overflow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1" i="0" u="none" strike="noStrike" kern="1200" baseline="0">
                        <a:ln w="0">
                          <a:noFill/>
                        </a:ln>
                        <a:solidFill>
                          <a:schemeClr val="tx1"/>
                        </a:solidFill>
                        <a:effectLst>
                          <a:outerShdw blurRad="50800" dist="50800" dir="5400000" algn="ctr" rotWithShape="0">
                            <a:schemeClr val="bg1"/>
                          </a:outerShdw>
                        </a:effectLst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800" b="1">
                        <a:ln w="0">
                          <a:noFill/>
                        </a:ln>
                        <a:solidFill>
                          <a:schemeClr val="tx1"/>
                        </a:solidFill>
                        <a:effectLst>
                          <a:outerShdw blurRad="50800" dist="50800" dir="5400000" algn="ctr" rotWithShape="0">
                            <a:schemeClr val="bg1"/>
                          </a:outerShdw>
                        </a:effectLst>
                      </a:rPr>
                      <a:t>4-060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ln w="0">
                        <a:noFill/>
                      </a:ln>
                      <a:solidFill>
                        <a:schemeClr val="tx1"/>
                      </a:solidFill>
                      <a:effectLst>
                        <a:outerShdw blurRad="50800" dist="50800" dir="5400000" algn="ctr" rotWithShape="0">
                          <a:schemeClr val="bg1"/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nl-NL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showDataLabelsRange val="0"/>
                </c:ext>
                <c:ext xmlns:c16="http://schemas.microsoft.com/office/drawing/2014/chart" uri="{C3380CC4-5D6E-409C-BE32-E72D297353CC}">
                  <c16:uniqueId val="{0000000C-B13A-44E4-91A1-6EF481339B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4-005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B13A-44E4-91A1-6EF481339B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/>
                      <a:t>3-031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B13A-44E4-91A1-6EF481339BC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n-US"/>
                      <a:t>2-025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B13A-44E4-91A1-6EF481339B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ln w="0">
                      <a:noFill/>
                    </a:ln>
                    <a:solidFill>
                      <a:schemeClr val="tx1"/>
                    </a:solidFill>
                    <a:effectLst>
                      <a:outerShdw blurRad="50800" dist="50800" dir="5400000" algn="ctr" rotWithShape="0">
                        <a:schemeClr val="bg1"/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('XRF selectie'!$Y$103,'XRF selectie'!$Y$193,'XRF selectie'!$Y$213,'XRF selectie'!$Y$283,'XRF selectie'!$Y$338,'XRF selectie'!$Y$484,'XRF selectie'!$Y$544,'XRF selectie'!$Y$609,'XRF selectie'!$Y$643,'XRF selectie'!$Y$678,'XRF selectie'!$Y$748,'XRF selectie'!$Y$835,'XRF selectie'!$Y$890,'XRF selectie'!$Y$942,'XRF selectie'!$Y$1023)</c:f>
              <c:numCache>
                <c:formatCode>General</c:formatCode>
                <c:ptCount val="15"/>
                <c:pt idx="0">
                  <c:v>10.2980526</c:v>
                </c:pt>
                <c:pt idx="1">
                  <c:v>11.768077699999999</c:v>
                </c:pt>
                <c:pt idx="2">
                  <c:v>12.1405049</c:v>
                </c:pt>
                <c:pt idx="3">
                  <c:v>12.6819275</c:v>
                </c:pt>
                <c:pt idx="4">
                  <c:v>12.904340100000001</c:v>
                </c:pt>
                <c:pt idx="5">
                  <c:v>13.4115</c:v>
                </c:pt>
                <c:pt idx="6">
                  <c:v>15.2977455</c:v>
                </c:pt>
                <c:pt idx="7">
                  <c:v>17.6303333</c:v>
                </c:pt>
                <c:pt idx="8">
                  <c:v>19.7899794</c:v>
                </c:pt>
                <c:pt idx="9">
                  <c:v>22.102144299999999</c:v>
                </c:pt>
                <c:pt idx="10">
                  <c:v>26.1424615</c:v>
                </c:pt>
                <c:pt idx="11">
                  <c:v>29.476255299999998</c:v>
                </c:pt>
                <c:pt idx="12">
                  <c:v>30.863619100000001</c:v>
                </c:pt>
                <c:pt idx="13">
                  <c:v>31.4960381</c:v>
                </c:pt>
                <c:pt idx="14">
                  <c:v>33.121000000000002</c:v>
                </c:pt>
              </c:numCache>
            </c:numRef>
          </c:xVal>
          <c:yVal>
            <c:numRef>
              <c:f>('XRF selectie'!$T$103,'XRF selectie'!$T$193,'XRF selectie'!$T$213,'XRF selectie'!$T$283,'XRF selectie'!$T$338,'XRF selectie'!$T$484,'XRF selectie'!$T$544,'XRF selectie'!$T$609,'XRF selectie'!$T$643,'XRF selectie'!$T$678,'XRF selectie'!$T$748,'XRF selectie'!$T$835,'XRF selectie'!$T$890,'XRF selectie'!$T$942,'XRF selectie'!$T$1023)</c:f>
              <c:numCache>
                <c:formatCode>General</c:formatCode>
                <c:ptCount val="15"/>
                <c:pt idx="0">
                  <c:v>1.247767791537624</c:v>
                </c:pt>
                <c:pt idx="1">
                  <c:v>0.69830519598119822</c:v>
                </c:pt>
                <c:pt idx="2">
                  <c:v>0.94352448319192384</c:v>
                </c:pt>
                <c:pt idx="3">
                  <c:v>-0.35183242952405053</c:v>
                </c:pt>
                <c:pt idx="4">
                  <c:v>-1.0315523158559567</c:v>
                </c:pt>
                <c:pt idx="5">
                  <c:v>-0.45993079634645256</c:v>
                </c:pt>
                <c:pt idx="6">
                  <c:v>-0.5083661431327311</c:v>
                </c:pt>
                <c:pt idx="7">
                  <c:v>-1.9598161592244112</c:v>
                </c:pt>
                <c:pt idx="8">
                  <c:v>-2.0509613187001334</c:v>
                </c:pt>
                <c:pt idx="9">
                  <c:v>-1.773715120338428</c:v>
                </c:pt>
                <c:pt idx="10">
                  <c:v>-1.5715075637724676</c:v>
                </c:pt>
                <c:pt idx="11">
                  <c:v>-0.91575757652992007</c:v>
                </c:pt>
                <c:pt idx="12">
                  <c:v>-1.3503758633247909</c:v>
                </c:pt>
                <c:pt idx="13">
                  <c:v>-0.86393926418257905</c:v>
                </c:pt>
                <c:pt idx="14">
                  <c:v>-0.96401486396787017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B13A-44E4-91A1-6EF481339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849088"/>
        <c:axId val="73213969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'XRF samples'!$Y$2:$Y$16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10.2980526</c:v>
                      </c:pt>
                      <c:pt idx="1">
                        <c:v>11.768077699999999</c:v>
                      </c:pt>
                      <c:pt idx="2">
                        <c:v>12.1405049</c:v>
                      </c:pt>
                      <c:pt idx="3">
                        <c:v>12.6819275</c:v>
                      </c:pt>
                      <c:pt idx="4">
                        <c:v>12.904340100000001</c:v>
                      </c:pt>
                      <c:pt idx="5">
                        <c:v>13.4115</c:v>
                      </c:pt>
                      <c:pt idx="6">
                        <c:v>15.2977455</c:v>
                      </c:pt>
                      <c:pt idx="7">
                        <c:v>17.6303333</c:v>
                      </c:pt>
                      <c:pt idx="8">
                        <c:v>19.7899794</c:v>
                      </c:pt>
                      <c:pt idx="9">
                        <c:v>22.102144299999999</c:v>
                      </c:pt>
                      <c:pt idx="10">
                        <c:v>26.1424615</c:v>
                      </c:pt>
                      <c:pt idx="11">
                        <c:v>29.476255299999998</c:v>
                      </c:pt>
                      <c:pt idx="12">
                        <c:v>30.863619100000001</c:v>
                      </c:pt>
                      <c:pt idx="13">
                        <c:v>31.4960381</c:v>
                      </c:pt>
                      <c:pt idx="14">
                        <c:v>33.121000000000002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'XRF samples'!$T$1:$T$16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0</c:v>
                      </c:pt>
                      <c:pt idx="1">
                        <c:v>0.94408901712885041</c:v>
                      </c:pt>
                      <c:pt idx="2">
                        <c:v>0.9375661704192314</c:v>
                      </c:pt>
                      <c:pt idx="3">
                        <c:v>0.41573791833812135</c:v>
                      </c:pt>
                      <c:pt idx="4">
                        <c:v>-0.14181589770270375</c:v>
                      </c:pt>
                      <c:pt idx="5">
                        <c:v>-0.61870546704901697</c:v>
                      </c:pt>
                      <c:pt idx="6">
                        <c:v>-0.63691565655264959</c:v>
                      </c:pt>
                      <c:pt idx="7">
                        <c:v>-0.94204294297966096</c:v>
                      </c:pt>
                      <c:pt idx="8">
                        <c:v>-1.4516293214330522</c:v>
                      </c:pt>
                      <c:pt idx="9">
                        <c:v>-1.9317111061209387</c:v>
                      </c:pt>
                      <c:pt idx="10">
                        <c:v>-1.8135296565834829</c:v>
                      </c:pt>
                      <c:pt idx="11">
                        <c:v>-1.4403604749861554</c:v>
                      </c:pt>
                      <c:pt idx="12">
                        <c:v>-1.2843028038601634</c:v>
                      </c:pt>
                      <c:pt idx="13">
                        <c:v>-1.1897315615390827</c:v>
                      </c:pt>
                      <c:pt idx="14">
                        <c:v>-1.1961038536760809</c:v>
                      </c:pt>
                      <c:pt idx="15">
                        <c:v>-1.1202203155084132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1-B13A-44E4-91A1-6EF481339BC9}"/>
                  </c:ext>
                </c:extLst>
              </c15:ser>
            </c15:filteredScatterSeries>
          </c:ext>
        </c:extLst>
      </c:scatterChart>
      <c:valAx>
        <c:axId val="670849088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000" baseline="0"/>
                  <a:t>Age (ka BP)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1270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732139696"/>
        <c:crosses val="autoZero"/>
        <c:crossBetween val="midCat"/>
        <c:majorUnit val="4"/>
      </c:valAx>
      <c:valAx>
        <c:axId val="732139696"/>
        <c:scaling>
          <c:orientation val="minMax"/>
        </c:scaling>
        <c:delete val="0"/>
        <c:axPos val="l"/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000" baseline="0"/>
                  <a:t>ln(Ti/Ca)</a:t>
                </a:r>
              </a:p>
            </c:rich>
          </c:tx>
          <c:layout>
            <c:manualLayout>
              <c:xMode val="edge"/>
              <c:yMode val="edge"/>
              <c:x val="1.4963286927506999E-2"/>
              <c:y val="0.38427248512952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t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670849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14787183571646"/>
          <c:y val="4.5976000220814529E-2"/>
          <c:w val="0.86151674317187121"/>
          <c:h val="0.8118004664706938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'XRF selectie'!$Y$2:$Y$1067</c:f>
              <c:numCache>
                <c:formatCode>General</c:formatCode>
                <c:ptCount val="1066"/>
                <c:pt idx="0">
                  <c:v>8.6873684200000003</c:v>
                </c:pt>
                <c:pt idx="1">
                  <c:v>8.7033157899999996</c:v>
                </c:pt>
                <c:pt idx="2">
                  <c:v>8.7192631600000006</c:v>
                </c:pt>
                <c:pt idx="3">
                  <c:v>8.7352105299999998</c:v>
                </c:pt>
                <c:pt idx="4">
                  <c:v>8.7511579000000008</c:v>
                </c:pt>
                <c:pt idx="5">
                  <c:v>8.7671052599999992</c:v>
                </c:pt>
                <c:pt idx="6">
                  <c:v>8.7830526300000002</c:v>
                </c:pt>
                <c:pt idx="7">
                  <c:v>8.7989999999999995</c:v>
                </c:pt>
                <c:pt idx="8">
                  <c:v>8.8149473700000005</c:v>
                </c:pt>
                <c:pt idx="9">
                  <c:v>8.8308947399999997</c:v>
                </c:pt>
                <c:pt idx="10">
                  <c:v>8.8468421100000008</c:v>
                </c:pt>
                <c:pt idx="11">
                  <c:v>8.8627894699999992</c:v>
                </c:pt>
                <c:pt idx="12">
                  <c:v>8.8787368400000002</c:v>
                </c:pt>
                <c:pt idx="13">
                  <c:v>8.8946842099999994</c:v>
                </c:pt>
                <c:pt idx="14">
                  <c:v>8.9106315800000004</c:v>
                </c:pt>
                <c:pt idx="15">
                  <c:v>8.9265789499999997</c:v>
                </c:pt>
                <c:pt idx="16">
                  <c:v>8.9425263200000007</c:v>
                </c:pt>
                <c:pt idx="17">
                  <c:v>8.9584736800000009</c:v>
                </c:pt>
                <c:pt idx="18">
                  <c:v>8.9744210500000001</c:v>
                </c:pt>
                <c:pt idx="19">
                  <c:v>8.9903684199999994</c:v>
                </c:pt>
                <c:pt idx="20">
                  <c:v>9.0063157900000004</c:v>
                </c:pt>
                <c:pt idx="21">
                  <c:v>9.0222631599999996</c:v>
                </c:pt>
                <c:pt idx="22">
                  <c:v>9.0382105300000006</c:v>
                </c:pt>
                <c:pt idx="23">
                  <c:v>9.0541578999999999</c:v>
                </c:pt>
                <c:pt idx="24">
                  <c:v>9.0701052600000001</c:v>
                </c:pt>
                <c:pt idx="25">
                  <c:v>9.0860526299999993</c:v>
                </c:pt>
                <c:pt idx="26">
                  <c:v>9.1020000000000003</c:v>
                </c:pt>
                <c:pt idx="27">
                  <c:v>9.1179473699999996</c:v>
                </c:pt>
                <c:pt idx="28">
                  <c:v>9.1338947400000006</c:v>
                </c:pt>
                <c:pt idx="29">
                  <c:v>9.1498421099999998</c:v>
                </c:pt>
                <c:pt idx="30">
                  <c:v>9.16578947</c:v>
                </c:pt>
                <c:pt idx="31">
                  <c:v>9.1817368399999992</c:v>
                </c:pt>
                <c:pt idx="32">
                  <c:v>9.1976842100000002</c:v>
                </c:pt>
                <c:pt idx="33">
                  <c:v>9.2136315799999995</c:v>
                </c:pt>
                <c:pt idx="34">
                  <c:v>9.2295789500000005</c:v>
                </c:pt>
                <c:pt idx="35">
                  <c:v>9.2455263199999997</c:v>
                </c:pt>
                <c:pt idx="36">
                  <c:v>9.2614736799999999</c:v>
                </c:pt>
                <c:pt idx="37">
                  <c:v>9.2774210499999992</c:v>
                </c:pt>
                <c:pt idx="38">
                  <c:v>9.2933684200000002</c:v>
                </c:pt>
                <c:pt idx="39">
                  <c:v>9.3093157899999994</c:v>
                </c:pt>
                <c:pt idx="40">
                  <c:v>9.3252631600000004</c:v>
                </c:pt>
                <c:pt idx="41">
                  <c:v>9.3412105299999997</c:v>
                </c:pt>
                <c:pt idx="42">
                  <c:v>9.3571579000000007</c:v>
                </c:pt>
                <c:pt idx="43">
                  <c:v>9.3731052600000009</c:v>
                </c:pt>
                <c:pt idx="44">
                  <c:v>9.3890526300000001</c:v>
                </c:pt>
                <c:pt idx="45">
                  <c:v>9.4049999999999994</c:v>
                </c:pt>
                <c:pt idx="46">
                  <c:v>9.4209473700000004</c:v>
                </c:pt>
                <c:pt idx="47">
                  <c:v>9.4368947399999996</c:v>
                </c:pt>
                <c:pt idx="48">
                  <c:v>9.4528421100000006</c:v>
                </c:pt>
                <c:pt idx="49">
                  <c:v>9.4687894700000008</c:v>
                </c:pt>
                <c:pt idx="50">
                  <c:v>9.4847368400000001</c:v>
                </c:pt>
                <c:pt idx="51">
                  <c:v>9.5006842099999993</c:v>
                </c:pt>
                <c:pt idx="52">
                  <c:v>9.5166315800000003</c:v>
                </c:pt>
                <c:pt idx="53">
                  <c:v>9.5325789499999996</c:v>
                </c:pt>
                <c:pt idx="54">
                  <c:v>9.5485263200000006</c:v>
                </c:pt>
                <c:pt idx="55">
                  <c:v>9.5644736800000008</c:v>
                </c:pt>
                <c:pt idx="56">
                  <c:v>9.58042105</c:v>
                </c:pt>
                <c:pt idx="57">
                  <c:v>9.5963684199999992</c:v>
                </c:pt>
                <c:pt idx="58">
                  <c:v>9.6123157900000002</c:v>
                </c:pt>
                <c:pt idx="59">
                  <c:v>9.6282631599999995</c:v>
                </c:pt>
                <c:pt idx="60">
                  <c:v>9.6442105300000005</c:v>
                </c:pt>
                <c:pt idx="61">
                  <c:v>9.6601578999999997</c:v>
                </c:pt>
                <c:pt idx="62">
                  <c:v>9.6761052599999999</c:v>
                </c:pt>
                <c:pt idx="63">
                  <c:v>9.6920526299999992</c:v>
                </c:pt>
                <c:pt idx="64">
                  <c:v>9.7080000000000002</c:v>
                </c:pt>
                <c:pt idx="65">
                  <c:v>9.7239473699999994</c:v>
                </c:pt>
                <c:pt idx="66">
                  <c:v>9.7398947400000004</c:v>
                </c:pt>
                <c:pt idx="67">
                  <c:v>9.7558421099999997</c:v>
                </c:pt>
                <c:pt idx="68">
                  <c:v>9.7717894699999999</c:v>
                </c:pt>
                <c:pt idx="69">
                  <c:v>9.7877368400000009</c:v>
                </c:pt>
                <c:pt idx="70">
                  <c:v>9.8036842100000001</c:v>
                </c:pt>
                <c:pt idx="71">
                  <c:v>9.8196315799999994</c:v>
                </c:pt>
                <c:pt idx="72">
                  <c:v>9.8355789500000004</c:v>
                </c:pt>
                <c:pt idx="73">
                  <c:v>9.8515263199999996</c:v>
                </c:pt>
                <c:pt idx="74">
                  <c:v>9.8674736799999998</c:v>
                </c:pt>
                <c:pt idx="75">
                  <c:v>9.8834210500000008</c:v>
                </c:pt>
                <c:pt idx="76">
                  <c:v>9.8993684200000001</c:v>
                </c:pt>
                <c:pt idx="77">
                  <c:v>9.9153157899999993</c:v>
                </c:pt>
                <c:pt idx="78">
                  <c:v>9.9312631600000003</c:v>
                </c:pt>
                <c:pt idx="79">
                  <c:v>9.9472105299999996</c:v>
                </c:pt>
                <c:pt idx="80">
                  <c:v>9.9631579000000006</c:v>
                </c:pt>
                <c:pt idx="81">
                  <c:v>9.9791052600000008</c:v>
                </c:pt>
                <c:pt idx="82">
                  <c:v>9.99505263</c:v>
                </c:pt>
                <c:pt idx="83">
                  <c:v>10.010999999999999</c:v>
                </c:pt>
                <c:pt idx="84">
                  <c:v>10.026947399999999</c:v>
                </c:pt>
                <c:pt idx="85">
                  <c:v>10.0428947</c:v>
                </c:pt>
                <c:pt idx="86">
                  <c:v>10.0588421</c:v>
                </c:pt>
                <c:pt idx="87">
                  <c:v>10.0747895</c:v>
                </c:pt>
                <c:pt idx="88">
                  <c:v>10.0907368</c:v>
                </c:pt>
                <c:pt idx="89">
                  <c:v>10.1066842</c:v>
                </c:pt>
                <c:pt idx="90">
                  <c:v>10.1226316</c:v>
                </c:pt>
                <c:pt idx="91">
                  <c:v>10.138579</c:v>
                </c:pt>
                <c:pt idx="92">
                  <c:v>10.154526300000001</c:v>
                </c:pt>
                <c:pt idx="93">
                  <c:v>10.170473700000001</c:v>
                </c:pt>
                <c:pt idx="94">
                  <c:v>10.1864211</c:v>
                </c:pt>
                <c:pt idx="95">
                  <c:v>10.202368399999999</c:v>
                </c:pt>
                <c:pt idx="96">
                  <c:v>10.218315799999999</c:v>
                </c:pt>
                <c:pt idx="97">
                  <c:v>10.234263199999999</c:v>
                </c:pt>
                <c:pt idx="98">
                  <c:v>10.2502105</c:v>
                </c:pt>
                <c:pt idx="99">
                  <c:v>10.2661579</c:v>
                </c:pt>
                <c:pt idx="100">
                  <c:v>10.2821053</c:v>
                </c:pt>
                <c:pt idx="101">
                  <c:v>10.2980526</c:v>
                </c:pt>
                <c:pt idx="102">
                  <c:v>10.314</c:v>
                </c:pt>
                <c:pt idx="103">
                  <c:v>10.3299474</c:v>
                </c:pt>
                <c:pt idx="104">
                  <c:v>10.345894700000001</c:v>
                </c:pt>
                <c:pt idx="105">
                  <c:v>10.3618421</c:v>
                </c:pt>
                <c:pt idx="106">
                  <c:v>10.3777895</c:v>
                </c:pt>
                <c:pt idx="107">
                  <c:v>10.393736799999999</c:v>
                </c:pt>
                <c:pt idx="108">
                  <c:v>10.409684199999999</c:v>
                </c:pt>
                <c:pt idx="109">
                  <c:v>10.425631600000001</c:v>
                </c:pt>
                <c:pt idx="110">
                  <c:v>10.441579000000001</c:v>
                </c:pt>
                <c:pt idx="111">
                  <c:v>10.4575263</c:v>
                </c:pt>
                <c:pt idx="112">
                  <c:v>10.4734737</c:v>
                </c:pt>
                <c:pt idx="113">
                  <c:v>10.489421099999999</c:v>
                </c:pt>
                <c:pt idx="114">
                  <c:v>10.5053684</c:v>
                </c:pt>
                <c:pt idx="115">
                  <c:v>10.5213158</c:v>
                </c:pt>
                <c:pt idx="116">
                  <c:v>10.5372632</c:v>
                </c:pt>
                <c:pt idx="117">
                  <c:v>10.5532105</c:v>
                </c:pt>
                <c:pt idx="118">
                  <c:v>10.5691579</c:v>
                </c:pt>
                <c:pt idx="119">
                  <c:v>10.5851053</c:v>
                </c:pt>
                <c:pt idx="120">
                  <c:v>10.601052599999999</c:v>
                </c:pt>
                <c:pt idx="121">
                  <c:v>10.617000000000001</c:v>
                </c:pt>
                <c:pt idx="122">
                  <c:v>10.632947400000001</c:v>
                </c:pt>
                <c:pt idx="123">
                  <c:v>10.6488947</c:v>
                </c:pt>
                <c:pt idx="124">
                  <c:v>10.6648421</c:v>
                </c:pt>
                <c:pt idx="125">
                  <c:v>10.680789499999999</c:v>
                </c:pt>
                <c:pt idx="126">
                  <c:v>10.6967368</c:v>
                </c:pt>
                <c:pt idx="127">
                  <c:v>10.7126842</c:v>
                </c:pt>
                <c:pt idx="128">
                  <c:v>10.7286316</c:v>
                </c:pt>
                <c:pt idx="129">
                  <c:v>10.744579</c:v>
                </c:pt>
                <c:pt idx="130">
                  <c:v>10.7605263</c:v>
                </c:pt>
                <c:pt idx="131">
                  <c:v>10.7764737</c:v>
                </c:pt>
                <c:pt idx="132">
                  <c:v>10.7924211</c:v>
                </c:pt>
                <c:pt idx="133">
                  <c:v>10.808368400000001</c:v>
                </c:pt>
                <c:pt idx="134">
                  <c:v>10.824315800000001</c:v>
                </c:pt>
                <c:pt idx="135">
                  <c:v>10.840263200000001</c:v>
                </c:pt>
                <c:pt idx="136">
                  <c:v>10.8562105</c:v>
                </c:pt>
                <c:pt idx="137">
                  <c:v>10.872157899999999</c:v>
                </c:pt>
                <c:pt idx="138">
                  <c:v>10.888105299999999</c:v>
                </c:pt>
                <c:pt idx="139">
                  <c:v>10.9040526</c:v>
                </c:pt>
                <c:pt idx="140">
                  <c:v>10.92</c:v>
                </c:pt>
                <c:pt idx="141">
                  <c:v>10.9359474</c:v>
                </c:pt>
                <c:pt idx="142">
                  <c:v>10.9518947</c:v>
                </c:pt>
                <c:pt idx="143">
                  <c:v>10.9678421</c:v>
                </c:pt>
                <c:pt idx="144">
                  <c:v>10.9837895</c:v>
                </c:pt>
                <c:pt idx="145">
                  <c:v>10.999736800000001</c:v>
                </c:pt>
                <c:pt idx="146">
                  <c:v>11.015684200000001</c:v>
                </c:pt>
                <c:pt idx="147">
                  <c:v>11.031631600000001</c:v>
                </c:pt>
                <c:pt idx="148">
                  <c:v>11.047579000000001</c:v>
                </c:pt>
                <c:pt idx="149">
                  <c:v>11.063526299999999</c:v>
                </c:pt>
                <c:pt idx="150">
                  <c:v>11.079473699999999</c:v>
                </c:pt>
                <c:pt idx="151">
                  <c:v>11.095421099999999</c:v>
                </c:pt>
                <c:pt idx="152">
                  <c:v>11.1113684</c:v>
                </c:pt>
                <c:pt idx="153">
                  <c:v>11.1273158</c:v>
                </c:pt>
                <c:pt idx="154">
                  <c:v>11.1432632</c:v>
                </c:pt>
                <c:pt idx="155">
                  <c:v>11.1592105</c:v>
                </c:pt>
                <c:pt idx="156">
                  <c:v>11.1751579</c:v>
                </c:pt>
                <c:pt idx="157">
                  <c:v>11.1911053</c:v>
                </c:pt>
                <c:pt idx="158">
                  <c:v>11.207052600000001</c:v>
                </c:pt>
                <c:pt idx="159">
                  <c:v>11.223000000000001</c:v>
                </c:pt>
                <c:pt idx="160">
                  <c:v>11.238947400000001</c:v>
                </c:pt>
                <c:pt idx="161">
                  <c:v>11.254894699999999</c:v>
                </c:pt>
                <c:pt idx="162">
                  <c:v>11.270842099999999</c:v>
                </c:pt>
                <c:pt idx="163">
                  <c:v>11.286789499999999</c:v>
                </c:pt>
                <c:pt idx="164">
                  <c:v>11.3027368</c:v>
                </c:pt>
                <c:pt idx="165">
                  <c:v>11.3186842</c:v>
                </c:pt>
                <c:pt idx="166">
                  <c:v>11.3346316</c:v>
                </c:pt>
                <c:pt idx="167">
                  <c:v>11.350579</c:v>
                </c:pt>
                <c:pt idx="168">
                  <c:v>11.3665263</c:v>
                </c:pt>
                <c:pt idx="169">
                  <c:v>11.3824737</c:v>
                </c:pt>
                <c:pt idx="170">
                  <c:v>11.3984211</c:v>
                </c:pt>
                <c:pt idx="171">
                  <c:v>11.414368400000001</c:v>
                </c:pt>
                <c:pt idx="172">
                  <c:v>11.430315800000001</c:v>
                </c:pt>
                <c:pt idx="173">
                  <c:v>11.446263200000001</c:v>
                </c:pt>
                <c:pt idx="174">
                  <c:v>11.462210499999999</c:v>
                </c:pt>
                <c:pt idx="175">
                  <c:v>11.478157899999999</c:v>
                </c:pt>
                <c:pt idx="176">
                  <c:v>11.494105299999999</c:v>
                </c:pt>
                <c:pt idx="177">
                  <c:v>11.5100526</c:v>
                </c:pt>
                <c:pt idx="178">
                  <c:v>11.526</c:v>
                </c:pt>
                <c:pt idx="179">
                  <c:v>11.5446214</c:v>
                </c:pt>
                <c:pt idx="180">
                  <c:v>11.5632427</c:v>
                </c:pt>
                <c:pt idx="181">
                  <c:v>11.581864100000001</c:v>
                </c:pt>
                <c:pt idx="182">
                  <c:v>11.6004854</c:v>
                </c:pt>
                <c:pt idx="183">
                  <c:v>11.619106800000001</c:v>
                </c:pt>
                <c:pt idx="184">
                  <c:v>11.6377282</c:v>
                </c:pt>
                <c:pt idx="185">
                  <c:v>11.656349499999999</c:v>
                </c:pt>
                <c:pt idx="186">
                  <c:v>11.6749709</c:v>
                </c:pt>
                <c:pt idx="187">
                  <c:v>11.693592199999999</c:v>
                </c:pt>
                <c:pt idx="188">
                  <c:v>11.7122136</c:v>
                </c:pt>
                <c:pt idx="189">
                  <c:v>11.730835000000001</c:v>
                </c:pt>
                <c:pt idx="190">
                  <c:v>11.7494563</c:v>
                </c:pt>
                <c:pt idx="191">
                  <c:v>11.768077699999999</c:v>
                </c:pt>
                <c:pt idx="192">
                  <c:v>11.786699</c:v>
                </c:pt>
                <c:pt idx="193">
                  <c:v>11.805320399999999</c:v>
                </c:pt>
                <c:pt idx="194">
                  <c:v>11.8239418</c:v>
                </c:pt>
                <c:pt idx="195">
                  <c:v>11.8425631</c:v>
                </c:pt>
                <c:pt idx="196">
                  <c:v>11.8611845</c:v>
                </c:pt>
                <c:pt idx="197">
                  <c:v>11.8798058</c:v>
                </c:pt>
                <c:pt idx="198">
                  <c:v>11.8984272</c:v>
                </c:pt>
                <c:pt idx="199">
                  <c:v>11.9170485</c:v>
                </c:pt>
                <c:pt idx="200">
                  <c:v>11.935669900000001</c:v>
                </c:pt>
                <c:pt idx="201">
                  <c:v>11.9542913</c:v>
                </c:pt>
                <c:pt idx="202">
                  <c:v>11.972912600000001</c:v>
                </c:pt>
                <c:pt idx="203">
                  <c:v>11.991534</c:v>
                </c:pt>
                <c:pt idx="204">
                  <c:v>12.010155299999999</c:v>
                </c:pt>
                <c:pt idx="205">
                  <c:v>12.0287767</c:v>
                </c:pt>
                <c:pt idx="206">
                  <c:v>12.047398100000001</c:v>
                </c:pt>
                <c:pt idx="207">
                  <c:v>12.0660194</c:v>
                </c:pt>
                <c:pt idx="208">
                  <c:v>12.084640800000001</c:v>
                </c:pt>
                <c:pt idx="209">
                  <c:v>12.1032621</c:v>
                </c:pt>
                <c:pt idx="210">
                  <c:v>12.121883499999999</c:v>
                </c:pt>
                <c:pt idx="211">
                  <c:v>12.1405049</c:v>
                </c:pt>
                <c:pt idx="212">
                  <c:v>12.159126199999999</c:v>
                </c:pt>
                <c:pt idx="213">
                  <c:v>12.1777476</c:v>
                </c:pt>
                <c:pt idx="214">
                  <c:v>12.1963689</c:v>
                </c:pt>
                <c:pt idx="215">
                  <c:v>12.2149903</c:v>
                </c:pt>
                <c:pt idx="216">
                  <c:v>12.233611700000001</c:v>
                </c:pt>
                <c:pt idx="217">
                  <c:v>12.252233</c:v>
                </c:pt>
                <c:pt idx="218">
                  <c:v>12.270854399999999</c:v>
                </c:pt>
                <c:pt idx="219">
                  <c:v>12.289475700000001</c:v>
                </c:pt>
                <c:pt idx="220">
                  <c:v>12.308097099999999</c:v>
                </c:pt>
                <c:pt idx="221">
                  <c:v>12.3267185</c:v>
                </c:pt>
                <c:pt idx="222">
                  <c:v>12.3453398</c:v>
                </c:pt>
                <c:pt idx="223">
                  <c:v>12.3639612</c:v>
                </c:pt>
                <c:pt idx="224">
                  <c:v>12.3825825</c:v>
                </c:pt>
                <c:pt idx="225">
                  <c:v>12.401203900000001</c:v>
                </c:pt>
                <c:pt idx="226">
                  <c:v>12.4198252</c:v>
                </c:pt>
                <c:pt idx="227">
                  <c:v>12.438446600000001</c:v>
                </c:pt>
                <c:pt idx="228">
                  <c:v>12.457068</c:v>
                </c:pt>
                <c:pt idx="229">
                  <c:v>12.475689300000001</c:v>
                </c:pt>
                <c:pt idx="230">
                  <c:v>12.486911900000001</c:v>
                </c:pt>
                <c:pt idx="231">
                  <c:v>12.4907358</c:v>
                </c:pt>
                <c:pt idx="232">
                  <c:v>12.494559600000001</c:v>
                </c:pt>
                <c:pt idx="233">
                  <c:v>12.4983834</c:v>
                </c:pt>
                <c:pt idx="234">
                  <c:v>12.5022073</c:v>
                </c:pt>
                <c:pt idx="235">
                  <c:v>12.5060311</c:v>
                </c:pt>
                <c:pt idx="236">
                  <c:v>12.509854900000001</c:v>
                </c:pt>
                <c:pt idx="237">
                  <c:v>12.513678799999999</c:v>
                </c:pt>
                <c:pt idx="238">
                  <c:v>12.5175026</c:v>
                </c:pt>
                <c:pt idx="239">
                  <c:v>12.5213264</c:v>
                </c:pt>
                <c:pt idx="240">
                  <c:v>12.5251503</c:v>
                </c:pt>
                <c:pt idx="241">
                  <c:v>12.528974099999999</c:v>
                </c:pt>
                <c:pt idx="242">
                  <c:v>12.5327979</c:v>
                </c:pt>
                <c:pt idx="243">
                  <c:v>12.536621800000001</c:v>
                </c:pt>
                <c:pt idx="244">
                  <c:v>12.5404456</c:v>
                </c:pt>
                <c:pt idx="245">
                  <c:v>12.544269399999999</c:v>
                </c:pt>
                <c:pt idx="246">
                  <c:v>12.5480933</c:v>
                </c:pt>
                <c:pt idx="247">
                  <c:v>12.551917100000001</c:v>
                </c:pt>
                <c:pt idx="248">
                  <c:v>12.5557409</c:v>
                </c:pt>
                <c:pt idx="249">
                  <c:v>12.5595648</c:v>
                </c:pt>
                <c:pt idx="250">
                  <c:v>12.5633886</c:v>
                </c:pt>
                <c:pt idx="251">
                  <c:v>12.567212400000001</c:v>
                </c:pt>
                <c:pt idx="252">
                  <c:v>12.571036299999999</c:v>
                </c:pt>
                <c:pt idx="253">
                  <c:v>12.5748601</c:v>
                </c:pt>
                <c:pt idx="254">
                  <c:v>12.5786839</c:v>
                </c:pt>
                <c:pt idx="255">
                  <c:v>12.5825078</c:v>
                </c:pt>
                <c:pt idx="256">
                  <c:v>12.586331599999999</c:v>
                </c:pt>
                <c:pt idx="257">
                  <c:v>12.5901554</c:v>
                </c:pt>
                <c:pt idx="258">
                  <c:v>12.593979300000001</c:v>
                </c:pt>
                <c:pt idx="259">
                  <c:v>12.5978031</c:v>
                </c:pt>
                <c:pt idx="260">
                  <c:v>12.601626899999999</c:v>
                </c:pt>
                <c:pt idx="261">
                  <c:v>12.6054508</c:v>
                </c:pt>
                <c:pt idx="262">
                  <c:v>12.609274599999999</c:v>
                </c:pt>
                <c:pt idx="263">
                  <c:v>12.6130985</c:v>
                </c:pt>
                <c:pt idx="264">
                  <c:v>12.616922300000001</c:v>
                </c:pt>
                <c:pt idx="265">
                  <c:v>12.6207461</c:v>
                </c:pt>
                <c:pt idx="266">
                  <c:v>12.62457</c:v>
                </c:pt>
                <c:pt idx="267">
                  <c:v>12.6283938</c:v>
                </c:pt>
                <c:pt idx="268">
                  <c:v>12.632217600000001</c:v>
                </c:pt>
                <c:pt idx="269">
                  <c:v>12.636041499999999</c:v>
                </c:pt>
                <c:pt idx="270">
                  <c:v>12.6398653</c:v>
                </c:pt>
                <c:pt idx="271">
                  <c:v>12.6436891</c:v>
                </c:pt>
                <c:pt idx="272">
                  <c:v>12.647513</c:v>
                </c:pt>
                <c:pt idx="273">
                  <c:v>12.651336799999999</c:v>
                </c:pt>
                <c:pt idx="274">
                  <c:v>12.6551606</c:v>
                </c:pt>
                <c:pt idx="275">
                  <c:v>12.658984500000001</c:v>
                </c:pt>
                <c:pt idx="276">
                  <c:v>12.6628083</c:v>
                </c:pt>
                <c:pt idx="277">
                  <c:v>12.666632099999999</c:v>
                </c:pt>
                <c:pt idx="278">
                  <c:v>12.670456</c:v>
                </c:pt>
                <c:pt idx="279">
                  <c:v>12.674279800000001</c:v>
                </c:pt>
                <c:pt idx="280">
                  <c:v>12.6781036</c:v>
                </c:pt>
                <c:pt idx="281">
                  <c:v>12.6819275</c:v>
                </c:pt>
                <c:pt idx="282">
                  <c:v>12.6857513</c:v>
                </c:pt>
                <c:pt idx="283">
                  <c:v>12.689575100000001</c:v>
                </c:pt>
                <c:pt idx="284">
                  <c:v>12.693398999999999</c:v>
                </c:pt>
                <c:pt idx="285">
                  <c:v>12.6972228</c:v>
                </c:pt>
                <c:pt idx="286">
                  <c:v>12.7010466</c:v>
                </c:pt>
                <c:pt idx="287">
                  <c:v>12.7048705</c:v>
                </c:pt>
                <c:pt idx="288">
                  <c:v>12.708694299999999</c:v>
                </c:pt>
                <c:pt idx="289">
                  <c:v>12.7125181</c:v>
                </c:pt>
                <c:pt idx="290">
                  <c:v>12.716341999999999</c:v>
                </c:pt>
                <c:pt idx="291">
                  <c:v>12.7201658</c:v>
                </c:pt>
                <c:pt idx="292">
                  <c:v>12.723989599999999</c:v>
                </c:pt>
                <c:pt idx="293">
                  <c:v>12.7278135</c:v>
                </c:pt>
                <c:pt idx="294">
                  <c:v>12.731637299999999</c:v>
                </c:pt>
                <c:pt idx="295">
                  <c:v>12.7354611</c:v>
                </c:pt>
                <c:pt idx="296">
                  <c:v>12.739285000000001</c:v>
                </c:pt>
                <c:pt idx="297">
                  <c:v>12.7431088</c:v>
                </c:pt>
                <c:pt idx="298">
                  <c:v>12.746932599999999</c:v>
                </c:pt>
                <c:pt idx="299">
                  <c:v>12.7507565</c:v>
                </c:pt>
                <c:pt idx="300">
                  <c:v>12.754580300000001</c:v>
                </c:pt>
                <c:pt idx="301">
                  <c:v>12.758404199999999</c:v>
                </c:pt>
                <c:pt idx="302">
                  <c:v>12.762228</c:v>
                </c:pt>
                <c:pt idx="303">
                  <c:v>12.7660518</c:v>
                </c:pt>
                <c:pt idx="304">
                  <c:v>12.7698757</c:v>
                </c:pt>
                <c:pt idx="305">
                  <c:v>12.773699499999999</c:v>
                </c:pt>
                <c:pt idx="306">
                  <c:v>12.7775233</c:v>
                </c:pt>
                <c:pt idx="307">
                  <c:v>12.781347200000001</c:v>
                </c:pt>
                <c:pt idx="308">
                  <c:v>12.785171</c:v>
                </c:pt>
                <c:pt idx="309">
                  <c:v>12.788994799999999</c:v>
                </c:pt>
                <c:pt idx="310">
                  <c:v>12.7928187</c:v>
                </c:pt>
                <c:pt idx="311">
                  <c:v>12.796642500000001</c:v>
                </c:pt>
                <c:pt idx="312">
                  <c:v>12.8004663</c:v>
                </c:pt>
                <c:pt idx="313">
                  <c:v>12.804290200000001</c:v>
                </c:pt>
                <c:pt idx="314">
                  <c:v>12.808114</c:v>
                </c:pt>
                <c:pt idx="315">
                  <c:v>12.811937800000001</c:v>
                </c:pt>
                <c:pt idx="316">
                  <c:v>12.815761699999999</c:v>
                </c:pt>
                <c:pt idx="317">
                  <c:v>12.819585500000001</c:v>
                </c:pt>
                <c:pt idx="318">
                  <c:v>12.8234093</c:v>
                </c:pt>
                <c:pt idx="319">
                  <c:v>12.8272332</c:v>
                </c:pt>
                <c:pt idx="320">
                  <c:v>12.831056999999999</c:v>
                </c:pt>
                <c:pt idx="321">
                  <c:v>12.834880800000001</c:v>
                </c:pt>
                <c:pt idx="322">
                  <c:v>12.838704699999999</c:v>
                </c:pt>
                <c:pt idx="323">
                  <c:v>12.8425285</c:v>
                </c:pt>
                <c:pt idx="324">
                  <c:v>12.8463523</c:v>
                </c:pt>
                <c:pt idx="325">
                  <c:v>12.8501762</c:v>
                </c:pt>
                <c:pt idx="326">
                  <c:v>12.853999999999999</c:v>
                </c:pt>
                <c:pt idx="327">
                  <c:v>12.859033999999999</c:v>
                </c:pt>
                <c:pt idx="328">
                  <c:v>12.864068</c:v>
                </c:pt>
                <c:pt idx="329">
                  <c:v>12.869102</c:v>
                </c:pt>
                <c:pt idx="330">
                  <c:v>12.874136099999999</c:v>
                </c:pt>
                <c:pt idx="331">
                  <c:v>12.8791701</c:v>
                </c:pt>
                <c:pt idx="332">
                  <c:v>12.8842041</c:v>
                </c:pt>
                <c:pt idx="333">
                  <c:v>12.8892381</c:v>
                </c:pt>
                <c:pt idx="334">
                  <c:v>12.8942721</c:v>
                </c:pt>
                <c:pt idx="335">
                  <c:v>12.8993061</c:v>
                </c:pt>
                <c:pt idx="336">
                  <c:v>12.904340100000001</c:v>
                </c:pt>
                <c:pt idx="337">
                  <c:v>12.9093742</c:v>
                </c:pt>
                <c:pt idx="338">
                  <c:v>12.9144082</c:v>
                </c:pt>
                <c:pt idx="339">
                  <c:v>12.919442200000001</c:v>
                </c:pt>
                <c:pt idx="340">
                  <c:v>12.924476200000001</c:v>
                </c:pt>
                <c:pt idx="341">
                  <c:v>12.929510199999999</c:v>
                </c:pt>
                <c:pt idx="342">
                  <c:v>12.934544199999999</c:v>
                </c:pt>
                <c:pt idx="343">
                  <c:v>12.9395782</c:v>
                </c:pt>
                <c:pt idx="344">
                  <c:v>12.9446122</c:v>
                </c:pt>
                <c:pt idx="345">
                  <c:v>12.949646299999999</c:v>
                </c:pt>
                <c:pt idx="346">
                  <c:v>12.9546803</c:v>
                </c:pt>
                <c:pt idx="347">
                  <c:v>12.9597143</c:v>
                </c:pt>
                <c:pt idx="348">
                  <c:v>12.9647483</c:v>
                </c:pt>
                <c:pt idx="349">
                  <c:v>12.9697823</c:v>
                </c:pt>
                <c:pt idx="350">
                  <c:v>12.974816300000001</c:v>
                </c:pt>
                <c:pt idx="351">
                  <c:v>12.979850300000001</c:v>
                </c:pt>
                <c:pt idx="352">
                  <c:v>12.9848844</c:v>
                </c:pt>
                <c:pt idx="353">
                  <c:v>12.989918400000001</c:v>
                </c:pt>
                <c:pt idx="354">
                  <c:v>12.994952400000001</c:v>
                </c:pt>
                <c:pt idx="355">
                  <c:v>12.999986399999999</c:v>
                </c:pt>
                <c:pt idx="356">
                  <c:v>13.005020399999999</c:v>
                </c:pt>
                <c:pt idx="357">
                  <c:v>13.0100544</c:v>
                </c:pt>
                <c:pt idx="358">
                  <c:v>13.0150884</c:v>
                </c:pt>
                <c:pt idx="359">
                  <c:v>13.020122499999999</c:v>
                </c:pt>
                <c:pt idx="360">
                  <c:v>13.0251565</c:v>
                </c:pt>
                <c:pt idx="361">
                  <c:v>13.0301905</c:v>
                </c:pt>
                <c:pt idx="362">
                  <c:v>13.0352245</c:v>
                </c:pt>
                <c:pt idx="363">
                  <c:v>13.0402585</c:v>
                </c:pt>
                <c:pt idx="364">
                  <c:v>13.0452925</c:v>
                </c:pt>
                <c:pt idx="365">
                  <c:v>13.050326500000001</c:v>
                </c:pt>
                <c:pt idx="366">
                  <c:v>13.055360500000001</c:v>
                </c:pt>
                <c:pt idx="367">
                  <c:v>13.0603946</c:v>
                </c:pt>
                <c:pt idx="368">
                  <c:v>13.065428600000001</c:v>
                </c:pt>
                <c:pt idx="369">
                  <c:v>13.070462600000001</c:v>
                </c:pt>
                <c:pt idx="370">
                  <c:v>13.075496599999999</c:v>
                </c:pt>
                <c:pt idx="371">
                  <c:v>13.080530599999999</c:v>
                </c:pt>
                <c:pt idx="372">
                  <c:v>13.0855646</c:v>
                </c:pt>
                <c:pt idx="373">
                  <c:v>13.0905986</c:v>
                </c:pt>
                <c:pt idx="374">
                  <c:v>13.095632699999999</c:v>
                </c:pt>
                <c:pt idx="375">
                  <c:v>13.1006667</c:v>
                </c:pt>
                <c:pt idx="376">
                  <c:v>13.1057007</c:v>
                </c:pt>
                <c:pt idx="377">
                  <c:v>13.1107347</c:v>
                </c:pt>
                <c:pt idx="378">
                  <c:v>13.1157687</c:v>
                </c:pt>
                <c:pt idx="379">
                  <c:v>13.1208027</c:v>
                </c:pt>
                <c:pt idx="380">
                  <c:v>13.125836700000001</c:v>
                </c:pt>
                <c:pt idx="381">
                  <c:v>13.1308708</c:v>
                </c:pt>
                <c:pt idx="382">
                  <c:v>13.1359048</c:v>
                </c:pt>
                <c:pt idx="383">
                  <c:v>13.140938800000001</c:v>
                </c:pt>
                <c:pt idx="384">
                  <c:v>13.145972799999999</c:v>
                </c:pt>
                <c:pt idx="385">
                  <c:v>13.151006799999999</c:v>
                </c:pt>
                <c:pt idx="386">
                  <c:v>13.1560408</c:v>
                </c:pt>
                <c:pt idx="387">
                  <c:v>13.1610748</c:v>
                </c:pt>
                <c:pt idx="388">
                  <c:v>13.1661088</c:v>
                </c:pt>
                <c:pt idx="389">
                  <c:v>13.1711429</c:v>
                </c:pt>
                <c:pt idx="390">
                  <c:v>13.1761769</c:v>
                </c:pt>
                <c:pt idx="391">
                  <c:v>13.1812109</c:v>
                </c:pt>
                <c:pt idx="392">
                  <c:v>13.1862449</c:v>
                </c:pt>
                <c:pt idx="393">
                  <c:v>13.1912789</c:v>
                </c:pt>
                <c:pt idx="394">
                  <c:v>13.196312900000001</c:v>
                </c:pt>
                <c:pt idx="395">
                  <c:v>13.201346900000001</c:v>
                </c:pt>
                <c:pt idx="396">
                  <c:v>13.206381</c:v>
                </c:pt>
                <c:pt idx="397">
                  <c:v>13.211415000000001</c:v>
                </c:pt>
                <c:pt idx="398">
                  <c:v>13.216449000000001</c:v>
                </c:pt>
                <c:pt idx="399">
                  <c:v>13.221482999999999</c:v>
                </c:pt>
                <c:pt idx="400">
                  <c:v>13.224729999999999</c:v>
                </c:pt>
                <c:pt idx="401">
                  <c:v>13.226190000000001</c:v>
                </c:pt>
                <c:pt idx="402">
                  <c:v>13.227650000000001</c:v>
                </c:pt>
                <c:pt idx="403">
                  <c:v>13.22911</c:v>
                </c:pt>
                <c:pt idx="404">
                  <c:v>13.23057</c:v>
                </c:pt>
                <c:pt idx="405">
                  <c:v>13.23203</c:v>
                </c:pt>
                <c:pt idx="406">
                  <c:v>13.23349</c:v>
                </c:pt>
                <c:pt idx="407">
                  <c:v>13.23495</c:v>
                </c:pt>
                <c:pt idx="408">
                  <c:v>13.236409999999999</c:v>
                </c:pt>
                <c:pt idx="409">
                  <c:v>13.237869999999999</c:v>
                </c:pt>
                <c:pt idx="410">
                  <c:v>13.239330000000001</c:v>
                </c:pt>
                <c:pt idx="411">
                  <c:v>13.240790000000001</c:v>
                </c:pt>
                <c:pt idx="412">
                  <c:v>13.24225</c:v>
                </c:pt>
                <c:pt idx="413">
                  <c:v>13.24371</c:v>
                </c:pt>
                <c:pt idx="414">
                  <c:v>13.24517</c:v>
                </c:pt>
                <c:pt idx="415">
                  <c:v>13.24663</c:v>
                </c:pt>
                <c:pt idx="416">
                  <c:v>13.248089999999999</c:v>
                </c:pt>
                <c:pt idx="417">
                  <c:v>13.249549999999999</c:v>
                </c:pt>
                <c:pt idx="418">
                  <c:v>13.251010000000001</c:v>
                </c:pt>
                <c:pt idx="419">
                  <c:v>13.252470000000001</c:v>
                </c:pt>
                <c:pt idx="420">
                  <c:v>13.25393</c:v>
                </c:pt>
                <c:pt idx="421">
                  <c:v>13.25539</c:v>
                </c:pt>
                <c:pt idx="422">
                  <c:v>13.25685</c:v>
                </c:pt>
                <c:pt idx="423">
                  <c:v>13.25831</c:v>
                </c:pt>
                <c:pt idx="424">
                  <c:v>13.25977</c:v>
                </c:pt>
                <c:pt idx="425">
                  <c:v>13.261229999999999</c:v>
                </c:pt>
                <c:pt idx="426">
                  <c:v>13.262689999999999</c:v>
                </c:pt>
                <c:pt idx="427">
                  <c:v>13.264150000000001</c:v>
                </c:pt>
                <c:pt idx="428">
                  <c:v>13.265610000000001</c:v>
                </c:pt>
                <c:pt idx="429">
                  <c:v>13.26707</c:v>
                </c:pt>
                <c:pt idx="430">
                  <c:v>13.26853</c:v>
                </c:pt>
                <c:pt idx="431">
                  <c:v>13.26999</c:v>
                </c:pt>
                <c:pt idx="432">
                  <c:v>13.27145</c:v>
                </c:pt>
                <c:pt idx="433">
                  <c:v>13.27291</c:v>
                </c:pt>
                <c:pt idx="434">
                  <c:v>13.274369999999999</c:v>
                </c:pt>
                <c:pt idx="435">
                  <c:v>13.275829999999999</c:v>
                </c:pt>
                <c:pt idx="436">
                  <c:v>13.277290000000001</c:v>
                </c:pt>
                <c:pt idx="437">
                  <c:v>13.27875</c:v>
                </c:pt>
                <c:pt idx="438">
                  <c:v>13.28021</c:v>
                </c:pt>
                <c:pt idx="439">
                  <c:v>13.28167</c:v>
                </c:pt>
                <c:pt idx="440">
                  <c:v>13.28313</c:v>
                </c:pt>
                <c:pt idx="441">
                  <c:v>13.28459</c:v>
                </c:pt>
                <c:pt idx="442">
                  <c:v>13.286049999999999</c:v>
                </c:pt>
                <c:pt idx="443">
                  <c:v>13.287509999999999</c:v>
                </c:pt>
                <c:pt idx="444">
                  <c:v>13.288970000000001</c:v>
                </c:pt>
                <c:pt idx="445">
                  <c:v>13.290430000000001</c:v>
                </c:pt>
                <c:pt idx="446">
                  <c:v>13.29189</c:v>
                </c:pt>
                <c:pt idx="447">
                  <c:v>13.29335</c:v>
                </c:pt>
                <c:pt idx="448">
                  <c:v>13.29481</c:v>
                </c:pt>
                <c:pt idx="449">
                  <c:v>13.29627</c:v>
                </c:pt>
                <c:pt idx="450">
                  <c:v>13.2978983</c:v>
                </c:pt>
                <c:pt idx="451">
                  <c:v>13.2996949</c:v>
                </c:pt>
                <c:pt idx="452">
                  <c:v>13.301491499999999</c:v>
                </c:pt>
                <c:pt idx="453">
                  <c:v>13.3032881</c:v>
                </c:pt>
                <c:pt idx="454">
                  <c:v>13.305084799999999</c:v>
                </c:pt>
                <c:pt idx="455">
                  <c:v>13.3068814</c:v>
                </c:pt>
                <c:pt idx="456">
                  <c:v>13.308678</c:v>
                </c:pt>
                <c:pt idx="457">
                  <c:v>13.310474599999999</c:v>
                </c:pt>
                <c:pt idx="458">
                  <c:v>13.3122712</c:v>
                </c:pt>
                <c:pt idx="459">
                  <c:v>13.3140678</c:v>
                </c:pt>
                <c:pt idx="460">
                  <c:v>13.315864400000001</c:v>
                </c:pt>
                <c:pt idx="461">
                  <c:v>13.317660999999999</c:v>
                </c:pt>
                <c:pt idx="462">
                  <c:v>13.3194576</c:v>
                </c:pt>
                <c:pt idx="463">
                  <c:v>13.3212542</c:v>
                </c:pt>
                <c:pt idx="464">
                  <c:v>13.3230509</c:v>
                </c:pt>
                <c:pt idx="465">
                  <c:v>13.324847500000001</c:v>
                </c:pt>
                <c:pt idx="466">
                  <c:v>13.326644099999999</c:v>
                </c:pt>
                <c:pt idx="467">
                  <c:v>13.3284407</c:v>
                </c:pt>
                <c:pt idx="468">
                  <c:v>13.3302373</c:v>
                </c:pt>
                <c:pt idx="469">
                  <c:v>13.332033900000001</c:v>
                </c:pt>
                <c:pt idx="470">
                  <c:v>13.333830499999999</c:v>
                </c:pt>
                <c:pt idx="471">
                  <c:v>13.3356271</c:v>
                </c:pt>
                <c:pt idx="472">
                  <c:v>13.3374237</c:v>
                </c:pt>
                <c:pt idx="473">
                  <c:v>13.339220299999999</c:v>
                </c:pt>
                <c:pt idx="474">
                  <c:v>13.341017000000001</c:v>
                </c:pt>
                <c:pt idx="475">
                  <c:v>13.342813599999999</c:v>
                </c:pt>
                <c:pt idx="476">
                  <c:v>13.3446102</c:v>
                </c:pt>
                <c:pt idx="477">
                  <c:v>13.3464068</c:v>
                </c:pt>
                <c:pt idx="478">
                  <c:v>13.348203399999999</c:v>
                </c:pt>
                <c:pt idx="479">
                  <c:v>13.35</c:v>
                </c:pt>
                <c:pt idx="480">
                  <c:v>13.3705</c:v>
                </c:pt>
                <c:pt idx="481">
                  <c:v>13.391</c:v>
                </c:pt>
                <c:pt idx="482">
                  <c:v>13.4115</c:v>
                </c:pt>
                <c:pt idx="483">
                  <c:v>13.432</c:v>
                </c:pt>
                <c:pt idx="484">
                  <c:v>13.452500000000001</c:v>
                </c:pt>
                <c:pt idx="485">
                  <c:v>13.473000000000001</c:v>
                </c:pt>
                <c:pt idx="486">
                  <c:v>13.493499999999999</c:v>
                </c:pt>
                <c:pt idx="487">
                  <c:v>13.513999999999999</c:v>
                </c:pt>
                <c:pt idx="488">
                  <c:v>13.5345</c:v>
                </c:pt>
                <c:pt idx="489">
                  <c:v>13.555</c:v>
                </c:pt>
                <c:pt idx="490">
                  <c:v>13.5755</c:v>
                </c:pt>
                <c:pt idx="491">
                  <c:v>13.596</c:v>
                </c:pt>
                <c:pt idx="492">
                  <c:v>13.6165</c:v>
                </c:pt>
                <c:pt idx="493">
                  <c:v>13.637</c:v>
                </c:pt>
                <c:pt idx="494">
                  <c:v>13.657500000000001</c:v>
                </c:pt>
                <c:pt idx="495">
                  <c:v>13.678000000000001</c:v>
                </c:pt>
                <c:pt idx="496">
                  <c:v>13.698499999999999</c:v>
                </c:pt>
                <c:pt idx="497">
                  <c:v>13.718999999999999</c:v>
                </c:pt>
                <c:pt idx="498">
                  <c:v>13.7395</c:v>
                </c:pt>
                <c:pt idx="499">
                  <c:v>13.76</c:v>
                </c:pt>
                <c:pt idx="500">
                  <c:v>13.7805</c:v>
                </c:pt>
                <c:pt idx="501">
                  <c:v>13.801</c:v>
                </c:pt>
                <c:pt idx="502">
                  <c:v>13.8215</c:v>
                </c:pt>
                <c:pt idx="503">
                  <c:v>13.842000000000001</c:v>
                </c:pt>
                <c:pt idx="504">
                  <c:v>13.862500000000001</c:v>
                </c:pt>
                <c:pt idx="505">
                  <c:v>13.882999999999999</c:v>
                </c:pt>
                <c:pt idx="506">
                  <c:v>13.9212364</c:v>
                </c:pt>
                <c:pt idx="507">
                  <c:v>13.959472699999999</c:v>
                </c:pt>
                <c:pt idx="508">
                  <c:v>13.9977091</c:v>
                </c:pt>
                <c:pt idx="509">
                  <c:v>14.0359455</c:v>
                </c:pt>
                <c:pt idx="510">
                  <c:v>14.0741818</c:v>
                </c:pt>
                <c:pt idx="511">
                  <c:v>14.1124182</c:v>
                </c:pt>
                <c:pt idx="512">
                  <c:v>14.150654599999999</c:v>
                </c:pt>
                <c:pt idx="513">
                  <c:v>14.188890900000001</c:v>
                </c:pt>
                <c:pt idx="514">
                  <c:v>14.227127299999999</c:v>
                </c:pt>
                <c:pt idx="515">
                  <c:v>14.265363600000001</c:v>
                </c:pt>
                <c:pt idx="516">
                  <c:v>14.303599999999999</c:v>
                </c:pt>
                <c:pt idx="517">
                  <c:v>14.3418364</c:v>
                </c:pt>
                <c:pt idx="518">
                  <c:v>14.380072699999999</c:v>
                </c:pt>
                <c:pt idx="519">
                  <c:v>14.4183091</c:v>
                </c:pt>
                <c:pt idx="520">
                  <c:v>14.456545500000001</c:v>
                </c:pt>
                <c:pt idx="521">
                  <c:v>14.4947818</c:v>
                </c:pt>
                <c:pt idx="522">
                  <c:v>14.533018200000001</c:v>
                </c:pt>
                <c:pt idx="523">
                  <c:v>14.5712546</c:v>
                </c:pt>
                <c:pt idx="524">
                  <c:v>14.609490900000001</c:v>
                </c:pt>
                <c:pt idx="525">
                  <c:v>14.6477273</c:v>
                </c:pt>
                <c:pt idx="526">
                  <c:v>14.685963599999999</c:v>
                </c:pt>
                <c:pt idx="527">
                  <c:v>14.7242</c:v>
                </c:pt>
                <c:pt idx="528">
                  <c:v>14.7624364</c:v>
                </c:pt>
                <c:pt idx="529">
                  <c:v>14.8006727</c:v>
                </c:pt>
                <c:pt idx="530">
                  <c:v>14.8389091</c:v>
                </c:pt>
                <c:pt idx="531">
                  <c:v>14.877145499999999</c:v>
                </c:pt>
                <c:pt idx="532">
                  <c:v>14.9153818</c:v>
                </c:pt>
                <c:pt idx="533">
                  <c:v>14.953618199999999</c:v>
                </c:pt>
                <c:pt idx="534">
                  <c:v>14.9918546</c:v>
                </c:pt>
                <c:pt idx="535">
                  <c:v>15.030090899999999</c:v>
                </c:pt>
                <c:pt idx="536">
                  <c:v>15.0683273</c:v>
                </c:pt>
                <c:pt idx="537">
                  <c:v>15.106563599999999</c:v>
                </c:pt>
                <c:pt idx="538">
                  <c:v>15.1448</c:v>
                </c:pt>
                <c:pt idx="539">
                  <c:v>15.183036400000001</c:v>
                </c:pt>
                <c:pt idx="540">
                  <c:v>15.2212727</c:v>
                </c:pt>
                <c:pt idx="541">
                  <c:v>15.259509100000001</c:v>
                </c:pt>
                <c:pt idx="542">
                  <c:v>15.2977455</c:v>
                </c:pt>
                <c:pt idx="543">
                  <c:v>15.335981800000001</c:v>
                </c:pt>
                <c:pt idx="544">
                  <c:v>15.3742182</c:v>
                </c:pt>
                <c:pt idx="545">
                  <c:v>15.4124546</c:v>
                </c:pt>
                <c:pt idx="546">
                  <c:v>15.4506909</c:v>
                </c:pt>
                <c:pt idx="547">
                  <c:v>15.4889273</c:v>
                </c:pt>
                <c:pt idx="548">
                  <c:v>15.5271636</c:v>
                </c:pt>
                <c:pt idx="549">
                  <c:v>15.5654</c:v>
                </c:pt>
                <c:pt idx="550">
                  <c:v>15.603636399999999</c:v>
                </c:pt>
                <c:pt idx="551">
                  <c:v>15.6418727</c:v>
                </c:pt>
                <c:pt idx="552">
                  <c:v>15.680109099999999</c:v>
                </c:pt>
                <c:pt idx="553">
                  <c:v>15.7183455</c:v>
                </c:pt>
                <c:pt idx="554">
                  <c:v>15.756581799999999</c:v>
                </c:pt>
                <c:pt idx="555">
                  <c:v>15.7948182</c:v>
                </c:pt>
                <c:pt idx="556">
                  <c:v>15.833054600000001</c:v>
                </c:pt>
                <c:pt idx="557">
                  <c:v>15.8712909</c:v>
                </c:pt>
                <c:pt idx="558">
                  <c:v>15.909527300000001</c:v>
                </c:pt>
                <c:pt idx="559">
                  <c:v>15.9477636</c:v>
                </c:pt>
                <c:pt idx="560">
                  <c:v>15.986000000000001</c:v>
                </c:pt>
                <c:pt idx="561">
                  <c:v>16.021599999999999</c:v>
                </c:pt>
                <c:pt idx="562">
                  <c:v>16.057200000000002</c:v>
                </c:pt>
                <c:pt idx="563">
                  <c:v>16.0928</c:v>
                </c:pt>
                <c:pt idx="564">
                  <c:v>16.128399999999999</c:v>
                </c:pt>
                <c:pt idx="565">
                  <c:v>16.164000000000001</c:v>
                </c:pt>
                <c:pt idx="566">
                  <c:v>16.1996</c:v>
                </c:pt>
                <c:pt idx="567">
                  <c:v>16.235199999999999</c:v>
                </c:pt>
                <c:pt idx="568">
                  <c:v>16.270800000000001</c:v>
                </c:pt>
                <c:pt idx="569">
                  <c:v>16.3064</c:v>
                </c:pt>
                <c:pt idx="570">
                  <c:v>16.341999999999999</c:v>
                </c:pt>
                <c:pt idx="571">
                  <c:v>16.4141111</c:v>
                </c:pt>
                <c:pt idx="572">
                  <c:v>16.4862222</c:v>
                </c:pt>
                <c:pt idx="573">
                  <c:v>16.558333300000001</c:v>
                </c:pt>
                <c:pt idx="574">
                  <c:v>16.630444399999998</c:v>
                </c:pt>
                <c:pt idx="575">
                  <c:v>16.7025556</c:v>
                </c:pt>
                <c:pt idx="576">
                  <c:v>16.774666700000001</c:v>
                </c:pt>
                <c:pt idx="577">
                  <c:v>16.846777800000002</c:v>
                </c:pt>
                <c:pt idx="578">
                  <c:v>16.918888899999999</c:v>
                </c:pt>
                <c:pt idx="579">
                  <c:v>16.991</c:v>
                </c:pt>
                <c:pt idx="580">
                  <c:v>17.013833300000002</c:v>
                </c:pt>
                <c:pt idx="581">
                  <c:v>17.036666700000001</c:v>
                </c:pt>
                <c:pt idx="582">
                  <c:v>17.0595</c:v>
                </c:pt>
                <c:pt idx="583">
                  <c:v>17.082333299999998</c:v>
                </c:pt>
                <c:pt idx="584">
                  <c:v>17.105166700000002</c:v>
                </c:pt>
                <c:pt idx="585">
                  <c:v>17.128</c:v>
                </c:pt>
                <c:pt idx="586">
                  <c:v>17.150833299999999</c:v>
                </c:pt>
                <c:pt idx="587">
                  <c:v>17.173666699999998</c:v>
                </c:pt>
                <c:pt idx="588">
                  <c:v>17.1965</c:v>
                </c:pt>
                <c:pt idx="589">
                  <c:v>17.219333299999999</c:v>
                </c:pt>
                <c:pt idx="590">
                  <c:v>17.242166699999999</c:v>
                </c:pt>
                <c:pt idx="591">
                  <c:v>17.265000000000001</c:v>
                </c:pt>
                <c:pt idx="592">
                  <c:v>17.287833299999999</c:v>
                </c:pt>
                <c:pt idx="593">
                  <c:v>17.310666699999999</c:v>
                </c:pt>
                <c:pt idx="594">
                  <c:v>17.333500000000001</c:v>
                </c:pt>
                <c:pt idx="595">
                  <c:v>17.356333299999999</c:v>
                </c:pt>
                <c:pt idx="596">
                  <c:v>17.379166699999999</c:v>
                </c:pt>
                <c:pt idx="597">
                  <c:v>17.402000000000001</c:v>
                </c:pt>
                <c:pt idx="598">
                  <c:v>17.4248333</c:v>
                </c:pt>
                <c:pt idx="599">
                  <c:v>17.447666699999999</c:v>
                </c:pt>
                <c:pt idx="600">
                  <c:v>17.470500000000001</c:v>
                </c:pt>
                <c:pt idx="601">
                  <c:v>17.4933333</c:v>
                </c:pt>
                <c:pt idx="602">
                  <c:v>17.516166699999999</c:v>
                </c:pt>
                <c:pt idx="603">
                  <c:v>17.539000000000001</c:v>
                </c:pt>
                <c:pt idx="604">
                  <c:v>17.5618333</c:v>
                </c:pt>
                <c:pt idx="605">
                  <c:v>17.5846667</c:v>
                </c:pt>
                <c:pt idx="606">
                  <c:v>17.607500000000002</c:v>
                </c:pt>
                <c:pt idx="607">
                  <c:v>17.6303333</c:v>
                </c:pt>
                <c:pt idx="608">
                  <c:v>17.6531667</c:v>
                </c:pt>
                <c:pt idx="609">
                  <c:v>17.675999999999998</c:v>
                </c:pt>
                <c:pt idx="610">
                  <c:v>17.742061899999999</c:v>
                </c:pt>
                <c:pt idx="611">
                  <c:v>17.808123699999999</c:v>
                </c:pt>
                <c:pt idx="612">
                  <c:v>17.874185600000001</c:v>
                </c:pt>
                <c:pt idx="613">
                  <c:v>17.940247400000001</c:v>
                </c:pt>
                <c:pt idx="614">
                  <c:v>18.006309300000002</c:v>
                </c:pt>
                <c:pt idx="615">
                  <c:v>18.072371100000002</c:v>
                </c:pt>
                <c:pt idx="616">
                  <c:v>18.138432999999999</c:v>
                </c:pt>
                <c:pt idx="617">
                  <c:v>18.2044949</c:v>
                </c:pt>
                <c:pt idx="618">
                  <c:v>18.2705567</c:v>
                </c:pt>
                <c:pt idx="619">
                  <c:v>18.336618600000001</c:v>
                </c:pt>
                <c:pt idx="620">
                  <c:v>18.402680400000001</c:v>
                </c:pt>
                <c:pt idx="621">
                  <c:v>18.468742299999999</c:v>
                </c:pt>
                <c:pt idx="622">
                  <c:v>18.534804099999999</c:v>
                </c:pt>
                <c:pt idx="623">
                  <c:v>18.600866</c:v>
                </c:pt>
                <c:pt idx="624">
                  <c:v>18.6669278</c:v>
                </c:pt>
                <c:pt idx="625">
                  <c:v>18.732989700000001</c:v>
                </c:pt>
                <c:pt idx="626">
                  <c:v>18.799051599999999</c:v>
                </c:pt>
                <c:pt idx="627">
                  <c:v>18.865113399999998</c:v>
                </c:pt>
                <c:pt idx="628">
                  <c:v>18.9311753</c:v>
                </c:pt>
                <c:pt idx="629">
                  <c:v>18.9972371</c:v>
                </c:pt>
                <c:pt idx="630">
                  <c:v>19.063299000000001</c:v>
                </c:pt>
                <c:pt idx="631">
                  <c:v>19.129360800000001</c:v>
                </c:pt>
                <c:pt idx="632">
                  <c:v>19.195422700000002</c:v>
                </c:pt>
                <c:pt idx="633">
                  <c:v>19.261484500000002</c:v>
                </c:pt>
                <c:pt idx="634">
                  <c:v>19.327546399999999</c:v>
                </c:pt>
                <c:pt idx="635">
                  <c:v>19.3936083</c:v>
                </c:pt>
                <c:pt idx="636">
                  <c:v>19.4596701</c:v>
                </c:pt>
                <c:pt idx="637">
                  <c:v>19.525732000000001</c:v>
                </c:pt>
                <c:pt idx="638">
                  <c:v>19.591793800000001</c:v>
                </c:pt>
                <c:pt idx="639">
                  <c:v>19.657855699999999</c:v>
                </c:pt>
                <c:pt idx="640">
                  <c:v>19.723917499999999</c:v>
                </c:pt>
                <c:pt idx="641">
                  <c:v>19.7899794</c:v>
                </c:pt>
                <c:pt idx="642">
                  <c:v>19.8560412</c:v>
                </c:pt>
                <c:pt idx="643">
                  <c:v>19.922103100000001</c:v>
                </c:pt>
                <c:pt idx="644">
                  <c:v>19.988164999999999</c:v>
                </c:pt>
                <c:pt idx="645">
                  <c:v>20.054226799999999</c:v>
                </c:pt>
                <c:pt idx="646">
                  <c:v>20.1202887</c:v>
                </c:pt>
                <c:pt idx="647">
                  <c:v>20.1863505</c:v>
                </c:pt>
                <c:pt idx="648">
                  <c:v>20.252412400000001</c:v>
                </c:pt>
                <c:pt idx="649">
                  <c:v>20.318474200000001</c:v>
                </c:pt>
                <c:pt idx="650">
                  <c:v>20.384536099999998</c:v>
                </c:pt>
                <c:pt idx="651">
                  <c:v>20.450597900000002</c:v>
                </c:pt>
                <c:pt idx="652">
                  <c:v>20.516659799999999</c:v>
                </c:pt>
                <c:pt idx="653">
                  <c:v>20.5827217</c:v>
                </c:pt>
                <c:pt idx="654">
                  <c:v>20.6487835</c:v>
                </c:pt>
                <c:pt idx="655">
                  <c:v>20.714845400000002</c:v>
                </c:pt>
                <c:pt idx="656">
                  <c:v>20.780907200000001</c:v>
                </c:pt>
                <c:pt idx="657">
                  <c:v>20.846969099999999</c:v>
                </c:pt>
                <c:pt idx="658">
                  <c:v>20.913030899999999</c:v>
                </c:pt>
                <c:pt idx="659">
                  <c:v>20.9790928</c:v>
                </c:pt>
                <c:pt idx="660">
                  <c:v>21.0451546</c:v>
                </c:pt>
                <c:pt idx="661">
                  <c:v>21.111216500000001</c:v>
                </c:pt>
                <c:pt idx="662">
                  <c:v>21.177278399999999</c:v>
                </c:pt>
                <c:pt idx="663">
                  <c:v>21.243340199999999</c:v>
                </c:pt>
                <c:pt idx="664">
                  <c:v>21.3094021</c:v>
                </c:pt>
                <c:pt idx="665">
                  <c:v>21.3754639</c:v>
                </c:pt>
                <c:pt idx="666">
                  <c:v>21.441525800000001</c:v>
                </c:pt>
                <c:pt idx="667">
                  <c:v>21.507587600000001</c:v>
                </c:pt>
                <c:pt idx="668">
                  <c:v>21.573649499999998</c:v>
                </c:pt>
                <c:pt idx="669">
                  <c:v>21.639711299999998</c:v>
                </c:pt>
                <c:pt idx="670">
                  <c:v>21.705773199999999</c:v>
                </c:pt>
                <c:pt idx="671">
                  <c:v>21.771835100000001</c:v>
                </c:pt>
                <c:pt idx="672">
                  <c:v>21.8378969</c:v>
                </c:pt>
                <c:pt idx="673">
                  <c:v>21.903958800000002</c:v>
                </c:pt>
                <c:pt idx="674">
                  <c:v>21.970020600000002</c:v>
                </c:pt>
                <c:pt idx="675">
                  <c:v>22.036082499999999</c:v>
                </c:pt>
                <c:pt idx="676">
                  <c:v>22.102144299999999</c:v>
                </c:pt>
                <c:pt idx="677">
                  <c:v>22.1682062</c:v>
                </c:pt>
                <c:pt idx="678">
                  <c:v>22.234268</c:v>
                </c:pt>
                <c:pt idx="679">
                  <c:v>22.300329900000001</c:v>
                </c:pt>
                <c:pt idx="680">
                  <c:v>22.366391799999999</c:v>
                </c:pt>
                <c:pt idx="681">
                  <c:v>22.432453599999999</c:v>
                </c:pt>
                <c:pt idx="682">
                  <c:v>22.4985155</c:v>
                </c:pt>
                <c:pt idx="683">
                  <c:v>22.5645773</c:v>
                </c:pt>
                <c:pt idx="684">
                  <c:v>22.630639200000001</c:v>
                </c:pt>
                <c:pt idx="685">
                  <c:v>22.696701000000001</c:v>
                </c:pt>
                <c:pt idx="686">
                  <c:v>22.762762899999998</c:v>
                </c:pt>
                <c:pt idx="687">
                  <c:v>22.828824699999998</c:v>
                </c:pt>
                <c:pt idx="688">
                  <c:v>22.8948866</c:v>
                </c:pt>
                <c:pt idx="689">
                  <c:v>22.960948500000001</c:v>
                </c:pt>
                <c:pt idx="690">
                  <c:v>23.027010300000001</c:v>
                </c:pt>
                <c:pt idx="691">
                  <c:v>23.093072200000002</c:v>
                </c:pt>
                <c:pt idx="692">
                  <c:v>23.159134000000002</c:v>
                </c:pt>
                <c:pt idx="693">
                  <c:v>23.225195899999999</c:v>
                </c:pt>
                <c:pt idx="694">
                  <c:v>23.291257699999999</c:v>
                </c:pt>
                <c:pt idx="695">
                  <c:v>23.3573196</c:v>
                </c:pt>
                <c:pt idx="696">
                  <c:v>23.4233814</c:v>
                </c:pt>
                <c:pt idx="697">
                  <c:v>23.489443300000001</c:v>
                </c:pt>
                <c:pt idx="698">
                  <c:v>23.555505199999999</c:v>
                </c:pt>
                <c:pt idx="699">
                  <c:v>23.621566999999999</c:v>
                </c:pt>
                <c:pt idx="700">
                  <c:v>23.6876289</c:v>
                </c:pt>
                <c:pt idx="701">
                  <c:v>23.7536907</c:v>
                </c:pt>
                <c:pt idx="702">
                  <c:v>23.819752600000001</c:v>
                </c:pt>
                <c:pt idx="703">
                  <c:v>23.885814400000001</c:v>
                </c:pt>
                <c:pt idx="704">
                  <c:v>23.951876299999999</c:v>
                </c:pt>
                <c:pt idx="705">
                  <c:v>24.017938099999999</c:v>
                </c:pt>
                <c:pt idx="706">
                  <c:v>24.084</c:v>
                </c:pt>
                <c:pt idx="707">
                  <c:v>24.135461500000002</c:v>
                </c:pt>
                <c:pt idx="708">
                  <c:v>24.186923100000001</c:v>
                </c:pt>
                <c:pt idx="709">
                  <c:v>24.2383846</c:v>
                </c:pt>
                <c:pt idx="710">
                  <c:v>24.289846199999999</c:v>
                </c:pt>
                <c:pt idx="711">
                  <c:v>24.341307700000002</c:v>
                </c:pt>
                <c:pt idx="712">
                  <c:v>24.3927692</c:v>
                </c:pt>
                <c:pt idx="713">
                  <c:v>24.4442308</c:v>
                </c:pt>
                <c:pt idx="714">
                  <c:v>24.495692300000002</c:v>
                </c:pt>
                <c:pt idx="715">
                  <c:v>24.547153900000001</c:v>
                </c:pt>
                <c:pt idx="716">
                  <c:v>24.5986154</c:v>
                </c:pt>
                <c:pt idx="717">
                  <c:v>24.650076899999998</c:v>
                </c:pt>
                <c:pt idx="718">
                  <c:v>24.701538500000002</c:v>
                </c:pt>
                <c:pt idx="719">
                  <c:v>24.753</c:v>
                </c:pt>
                <c:pt idx="720">
                  <c:v>24.804461499999999</c:v>
                </c:pt>
                <c:pt idx="721">
                  <c:v>24.855923099999998</c:v>
                </c:pt>
                <c:pt idx="722">
                  <c:v>24.9073846</c:v>
                </c:pt>
                <c:pt idx="723">
                  <c:v>24.9588462</c:v>
                </c:pt>
                <c:pt idx="724">
                  <c:v>25.010307699999998</c:v>
                </c:pt>
                <c:pt idx="725">
                  <c:v>25.061769200000001</c:v>
                </c:pt>
                <c:pt idx="726">
                  <c:v>25.1132308</c:v>
                </c:pt>
                <c:pt idx="727">
                  <c:v>25.164692299999999</c:v>
                </c:pt>
                <c:pt idx="728">
                  <c:v>25.216153899999998</c:v>
                </c:pt>
                <c:pt idx="729">
                  <c:v>25.2676154</c:v>
                </c:pt>
                <c:pt idx="730">
                  <c:v>25.319076899999999</c:v>
                </c:pt>
                <c:pt idx="731">
                  <c:v>25.370538499999999</c:v>
                </c:pt>
                <c:pt idx="732">
                  <c:v>25.422000000000001</c:v>
                </c:pt>
                <c:pt idx="733">
                  <c:v>25.473461499999999</c:v>
                </c:pt>
                <c:pt idx="734">
                  <c:v>25.524923099999999</c:v>
                </c:pt>
                <c:pt idx="735">
                  <c:v>25.576384600000001</c:v>
                </c:pt>
                <c:pt idx="736">
                  <c:v>25.6278462</c:v>
                </c:pt>
                <c:pt idx="737">
                  <c:v>25.679307699999999</c:v>
                </c:pt>
                <c:pt idx="738">
                  <c:v>25.730769200000001</c:v>
                </c:pt>
                <c:pt idx="739">
                  <c:v>25.782230800000001</c:v>
                </c:pt>
                <c:pt idx="740">
                  <c:v>25.833692299999999</c:v>
                </c:pt>
                <c:pt idx="741">
                  <c:v>25.885153899999999</c:v>
                </c:pt>
                <c:pt idx="742">
                  <c:v>25.936615400000001</c:v>
                </c:pt>
                <c:pt idx="743">
                  <c:v>25.988076899999999</c:v>
                </c:pt>
                <c:pt idx="744">
                  <c:v>26.039538499999999</c:v>
                </c:pt>
                <c:pt idx="745">
                  <c:v>26.091000000000001</c:v>
                </c:pt>
                <c:pt idx="746">
                  <c:v>26.1424615</c:v>
                </c:pt>
                <c:pt idx="747">
                  <c:v>26.193923099999999</c:v>
                </c:pt>
                <c:pt idx="748">
                  <c:v>26.245384600000001</c:v>
                </c:pt>
                <c:pt idx="749">
                  <c:v>26.296846200000001</c:v>
                </c:pt>
                <c:pt idx="750">
                  <c:v>26.348307699999999</c:v>
                </c:pt>
                <c:pt idx="751">
                  <c:v>26.399769200000001</c:v>
                </c:pt>
                <c:pt idx="752">
                  <c:v>26.451230800000001</c:v>
                </c:pt>
                <c:pt idx="753">
                  <c:v>26.5026923</c:v>
                </c:pt>
                <c:pt idx="754">
                  <c:v>26.554153899999999</c:v>
                </c:pt>
                <c:pt idx="755">
                  <c:v>26.605615400000001</c:v>
                </c:pt>
                <c:pt idx="756">
                  <c:v>26.6570769</c:v>
                </c:pt>
                <c:pt idx="757">
                  <c:v>26.7085385</c:v>
                </c:pt>
                <c:pt idx="758">
                  <c:v>26.76</c:v>
                </c:pt>
                <c:pt idx="759">
                  <c:v>26.8114615</c:v>
                </c:pt>
                <c:pt idx="760">
                  <c:v>26.8629231</c:v>
                </c:pt>
                <c:pt idx="761">
                  <c:v>26.914384600000002</c:v>
                </c:pt>
                <c:pt idx="762">
                  <c:v>26.965846200000001</c:v>
                </c:pt>
                <c:pt idx="763">
                  <c:v>27.0173077</c:v>
                </c:pt>
                <c:pt idx="764">
                  <c:v>27.068769199999998</c:v>
                </c:pt>
                <c:pt idx="765">
                  <c:v>27.120230800000002</c:v>
                </c:pt>
                <c:pt idx="766">
                  <c:v>27.1716923</c:v>
                </c:pt>
                <c:pt idx="767">
                  <c:v>27.2231539</c:v>
                </c:pt>
                <c:pt idx="768">
                  <c:v>27.274615399999998</c:v>
                </c:pt>
                <c:pt idx="769">
                  <c:v>27.3260769</c:v>
                </c:pt>
                <c:pt idx="770">
                  <c:v>27.3775385</c:v>
                </c:pt>
                <c:pt idx="771">
                  <c:v>27.428999999999998</c:v>
                </c:pt>
                <c:pt idx="772">
                  <c:v>27.480461500000001</c:v>
                </c:pt>
                <c:pt idx="773">
                  <c:v>27.5319231</c:v>
                </c:pt>
                <c:pt idx="774">
                  <c:v>27.583384599999999</c:v>
                </c:pt>
                <c:pt idx="775">
                  <c:v>27.634846199999998</c:v>
                </c:pt>
                <c:pt idx="776">
                  <c:v>27.6863077</c:v>
                </c:pt>
                <c:pt idx="777">
                  <c:v>27.737769199999999</c:v>
                </c:pt>
                <c:pt idx="778">
                  <c:v>27.789230799999999</c:v>
                </c:pt>
                <c:pt idx="779">
                  <c:v>27.840692300000001</c:v>
                </c:pt>
                <c:pt idx="780">
                  <c:v>27.8921539</c:v>
                </c:pt>
                <c:pt idx="781">
                  <c:v>27.943615399999999</c:v>
                </c:pt>
                <c:pt idx="782">
                  <c:v>27.995076900000001</c:v>
                </c:pt>
                <c:pt idx="783">
                  <c:v>28.0465385</c:v>
                </c:pt>
                <c:pt idx="784">
                  <c:v>28.097999999999999</c:v>
                </c:pt>
                <c:pt idx="785">
                  <c:v>28.126127700000001</c:v>
                </c:pt>
                <c:pt idx="786">
                  <c:v>28.154255299999999</c:v>
                </c:pt>
                <c:pt idx="787">
                  <c:v>28.182383000000002</c:v>
                </c:pt>
                <c:pt idx="788">
                  <c:v>28.210510599999999</c:v>
                </c:pt>
                <c:pt idx="789">
                  <c:v>28.238638300000002</c:v>
                </c:pt>
                <c:pt idx="790">
                  <c:v>28.266766000000001</c:v>
                </c:pt>
                <c:pt idx="791">
                  <c:v>28.294893600000002</c:v>
                </c:pt>
                <c:pt idx="792">
                  <c:v>28.323021300000001</c:v>
                </c:pt>
                <c:pt idx="793">
                  <c:v>28.351148899999998</c:v>
                </c:pt>
                <c:pt idx="794">
                  <c:v>28.379276600000001</c:v>
                </c:pt>
                <c:pt idx="795">
                  <c:v>28.4074043</c:v>
                </c:pt>
                <c:pt idx="796">
                  <c:v>28.435531900000001</c:v>
                </c:pt>
                <c:pt idx="797">
                  <c:v>28.4636596</c:v>
                </c:pt>
                <c:pt idx="798">
                  <c:v>28.491787200000001</c:v>
                </c:pt>
                <c:pt idx="799">
                  <c:v>28.5199149</c:v>
                </c:pt>
                <c:pt idx="800">
                  <c:v>28.548042599999999</c:v>
                </c:pt>
                <c:pt idx="801">
                  <c:v>28.5761702</c:v>
                </c:pt>
                <c:pt idx="802">
                  <c:v>28.604297899999999</c:v>
                </c:pt>
                <c:pt idx="803">
                  <c:v>28.6324255</c:v>
                </c:pt>
                <c:pt idx="804">
                  <c:v>28.660553199999999</c:v>
                </c:pt>
                <c:pt idx="805">
                  <c:v>28.688680900000001</c:v>
                </c:pt>
                <c:pt idx="806">
                  <c:v>28.716808499999999</c:v>
                </c:pt>
                <c:pt idx="807">
                  <c:v>28.744936200000001</c:v>
                </c:pt>
                <c:pt idx="808">
                  <c:v>28.773063799999999</c:v>
                </c:pt>
                <c:pt idx="809">
                  <c:v>28.801191500000002</c:v>
                </c:pt>
                <c:pt idx="810">
                  <c:v>28.8293192</c:v>
                </c:pt>
                <c:pt idx="811">
                  <c:v>28.857446800000002</c:v>
                </c:pt>
                <c:pt idx="812">
                  <c:v>28.885574500000001</c:v>
                </c:pt>
                <c:pt idx="813">
                  <c:v>28.913702099999998</c:v>
                </c:pt>
                <c:pt idx="814">
                  <c:v>28.941829800000001</c:v>
                </c:pt>
                <c:pt idx="815">
                  <c:v>28.9699575</c:v>
                </c:pt>
                <c:pt idx="816">
                  <c:v>28.998085100000001</c:v>
                </c:pt>
                <c:pt idx="817">
                  <c:v>29.0262128</c:v>
                </c:pt>
                <c:pt idx="818">
                  <c:v>29.054340400000001</c:v>
                </c:pt>
                <c:pt idx="819">
                  <c:v>29.0824681</c:v>
                </c:pt>
                <c:pt idx="820">
                  <c:v>29.110595700000001</c:v>
                </c:pt>
                <c:pt idx="821">
                  <c:v>29.1387234</c:v>
                </c:pt>
                <c:pt idx="822">
                  <c:v>29.166851099999999</c:v>
                </c:pt>
                <c:pt idx="823">
                  <c:v>29.1949787</c:v>
                </c:pt>
                <c:pt idx="824">
                  <c:v>29.223106399999999</c:v>
                </c:pt>
                <c:pt idx="825">
                  <c:v>29.251234</c:v>
                </c:pt>
                <c:pt idx="826">
                  <c:v>29.279361699999999</c:v>
                </c:pt>
                <c:pt idx="827">
                  <c:v>29.307489400000001</c:v>
                </c:pt>
                <c:pt idx="828">
                  <c:v>29.335616999999999</c:v>
                </c:pt>
                <c:pt idx="829">
                  <c:v>29.363744700000002</c:v>
                </c:pt>
                <c:pt idx="830">
                  <c:v>29.391872299999999</c:v>
                </c:pt>
                <c:pt idx="831">
                  <c:v>29.42</c:v>
                </c:pt>
                <c:pt idx="832">
                  <c:v>29.448127700000001</c:v>
                </c:pt>
                <c:pt idx="833">
                  <c:v>29.476255299999998</c:v>
                </c:pt>
                <c:pt idx="834">
                  <c:v>29.504383000000001</c:v>
                </c:pt>
                <c:pt idx="835">
                  <c:v>29.532510599999998</c:v>
                </c:pt>
                <c:pt idx="836">
                  <c:v>29.560638300000001</c:v>
                </c:pt>
                <c:pt idx="837">
                  <c:v>29.588766</c:v>
                </c:pt>
                <c:pt idx="838">
                  <c:v>29.616893600000001</c:v>
                </c:pt>
                <c:pt idx="839">
                  <c:v>29.6450213</c:v>
                </c:pt>
                <c:pt idx="840">
                  <c:v>29.673148900000001</c:v>
                </c:pt>
                <c:pt idx="841">
                  <c:v>29.7012766</c:v>
                </c:pt>
                <c:pt idx="842">
                  <c:v>29.729404299999999</c:v>
                </c:pt>
                <c:pt idx="843">
                  <c:v>29.7575319</c:v>
                </c:pt>
                <c:pt idx="844">
                  <c:v>29.785659599999999</c:v>
                </c:pt>
                <c:pt idx="845">
                  <c:v>29.8137872</c:v>
                </c:pt>
                <c:pt idx="846">
                  <c:v>29.841914899999999</c:v>
                </c:pt>
                <c:pt idx="847">
                  <c:v>29.870042600000001</c:v>
                </c:pt>
                <c:pt idx="848">
                  <c:v>29.898170199999999</c:v>
                </c:pt>
                <c:pt idx="849">
                  <c:v>29.926297900000002</c:v>
                </c:pt>
                <c:pt idx="850">
                  <c:v>29.954425499999999</c:v>
                </c:pt>
                <c:pt idx="851">
                  <c:v>29.982553200000002</c:v>
                </c:pt>
                <c:pt idx="852">
                  <c:v>30.010680900000001</c:v>
                </c:pt>
                <c:pt idx="853">
                  <c:v>30.038808499999998</c:v>
                </c:pt>
                <c:pt idx="854">
                  <c:v>30.066936200000001</c:v>
                </c:pt>
                <c:pt idx="855">
                  <c:v>30.095063799999998</c:v>
                </c:pt>
                <c:pt idx="856">
                  <c:v>30.123191500000001</c:v>
                </c:pt>
                <c:pt idx="857">
                  <c:v>30.1513192</c:v>
                </c:pt>
                <c:pt idx="858">
                  <c:v>30.179446800000001</c:v>
                </c:pt>
                <c:pt idx="859">
                  <c:v>30.2075745</c:v>
                </c:pt>
                <c:pt idx="860">
                  <c:v>30.235702100000001</c:v>
                </c:pt>
                <c:pt idx="861">
                  <c:v>30.2638298</c:v>
                </c:pt>
                <c:pt idx="862">
                  <c:v>30.291957499999999</c:v>
                </c:pt>
                <c:pt idx="863">
                  <c:v>30.3200851</c:v>
                </c:pt>
                <c:pt idx="864">
                  <c:v>30.348212799999999</c:v>
                </c:pt>
                <c:pt idx="865">
                  <c:v>30.3763404</c:v>
                </c:pt>
                <c:pt idx="866">
                  <c:v>30.404468099999999</c:v>
                </c:pt>
                <c:pt idx="867">
                  <c:v>30.4325957</c:v>
                </c:pt>
                <c:pt idx="868">
                  <c:v>30.460723399999999</c:v>
                </c:pt>
                <c:pt idx="869">
                  <c:v>30.488851100000002</c:v>
                </c:pt>
                <c:pt idx="870">
                  <c:v>30.516978699999999</c:v>
                </c:pt>
                <c:pt idx="871">
                  <c:v>30.545106400000002</c:v>
                </c:pt>
                <c:pt idx="872">
                  <c:v>30.573233999999999</c:v>
                </c:pt>
                <c:pt idx="873">
                  <c:v>30.601361699999998</c:v>
                </c:pt>
                <c:pt idx="874">
                  <c:v>30.629489400000001</c:v>
                </c:pt>
                <c:pt idx="875">
                  <c:v>30.657616999999998</c:v>
                </c:pt>
                <c:pt idx="876">
                  <c:v>30.685744700000001</c:v>
                </c:pt>
                <c:pt idx="877">
                  <c:v>30.713872299999998</c:v>
                </c:pt>
                <c:pt idx="878">
                  <c:v>30.742000000000001</c:v>
                </c:pt>
                <c:pt idx="879">
                  <c:v>30.7541619</c:v>
                </c:pt>
                <c:pt idx="880">
                  <c:v>30.766323799999999</c:v>
                </c:pt>
                <c:pt idx="881">
                  <c:v>30.778485700000001</c:v>
                </c:pt>
                <c:pt idx="882">
                  <c:v>30.7906476</c:v>
                </c:pt>
                <c:pt idx="883">
                  <c:v>30.802809499999999</c:v>
                </c:pt>
                <c:pt idx="884">
                  <c:v>30.814971400000001</c:v>
                </c:pt>
                <c:pt idx="885">
                  <c:v>30.8271333</c:v>
                </c:pt>
                <c:pt idx="886">
                  <c:v>30.839295199999999</c:v>
                </c:pt>
                <c:pt idx="887">
                  <c:v>30.851457100000001</c:v>
                </c:pt>
                <c:pt idx="888">
                  <c:v>30.863619100000001</c:v>
                </c:pt>
                <c:pt idx="889">
                  <c:v>30.875781</c:v>
                </c:pt>
                <c:pt idx="890">
                  <c:v>30.887942899999999</c:v>
                </c:pt>
                <c:pt idx="891">
                  <c:v>30.900104800000001</c:v>
                </c:pt>
                <c:pt idx="892">
                  <c:v>30.9122667</c:v>
                </c:pt>
                <c:pt idx="893">
                  <c:v>30.924428599999999</c:v>
                </c:pt>
                <c:pt idx="894">
                  <c:v>30.936590500000001</c:v>
                </c:pt>
                <c:pt idx="895">
                  <c:v>30.9487524</c:v>
                </c:pt>
                <c:pt idx="896">
                  <c:v>30.960914299999999</c:v>
                </c:pt>
                <c:pt idx="897">
                  <c:v>30.973076200000001</c:v>
                </c:pt>
                <c:pt idx="898">
                  <c:v>30.9852381</c:v>
                </c:pt>
                <c:pt idx="899">
                  <c:v>30.997399999999999</c:v>
                </c:pt>
                <c:pt idx="900">
                  <c:v>31.009561900000001</c:v>
                </c:pt>
                <c:pt idx="901">
                  <c:v>31.0217238</c:v>
                </c:pt>
                <c:pt idx="902">
                  <c:v>31.033885699999999</c:v>
                </c:pt>
                <c:pt idx="903">
                  <c:v>31.046047600000001</c:v>
                </c:pt>
                <c:pt idx="904">
                  <c:v>31.0582095</c:v>
                </c:pt>
                <c:pt idx="905">
                  <c:v>31.070371399999999</c:v>
                </c:pt>
                <c:pt idx="906">
                  <c:v>31.082533300000001</c:v>
                </c:pt>
                <c:pt idx="907">
                  <c:v>31.0946952</c:v>
                </c:pt>
                <c:pt idx="908">
                  <c:v>31.106857099999999</c:v>
                </c:pt>
                <c:pt idx="909">
                  <c:v>31.119019099999999</c:v>
                </c:pt>
                <c:pt idx="910">
                  <c:v>31.131181000000002</c:v>
                </c:pt>
                <c:pt idx="911">
                  <c:v>31.1433429</c:v>
                </c:pt>
                <c:pt idx="912">
                  <c:v>31.155504799999999</c:v>
                </c:pt>
                <c:pt idx="913">
                  <c:v>31.167666700000002</c:v>
                </c:pt>
                <c:pt idx="914">
                  <c:v>31.1798286</c:v>
                </c:pt>
                <c:pt idx="915">
                  <c:v>31.191990499999999</c:v>
                </c:pt>
                <c:pt idx="916">
                  <c:v>31.204152400000002</c:v>
                </c:pt>
                <c:pt idx="917">
                  <c:v>31.216314300000001</c:v>
                </c:pt>
                <c:pt idx="918">
                  <c:v>31.228476199999999</c:v>
                </c:pt>
                <c:pt idx="919">
                  <c:v>31.240638100000002</c:v>
                </c:pt>
                <c:pt idx="920">
                  <c:v>31.252800000000001</c:v>
                </c:pt>
                <c:pt idx="921">
                  <c:v>31.264961899999999</c:v>
                </c:pt>
                <c:pt idx="922">
                  <c:v>31.277123799999998</c:v>
                </c:pt>
                <c:pt idx="923">
                  <c:v>31.289285700000001</c:v>
                </c:pt>
                <c:pt idx="924">
                  <c:v>31.301447599999999</c:v>
                </c:pt>
                <c:pt idx="925">
                  <c:v>31.313609499999998</c:v>
                </c:pt>
                <c:pt idx="926">
                  <c:v>31.325771400000001</c:v>
                </c:pt>
                <c:pt idx="927">
                  <c:v>31.3379333</c:v>
                </c:pt>
                <c:pt idx="928">
                  <c:v>31.350095199999998</c:v>
                </c:pt>
                <c:pt idx="929">
                  <c:v>31.362257100000001</c:v>
                </c:pt>
                <c:pt idx="930">
                  <c:v>31.374419100000001</c:v>
                </c:pt>
                <c:pt idx="931">
                  <c:v>31.386581</c:v>
                </c:pt>
                <c:pt idx="932">
                  <c:v>31.398742899999998</c:v>
                </c:pt>
                <c:pt idx="933">
                  <c:v>31.410904800000001</c:v>
                </c:pt>
                <c:pt idx="934">
                  <c:v>31.4230667</c:v>
                </c:pt>
                <c:pt idx="935">
                  <c:v>31.435228599999999</c:v>
                </c:pt>
                <c:pt idx="936">
                  <c:v>31.447390500000001</c:v>
                </c:pt>
                <c:pt idx="937">
                  <c:v>31.4595524</c:v>
                </c:pt>
                <c:pt idx="938">
                  <c:v>31.471714299999999</c:v>
                </c:pt>
                <c:pt idx="939">
                  <c:v>31.483876200000001</c:v>
                </c:pt>
                <c:pt idx="940">
                  <c:v>31.4960381</c:v>
                </c:pt>
                <c:pt idx="941">
                  <c:v>31.508199999999999</c:v>
                </c:pt>
                <c:pt idx="942">
                  <c:v>31.520361900000001</c:v>
                </c:pt>
                <c:pt idx="943">
                  <c:v>31.5325238</c:v>
                </c:pt>
                <c:pt idx="944">
                  <c:v>31.544685699999999</c:v>
                </c:pt>
                <c:pt idx="945">
                  <c:v>31.556847600000001</c:v>
                </c:pt>
                <c:pt idx="946">
                  <c:v>31.5690095</c:v>
                </c:pt>
                <c:pt idx="947">
                  <c:v>31.581171399999999</c:v>
                </c:pt>
                <c:pt idx="948">
                  <c:v>31.593333300000001</c:v>
                </c:pt>
                <c:pt idx="949">
                  <c:v>31.6054952</c:v>
                </c:pt>
                <c:pt idx="950">
                  <c:v>31.617657099999999</c:v>
                </c:pt>
                <c:pt idx="951">
                  <c:v>31.629819099999999</c:v>
                </c:pt>
                <c:pt idx="952">
                  <c:v>31.641981000000001</c:v>
                </c:pt>
                <c:pt idx="953">
                  <c:v>31.6541429</c:v>
                </c:pt>
                <c:pt idx="954">
                  <c:v>31.666304799999999</c:v>
                </c:pt>
                <c:pt idx="955">
                  <c:v>31.678466700000001</c:v>
                </c:pt>
                <c:pt idx="956">
                  <c:v>31.6906286</c:v>
                </c:pt>
                <c:pt idx="957">
                  <c:v>31.702790499999999</c:v>
                </c:pt>
                <c:pt idx="958">
                  <c:v>31.714952400000001</c:v>
                </c:pt>
                <c:pt idx="959">
                  <c:v>31.7271143</c:v>
                </c:pt>
                <c:pt idx="960">
                  <c:v>31.739276199999999</c:v>
                </c:pt>
                <c:pt idx="961">
                  <c:v>31.751438100000001</c:v>
                </c:pt>
                <c:pt idx="962">
                  <c:v>31.7636</c:v>
                </c:pt>
                <c:pt idx="963">
                  <c:v>31.775761899999999</c:v>
                </c:pt>
                <c:pt idx="964">
                  <c:v>31.787923800000002</c:v>
                </c:pt>
                <c:pt idx="965">
                  <c:v>31.8000857</c:v>
                </c:pt>
                <c:pt idx="966">
                  <c:v>31.812247599999999</c:v>
                </c:pt>
                <c:pt idx="967">
                  <c:v>31.824409500000002</c:v>
                </c:pt>
                <c:pt idx="968">
                  <c:v>31.8365714</c:v>
                </c:pt>
                <c:pt idx="969">
                  <c:v>31.848733299999999</c:v>
                </c:pt>
                <c:pt idx="970">
                  <c:v>31.860895200000002</c:v>
                </c:pt>
                <c:pt idx="971">
                  <c:v>31.8730571</c:v>
                </c:pt>
                <c:pt idx="972">
                  <c:v>31.8852191</c:v>
                </c:pt>
                <c:pt idx="973">
                  <c:v>31.897380999999999</c:v>
                </c:pt>
                <c:pt idx="974">
                  <c:v>31.909542900000002</c:v>
                </c:pt>
                <c:pt idx="975">
                  <c:v>31.921704800000001</c:v>
                </c:pt>
                <c:pt idx="976">
                  <c:v>31.933866699999999</c:v>
                </c:pt>
                <c:pt idx="977">
                  <c:v>31.946028600000002</c:v>
                </c:pt>
                <c:pt idx="978">
                  <c:v>31.958190500000001</c:v>
                </c:pt>
                <c:pt idx="979">
                  <c:v>31.970352399999999</c:v>
                </c:pt>
                <c:pt idx="980">
                  <c:v>31.982514299999998</c:v>
                </c:pt>
                <c:pt idx="981">
                  <c:v>31.994676200000001</c:v>
                </c:pt>
                <c:pt idx="982">
                  <c:v>32.006838100000003</c:v>
                </c:pt>
                <c:pt idx="983">
                  <c:v>32.018999999999998</c:v>
                </c:pt>
                <c:pt idx="984">
                  <c:v>32.048000000000002</c:v>
                </c:pt>
                <c:pt idx="985">
                  <c:v>32.076999999999998</c:v>
                </c:pt>
                <c:pt idx="986">
                  <c:v>32.106000000000002</c:v>
                </c:pt>
                <c:pt idx="987">
                  <c:v>32.134999999999998</c:v>
                </c:pt>
                <c:pt idx="988">
                  <c:v>32.164000000000001</c:v>
                </c:pt>
                <c:pt idx="989">
                  <c:v>32.192999999999998</c:v>
                </c:pt>
                <c:pt idx="990">
                  <c:v>32.222000000000001</c:v>
                </c:pt>
                <c:pt idx="991">
                  <c:v>32.250999999999998</c:v>
                </c:pt>
                <c:pt idx="992">
                  <c:v>32.28</c:v>
                </c:pt>
                <c:pt idx="993">
                  <c:v>32.308999999999997</c:v>
                </c:pt>
                <c:pt idx="994">
                  <c:v>32.338000000000001</c:v>
                </c:pt>
                <c:pt idx="995">
                  <c:v>32.366999999999997</c:v>
                </c:pt>
                <c:pt idx="996">
                  <c:v>32.396000000000001</c:v>
                </c:pt>
                <c:pt idx="997">
                  <c:v>32.424999999999997</c:v>
                </c:pt>
                <c:pt idx="998">
                  <c:v>32.454000000000001</c:v>
                </c:pt>
                <c:pt idx="999">
                  <c:v>32.482999999999997</c:v>
                </c:pt>
                <c:pt idx="1000">
                  <c:v>32.512</c:v>
                </c:pt>
                <c:pt idx="1001">
                  <c:v>32.540999999999997</c:v>
                </c:pt>
                <c:pt idx="1002">
                  <c:v>32.57</c:v>
                </c:pt>
                <c:pt idx="1003">
                  <c:v>32.598999999999997</c:v>
                </c:pt>
                <c:pt idx="1004">
                  <c:v>32.628</c:v>
                </c:pt>
                <c:pt idx="1005">
                  <c:v>32.656999999999996</c:v>
                </c:pt>
                <c:pt idx="1006">
                  <c:v>32.686</c:v>
                </c:pt>
                <c:pt idx="1007">
                  <c:v>32.715000000000003</c:v>
                </c:pt>
                <c:pt idx="1008">
                  <c:v>32.744</c:v>
                </c:pt>
                <c:pt idx="1009">
                  <c:v>32.773000000000003</c:v>
                </c:pt>
                <c:pt idx="1010">
                  <c:v>32.802</c:v>
                </c:pt>
                <c:pt idx="1011">
                  <c:v>32.831000000000003</c:v>
                </c:pt>
                <c:pt idx="1012">
                  <c:v>32.86</c:v>
                </c:pt>
                <c:pt idx="1013">
                  <c:v>32.889000000000003</c:v>
                </c:pt>
                <c:pt idx="1014">
                  <c:v>32.917999999999999</c:v>
                </c:pt>
                <c:pt idx="1015">
                  <c:v>32.947000000000003</c:v>
                </c:pt>
                <c:pt idx="1016">
                  <c:v>32.975999999999999</c:v>
                </c:pt>
                <c:pt idx="1017">
                  <c:v>33.005000000000003</c:v>
                </c:pt>
                <c:pt idx="1018">
                  <c:v>33.033999999999999</c:v>
                </c:pt>
                <c:pt idx="1019">
                  <c:v>33.063000000000002</c:v>
                </c:pt>
                <c:pt idx="1020">
                  <c:v>33.091999999999999</c:v>
                </c:pt>
                <c:pt idx="1021">
                  <c:v>33.121000000000002</c:v>
                </c:pt>
                <c:pt idx="1022">
                  <c:v>33.15</c:v>
                </c:pt>
                <c:pt idx="1023">
                  <c:v>33.179000000000002</c:v>
                </c:pt>
                <c:pt idx="1024">
                  <c:v>33.207999999999998</c:v>
                </c:pt>
                <c:pt idx="1025">
                  <c:v>33.237000000000002</c:v>
                </c:pt>
                <c:pt idx="1026">
                  <c:v>33.265999999999998</c:v>
                </c:pt>
                <c:pt idx="1027">
                  <c:v>33.295000000000002</c:v>
                </c:pt>
                <c:pt idx="1028">
                  <c:v>33.323999999999998</c:v>
                </c:pt>
                <c:pt idx="1029">
                  <c:v>33.353000000000002</c:v>
                </c:pt>
                <c:pt idx="1030">
                  <c:v>33.381999999999998</c:v>
                </c:pt>
                <c:pt idx="1031">
                  <c:v>33.411000000000001</c:v>
                </c:pt>
                <c:pt idx="1032">
                  <c:v>33.44</c:v>
                </c:pt>
                <c:pt idx="1033">
                  <c:v>33.469000000000001</c:v>
                </c:pt>
                <c:pt idx="1034">
                  <c:v>33.497999999999998</c:v>
                </c:pt>
                <c:pt idx="1035">
                  <c:v>33.527000000000001</c:v>
                </c:pt>
                <c:pt idx="1036">
                  <c:v>33.555999999999997</c:v>
                </c:pt>
                <c:pt idx="1037">
                  <c:v>33.585000000000001</c:v>
                </c:pt>
                <c:pt idx="1038">
                  <c:v>33.613999999999997</c:v>
                </c:pt>
                <c:pt idx="1039">
                  <c:v>33.643000000000001</c:v>
                </c:pt>
                <c:pt idx="1040">
                  <c:v>33.671999999999997</c:v>
                </c:pt>
                <c:pt idx="1041">
                  <c:v>33.701000000000001</c:v>
                </c:pt>
                <c:pt idx="1042">
                  <c:v>33.729999999999997</c:v>
                </c:pt>
                <c:pt idx="1043">
                  <c:v>33.759</c:v>
                </c:pt>
                <c:pt idx="1044">
                  <c:v>33.787999999999997</c:v>
                </c:pt>
                <c:pt idx="1045">
                  <c:v>33.817</c:v>
                </c:pt>
                <c:pt idx="1046">
                  <c:v>33.845999999999997</c:v>
                </c:pt>
                <c:pt idx="1047">
                  <c:v>33.875</c:v>
                </c:pt>
                <c:pt idx="1048">
                  <c:v>33.904000000000003</c:v>
                </c:pt>
                <c:pt idx="1049">
                  <c:v>33.933</c:v>
                </c:pt>
                <c:pt idx="1050">
                  <c:v>33.962000000000003</c:v>
                </c:pt>
                <c:pt idx="1051">
                  <c:v>33.991</c:v>
                </c:pt>
                <c:pt idx="1052">
                  <c:v>34.020000000000003</c:v>
                </c:pt>
                <c:pt idx="1053">
                  <c:v>34.048999999999999</c:v>
                </c:pt>
                <c:pt idx="1054">
                  <c:v>34.078000000000003</c:v>
                </c:pt>
                <c:pt idx="1055">
                  <c:v>34.106999999999999</c:v>
                </c:pt>
                <c:pt idx="1056">
                  <c:v>34.136000000000003</c:v>
                </c:pt>
                <c:pt idx="1057">
                  <c:v>34.164999999999999</c:v>
                </c:pt>
                <c:pt idx="1058">
                  <c:v>34.194000000000003</c:v>
                </c:pt>
                <c:pt idx="1059">
                  <c:v>34.222999999999999</c:v>
                </c:pt>
                <c:pt idx="1060">
                  <c:v>34.252000000000002</c:v>
                </c:pt>
                <c:pt idx="1061">
                  <c:v>34.280999999999999</c:v>
                </c:pt>
                <c:pt idx="1062">
                  <c:v>34.31</c:v>
                </c:pt>
                <c:pt idx="1063">
                  <c:v>34.338999999999999</c:v>
                </c:pt>
                <c:pt idx="1064">
                  <c:v>34.368000000000002</c:v>
                </c:pt>
                <c:pt idx="1065">
                  <c:v>34.396999999999998</c:v>
                </c:pt>
              </c:numCache>
            </c:numRef>
          </c:xVal>
          <c:yVal>
            <c:numRef>
              <c:f>'XRF selectie'!$T:$T</c:f>
              <c:numCache>
                <c:formatCode>General</c:formatCode>
                <c:ptCount val="1048576"/>
                <c:pt idx="0">
                  <c:v>0</c:v>
                </c:pt>
                <c:pt idx="2">
                  <c:v>1.2007184544674683</c:v>
                </c:pt>
                <c:pt idx="3">
                  <c:v>1.2249034793224851</c:v>
                </c:pt>
                <c:pt idx="4">
                  <c:v>1.2509364473548226</c:v>
                </c:pt>
                <c:pt idx="5">
                  <c:v>1.2646114801454607</c:v>
                </c:pt>
                <c:pt idx="6">
                  <c:v>1.2962595263983177</c:v>
                </c:pt>
                <c:pt idx="7">
                  <c:v>1.2947969661674348</c:v>
                </c:pt>
                <c:pt idx="8">
                  <c:v>1.280639655366836</c:v>
                </c:pt>
                <c:pt idx="9">
                  <c:v>1.2859090477511381</c:v>
                </c:pt>
                <c:pt idx="10">
                  <c:v>1.2966406742574632</c:v>
                </c:pt>
                <c:pt idx="11">
                  <c:v>1.3101076946983812</c:v>
                </c:pt>
                <c:pt idx="12">
                  <c:v>1.2730918757209455</c:v>
                </c:pt>
                <c:pt idx="13">
                  <c:v>1.2456044573789207</c:v>
                </c:pt>
                <c:pt idx="14">
                  <c:v>1.2374661325834397</c:v>
                </c:pt>
                <c:pt idx="15">
                  <c:v>1.2525252220920899</c:v>
                </c:pt>
                <c:pt idx="16">
                  <c:v>1.2581997511565011</c:v>
                </c:pt>
                <c:pt idx="17">
                  <c:v>1.2817238137738338</c:v>
                </c:pt>
                <c:pt idx="18">
                  <c:v>1.3036013836419693</c:v>
                </c:pt>
                <c:pt idx="19">
                  <c:v>1.2797685626703414</c:v>
                </c:pt>
                <c:pt idx="20">
                  <c:v>1.3203791187740574</c:v>
                </c:pt>
                <c:pt idx="21">
                  <c:v>1.3257380339906317</c:v>
                </c:pt>
                <c:pt idx="22">
                  <c:v>1.4221732502260238</c:v>
                </c:pt>
                <c:pt idx="23">
                  <c:v>1.4114783195577358</c:v>
                </c:pt>
                <c:pt idx="24">
                  <c:v>1.3887765395589506</c:v>
                </c:pt>
                <c:pt idx="25">
                  <c:v>1.3550099867996768</c:v>
                </c:pt>
                <c:pt idx="26">
                  <c:v>1.3260592581285497</c:v>
                </c:pt>
                <c:pt idx="27">
                  <c:v>1.3385788641800793</c:v>
                </c:pt>
                <c:pt idx="28">
                  <c:v>1.3557566384073587</c:v>
                </c:pt>
                <c:pt idx="29">
                  <c:v>1.3704438304211433</c:v>
                </c:pt>
                <c:pt idx="30">
                  <c:v>1.3678124757715697</c:v>
                </c:pt>
                <c:pt idx="31">
                  <c:v>1.3578600849307267</c:v>
                </c:pt>
                <c:pt idx="32">
                  <c:v>1.3575119394477355</c:v>
                </c:pt>
                <c:pt idx="33">
                  <c:v>1.3490087108445807</c:v>
                </c:pt>
                <c:pt idx="34">
                  <c:v>1.2868948390364199</c:v>
                </c:pt>
                <c:pt idx="35">
                  <c:v>1.2725593575084302</c:v>
                </c:pt>
                <c:pt idx="36">
                  <c:v>1.2992983532668825</c:v>
                </c:pt>
                <c:pt idx="37">
                  <c:v>1.3662358756319026</c:v>
                </c:pt>
                <c:pt idx="38">
                  <c:v>1.3607502575152364</c:v>
                </c:pt>
                <c:pt idx="39">
                  <c:v>1.3282847204200066</c:v>
                </c:pt>
                <c:pt idx="40">
                  <c:v>1.2724680274203228</c:v>
                </c:pt>
                <c:pt idx="41">
                  <c:v>1.2261044701174013</c:v>
                </c:pt>
                <c:pt idx="42">
                  <c:v>1.2056776273328287</c:v>
                </c:pt>
                <c:pt idx="43">
                  <c:v>1.2180050301889622</c:v>
                </c:pt>
                <c:pt idx="44">
                  <c:v>1.2587142376301221</c:v>
                </c:pt>
                <c:pt idx="45">
                  <c:v>1.1681406123765727</c:v>
                </c:pt>
                <c:pt idx="46">
                  <c:v>1.1898532147237717</c:v>
                </c:pt>
                <c:pt idx="47">
                  <c:v>1.1875606215040835</c:v>
                </c:pt>
                <c:pt idx="48">
                  <c:v>1.2527980170810042</c:v>
                </c:pt>
                <c:pt idx="49">
                  <c:v>1.1953902300004022</c:v>
                </c:pt>
                <c:pt idx="50">
                  <c:v>1.202762871635545</c:v>
                </c:pt>
                <c:pt idx="51">
                  <c:v>1.2615816336793684</c:v>
                </c:pt>
                <c:pt idx="52">
                  <c:v>1.3432009665318987</c:v>
                </c:pt>
                <c:pt idx="53">
                  <c:v>1.3130620664238013</c:v>
                </c:pt>
                <c:pt idx="54">
                  <c:v>1.2967295748321013</c:v>
                </c:pt>
                <c:pt idx="55">
                  <c:v>1.2826282330181416</c:v>
                </c:pt>
                <c:pt idx="56">
                  <c:v>1.295182627201318</c:v>
                </c:pt>
                <c:pt idx="57">
                  <c:v>1.2794444776384841</c:v>
                </c:pt>
                <c:pt idx="58">
                  <c:v>1.2454278570225392</c:v>
                </c:pt>
                <c:pt idx="59">
                  <c:v>1.2343264713568067</c:v>
                </c:pt>
                <c:pt idx="60">
                  <c:v>1.237448487769103</c:v>
                </c:pt>
                <c:pt idx="61">
                  <c:v>1.2373282145771987</c:v>
                </c:pt>
                <c:pt idx="62">
                  <c:v>1.2392097102549302</c:v>
                </c:pt>
                <c:pt idx="63">
                  <c:v>1.2349800334854308</c:v>
                </c:pt>
                <c:pt idx="64">
                  <c:v>1.2302811687880106</c:v>
                </c:pt>
                <c:pt idx="65">
                  <c:v>1.2198671508297469</c:v>
                </c:pt>
                <c:pt idx="66">
                  <c:v>1.2053245286719441</c:v>
                </c:pt>
                <c:pt idx="67">
                  <c:v>1.1846978765678253</c:v>
                </c:pt>
                <c:pt idx="68">
                  <c:v>1.1504840257896571</c:v>
                </c:pt>
                <c:pt idx="69">
                  <c:v>1.1553580179108838</c:v>
                </c:pt>
                <c:pt idx="70">
                  <c:v>1.1696429503698198</c:v>
                </c:pt>
                <c:pt idx="71">
                  <c:v>1.208730438597134</c:v>
                </c:pt>
                <c:pt idx="72">
                  <c:v>1.2282978671074003</c:v>
                </c:pt>
                <c:pt idx="73">
                  <c:v>1.2061391076775041</c:v>
                </c:pt>
                <c:pt idx="74">
                  <c:v>1.2038161414463375</c:v>
                </c:pt>
                <c:pt idx="75">
                  <c:v>1.2091925640967596</c:v>
                </c:pt>
                <c:pt idx="76">
                  <c:v>1.2469804196589667</c:v>
                </c:pt>
                <c:pt idx="77">
                  <c:v>1.2373695792899022</c:v>
                </c:pt>
                <c:pt idx="78">
                  <c:v>1.246923996398307</c:v>
                </c:pt>
                <c:pt idx="79">
                  <c:v>1.2464491385299803</c:v>
                </c:pt>
                <c:pt idx="80">
                  <c:v>1.2817977818553135</c:v>
                </c:pt>
                <c:pt idx="81">
                  <c:v>1.285499877583661</c:v>
                </c:pt>
                <c:pt idx="82">
                  <c:v>1.2925363733048227</c:v>
                </c:pt>
                <c:pt idx="83">
                  <c:v>1.2782374579488731</c:v>
                </c:pt>
                <c:pt idx="84">
                  <c:v>1.2643107174672874</c:v>
                </c:pt>
                <c:pt idx="85">
                  <c:v>1.2565333956414229</c:v>
                </c:pt>
                <c:pt idx="86">
                  <c:v>1.2619862786744953</c:v>
                </c:pt>
                <c:pt idx="87">
                  <c:v>1.2611100110926279</c:v>
                </c:pt>
                <c:pt idx="88">
                  <c:v>1.2576533814017281</c:v>
                </c:pt>
                <c:pt idx="89">
                  <c:v>1.25630265410938</c:v>
                </c:pt>
                <c:pt idx="90">
                  <c:v>1.26928633199476</c:v>
                </c:pt>
                <c:pt idx="91">
                  <c:v>1.2816889362645096</c:v>
                </c:pt>
                <c:pt idx="92">
                  <c:v>1.2929053459733344</c:v>
                </c:pt>
                <c:pt idx="93">
                  <c:v>1.2883869078990837</c:v>
                </c:pt>
                <c:pt idx="94">
                  <c:v>1.276951771601486</c:v>
                </c:pt>
                <c:pt idx="95">
                  <c:v>1.2785048221206059</c:v>
                </c:pt>
                <c:pt idx="96">
                  <c:v>1.2844442218536825</c:v>
                </c:pt>
                <c:pt idx="97">
                  <c:v>1.3035114952811124</c:v>
                </c:pt>
                <c:pt idx="98">
                  <c:v>1.2872239211498284</c:v>
                </c:pt>
                <c:pt idx="99">
                  <c:v>1.2544499172195911</c:v>
                </c:pt>
                <c:pt idx="100">
                  <c:v>1.2413095024156282</c:v>
                </c:pt>
                <c:pt idx="101">
                  <c:v>1.2405781408120105</c:v>
                </c:pt>
                <c:pt idx="102">
                  <c:v>1.247767791537624</c:v>
                </c:pt>
                <c:pt idx="103">
                  <c:v>1.2433631277805708</c:v>
                </c:pt>
                <c:pt idx="104">
                  <c:v>1.2318391380384819</c:v>
                </c:pt>
                <c:pt idx="105">
                  <c:v>1.2352577129088202</c:v>
                </c:pt>
                <c:pt idx="106">
                  <c:v>1.1760682884748792</c:v>
                </c:pt>
                <c:pt idx="107">
                  <c:v>1.186098183885065</c:v>
                </c:pt>
                <c:pt idx="108">
                  <c:v>1.1928269022141438</c:v>
                </c:pt>
                <c:pt idx="109">
                  <c:v>1.2531599692241218</c:v>
                </c:pt>
                <c:pt idx="110">
                  <c:v>1.2515755668227733</c:v>
                </c:pt>
                <c:pt idx="111">
                  <c:v>1.2417054950087556</c:v>
                </c:pt>
                <c:pt idx="112">
                  <c:v>1.2434915055961169</c:v>
                </c:pt>
                <c:pt idx="113">
                  <c:v>1.250833287354473</c:v>
                </c:pt>
                <c:pt idx="114">
                  <c:v>1.2561675557919318</c:v>
                </c:pt>
                <c:pt idx="115">
                  <c:v>1.2622266223350689</c:v>
                </c:pt>
                <c:pt idx="116">
                  <c:v>1.2812234001131693</c:v>
                </c:pt>
                <c:pt idx="117">
                  <c:v>1.3022822793904263</c:v>
                </c:pt>
                <c:pt idx="118">
                  <c:v>1.3008361872093275</c:v>
                </c:pt>
                <c:pt idx="119">
                  <c:v>1.3033722524537339</c:v>
                </c:pt>
                <c:pt idx="120">
                  <c:v>1.3035188858679401</c:v>
                </c:pt>
                <c:pt idx="121">
                  <c:v>1.3054648771353419</c:v>
                </c:pt>
                <c:pt idx="122">
                  <c:v>1.2715913396047438</c:v>
                </c:pt>
                <c:pt idx="123">
                  <c:v>1.2443725249990718</c:v>
                </c:pt>
                <c:pt idx="124">
                  <c:v>1.2389975717210031</c:v>
                </c:pt>
                <c:pt idx="125">
                  <c:v>1.2435343898643465</c:v>
                </c:pt>
                <c:pt idx="126">
                  <c:v>1.2448251757798869</c:v>
                </c:pt>
                <c:pt idx="127">
                  <c:v>1.2454724447369439</c:v>
                </c:pt>
                <c:pt idx="128">
                  <c:v>1.2457953196968157</c:v>
                </c:pt>
                <c:pt idx="129">
                  <c:v>1.2725745730863609</c:v>
                </c:pt>
                <c:pt idx="130">
                  <c:v>1.2692017402869864</c:v>
                </c:pt>
                <c:pt idx="131">
                  <c:v>1.2801666976565063</c:v>
                </c:pt>
                <c:pt idx="132">
                  <c:v>1.2660874231639978</c:v>
                </c:pt>
                <c:pt idx="133">
                  <c:v>1.2547545957189685</c:v>
                </c:pt>
                <c:pt idx="134">
                  <c:v>1.2412336664886443</c:v>
                </c:pt>
                <c:pt idx="135">
                  <c:v>1.2120765133791129</c:v>
                </c:pt>
                <c:pt idx="136">
                  <c:v>1.1704362251055442</c:v>
                </c:pt>
                <c:pt idx="137">
                  <c:v>1.1775760240564048</c:v>
                </c:pt>
                <c:pt idx="138">
                  <c:v>1.183678008068288</c:v>
                </c:pt>
                <c:pt idx="139">
                  <c:v>1.2219749804492699</c:v>
                </c:pt>
                <c:pt idx="140">
                  <c:v>1.2206442864691078</c:v>
                </c:pt>
                <c:pt idx="141">
                  <c:v>1.2076689547977422</c:v>
                </c:pt>
                <c:pt idx="142">
                  <c:v>1.212448754983148</c:v>
                </c:pt>
                <c:pt idx="143">
                  <c:v>1.18604756522888</c:v>
                </c:pt>
                <c:pt idx="144">
                  <c:v>1.2099421422871346</c:v>
                </c:pt>
                <c:pt idx="145">
                  <c:v>1.1978111747142919</c:v>
                </c:pt>
                <c:pt idx="146">
                  <c:v>1.2041924533480615</c:v>
                </c:pt>
                <c:pt idx="147">
                  <c:v>1.1960786133979944</c:v>
                </c:pt>
                <c:pt idx="148">
                  <c:v>1.1317586396737582</c:v>
                </c:pt>
                <c:pt idx="149">
                  <c:v>1.0715370383511333</c:v>
                </c:pt>
                <c:pt idx="150">
                  <c:v>1.0450909138231506</c:v>
                </c:pt>
                <c:pt idx="151">
                  <c:v>1.0785457824545353</c:v>
                </c:pt>
                <c:pt idx="152">
                  <c:v>1.1239299742979256</c:v>
                </c:pt>
                <c:pt idx="153">
                  <c:v>1.1202100229641305</c:v>
                </c:pt>
                <c:pt idx="154">
                  <c:v>1.1264611725121831</c:v>
                </c:pt>
                <c:pt idx="155">
                  <c:v>1.1231643868361256</c:v>
                </c:pt>
                <c:pt idx="156">
                  <c:v>1.1129222102384688</c:v>
                </c:pt>
                <c:pt idx="157">
                  <c:v>1.1171912933121437</c:v>
                </c:pt>
                <c:pt idx="158">
                  <c:v>1.1043385971720265</c:v>
                </c:pt>
                <c:pt idx="159">
                  <c:v>1.1081010276239511</c:v>
                </c:pt>
                <c:pt idx="160">
                  <c:v>1.1083376900158965</c:v>
                </c:pt>
                <c:pt idx="161">
                  <c:v>1.0944637002888182</c:v>
                </c:pt>
                <c:pt idx="162">
                  <c:v>1.0616438401844599</c:v>
                </c:pt>
                <c:pt idx="163">
                  <c:v>1.0226240447410586</c:v>
                </c:pt>
                <c:pt idx="164">
                  <c:v>1.033028323474996</c:v>
                </c:pt>
                <c:pt idx="165">
                  <c:v>1.0518120865841967</c:v>
                </c:pt>
                <c:pt idx="166">
                  <c:v>1.0453481536804832</c:v>
                </c:pt>
                <c:pt idx="167">
                  <c:v>1.0268383844520756</c:v>
                </c:pt>
                <c:pt idx="168">
                  <c:v>1.0060776585110414</c:v>
                </c:pt>
                <c:pt idx="169">
                  <c:v>0.99805956412161778</c:v>
                </c:pt>
                <c:pt idx="170">
                  <c:v>0.9803402745368377</c:v>
                </c:pt>
                <c:pt idx="171">
                  <c:v>0.94490166693171418</c:v>
                </c:pt>
                <c:pt idx="172">
                  <c:v>0.9268611919167139</c:v>
                </c:pt>
                <c:pt idx="173">
                  <c:v>0.92458512355969791</c:v>
                </c:pt>
                <c:pt idx="174">
                  <c:v>0.9453536860252546</c:v>
                </c:pt>
                <c:pt idx="175">
                  <c:v>0.93375931065791118</c:v>
                </c:pt>
                <c:pt idx="176">
                  <c:v>0.93049780562472817</c:v>
                </c:pt>
                <c:pt idx="177">
                  <c:v>0.92652848490957218</c:v>
                </c:pt>
                <c:pt idx="178">
                  <c:v>0.92123583113104068</c:v>
                </c:pt>
                <c:pt idx="179">
                  <c:v>0.86105400795456155</c:v>
                </c:pt>
                <c:pt idx="180">
                  <c:v>0.79886357200310998</c:v>
                </c:pt>
                <c:pt idx="181">
                  <c:v>0.71280132758905712</c:v>
                </c:pt>
                <c:pt idx="182">
                  <c:v>0.67576296725057194</c:v>
                </c:pt>
                <c:pt idx="183">
                  <c:v>0.57521260318546774</c:v>
                </c:pt>
                <c:pt idx="184">
                  <c:v>0.63412962310305587</c:v>
                </c:pt>
                <c:pt idx="185">
                  <c:v>0.65838357575141659</c:v>
                </c:pt>
                <c:pt idx="186">
                  <c:v>0.76286283876470529</c:v>
                </c:pt>
                <c:pt idx="187">
                  <c:v>0.74159950513273687</c:v>
                </c:pt>
                <c:pt idx="188">
                  <c:v>0.70327676847550469</c:v>
                </c:pt>
                <c:pt idx="189">
                  <c:v>0.68182796749520191</c:v>
                </c:pt>
                <c:pt idx="190">
                  <c:v>0.69636532925998151</c:v>
                </c:pt>
                <c:pt idx="191">
                  <c:v>0.70371021346636853</c:v>
                </c:pt>
                <c:pt idx="192">
                  <c:v>0.69830519598119822</c:v>
                </c:pt>
                <c:pt idx="193">
                  <c:v>0.63162952530607763</c:v>
                </c:pt>
                <c:pt idx="194">
                  <c:v>0.5423902556321889</c:v>
                </c:pt>
                <c:pt idx="195">
                  <c:v>0.51801096040494743</c:v>
                </c:pt>
                <c:pt idx="196">
                  <c:v>0.60561781749525989</c:v>
                </c:pt>
                <c:pt idx="197">
                  <c:v>0.69344832347886831</c:v>
                </c:pt>
                <c:pt idx="198">
                  <c:v>0.72411444254187673</c:v>
                </c:pt>
                <c:pt idx="199">
                  <c:v>0.72482820270159054</c:v>
                </c:pt>
                <c:pt idx="200">
                  <c:v>0.73358227709441415</c:v>
                </c:pt>
                <c:pt idx="201">
                  <c:v>0.56696272879852883</c:v>
                </c:pt>
                <c:pt idx="202">
                  <c:v>0.5182689751560009</c:v>
                </c:pt>
                <c:pt idx="203">
                  <c:v>0.58585671813091078</c:v>
                </c:pt>
                <c:pt idx="204">
                  <c:v>0.85223552684367687</c:v>
                </c:pt>
                <c:pt idx="205">
                  <c:v>0.9369490003324582</c:v>
                </c:pt>
                <c:pt idx="206">
                  <c:v>0.98015827747961604</c:v>
                </c:pt>
                <c:pt idx="207">
                  <c:v>0.98404803234839855</c:v>
                </c:pt>
                <c:pt idx="208">
                  <c:v>1.0016869695239581</c:v>
                </c:pt>
                <c:pt idx="209">
                  <c:v>0.98869408120506774</c:v>
                </c:pt>
                <c:pt idx="210">
                  <c:v>0.96738378473984177</c:v>
                </c:pt>
                <c:pt idx="211">
                  <c:v>0.94360413430508583</c:v>
                </c:pt>
                <c:pt idx="212">
                  <c:v>0.94352448319192384</c:v>
                </c:pt>
                <c:pt idx="213">
                  <c:v>0.95873791818913789</c:v>
                </c:pt>
                <c:pt idx="214">
                  <c:v>0.96259604492548279</c:v>
                </c:pt>
                <c:pt idx="215">
                  <c:v>0.95372811457024242</c:v>
                </c:pt>
                <c:pt idx="216">
                  <c:v>0.92176562192507516</c:v>
                </c:pt>
                <c:pt idx="217">
                  <c:v>0.93454041442706559</c:v>
                </c:pt>
                <c:pt idx="218">
                  <c:v>0.94712314784483642</c:v>
                </c:pt>
                <c:pt idx="219">
                  <c:v>0.96056328532646873</c:v>
                </c:pt>
                <c:pt idx="220">
                  <c:v>0.95771785593680836</c:v>
                </c:pt>
                <c:pt idx="221">
                  <c:v>0.96107395684408081</c:v>
                </c:pt>
                <c:pt idx="222">
                  <c:v>0.96962095317644226</c:v>
                </c:pt>
                <c:pt idx="223">
                  <c:v>0.95672647398215505</c:v>
                </c:pt>
                <c:pt idx="224">
                  <c:v>0.93780568396649266</c:v>
                </c:pt>
                <c:pt idx="225">
                  <c:v>0.92264358911310851</c:v>
                </c:pt>
                <c:pt idx="226">
                  <c:v>0.91635907832039198</c:v>
                </c:pt>
                <c:pt idx="227">
                  <c:v>0.90267724694177265</c:v>
                </c:pt>
                <c:pt idx="228">
                  <c:v>0.8953322162424282</c:v>
                </c:pt>
                <c:pt idx="229">
                  <c:v>0.90146935762374236</c:v>
                </c:pt>
                <c:pt idx="230">
                  <c:v>0.91295716383998526</c:v>
                </c:pt>
                <c:pt idx="231">
                  <c:v>0.91036318902447799</c:v>
                </c:pt>
                <c:pt idx="232">
                  <c:v>0.91566022533385338</c:v>
                </c:pt>
                <c:pt idx="233">
                  <c:v>0.8977764898817292</c:v>
                </c:pt>
                <c:pt idx="234">
                  <c:v>0.89148136600109096</c:v>
                </c:pt>
                <c:pt idx="235">
                  <c:v>0.85793069901060337</c:v>
                </c:pt>
                <c:pt idx="236">
                  <c:v>0.84907075895531159</c:v>
                </c:pt>
                <c:pt idx="237">
                  <c:v>0.83370285470200056</c:v>
                </c:pt>
                <c:pt idx="238">
                  <c:v>0.81495376865144298</c:v>
                </c:pt>
                <c:pt idx="239">
                  <c:v>0.80169594809912681</c:v>
                </c:pt>
                <c:pt idx="240">
                  <c:v>0.79897565813806537</c:v>
                </c:pt>
                <c:pt idx="241">
                  <c:v>0.79874346098173732</c:v>
                </c:pt>
                <c:pt idx="242">
                  <c:v>0.78367772521203027</c:v>
                </c:pt>
                <c:pt idx="243">
                  <c:v>0.75870253006031552</c:v>
                </c:pt>
                <c:pt idx="244">
                  <c:v>0.65977303434593704</c:v>
                </c:pt>
                <c:pt idx="245">
                  <c:v>0.62685132541054811</c:v>
                </c:pt>
                <c:pt idx="246">
                  <c:v>0.59399610269560477</c:v>
                </c:pt>
                <c:pt idx="247">
                  <c:v>0.65270483782799793</c:v>
                </c:pt>
                <c:pt idx="248">
                  <c:v>0.64202284989173164</c:v>
                </c:pt>
                <c:pt idx="249">
                  <c:v>0.62760935168450704</c:v>
                </c:pt>
                <c:pt idx="250">
                  <c:v>0.60458372240668989</c:v>
                </c:pt>
                <c:pt idx="251">
                  <c:v>0.58813391306405549</c:v>
                </c:pt>
                <c:pt idx="252">
                  <c:v>0.58478470202050492</c:v>
                </c:pt>
                <c:pt idx="253">
                  <c:v>0.5817032524329625</c:v>
                </c:pt>
                <c:pt idx="254">
                  <c:v>0.57525989453575754</c:v>
                </c:pt>
                <c:pt idx="255">
                  <c:v>0.56549171800983522</c:v>
                </c:pt>
                <c:pt idx="256">
                  <c:v>0.55986899438856985</c:v>
                </c:pt>
                <c:pt idx="257">
                  <c:v>0.56355141610614723</c:v>
                </c:pt>
                <c:pt idx="258">
                  <c:v>0.55217118057260561</c:v>
                </c:pt>
                <c:pt idx="259">
                  <c:v>0.54652890334709658</c:v>
                </c:pt>
                <c:pt idx="260">
                  <c:v>0.5019671742871602</c:v>
                </c:pt>
                <c:pt idx="261">
                  <c:v>0.48581046426371138</c:v>
                </c:pt>
                <c:pt idx="262">
                  <c:v>0.44587693077173823</c:v>
                </c:pt>
                <c:pt idx="263">
                  <c:v>0.31689972972762936</c:v>
                </c:pt>
                <c:pt idx="264">
                  <c:v>0.13575758141160243</c:v>
                </c:pt>
                <c:pt idx="265">
                  <c:v>-3.1248578873288895E-2</c:v>
                </c:pt>
                <c:pt idx="266">
                  <c:v>-9.4097683178200678E-2</c:v>
                </c:pt>
                <c:pt idx="267">
                  <c:v>-9.7365520383539406E-2</c:v>
                </c:pt>
                <c:pt idx="268">
                  <c:v>-9.6671026376118893E-2</c:v>
                </c:pt>
                <c:pt idx="269">
                  <c:v>-8.792470453817984E-2</c:v>
                </c:pt>
                <c:pt idx="270">
                  <c:v>-0.10715412494041489</c:v>
                </c:pt>
                <c:pt idx="271">
                  <c:v>-0.16386763600766938</c:v>
                </c:pt>
                <c:pt idx="272">
                  <c:v>-0.18325024668303172</c:v>
                </c:pt>
                <c:pt idx="273">
                  <c:v>-0.20957086494358315</c:v>
                </c:pt>
                <c:pt idx="274">
                  <c:v>-0.21782545167678521</c:v>
                </c:pt>
                <c:pt idx="275">
                  <c:v>-0.23241940411054404</c:v>
                </c:pt>
                <c:pt idx="276">
                  <c:v>-0.24693068953668598</c:v>
                </c:pt>
                <c:pt idx="277">
                  <c:v>-0.23556274535824684</c:v>
                </c:pt>
                <c:pt idx="278">
                  <c:v>-0.25209986307813215</c:v>
                </c:pt>
                <c:pt idx="279">
                  <c:v>-0.26235451974119034</c:v>
                </c:pt>
                <c:pt idx="280">
                  <c:v>-0.29583723873842616</c:v>
                </c:pt>
                <c:pt idx="281">
                  <c:v>-0.31250249118071527</c:v>
                </c:pt>
                <c:pt idx="282">
                  <c:v>-0.35183242952405053</c:v>
                </c:pt>
                <c:pt idx="283">
                  <c:v>-0.44953506518488112</c:v>
                </c:pt>
                <c:pt idx="284">
                  <c:v>-0.55957397244821061</c:v>
                </c:pt>
                <c:pt idx="285">
                  <c:v>-0.59237905456824735</c:v>
                </c:pt>
                <c:pt idx="286">
                  <c:v>-0.51165057037208783</c:v>
                </c:pt>
                <c:pt idx="287">
                  <c:v>-0.41494749675282039</c:v>
                </c:pt>
                <c:pt idx="288">
                  <c:v>-0.35058675226774111</c:v>
                </c:pt>
                <c:pt idx="289">
                  <c:v>-0.34179121874799923</c:v>
                </c:pt>
                <c:pt idx="290">
                  <c:v>-0.37014080018029621</c:v>
                </c:pt>
                <c:pt idx="291">
                  <c:v>-0.39236495635103469</c:v>
                </c:pt>
                <c:pt idx="292">
                  <c:v>-0.41392595783253511</c:v>
                </c:pt>
                <c:pt idx="293">
                  <c:v>-0.43173783278288691</c:v>
                </c:pt>
                <c:pt idx="294">
                  <c:v>-0.5149022093990453</c:v>
                </c:pt>
                <c:pt idx="295">
                  <c:v>-0.59053697219747336</c:v>
                </c:pt>
                <c:pt idx="296">
                  <c:v>-0.61030779105552113</c:v>
                </c:pt>
                <c:pt idx="297">
                  <c:v>-0.5842148326298231</c:v>
                </c:pt>
                <c:pt idx="298">
                  <c:v>-0.57994941802895461</c:v>
                </c:pt>
                <c:pt idx="299">
                  <c:v>-0.63083295100431813</c:v>
                </c:pt>
                <c:pt idx="300">
                  <c:v>-0.67146414290417622</c:v>
                </c:pt>
                <c:pt idx="301">
                  <c:v>-0.71786586585061318</c:v>
                </c:pt>
                <c:pt idx="302">
                  <c:v>-0.75861414227686519</c:v>
                </c:pt>
                <c:pt idx="303">
                  <c:v>-0.81756898384441179</c:v>
                </c:pt>
                <c:pt idx="304">
                  <c:v>-0.85077189102756101</c:v>
                </c:pt>
                <c:pt idx="305">
                  <c:v>-0.87394211131719757</c:v>
                </c:pt>
                <c:pt idx="306">
                  <c:v>-0.88248865200093674</c:v>
                </c:pt>
                <c:pt idx="307">
                  <c:v>-0.89998887228076319</c:v>
                </c:pt>
                <c:pt idx="308">
                  <c:v>-0.89272449432829093</c:v>
                </c:pt>
                <c:pt idx="309">
                  <c:v>-0.91314543411212934</c:v>
                </c:pt>
                <c:pt idx="310">
                  <c:v>-0.94636907833445783</c:v>
                </c:pt>
                <c:pt idx="311">
                  <c:v>-0.97537441924500456</c:v>
                </c:pt>
                <c:pt idx="312">
                  <c:v>-0.99242757088149514</c:v>
                </c:pt>
                <c:pt idx="313">
                  <c:v>-1.0124835735694504</c:v>
                </c:pt>
                <c:pt idx="314">
                  <c:v>-1.0296925632311276</c:v>
                </c:pt>
                <c:pt idx="315">
                  <c:v>-1.081737501084528</c:v>
                </c:pt>
                <c:pt idx="316">
                  <c:v>-1.0967172824447062</c:v>
                </c:pt>
                <c:pt idx="317">
                  <c:v>-1.0963374514194901</c:v>
                </c:pt>
                <c:pt idx="318">
                  <c:v>-1.0700136083879006</c:v>
                </c:pt>
                <c:pt idx="319">
                  <c:v>-1.0445942032212594</c:v>
                </c:pt>
                <c:pt idx="320">
                  <c:v>-1.0531391390914719</c:v>
                </c:pt>
                <c:pt idx="321">
                  <c:v>-1.0387302095360491</c:v>
                </c:pt>
                <c:pt idx="322">
                  <c:v>-1.0528492100257492</c:v>
                </c:pt>
                <c:pt idx="323">
                  <c:v>-1.0365728934965726</c:v>
                </c:pt>
                <c:pt idx="324">
                  <c:v>-1.0332580492508801</c:v>
                </c:pt>
                <c:pt idx="325">
                  <c:v>-1.0098173408498912</c:v>
                </c:pt>
                <c:pt idx="326">
                  <c:v>-1.0809753916973186</c:v>
                </c:pt>
                <c:pt idx="327">
                  <c:v>-1.071892472546395</c:v>
                </c:pt>
                <c:pt idx="328">
                  <c:v>-1.0593204038979953</c:v>
                </c:pt>
                <c:pt idx="329">
                  <c:v>-0.98855236391926915</c:v>
                </c:pt>
                <c:pt idx="330">
                  <c:v>-1.000826450544136</c:v>
                </c:pt>
                <c:pt idx="331">
                  <c:v>-1.0020236223896759</c:v>
                </c:pt>
                <c:pt idx="332">
                  <c:v>-1.0083153042280613</c:v>
                </c:pt>
                <c:pt idx="333">
                  <c:v>-1.0031937566328994</c:v>
                </c:pt>
                <c:pt idx="334">
                  <c:v>-1.0167613183886377</c:v>
                </c:pt>
                <c:pt idx="335">
                  <c:v>-1.0278013889165323</c:v>
                </c:pt>
                <c:pt idx="336">
                  <c:v>-1.0357815239559089</c:v>
                </c:pt>
                <c:pt idx="337">
                  <c:v>-1.0315523158559567</c:v>
                </c:pt>
                <c:pt idx="338">
                  <c:v>-1.0131549722584106</c:v>
                </c:pt>
                <c:pt idx="339">
                  <c:v>-1.0134550679938359</c:v>
                </c:pt>
                <c:pt idx="340">
                  <c:v>-1.0227162540729982</c:v>
                </c:pt>
                <c:pt idx="341">
                  <c:v>-1.0163928568967731</c:v>
                </c:pt>
                <c:pt idx="342">
                  <c:v>-1.006024874433525</c:v>
                </c:pt>
                <c:pt idx="343">
                  <c:v>-0.98058054559426766</c:v>
                </c:pt>
                <c:pt idx="344">
                  <c:v>-0.96102968190143834</c:v>
                </c:pt>
                <c:pt idx="345">
                  <c:v>-0.94935430504521057</c:v>
                </c:pt>
                <c:pt idx="346">
                  <c:v>-0.94404002819752897</c:v>
                </c:pt>
                <c:pt idx="347">
                  <c:v>-0.95906347538614012</c:v>
                </c:pt>
                <c:pt idx="348">
                  <c:v>-0.94692813717348656</c:v>
                </c:pt>
                <c:pt idx="349">
                  <c:v>-0.94216387577744609</c:v>
                </c:pt>
                <c:pt idx="350">
                  <c:v>-0.93853475613631743</c:v>
                </c:pt>
                <c:pt idx="351">
                  <c:v>-0.93744729508804869</c:v>
                </c:pt>
                <c:pt idx="352">
                  <c:v>-0.92731584504337838</c:v>
                </c:pt>
                <c:pt idx="353">
                  <c:v>-0.91717926569105979</c:v>
                </c:pt>
                <c:pt idx="354">
                  <c:v>-0.92721100698889725</c:v>
                </c:pt>
                <c:pt idx="355">
                  <c:v>-0.92788028162730729</c:v>
                </c:pt>
                <c:pt idx="356">
                  <c:v>-0.90962459275812757</c:v>
                </c:pt>
                <c:pt idx="357">
                  <c:v>-0.88395099075356276</c:v>
                </c:pt>
                <c:pt idx="358">
                  <c:v>-0.87559475464689296</c:v>
                </c:pt>
                <c:pt idx="359">
                  <c:v>-0.86515138501836508</c:v>
                </c:pt>
                <c:pt idx="360">
                  <c:v>-0.85732856805894153</c:v>
                </c:pt>
                <c:pt idx="361">
                  <c:v>-0.84667338206195852</c:v>
                </c:pt>
                <c:pt idx="362">
                  <c:v>-0.88091761711022809</c:v>
                </c:pt>
                <c:pt idx="363">
                  <c:v>-0.91133086044780587</c:v>
                </c:pt>
                <c:pt idx="364">
                  <c:v>-0.94592653079641897</c:v>
                </c:pt>
                <c:pt idx="365">
                  <c:v>-0.93380905727686647</c:v>
                </c:pt>
                <c:pt idx="366">
                  <c:v>-0.91872499945410191</c:v>
                </c:pt>
                <c:pt idx="367">
                  <c:v>-0.89506829241418728</c:v>
                </c:pt>
                <c:pt idx="368">
                  <c:v>-0.89710996194450388</c:v>
                </c:pt>
                <c:pt idx="369">
                  <c:v>-0.90854696257643808</c:v>
                </c:pt>
                <c:pt idx="370">
                  <c:v>-0.89071413505271135</c:v>
                </c:pt>
                <c:pt idx="371">
                  <c:v>-0.86231442046008711</c:v>
                </c:pt>
                <c:pt idx="372">
                  <c:v>-0.83728913590902032</c:v>
                </c:pt>
                <c:pt idx="373">
                  <c:v>-0.8500499760349175</c:v>
                </c:pt>
                <c:pt idx="374">
                  <c:v>-0.86689501614604003</c:v>
                </c:pt>
                <c:pt idx="375">
                  <c:v>-0.86353573964149177</c:v>
                </c:pt>
                <c:pt idx="376">
                  <c:v>-0.86494579436222951</c:v>
                </c:pt>
                <c:pt idx="377">
                  <c:v>-0.85248305458291407</c:v>
                </c:pt>
                <c:pt idx="378">
                  <c:v>-0.8638100394806365</c:v>
                </c:pt>
                <c:pt idx="379">
                  <c:v>-0.86440008356340448</c:v>
                </c:pt>
                <c:pt idx="380">
                  <c:v>-0.86721951686039167</c:v>
                </c:pt>
                <c:pt idx="381">
                  <c:v>-0.8582456011661096</c:v>
                </c:pt>
                <c:pt idx="382">
                  <c:v>-0.83909242455852773</c:v>
                </c:pt>
                <c:pt idx="383">
                  <c:v>-0.84766312617157258</c:v>
                </c:pt>
                <c:pt idx="384">
                  <c:v>-0.84029770399659787</c:v>
                </c:pt>
                <c:pt idx="385">
                  <c:v>-0.85108016353166815</c:v>
                </c:pt>
                <c:pt idx="386">
                  <c:v>-0.85595231883900313</c:v>
                </c:pt>
                <c:pt idx="387">
                  <c:v>-0.85674402286455076</c:v>
                </c:pt>
                <c:pt idx="388">
                  <c:v>-0.85350667698326455</c:v>
                </c:pt>
                <c:pt idx="389">
                  <c:v>-0.84132243766093273</c:v>
                </c:pt>
                <c:pt idx="390">
                  <c:v>-0.76379622647825995</c:v>
                </c:pt>
                <c:pt idx="391">
                  <c:v>-0.7285720967251107</c:v>
                </c:pt>
                <c:pt idx="392">
                  <c:v>-0.69592861607258383</c:v>
                </c:pt>
                <c:pt idx="393">
                  <c:v>-0.74581360274452779</c:v>
                </c:pt>
                <c:pt idx="394">
                  <c:v>-0.76858276308660434</c:v>
                </c:pt>
                <c:pt idx="395">
                  <c:v>-0.7879394840406011</c:v>
                </c:pt>
                <c:pt idx="396">
                  <c:v>-0.81541628408391509</c:v>
                </c:pt>
                <c:pt idx="397">
                  <c:v>-0.83131990409052126</c:v>
                </c:pt>
                <c:pt idx="398">
                  <c:v>-0.8371165921742808</c:v>
                </c:pt>
                <c:pt idx="399">
                  <c:v>-0.83945299033059195</c:v>
                </c:pt>
                <c:pt idx="400">
                  <c:v>-0.83297172971848221</c:v>
                </c:pt>
                <c:pt idx="401">
                  <c:v>-0.82398027811999508</c:v>
                </c:pt>
                <c:pt idx="402">
                  <c:v>-0.80563259175001711</c:v>
                </c:pt>
                <c:pt idx="403">
                  <c:v>-0.79471656913031741</c:v>
                </c:pt>
                <c:pt idx="404">
                  <c:v>-0.7933534642389608</c:v>
                </c:pt>
                <c:pt idx="405">
                  <c:v>-0.79627964893559089</c:v>
                </c:pt>
                <c:pt idx="406">
                  <c:v>-0.79526927508559686</c:v>
                </c:pt>
                <c:pt idx="407">
                  <c:v>-0.79977916866636589</c:v>
                </c:pt>
                <c:pt idx="408">
                  <c:v>-0.79051213461638126</c:v>
                </c:pt>
                <c:pt idx="409">
                  <c:v>-0.8205432275851795</c:v>
                </c:pt>
                <c:pt idx="410">
                  <c:v>-0.84865292365412104</c:v>
                </c:pt>
                <c:pt idx="411">
                  <c:v>-0.85712619015728597</c:v>
                </c:pt>
                <c:pt idx="412">
                  <c:v>-0.82407633070572006</c:v>
                </c:pt>
                <c:pt idx="413">
                  <c:v>-0.78050516255624691</c:v>
                </c:pt>
                <c:pt idx="414">
                  <c:v>-0.73670974269491341</c:v>
                </c:pt>
                <c:pt idx="415">
                  <c:v>-0.69823923153325917</c:v>
                </c:pt>
                <c:pt idx="416">
                  <c:v>-0.6416815997932227</c:v>
                </c:pt>
                <c:pt idx="417">
                  <c:v>-0.6161379444988605</c:v>
                </c:pt>
                <c:pt idx="418">
                  <c:v>-0.62331444112070533</c:v>
                </c:pt>
                <c:pt idx="419">
                  <c:v>-0.61617924619375886</c:v>
                </c:pt>
                <c:pt idx="420">
                  <c:v>-0.65714992764748714</c:v>
                </c:pt>
                <c:pt idx="421">
                  <c:v>-0.64996084826302258</c:v>
                </c:pt>
                <c:pt idx="422">
                  <c:v>-0.61876229875799715</c:v>
                </c:pt>
                <c:pt idx="423">
                  <c:v>-0.55641400825911613</c:v>
                </c:pt>
                <c:pt idx="424">
                  <c:v>-0.56355804564733258</c:v>
                </c:pt>
                <c:pt idx="425">
                  <c:v>-0.58253118627252287</c:v>
                </c:pt>
                <c:pt idx="426">
                  <c:v>-0.56859079160742576</c:v>
                </c:pt>
                <c:pt idx="427">
                  <c:v>-0.49513410370573058</c:v>
                </c:pt>
                <c:pt idx="428">
                  <c:v>-0.46531673697757481</c:v>
                </c:pt>
                <c:pt idx="429">
                  <c:v>-0.44133731168481322</c:v>
                </c:pt>
                <c:pt idx="430">
                  <c:v>-0.40713198265618261</c:v>
                </c:pt>
                <c:pt idx="431">
                  <c:v>-0.39112884554198318</c:v>
                </c:pt>
                <c:pt idx="432">
                  <c:v>-0.36352497990887828</c:v>
                </c:pt>
                <c:pt idx="433">
                  <c:v>-0.37194511940296088</c:v>
                </c:pt>
                <c:pt idx="434">
                  <c:v>-0.36119783434758562</c:v>
                </c:pt>
                <c:pt idx="435">
                  <c:v>-0.37567359149171198</c:v>
                </c:pt>
                <c:pt idx="436">
                  <c:v>-0.354482915733354</c:v>
                </c:pt>
                <c:pt idx="437">
                  <c:v>-0.34680663126166539</c:v>
                </c:pt>
                <c:pt idx="438">
                  <c:v>-0.34258530072905047</c:v>
                </c:pt>
                <c:pt idx="439">
                  <c:v>-0.35915733601316063</c:v>
                </c:pt>
                <c:pt idx="440">
                  <c:v>-0.35434935379782523</c:v>
                </c:pt>
                <c:pt idx="441">
                  <c:v>-0.35208920590334869</c:v>
                </c:pt>
                <c:pt idx="442">
                  <c:v>-0.336873335880644</c:v>
                </c:pt>
                <c:pt idx="443">
                  <c:v>-0.34024548134431382</c:v>
                </c:pt>
                <c:pt idx="444">
                  <c:v>-0.34229750002563114</c:v>
                </c:pt>
                <c:pt idx="445">
                  <c:v>-0.32551690500764902</c:v>
                </c:pt>
                <c:pt idx="446">
                  <c:v>-0.31597896323999802</c:v>
                </c:pt>
                <c:pt idx="447">
                  <c:v>-0.29810759494887956</c:v>
                </c:pt>
                <c:pt idx="448">
                  <c:v>-0.30072664130108856</c:v>
                </c:pt>
                <c:pt idx="449">
                  <c:v>-0.29294324853952497</c:v>
                </c:pt>
                <c:pt idx="450">
                  <c:v>-0.32209713503928744</c:v>
                </c:pt>
                <c:pt idx="451">
                  <c:v>-0.42896739569001446</c:v>
                </c:pt>
                <c:pt idx="452">
                  <c:v>-0.63326870050651995</c:v>
                </c:pt>
                <c:pt idx="453">
                  <c:v>-0.65740762179525969</c:v>
                </c:pt>
                <c:pt idx="454">
                  <c:v>-0.55170822665866126</c:v>
                </c:pt>
                <c:pt idx="455">
                  <c:v>-0.35387898145239571</c:v>
                </c:pt>
                <c:pt idx="456">
                  <c:v>-0.30032508688187121</c:v>
                </c:pt>
                <c:pt idx="457">
                  <c:v>-0.30428716535061273</c:v>
                </c:pt>
                <c:pt idx="458">
                  <c:v>-0.31433621602706302</c:v>
                </c:pt>
                <c:pt idx="459">
                  <c:v>-0.30424663225906906</c:v>
                </c:pt>
                <c:pt idx="460">
                  <c:v>-0.33108203980869044</c:v>
                </c:pt>
                <c:pt idx="461">
                  <c:v>-0.40029005319410116</c:v>
                </c:pt>
                <c:pt idx="462">
                  <c:v>-0.52767257615996799</c:v>
                </c:pt>
                <c:pt idx="463">
                  <c:v>-0.53693422757857079</c:v>
                </c:pt>
                <c:pt idx="464">
                  <c:v>-0.50612194725254778</c:v>
                </c:pt>
                <c:pt idx="465">
                  <c:v>-0.45151747629919248</c:v>
                </c:pt>
                <c:pt idx="466">
                  <c:v>-0.45551720075479302</c:v>
                </c:pt>
                <c:pt idx="467">
                  <c:v>-0.41884963408040171</c:v>
                </c:pt>
                <c:pt idx="468">
                  <c:v>-0.36446956222378857</c:v>
                </c:pt>
                <c:pt idx="469">
                  <c:v>-0.32865354039353684</c:v>
                </c:pt>
                <c:pt idx="470">
                  <c:v>-0.34976791547069258</c:v>
                </c:pt>
                <c:pt idx="471">
                  <c:v>-0.3946092531609402</c:v>
                </c:pt>
                <c:pt idx="472">
                  <c:v>-0.43113564078076722</c:v>
                </c:pt>
                <c:pt idx="473">
                  <c:v>-0.45935220597741466</c:v>
                </c:pt>
                <c:pt idx="474">
                  <c:v>-0.45917874992142349</c:v>
                </c:pt>
                <c:pt idx="475">
                  <c:v>-0.49930764586483267</c:v>
                </c:pt>
                <c:pt idx="476">
                  <c:v>-0.49188194902011412</c:v>
                </c:pt>
                <c:pt idx="477">
                  <c:v>-0.49419148330129398</c:v>
                </c:pt>
                <c:pt idx="478">
                  <c:v>-0.48548849655133702</c:v>
                </c:pt>
                <c:pt idx="479">
                  <c:v>-0.50707289026912228</c:v>
                </c:pt>
                <c:pt idx="480">
                  <c:v>-0.50296345839632139</c:v>
                </c:pt>
                <c:pt idx="481">
                  <c:v>-0.47323540315461621</c:v>
                </c:pt>
                <c:pt idx="482">
                  <c:v>-0.46572545054158687</c:v>
                </c:pt>
                <c:pt idx="483">
                  <c:v>-0.45993079634645256</c:v>
                </c:pt>
                <c:pt idx="484">
                  <c:v>-0.46404337790014849</c:v>
                </c:pt>
                <c:pt idx="485">
                  <c:v>-0.46240000569950251</c:v>
                </c:pt>
                <c:pt idx="486">
                  <c:v>-0.43257927873405905</c:v>
                </c:pt>
                <c:pt idx="487">
                  <c:v>-0.42844344919547012</c:v>
                </c:pt>
                <c:pt idx="488">
                  <c:v>-0.40742730252335163</c:v>
                </c:pt>
                <c:pt idx="489">
                  <c:v>-0.40699455956324931</c:v>
                </c:pt>
                <c:pt idx="490">
                  <c:v>-0.38253474806301635</c:v>
                </c:pt>
                <c:pt idx="491">
                  <c:v>-0.34669335745631019</c:v>
                </c:pt>
                <c:pt idx="492">
                  <c:v>-0.35646470971583727</c:v>
                </c:pt>
                <c:pt idx="493">
                  <c:v>-0.3629502637068045</c:v>
                </c:pt>
                <c:pt idx="494">
                  <c:v>-0.40294440598548853</c:v>
                </c:pt>
                <c:pt idx="495">
                  <c:v>-0.3831407935187523</c:v>
                </c:pt>
                <c:pt idx="496">
                  <c:v>-0.36206057058257318</c:v>
                </c:pt>
                <c:pt idx="497">
                  <c:v>-0.35981089914238162</c:v>
                </c:pt>
                <c:pt idx="498">
                  <c:v>-0.47937008158223104</c:v>
                </c:pt>
                <c:pt idx="499">
                  <c:v>-0.56045118668053762</c:v>
                </c:pt>
                <c:pt idx="500">
                  <c:v>-0.55267256512441632</c:v>
                </c:pt>
                <c:pt idx="501">
                  <c:v>-0.48518675083913454</c:v>
                </c:pt>
                <c:pt idx="502">
                  <c:v>-0.48907729097606545</c:v>
                </c:pt>
                <c:pt idx="503">
                  <c:v>-0.57579382843353255</c:v>
                </c:pt>
                <c:pt idx="504">
                  <c:v>-0.63599010989063398</c:v>
                </c:pt>
                <c:pt idx="505">
                  <c:v>-0.54934391812576866</c:v>
                </c:pt>
                <c:pt idx="506">
                  <c:v>-0.41050883276371392</c:v>
                </c:pt>
                <c:pt idx="507">
                  <c:v>-0.28256455839979594</c:v>
                </c:pt>
                <c:pt idx="508">
                  <c:v>-0.26918165247259829</c:v>
                </c:pt>
                <c:pt idx="509">
                  <c:v>-0.27424942257140628</c:v>
                </c:pt>
                <c:pt idx="510">
                  <c:v>-0.27942936840841598</c:v>
                </c:pt>
                <c:pt idx="511">
                  <c:v>-0.28472532881898727</c:v>
                </c:pt>
                <c:pt idx="512">
                  <c:v>-0.29014132252756591</c:v>
                </c:pt>
                <c:pt idx="513">
                  <c:v>-0.29568155992517547</c:v>
                </c:pt>
                <c:pt idx="514">
                  <c:v>-0.3013504544378382</c:v>
                </c:pt>
                <c:pt idx="515">
                  <c:v>-0.30715263520090286</c:v>
                </c:pt>
                <c:pt idx="516">
                  <c:v>-0.31309296074383275</c:v>
                </c:pt>
                <c:pt idx="517">
                  <c:v>-0.3191765332423937</c:v>
                </c:pt>
                <c:pt idx="518">
                  <c:v>-0.32540871524375214</c:v>
                </c:pt>
                <c:pt idx="519">
                  <c:v>-0.33179514554542849</c:v>
                </c:pt>
                <c:pt idx="520">
                  <c:v>-0.33834175859237031</c:v>
                </c:pt>
                <c:pt idx="521">
                  <c:v>-0.34505480407904104</c:v>
                </c:pt>
                <c:pt idx="522">
                  <c:v>-0.35194086867359403</c:v>
                </c:pt>
                <c:pt idx="523">
                  <c:v>-0.35900689963843746</c:v>
                </c:pt>
                <c:pt idx="524">
                  <c:v>-0.36626022995568097</c:v>
                </c:pt>
                <c:pt idx="525">
                  <c:v>-0.37370860713029347</c:v>
                </c:pt>
                <c:pt idx="526">
                  <c:v>-0.38136022217576021</c:v>
                </c:pt>
                <c:pt idx="527">
                  <c:v>-0.38922374367972462</c:v>
                </c:pt>
                <c:pt idx="528">
                  <c:v>-0.39730835349405363</c:v>
                </c:pt>
                <c:pt idx="529">
                  <c:v>-0.40562378630160495</c:v>
                </c:pt>
                <c:pt idx="530">
                  <c:v>-0.41418037303197169</c:v>
                </c:pt>
                <c:pt idx="531">
                  <c:v>-0.42298908792470091</c:v>
                </c:pt>
                <c:pt idx="532">
                  <c:v>-0.43206160188507331</c:v>
                </c:pt>
                <c:pt idx="533">
                  <c:v>-0.44141033859759754</c:v>
                </c:pt>
                <c:pt idx="534">
                  <c:v>-0.45104853914850773</c:v>
                </c:pt>
                <c:pt idx="535">
                  <c:v>-0.46099033176789056</c:v>
                </c:pt>
                <c:pt idx="536">
                  <c:v>-0.47125080963024102</c:v>
                </c:pt>
                <c:pt idx="537">
                  <c:v>-0.48184611726435822</c:v>
                </c:pt>
                <c:pt idx="538">
                  <c:v>-0.49279354599463127</c:v>
                </c:pt>
                <c:pt idx="539">
                  <c:v>-0.50411164210651993</c:v>
                </c:pt>
                <c:pt idx="540">
                  <c:v>-0.51582032470255257</c:v>
                </c:pt>
                <c:pt idx="541">
                  <c:v>-0.58901867604677483</c:v>
                </c:pt>
                <c:pt idx="542">
                  <c:v>-0.54239048228057252</c:v>
                </c:pt>
                <c:pt idx="543">
                  <c:v>-0.5083661431327311</c:v>
                </c:pt>
                <c:pt idx="544">
                  <c:v>-0.43121670050132238</c:v>
                </c:pt>
                <c:pt idx="545">
                  <c:v>-0.46090076328241647</c:v>
                </c:pt>
                <c:pt idx="546">
                  <c:v>-0.47687118007708817</c:v>
                </c:pt>
                <c:pt idx="547">
                  <c:v>-0.46069222882967198</c:v>
                </c:pt>
                <c:pt idx="548">
                  <c:v>-0.44684283974894073</c:v>
                </c:pt>
                <c:pt idx="549">
                  <c:v>-0.42275794277375095</c:v>
                </c:pt>
                <c:pt idx="550">
                  <c:v>-0.40076451506052929</c:v>
                </c:pt>
                <c:pt idx="551">
                  <c:v>-0.40997696942460821</c:v>
                </c:pt>
                <c:pt idx="552">
                  <c:v>-0.42924161933752164</c:v>
                </c:pt>
                <c:pt idx="553">
                  <c:v>-0.44957009068414822</c:v>
                </c:pt>
                <c:pt idx="554">
                  <c:v>-0.46364261455075195</c:v>
                </c:pt>
                <c:pt idx="555">
                  <c:v>-0.48865664538528525</c:v>
                </c:pt>
                <c:pt idx="556">
                  <c:v>-0.59566456013663627</c:v>
                </c:pt>
                <c:pt idx="557">
                  <c:v>-0.69382314791960376</c:v>
                </c:pt>
                <c:pt idx="558">
                  <c:v>-0.74600348997840404</c:v>
                </c:pt>
                <c:pt idx="559">
                  <c:v>-0.73830634522027294</c:v>
                </c:pt>
                <c:pt idx="560">
                  <c:v>-0.72852671461673835</c:v>
                </c:pt>
                <c:pt idx="561">
                  <c:v>-0.7555351778110696</c:v>
                </c:pt>
                <c:pt idx="562">
                  <c:v>-0.75222127856569954</c:v>
                </c:pt>
                <c:pt idx="563">
                  <c:v>-0.74400366634157844</c:v>
                </c:pt>
                <c:pt idx="564">
                  <c:v>-0.75881786667750217</c:v>
                </c:pt>
                <c:pt idx="565">
                  <c:v>-0.75125013060901324</c:v>
                </c:pt>
                <c:pt idx="566">
                  <c:v>-0.78034647940312774</c:v>
                </c:pt>
                <c:pt idx="567">
                  <c:v>-0.80087901560101482</c:v>
                </c:pt>
                <c:pt idx="568">
                  <c:v>-0.89018663152710664</c:v>
                </c:pt>
                <c:pt idx="569">
                  <c:v>-1.004285889800286</c:v>
                </c:pt>
                <c:pt idx="570">
                  <c:v>-1.0881230370067698</c:v>
                </c:pt>
                <c:pt idx="571">
                  <c:v>-1.1174415566588882</c:v>
                </c:pt>
                <c:pt idx="572">
                  <c:v>-1.0784908468904399</c:v>
                </c:pt>
                <c:pt idx="573">
                  <c:v>-1.0417271532714683</c:v>
                </c:pt>
                <c:pt idx="574">
                  <c:v>-1.0819174493254822</c:v>
                </c:pt>
                <c:pt idx="575">
                  <c:v>-1.1165917264724856</c:v>
                </c:pt>
                <c:pt idx="576">
                  <c:v>-1.154549701714872</c:v>
                </c:pt>
                <c:pt idx="577">
                  <c:v>-1.176720040640501</c:v>
                </c:pt>
                <c:pt idx="578">
                  <c:v>-1.2300208250123854</c:v>
                </c:pt>
                <c:pt idx="579">
                  <c:v>-1.3147879087052239</c:v>
                </c:pt>
                <c:pt idx="580">
                  <c:v>-1.4018437373194468</c:v>
                </c:pt>
                <c:pt idx="581">
                  <c:v>-1.4675931485803531</c:v>
                </c:pt>
                <c:pt idx="582">
                  <c:v>-1.5660458458302287</c:v>
                </c:pt>
                <c:pt idx="583">
                  <c:v>-1.6592740470703014</c:v>
                </c:pt>
                <c:pt idx="584">
                  <c:v>-1.7524792038172015</c:v>
                </c:pt>
                <c:pt idx="585">
                  <c:v>-1.8004055839654498</c:v>
                </c:pt>
                <c:pt idx="586">
                  <c:v>-1.8092095666101733</c:v>
                </c:pt>
                <c:pt idx="587">
                  <c:v>-1.8486404446828828</c:v>
                </c:pt>
                <c:pt idx="588">
                  <c:v>-1.8683187133062376</c:v>
                </c:pt>
                <c:pt idx="589">
                  <c:v>-1.8876305364601729</c:v>
                </c:pt>
                <c:pt idx="590">
                  <c:v>-1.8563147619254752</c:v>
                </c:pt>
                <c:pt idx="591">
                  <c:v>-1.8740987465604722</c:v>
                </c:pt>
                <c:pt idx="592">
                  <c:v>-1.8824618067302812</c:v>
                </c:pt>
                <c:pt idx="593">
                  <c:v>-1.9167087139608565</c:v>
                </c:pt>
                <c:pt idx="594">
                  <c:v>-1.8830971679378592</c:v>
                </c:pt>
                <c:pt idx="595">
                  <c:v>-1.8887209656906851</c:v>
                </c:pt>
                <c:pt idx="596">
                  <c:v>-1.9039860045297463</c:v>
                </c:pt>
                <c:pt idx="597">
                  <c:v>-1.9262145785973006</c:v>
                </c:pt>
                <c:pt idx="598">
                  <c:v>-1.9124839377259224</c:v>
                </c:pt>
                <c:pt idx="599">
                  <c:v>-1.8954186888340312</c:v>
                </c:pt>
                <c:pt idx="600">
                  <c:v>-1.9126239847353774</c:v>
                </c:pt>
                <c:pt idx="601">
                  <c:v>-1.9545546778288425</c:v>
                </c:pt>
                <c:pt idx="602">
                  <c:v>-1.9806622481705911</c:v>
                </c:pt>
                <c:pt idx="603">
                  <c:v>-1.9758531801591703</c:v>
                </c:pt>
                <c:pt idx="604">
                  <c:v>-1.9770036819884058</c:v>
                </c:pt>
                <c:pt idx="605">
                  <c:v>-1.968481686914102</c:v>
                </c:pt>
                <c:pt idx="606">
                  <c:v>-1.989546233549192</c:v>
                </c:pt>
                <c:pt idx="607">
                  <c:v>-1.9702548780374094</c:v>
                </c:pt>
                <c:pt idx="608">
                  <c:v>-1.9598161592244112</c:v>
                </c:pt>
                <c:pt idx="609">
                  <c:v>-1.9249564611590335</c:v>
                </c:pt>
                <c:pt idx="610">
                  <c:v>-1.9172512451257937</c:v>
                </c:pt>
                <c:pt idx="611">
                  <c:v>-1.8957215985877232</c:v>
                </c:pt>
                <c:pt idx="612">
                  <c:v>-1.8839702632859232</c:v>
                </c:pt>
                <c:pt idx="613">
                  <c:v>-1.8651494938372004</c:v>
                </c:pt>
                <c:pt idx="614">
                  <c:v>-1.8646108937806518</c:v>
                </c:pt>
                <c:pt idx="615">
                  <c:v>-1.864092849837762</c:v>
                </c:pt>
                <c:pt idx="616">
                  <c:v>-1.8635942068260896</c:v>
                </c:pt>
                <c:pt idx="617">
                  <c:v>-1.86311389462127</c:v>
                </c:pt>
                <c:pt idx="618">
                  <c:v>-1.8626509203210633</c:v>
                </c:pt>
                <c:pt idx="619">
                  <c:v>-1.8715197806921273</c:v>
                </c:pt>
                <c:pt idx="620">
                  <c:v>-1.9029219404765809</c:v>
                </c:pt>
                <c:pt idx="621">
                  <c:v>-1.9487137030741526</c:v>
                </c:pt>
                <c:pt idx="622">
                  <c:v>-2.0343449821121431</c:v>
                </c:pt>
                <c:pt idx="623">
                  <c:v>-2.0725996004575693</c:v>
                </c:pt>
                <c:pt idx="624">
                  <c:v>-2.0892758044642772</c:v>
                </c:pt>
                <c:pt idx="625">
                  <c:v>-2.0690289619116853</c:v>
                </c:pt>
                <c:pt idx="626">
                  <c:v>-2.0741786942400782</c:v>
                </c:pt>
                <c:pt idx="627">
                  <c:v>-2.0992480399345372</c:v>
                </c:pt>
                <c:pt idx="628">
                  <c:v>-2.0897880337482451</c:v>
                </c:pt>
                <c:pt idx="629">
                  <c:v>-2.0476399720608653</c:v>
                </c:pt>
                <c:pt idx="630">
                  <c:v>-2.0351590161105872</c:v>
                </c:pt>
                <c:pt idx="631">
                  <c:v>-2.063024772361985</c:v>
                </c:pt>
                <c:pt idx="632">
                  <c:v>-2.134777203585438</c:v>
                </c:pt>
                <c:pt idx="633">
                  <c:v>-2.1614334883062534</c:v>
                </c:pt>
                <c:pt idx="634">
                  <c:v>-2.1416627303240929</c:v>
                </c:pt>
                <c:pt idx="635">
                  <c:v>-2.12616329145665</c:v>
                </c:pt>
                <c:pt idx="636">
                  <c:v>-2.053838572647344</c:v>
                </c:pt>
                <c:pt idx="637">
                  <c:v>-2.0432081251989227</c:v>
                </c:pt>
                <c:pt idx="638">
                  <c:v>-2.0352126112130851</c:v>
                </c:pt>
                <c:pt idx="639">
                  <c:v>-2.0739062820220791</c:v>
                </c:pt>
                <c:pt idx="640">
                  <c:v>-2.0682567005590555</c:v>
                </c:pt>
                <c:pt idx="641">
                  <c:v>-2.0447614103597913</c:v>
                </c:pt>
                <c:pt idx="642">
                  <c:v>-2.0509613187001334</c:v>
                </c:pt>
                <c:pt idx="643">
                  <c:v>-2.0632909540634405</c:v>
                </c:pt>
                <c:pt idx="644">
                  <c:v>-2.0456002002162488</c:v>
                </c:pt>
                <c:pt idx="645">
                  <c:v>-2.0059795079097911</c:v>
                </c:pt>
                <c:pt idx="646">
                  <c:v>-1.977560690506061</c:v>
                </c:pt>
                <c:pt idx="647">
                  <c:v>-1.9427160784280491</c:v>
                </c:pt>
                <c:pt idx="648">
                  <c:v>-1.9181022959612284</c:v>
                </c:pt>
                <c:pt idx="649">
                  <c:v>-1.898348159482165</c:v>
                </c:pt>
                <c:pt idx="650">
                  <c:v>-1.9098471911570465</c:v>
                </c:pt>
                <c:pt idx="651">
                  <c:v>-1.8991120442108798</c:v>
                </c:pt>
                <c:pt idx="652">
                  <c:v>-1.856690037614219</c:v>
                </c:pt>
                <c:pt idx="653">
                  <c:v>-1.8049583500844191</c:v>
                </c:pt>
                <c:pt idx="654">
                  <c:v>-1.768511356876483</c:v>
                </c:pt>
                <c:pt idx="655">
                  <c:v>-1.7368445541875446</c:v>
                </c:pt>
                <c:pt idx="656">
                  <c:v>-1.7276252449530933</c:v>
                </c:pt>
                <c:pt idx="657">
                  <c:v>-1.7520829302628442</c:v>
                </c:pt>
                <c:pt idx="658">
                  <c:v>-1.7424184794037654</c:v>
                </c:pt>
                <c:pt idx="659">
                  <c:v>-1.7593362948544959</c:v>
                </c:pt>
                <c:pt idx="660">
                  <c:v>-1.7375469550318616</c:v>
                </c:pt>
                <c:pt idx="661">
                  <c:v>-1.7504345510720187</c:v>
                </c:pt>
                <c:pt idx="662">
                  <c:v>-1.7513552965133883</c:v>
                </c:pt>
                <c:pt idx="663">
                  <c:v>-1.7611548528008443</c:v>
                </c:pt>
                <c:pt idx="664">
                  <c:v>-1.7897800782743201</c:v>
                </c:pt>
                <c:pt idx="665">
                  <c:v>-1.7847595202263375</c:v>
                </c:pt>
                <c:pt idx="666">
                  <c:v>-1.780677594021068</c:v>
                </c:pt>
                <c:pt idx="667">
                  <c:v>-1.7356117826115025</c:v>
                </c:pt>
                <c:pt idx="668">
                  <c:v>-1.7729009069757986</c:v>
                </c:pt>
                <c:pt idx="669">
                  <c:v>-1.7547812903702411</c:v>
                </c:pt>
                <c:pt idx="670">
                  <c:v>-1.768385270276486</c:v>
                </c:pt>
                <c:pt idx="671">
                  <c:v>-1.7605977393318042</c:v>
                </c:pt>
                <c:pt idx="672">
                  <c:v>-1.7605798601297877</c:v>
                </c:pt>
                <c:pt idx="673">
                  <c:v>-1.7619554312442876</c:v>
                </c:pt>
                <c:pt idx="674">
                  <c:v>-1.7330007557885903</c:v>
                </c:pt>
                <c:pt idx="675">
                  <c:v>-1.7502760429395565</c:v>
                </c:pt>
                <c:pt idx="676">
                  <c:v>-1.7861497405496098</c:v>
                </c:pt>
                <c:pt idx="677">
                  <c:v>-1.773715120338428</c:v>
                </c:pt>
                <c:pt idx="678">
                  <c:v>-1.7816504114964948</c:v>
                </c:pt>
                <c:pt idx="679">
                  <c:v>-1.7640543880651087</c:v>
                </c:pt>
                <c:pt idx="680">
                  <c:v>-1.7832982897202303</c:v>
                </c:pt>
                <c:pt idx="681">
                  <c:v>-1.7861030374143876</c:v>
                </c:pt>
                <c:pt idx="682">
                  <c:v>-1.7877035429833967</c:v>
                </c:pt>
                <c:pt idx="683">
                  <c:v>-1.786808841671305</c:v>
                </c:pt>
                <c:pt idx="684">
                  <c:v>-1.790801203118763</c:v>
                </c:pt>
                <c:pt idx="685">
                  <c:v>-1.7985653928341563</c:v>
                </c:pt>
                <c:pt idx="686">
                  <c:v>-1.8097639118452797</c:v>
                </c:pt>
                <c:pt idx="687">
                  <c:v>-1.8009380318126949</c:v>
                </c:pt>
                <c:pt idx="688">
                  <c:v>-1.8136746003616506</c:v>
                </c:pt>
                <c:pt idx="689">
                  <c:v>-1.833797331978354</c:v>
                </c:pt>
                <c:pt idx="690">
                  <c:v>-1.8811815806050269</c:v>
                </c:pt>
                <c:pt idx="691">
                  <c:v>-1.8951814670342877</c:v>
                </c:pt>
                <c:pt idx="692">
                  <c:v>-1.8867564404251205</c:v>
                </c:pt>
                <c:pt idx="693">
                  <c:v>-1.9102032307066832</c:v>
                </c:pt>
                <c:pt idx="694">
                  <c:v>-1.9365488331502674</c:v>
                </c:pt>
                <c:pt idx="695">
                  <c:v>-1.9761523948038329</c:v>
                </c:pt>
                <c:pt idx="696">
                  <c:v>-1.944945149106112</c:v>
                </c:pt>
                <c:pt idx="697">
                  <c:v>-1.948926454675038</c:v>
                </c:pt>
                <c:pt idx="698">
                  <c:v>-1.9680838424757117</c:v>
                </c:pt>
                <c:pt idx="699">
                  <c:v>-1.9808653428947596</c:v>
                </c:pt>
                <c:pt idx="700">
                  <c:v>-1.97357735662342</c:v>
                </c:pt>
                <c:pt idx="701">
                  <c:v>-1.9493277141887664</c:v>
                </c:pt>
                <c:pt idx="702">
                  <c:v>-1.9414875680641286</c:v>
                </c:pt>
                <c:pt idx="703">
                  <c:v>-1.9537417981721168</c:v>
                </c:pt>
                <c:pt idx="704">
                  <c:v>-1.9459400308354666</c:v>
                </c:pt>
                <c:pt idx="705">
                  <c:v>-1.9707748559680276</c:v>
                </c:pt>
                <c:pt idx="706">
                  <c:v>-1.9481349046984064</c:v>
                </c:pt>
                <c:pt idx="707">
                  <c:v>-1.9309542471216987</c:v>
                </c:pt>
                <c:pt idx="708">
                  <c:v>-1.8878168441290242</c:v>
                </c:pt>
                <c:pt idx="709">
                  <c:v>-1.8725505939307669</c:v>
                </c:pt>
                <c:pt idx="710">
                  <c:v>-1.8745167385348627</c:v>
                </c:pt>
                <c:pt idx="711">
                  <c:v>-1.8882322697898684</c:v>
                </c:pt>
                <c:pt idx="712">
                  <c:v>-1.931034351672049</c:v>
                </c:pt>
                <c:pt idx="713">
                  <c:v>-1.9068253500499985</c:v>
                </c:pt>
                <c:pt idx="714">
                  <c:v>-1.8558976871507682</c:v>
                </c:pt>
                <c:pt idx="715">
                  <c:v>-1.7848355713072361</c:v>
                </c:pt>
                <c:pt idx="716">
                  <c:v>-1.8007476872320296</c:v>
                </c:pt>
                <c:pt idx="717">
                  <c:v>-1.8066144575785605</c:v>
                </c:pt>
                <c:pt idx="718">
                  <c:v>-1.7837409921291858</c:v>
                </c:pt>
                <c:pt idx="719">
                  <c:v>-1.7679595745890893</c:v>
                </c:pt>
                <c:pt idx="720">
                  <c:v>-1.7707016732267942</c:v>
                </c:pt>
                <c:pt idx="721">
                  <c:v>-1.8096441687304619</c:v>
                </c:pt>
                <c:pt idx="722">
                  <c:v>-1.8117856689634779</c:v>
                </c:pt>
                <c:pt idx="723">
                  <c:v>-1.8131474875956002</c:v>
                </c:pt>
                <c:pt idx="724">
                  <c:v>-1.809568480633964</c:v>
                </c:pt>
                <c:pt idx="725">
                  <c:v>-1.8084934851020502</c:v>
                </c:pt>
                <c:pt idx="726">
                  <c:v>-1.8325102450178437</c:v>
                </c:pt>
                <c:pt idx="727">
                  <c:v>-1.8493675821884563</c:v>
                </c:pt>
                <c:pt idx="728">
                  <c:v>-1.8855036514781673</c:v>
                </c:pt>
                <c:pt idx="729">
                  <c:v>-1.903772777348868</c:v>
                </c:pt>
                <c:pt idx="730">
                  <c:v>-1.8503888394033821</c:v>
                </c:pt>
                <c:pt idx="731">
                  <c:v>-1.7330156058429669</c:v>
                </c:pt>
                <c:pt idx="732">
                  <c:v>-1.642450873769622</c:v>
                </c:pt>
                <c:pt idx="733">
                  <c:v>-1.667679430666908</c:v>
                </c:pt>
                <c:pt idx="734">
                  <c:v>-1.7507842369863653</c:v>
                </c:pt>
                <c:pt idx="735">
                  <c:v>-1.7726834110213006</c:v>
                </c:pt>
                <c:pt idx="736">
                  <c:v>-1.7876318281782961</c:v>
                </c:pt>
                <c:pt idx="737">
                  <c:v>-1.7117365736811501</c:v>
                </c:pt>
                <c:pt idx="738">
                  <c:v>-1.6539023902104546</c:v>
                </c:pt>
                <c:pt idx="739">
                  <c:v>-1.5704393713838891</c:v>
                </c:pt>
                <c:pt idx="740">
                  <c:v>-1.5680776503514462</c:v>
                </c:pt>
                <c:pt idx="741">
                  <c:v>-1.597461903637061</c:v>
                </c:pt>
                <c:pt idx="742">
                  <c:v>-1.6299731948814629</c:v>
                </c:pt>
                <c:pt idx="743">
                  <c:v>-1.651466793837115</c:v>
                </c:pt>
                <c:pt idx="744">
                  <c:v>-1.6534229217503871</c:v>
                </c:pt>
                <c:pt idx="745">
                  <c:v>-1.6062399594748171</c:v>
                </c:pt>
                <c:pt idx="746">
                  <c:v>-1.5840408364028995</c:v>
                </c:pt>
                <c:pt idx="747">
                  <c:v>-1.5715075637724676</c:v>
                </c:pt>
                <c:pt idx="748">
                  <c:v>-1.6049094784575131</c:v>
                </c:pt>
                <c:pt idx="749">
                  <c:v>-1.579551953969103</c:v>
                </c:pt>
                <c:pt idx="750">
                  <c:v>-1.5774805364177009</c:v>
                </c:pt>
                <c:pt idx="751">
                  <c:v>-1.5848024237061662</c:v>
                </c:pt>
                <c:pt idx="752">
                  <c:v>-1.6258606757661627</c:v>
                </c:pt>
                <c:pt idx="753">
                  <c:v>-1.6609701601116804</c:v>
                </c:pt>
                <c:pt idx="754">
                  <c:v>-1.6541890816720191</c:v>
                </c:pt>
                <c:pt idx="755">
                  <c:v>-1.6531347470480757</c:v>
                </c:pt>
                <c:pt idx="756">
                  <c:v>-1.6428563610629023</c:v>
                </c:pt>
                <c:pt idx="757">
                  <c:v>-1.6439098458610053</c:v>
                </c:pt>
                <c:pt idx="758">
                  <c:v>-1.6612619149664785</c:v>
                </c:pt>
                <c:pt idx="759">
                  <c:v>-1.6550161803559209</c:v>
                </c:pt>
                <c:pt idx="760">
                  <c:v>-1.6829585775423703</c:v>
                </c:pt>
                <c:pt idx="761">
                  <c:v>-1.6702897867935953</c:v>
                </c:pt>
                <c:pt idx="762">
                  <c:v>-1.6545377469934397</c:v>
                </c:pt>
                <c:pt idx="763">
                  <c:v>-1.620219809822762</c:v>
                </c:pt>
                <c:pt idx="764">
                  <c:v>-1.6142945865310612</c:v>
                </c:pt>
                <c:pt idx="765">
                  <c:v>-1.601906646358022</c:v>
                </c:pt>
                <c:pt idx="766">
                  <c:v>-1.5148006407969925</c:v>
                </c:pt>
                <c:pt idx="767">
                  <c:v>-1.4294102483977982</c:v>
                </c:pt>
                <c:pt idx="768">
                  <c:v>-1.3765837979002606</c:v>
                </c:pt>
                <c:pt idx="769">
                  <c:v>-1.4037084936247775</c:v>
                </c:pt>
                <c:pt idx="770">
                  <c:v>-1.4034393300855326</c:v>
                </c:pt>
                <c:pt idx="771">
                  <c:v>-1.3874902775585884</c:v>
                </c:pt>
                <c:pt idx="772">
                  <c:v>-1.3771401369781326</c:v>
                </c:pt>
                <c:pt idx="773">
                  <c:v>-1.4161189073584595</c:v>
                </c:pt>
                <c:pt idx="774">
                  <c:v>-1.4231749969030021</c:v>
                </c:pt>
                <c:pt idx="775">
                  <c:v>-1.4328162661710373</c:v>
                </c:pt>
                <c:pt idx="776">
                  <c:v>-1.3609251341164539</c:v>
                </c:pt>
                <c:pt idx="777">
                  <c:v>-1.3503309591525208</c:v>
                </c:pt>
                <c:pt idx="778">
                  <c:v>-1.3289489182483445</c:v>
                </c:pt>
                <c:pt idx="779">
                  <c:v>-1.369608741500306</c:v>
                </c:pt>
                <c:pt idx="780">
                  <c:v>-1.3736418063660485</c:v>
                </c:pt>
                <c:pt idx="781">
                  <c:v>-1.3824922619487443</c:v>
                </c:pt>
                <c:pt idx="782">
                  <c:v>-1.3636705000642122</c:v>
                </c:pt>
                <c:pt idx="783">
                  <c:v>-1.3564101950731489</c:v>
                </c:pt>
                <c:pt idx="784">
                  <c:v>-1.3437123843008345</c:v>
                </c:pt>
                <c:pt idx="785">
                  <c:v>-1.3296085995816176</c:v>
                </c:pt>
                <c:pt idx="786">
                  <c:v>-1.3287833805350904</c:v>
                </c:pt>
                <c:pt idx="787">
                  <c:v>-1.3357044441079093</c:v>
                </c:pt>
                <c:pt idx="788">
                  <c:v>-1.3718969300485782</c:v>
                </c:pt>
                <c:pt idx="789">
                  <c:v>-1.3975577980037592</c:v>
                </c:pt>
                <c:pt idx="790">
                  <c:v>-1.4338331521006709</c:v>
                </c:pt>
                <c:pt idx="791">
                  <c:v>-1.430276425659595</c:v>
                </c:pt>
                <c:pt idx="792">
                  <c:v>-1.4246114352584314</c:v>
                </c:pt>
                <c:pt idx="793">
                  <c:v>-1.4011379344779453</c:v>
                </c:pt>
                <c:pt idx="794">
                  <c:v>-1.4095747367140141</c:v>
                </c:pt>
                <c:pt idx="795">
                  <c:v>-1.4073246751237651</c:v>
                </c:pt>
                <c:pt idx="796">
                  <c:v>-1.3805803898586613</c:v>
                </c:pt>
                <c:pt idx="797">
                  <c:v>-1.3606009628629809</c:v>
                </c:pt>
                <c:pt idx="798">
                  <c:v>-1.3669017809429989</c:v>
                </c:pt>
                <c:pt idx="799">
                  <c:v>-1.3920525794203817</c:v>
                </c:pt>
                <c:pt idx="800">
                  <c:v>-1.3756743350212062</c:v>
                </c:pt>
                <c:pt idx="801">
                  <c:v>-1.3415604032128561</c:v>
                </c:pt>
                <c:pt idx="802">
                  <c:v>-1.3036736107053606</c:v>
                </c:pt>
                <c:pt idx="803">
                  <c:v>-1.2874705574505265</c:v>
                </c:pt>
                <c:pt idx="804">
                  <c:v>-1.2647010581759088</c:v>
                </c:pt>
                <c:pt idx="805">
                  <c:v>-1.2189068875721978</c:v>
                </c:pt>
                <c:pt idx="806">
                  <c:v>-1.1859118627610565</c:v>
                </c:pt>
                <c:pt idx="807">
                  <c:v>-1.1440423251240406</c:v>
                </c:pt>
                <c:pt idx="808">
                  <c:v>-1.1384062276910469</c:v>
                </c:pt>
                <c:pt idx="809">
                  <c:v>-1.2235838637887462</c:v>
                </c:pt>
                <c:pt idx="810">
                  <c:v>-1.2995183778192219</c:v>
                </c:pt>
                <c:pt idx="811">
                  <c:v>-1.3573882904820795</c:v>
                </c:pt>
                <c:pt idx="812">
                  <c:v>-1.2937905171726427</c:v>
                </c:pt>
                <c:pt idx="813">
                  <c:v>-1.2541742663320574</c:v>
                </c:pt>
                <c:pt idx="814">
                  <c:v>-1.2232845654947715</c:v>
                </c:pt>
                <c:pt idx="815">
                  <c:v>-1.2124611688434423</c:v>
                </c:pt>
                <c:pt idx="816">
                  <c:v>-1.1989902596960242</c:v>
                </c:pt>
                <c:pt idx="817">
                  <c:v>-1.162262459120595</c:v>
                </c:pt>
                <c:pt idx="818">
                  <c:v>-1.1892603664636641</c:v>
                </c:pt>
                <c:pt idx="819">
                  <c:v>-1.263763295787985</c:v>
                </c:pt>
                <c:pt idx="820">
                  <c:v>-1.3639299199293384</c:v>
                </c:pt>
                <c:pt idx="821">
                  <c:v>-1.4296532582270869</c:v>
                </c:pt>
                <c:pt idx="822">
                  <c:v>-1.4102639110225905</c:v>
                </c:pt>
                <c:pt idx="823">
                  <c:v>-1.3353605750205604</c:v>
                </c:pt>
                <c:pt idx="824">
                  <c:v>-1.2166256772189901</c:v>
                </c:pt>
                <c:pt idx="825">
                  <c:v>-1.1895449653319998</c:v>
                </c:pt>
                <c:pt idx="826">
                  <c:v>-1.2358426958079873</c:v>
                </c:pt>
                <c:pt idx="827">
                  <c:v>-1.245113923635113</c:v>
                </c:pt>
                <c:pt idx="828">
                  <c:v>-1.194294984170347</c:v>
                </c:pt>
                <c:pt idx="829">
                  <c:v>-1.1045290318730396</c:v>
                </c:pt>
                <c:pt idx="830">
                  <c:v>-1.0641144937370177</c:v>
                </c:pt>
                <c:pt idx="831">
                  <c:v>-1.0251275001316069</c:v>
                </c:pt>
                <c:pt idx="832">
                  <c:v>-0.98746544308217865</c:v>
                </c:pt>
                <c:pt idx="833">
                  <c:v>-0.95103637397364038</c:v>
                </c:pt>
                <c:pt idx="834">
                  <c:v>-0.91575757652992007</c:v>
                </c:pt>
                <c:pt idx="835">
                  <c:v>-0.92647727056292839</c:v>
                </c:pt>
                <c:pt idx="836">
                  <c:v>-1.0091259393719534</c:v>
                </c:pt>
                <c:pt idx="837">
                  <c:v>-1.3139580268550697</c:v>
                </c:pt>
                <c:pt idx="838">
                  <c:v>-1.5242155400934028</c:v>
                </c:pt>
                <c:pt idx="839">
                  <c:v>-1.7314039741899567</c:v>
                </c:pt>
                <c:pt idx="840">
                  <c:v>-1.7166444185382745</c:v>
                </c:pt>
                <c:pt idx="841">
                  <c:v>-1.6860946609056617</c:v>
                </c:pt>
                <c:pt idx="842">
                  <c:v>-1.5023658748401456</c:v>
                </c:pt>
                <c:pt idx="843">
                  <c:v>-1.3519882805768306</c:v>
                </c:pt>
                <c:pt idx="844">
                  <c:v>-1.2405649443760842</c:v>
                </c:pt>
                <c:pt idx="845">
                  <c:v>-1.2368750622246416</c:v>
                </c:pt>
                <c:pt idx="846">
                  <c:v>-1.1813787327619341</c:v>
                </c:pt>
                <c:pt idx="847">
                  <c:v>-1.1992802411587022</c:v>
                </c:pt>
                <c:pt idx="848">
                  <c:v>-1.2138723323114078</c:v>
                </c:pt>
                <c:pt idx="849">
                  <c:v>-1.2844056108892017</c:v>
                </c:pt>
                <c:pt idx="850">
                  <c:v>-1.3042503064513531</c:v>
                </c:pt>
                <c:pt idx="851">
                  <c:v>-1.3203104602551108</c:v>
                </c:pt>
                <c:pt idx="852">
                  <c:v>-1.3402235193433256</c:v>
                </c:pt>
                <c:pt idx="853">
                  <c:v>-1.3214919841835362</c:v>
                </c:pt>
                <c:pt idx="854">
                  <c:v>-1.3020880841036013</c:v>
                </c:pt>
                <c:pt idx="855">
                  <c:v>-1.2593079414720518</c:v>
                </c:pt>
                <c:pt idx="856">
                  <c:v>-1.280438791538242</c:v>
                </c:pt>
                <c:pt idx="857">
                  <c:v>-1.3079324998036184</c:v>
                </c:pt>
                <c:pt idx="858">
                  <c:v>-1.3324378983719598</c:v>
                </c:pt>
                <c:pt idx="859">
                  <c:v>-1.3619683159666913</c:v>
                </c:pt>
                <c:pt idx="860">
                  <c:v>-1.4182725139470236</c:v>
                </c:pt>
                <c:pt idx="861">
                  <c:v>-1.4404782791010291</c:v>
                </c:pt>
                <c:pt idx="862">
                  <c:v>-1.4023665091024935</c:v>
                </c:pt>
                <c:pt idx="863">
                  <c:v>-1.3408423420094693</c:v>
                </c:pt>
                <c:pt idx="864">
                  <c:v>-1.3788771533699649</c:v>
                </c:pt>
                <c:pt idx="865">
                  <c:v>-1.4997649197059848</c:v>
                </c:pt>
                <c:pt idx="866">
                  <c:v>-1.5863273434543574</c:v>
                </c:pt>
                <c:pt idx="867">
                  <c:v>-1.5912834379659735</c:v>
                </c:pt>
                <c:pt idx="868">
                  <c:v>-1.6234437023779658</c:v>
                </c:pt>
                <c:pt idx="869">
                  <c:v>-1.6631291632820375</c:v>
                </c:pt>
                <c:pt idx="870">
                  <c:v>-1.7008705335744791</c:v>
                </c:pt>
                <c:pt idx="871">
                  <c:v>-1.6578921529544035</c:v>
                </c:pt>
                <c:pt idx="872">
                  <c:v>-1.6111244745300206</c:v>
                </c:pt>
                <c:pt idx="873">
                  <c:v>-1.5599823692788852</c:v>
                </c:pt>
                <c:pt idx="874">
                  <c:v>-1.4962833340667865</c:v>
                </c:pt>
                <c:pt idx="875">
                  <c:v>-1.4909836954771578</c:v>
                </c:pt>
                <c:pt idx="876">
                  <c:v>-1.4461255692405572</c:v>
                </c:pt>
                <c:pt idx="877">
                  <c:v>-1.4383753782071906</c:v>
                </c:pt>
                <c:pt idx="878">
                  <c:v>-1.3916586400630153</c:v>
                </c:pt>
                <c:pt idx="879">
                  <c:v>-1.4157042482827809</c:v>
                </c:pt>
                <c:pt idx="880">
                  <c:v>-1.4184751687316384</c:v>
                </c:pt>
                <c:pt idx="881">
                  <c:v>-1.4230939410082384</c:v>
                </c:pt>
                <c:pt idx="882">
                  <c:v>-1.4308144728406635</c:v>
                </c:pt>
                <c:pt idx="883">
                  <c:v>-1.4301902848478543</c:v>
                </c:pt>
                <c:pt idx="884">
                  <c:v>-1.4070145199854505</c:v>
                </c:pt>
                <c:pt idx="885">
                  <c:v>-1.3678328484632811</c:v>
                </c:pt>
                <c:pt idx="886">
                  <c:v>-1.3489380596189779</c:v>
                </c:pt>
                <c:pt idx="887">
                  <c:v>-1.350582494769718</c:v>
                </c:pt>
                <c:pt idx="888">
                  <c:v>-1.3502406341199222</c:v>
                </c:pt>
                <c:pt idx="889">
                  <c:v>-1.3503758633247909</c:v>
                </c:pt>
                <c:pt idx="890">
                  <c:v>-1.3813395309296732</c:v>
                </c:pt>
                <c:pt idx="891">
                  <c:v>-1.4747360012696538</c:v>
                </c:pt>
                <c:pt idx="892">
                  <c:v>-1.5328762452655018</c:v>
                </c:pt>
                <c:pt idx="893">
                  <c:v>-1.5222652035492397</c:v>
                </c:pt>
                <c:pt idx="894">
                  <c:v>-1.4151742582312634</c:v>
                </c:pt>
                <c:pt idx="895">
                  <c:v>-1.3057790102295765</c:v>
                </c:pt>
                <c:pt idx="896">
                  <c:v>-1.2546366735170162</c:v>
                </c:pt>
                <c:pt idx="897">
                  <c:v>-1.2179152497829955</c:v>
                </c:pt>
                <c:pt idx="898">
                  <c:v>-1.229348029801552</c:v>
                </c:pt>
                <c:pt idx="899">
                  <c:v>-1.2202284240824464</c:v>
                </c:pt>
                <c:pt idx="900">
                  <c:v>-1.2422872766551167</c:v>
                </c:pt>
                <c:pt idx="901">
                  <c:v>-1.1911331819472222</c:v>
                </c:pt>
                <c:pt idx="902">
                  <c:v>-1.1469425846222692</c:v>
                </c:pt>
                <c:pt idx="903">
                  <c:v>-1.1149405163231936</c:v>
                </c:pt>
                <c:pt idx="904">
                  <c:v>-1.1511066616039656</c:v>
                </c:pt>
                <c:pt idx="905">
                  <c:v>-1.1172703861220634</c:v>
                </c:pt>
                <c:pt idx="906">
                  <c:v>-1.0364552728505598</c:v>
                </c:pt>
                <c:pt idx="907">
                  <c:v>-1.0199316714236775</c:v>
                </c:pt>
                <c:pt idx="908">
                  <c:v>-1.041384668199302</c:v>
                </c:pt>
                <c:pt idx="909">
                  <c:v>-0.77420522430894445</c:v>
                </c:pt>
                <c:pt idx="910">
                  <c:v>-0.62562065393643451</c:v>
                </c:pt>
                <c:pt idx="911">
                  <c:v>-0.67780513999707892</c:v>
                </c:pt>
                <c:pt idx="912">
                  <c:v>-0.98553487660467842</c:v>
                </c:pt>
                <c:pt idx="913">
                  <c:v>-1.0811528674935045</c:v>
                </c:pt>
                <c:pt idx="914">
                  <c:v>-0.97005450292801554</c:v>
                </c:pt>
                <c:pt idx="915">
                  <c:v>-0.87041237014725292</c:v>
                </c:pt>
                <c:pt idx="916">
                  <c:v>-0.93029692076691495</c:v>
                </c:pt>
                <c:pt idx="917">
                  <c:v>-0.96091700854090245</c:v>
                </c:pt>
                <c:pt idx="918">
                  <c:v>-0.97154631932509083</c:v>
                </c:pt>
                <c:pt idx="919">
                  <c:v>-0.88420058291701242</c:v>
                </c:pt>
                <c:pt idx="920">
                  <c:v>-0.62428004547406057</c:v>
                </c:pt>
                <c:pt idx="921">
                  <c:v>-0.45011015990843828</c:v>
                </c:pt>
                <c:pt idx="922">
                  <c:v>-0.1867232441387979</c:v>
                </c:pt>
                <c:pt idx="923">
                  <c:v>-0.35881597660650538</c:v>
                </c:pt>
                <c:pt idx="924">
                  <c:v>-0.5137038469798586</c:v>
                </c:pt>
                <c:pt idx="925">
                  <c:v>-0.75418502110113383</c:v>
                </c:pt>
                <c:pt idx="926">
                  <c:v>-0.82882961557036083</c:v>
                </c:pt>
                <c:pt idx="927">
                  <c:v>-0.9335126828327075</c:v>
                </c:pt>
                <c:pt idx="928">
                  <c:v>-1.0416553398115025</c:v>
                </c:pt>
                <c:pt idx="929">
                  <c:v>-1.1200515263170312</c:v>
                </c:pt>
                <c:pt idx="930">
                  <c:v>-1.1775772662413866</c:v>
                </c:pt>
                <c:pt idx="931">
                  <c:v>-1.1431206234006499</c:v>
                </c:pt>
                <c:pt idx="932">
                  <c:v>-1.2299644885698806</c:v>
                </c:pt>
                <c:pt idx="933">
                  <c:v>-1.1115521240984361</c:v>
                </c:pt>
                <c:pt idx="934">
                  <c:v>-0.88447807014018609</c:v>
                </c:pt>
                <c:pt idx="935">
                  <c:v>-0.53353561307969122</c:v>
                </c:pt>
                <c:pt idx="936">
                  <c:v>-0.41965188080895155</c:v>
                </c:pt>
                <c:pt idx="937">
                  <c:v>-0.5327514797946129</c:v>
                </c:pt>
                <c:pt idx="938">
                  <c:v>-0.57432971559979273</c:v>
                </c:pt>
                <c:pt idx="939">
                  <c:v>-0.72060809812264826</c:v>
                </c:pt>
                <c:pt idx="940">
                  <c:v>-0.92141130971025031</c:v>
                </c:pt>
                <c:pt idx="941">
                  <c:v>-0.86393926418257905</c:v>
                </c:pt>
                <c:pt idx="942">
                  <c:v>-0.54095139782587076</c:v>
                </c:pt>
                <c:pt idx="943">
                  <c:v>-0.26110009759047653</c:v>
                </c:pt>
                <c:pt idx="944">
                  <c:v>-0.36358083841404448</c:v>
                </c:pt>
                <c:pt idx="945">
                  <c:v>-0.50221556078512808</c:v>
                </c:pt>
                <c:pt idx="946">
                  <c:v>-0.5976953974027821</c:v>
                </c:pt>
                <c:pt idx="947">
                  <c:v>-0.74082859407676771</c:v>
                </c:pt>
                <c:pt idx="948">
                  <c:v>-0.7615193701494819</c:v>
                </c:pt>
                <c:pt idx="949">
                  <c:v>-0.62954288578298512</c:v>
                </c:pt>
                <c:pt idx="950">
                  <c:v>-0.40177021739335211</c:v>
                </c:pt>
                <c:pt idx="951">
                  <c:v>-0.35680664309244498</c:v>
                </c:pt>
                <c:pt idx="952">
                  <c:v>-0.50920582266104386</c:v>
                </c:pt>
                <c:pt idx="953">
                  <c:v>-0.54211798149842227</c:v>
                </c:pt>
                <c:pt idx="954">
                  <c:v>-0.46336689960040073</c:v>
                </c:pt>
                <c:pt idx="955">
                  <c:v>-0.20307460015088208</c:v>
                </c:pt>
                <c:pt idx="956">
                  <c:v>-0.20219833213552837</c:v>
                </c:pt>
                <c:pt idx="957">
                  <c:v>-0.4313540716696232</c:v>
                </c:pt>
                <c:pt idx="958">
                  <c:v>-0.7032306757895791</c:v>
                </c:pt>
                <c:pt idx="959">
                  <c:v>-0.83315663212130031</c:v>
                </c:pt>
                <c:pt idx="960">
                  <c:v>-0.89966491511762425</c:v>
                </c:pt>
                <c:pt idx="961">
                  <c:v>-0.94439832266098411</c:v>
                </c:pt>
                <c:pt idx="962">
                  <c:v>-1.0129720232700199</c:v>
                </c:pt>
                <c:pt idx="963">
                  <c:v>-1.0416809048005782</c:v>
                </c:pt>
                <c:pt idx="964">
                  <c:v>-1.0777376945714019</c:v>
                </c:pt>
                <c:pt idx="965">
                  <c:v>-1.0953059082149792</c:v>
                </c:pt>
                <c:pt idx="966">
                  <c:v>-1.0577089783981422</c:v>
                </c:pt>
                <c:pt idx="967">
                  <c:v>-0.85991249192231389</c:v>
                </c:pt>
                <c:pt idx="968">
                  <c:v>-0.64648828163453032</c:v>
                </c:pt>
                <c:pt idx="969">
                  <c:v>-0.49375365505055452</c:v>
                </c:pt>
                <c:pt idx="970">
                  <c:v>-0.48966583404811415</c:v>
                </c:pt>
                <c:pt idx="971">
                  <c:v>-0.48553292048607849</c:v>
                </c:pt>
                <c:pt idx="972">
                  <c:v>-0.4813541280119637</c:v>
                </c:pt>
                <c:pt idx="973">
                  <c:v>-0.47712865164743173</c:v>
                </c:pt>
                <c:pt idx="974">
                  <c:v>-0.47285566611718394</c:v>
                </c:pt>
                <c:pt idx="975">
                  <c:v>-0.5857525769421591</c:v>
                </c:pt>
                <c:pt idx="976">
                  <c:v>-0.67145173719621687</c:v>
                </c:pt>
                <c:pt idx="977">
                  <c:v>-0.70807108841724153</c:v>
                </c:pt>
                <c:pt idx="978">
                  <c:v>-0.64891927591894671</c:v>
                </c:pt>
                <c:pt idx="979">
                  <c:v>-0.48920401022431131</c:v>
                </c:pt>
                <c:pt idx="980">
                  <c:v>-0.31922025602788479</c:v>
                </c:pt>
                <c:pt idx="981">
                  <c:v>-0.23484029712262644</c:v>
                </c:pt>
                <c:pt idx="982">
                  <c:v>-0.37859853198039045</c:v>
                </c:pt>
                <c:pt idx="983">
                  <c:v>-0.5916587186417599</c:v>
                </c:pt>
                <c:pt idx="984">
                  <c:v>-0.71342713526558599</c:v>
                </c:pt>
                <c:pt idx="985">
                  <c:v>-0.75650374899504758</c:v>
                </c:pt>
                <c:pt idx="986">
                  <c:v>-0.76774947029137885</c:v>
                </c:pt>
                <c:pt idx="987">
                  <c:v>-0.78736753214111266</c:v>
                </c:pt>
                <c:pt idx="988">
                  <c:v>-0.76587248219955362</c:v>
                </c:pt>
                <c:pt idx="989">
                  <c:v>-0.81277219796587608</c:v>
                </c:pt>
                <c:pt idx="990">
                  <c:v>-0.84442474754324748</c:v>
                </c:pt>
                <c:pt idx="991">
                  <c:v>-0.80517813344822475</c:v>
                </c:pt>
                <c:pt idx="992">
                  <c:v>-0.61161819689586938</c:v>
                </c:pt>
                <c:pt idx="993">
                  <c:v>-0.45811092325084229</c:v>
                </c:pt>
                <c:pt idx="994">
                  <c:v>-0.74280455149595281</c:v>
                </c:pt>
                <c:pt idx="995">
                  <c:v>-1.0183902671097309</c:v>
                </c:pt>
                <c:pt idx="996">
                  <c:v>-1.150024177380339</c:v>
                </c:pt>
                <c:pt idx="997">
                  <c:v>-0.96867593455741263</c:v>
                </c:pt>
                <c:pt idx="998">
                  <c:v>-0.8821502784007893</c:v>
                </c:pt>
                <c:pt idx="999">
                  <c:v>-0.88140958223807953</c:v>
                </c:pt>
                <c:pt idx="1000">
                  <c:v>-0.91882054742862318</c:v>
                </c:pt>
                <c:pt idx="1001">
                  <c:v>-1.1173583348012499</c:v>
                </c:pt>
                <c:pt idx="1002">
                  <c:v>-1.204088545589008</c:v>
                </c:pt>
                <c:pt idx="1003">
                  <c:v>-1.1879672269528612</c:v>
                </c:pt>
                <c:pt idx="1004">
                  <c:v>-1.0054853233259169</c:v>
                </c:pt>
                <c:pt idx="1005">
                  <c:v>-0.96140212828889327</c:v>
                </c:pt>
                <c:pt idx="1006">
                  <c:v>-0.96021519967716307</c:v>
                </c:pt>
                <c:pt idx="1007">
                  <c:v>-0.9786453003779485</c:v>
                </c:pt>
                <c:pt idx="1008">
                  <c:v>-0.95913330457060575</c:v>
                </c:pt>
                <c:pt idx="1009">
                  <c:v>-0.9361033376415927</c:v>
                </c:pt>
                <c:pt idx="1010">
                  <c:v>-0.94331737610577893</c:v>
                </c:pt>
                <c:pt idx="1011">
                  <c:v>-0.91553582905150999</c:v>
                </c:pt>
                <c:pt idx="1012">
                  <c:v>-0.92519545422138483</c:v>
                </c:pt>
                <c:pt idx="1013">
                  <c:v>-0.87005765900061682</c:v>
                </c:pt>
                <c:pt idx="1014">
                  <c:v>-0.94454220524422683</c:v>
                </c:pt>
                <c:pt idx="1015">
                  <c:v>-0.93562400568246507</c:v>
                </c:pt>
                <c:pt idx="1016">
                  <c:v>-0.98328020325369625</c:v>
                </c:pt>
                <c:pt idx="1017">
                  <c:v>-0.92476751864418094</c:v>
                </c:pt>
                <c:pt idx="1018">
                  <c:v>-0.9168061877930942</c:v>
                </c:pt>
                <c:pt idx="1019">
                  <c:v>-0.93622223213894173</c:v>
                </c:pt>
                <c:pt idx="1020">
                  <c:v>-0.97486855451017052</c:v>
                </c:pt>
                <c:pt idx="1021">
                  <c:v>-0.98347488282087048</c:v>
                </c:pt>
                <c:pt idx="1022">
                  <c:v>-0.96401486396787017</c:v>
                </c:pt>
                <c:pt idx="1023">
                  <c:v>-0.9348309022288287</c:v>
                </c:pt>
                <c:pt idx="1024">
                  <c:v>-0.94248338079109206</c:v>
                </c:pt>
                <c:pt idx="1025">
                  <c:v>-0.89387082507426985</c:v>
                </c:pt>
                <c:pt idx="1026">
                  <c:v>-0.87091509569757808</c:v>
                </c:pt>
                <c:pt idx="1027">
                  <c:v>-0.8283855395086559</c:v>
                </c:pt>
                <c:pt idx="1028">
                  <c:v>-0.84276891859509229</c:v>
                </c:pt>
                <c:pt idx="1029">
                  <c:v>-0.81945953029926122</c:v>
                </c:pt>
                <c:pt idx="1030">
                  <c:v>-0.83115596074257159</c:v>
                </c:pt>
                <c:pt idx="1031">
                  <c:v>-0.81444710097391881</c:v>
                </c:pt>
                <c:pt idx="1032">
                  <c:v>-0.80704258245463356</c:v>
                </c:pt>
                <c:pt idx="1033">
                  <c:v>-0.73546287752364325</c:v>
                </c:pt>
                <c:pt idx="1034">
                  <c:v>-0.73220431635821059</c:v>
                </c:pt>
                <c:pt idx="1035">
                  <c:v>-0.77367348054494867</c:v>
                </c:pt>
                <c:pt idx="1036">
                  <c:v>-0.86193524775332653</c:v>
                </c:pt>
                <c:pt idx="1037">
                  <c:v>-0.89634963038357596</c:v>
                </c:pt>
                <c:pt idx="1038">
                  <c:v>-0.95276932966853656</c:v>
                </c:pt>
                <c:pt idx="1039">
                  <c:v>-0.96132842647611783</c:v>
                </c:pt>
                <c:pt idx="1040">
                  <c:v>-0.98482664674973641</c:v>
                </c:pt>
                <c:pt idx="1041">
                  <c:v>-1.0212354338102694</c:v>
                </c:pt>
                <c:pt idx="1042">
                  <c:v>-1.037719634954372</c:v>
                </c:pt>
                <c:pt idx="1043">
                  <c:v>-0.99043928356161082</c:v>
                </c:pt>
                <c:pt idx="1044">
                  <c:v>-0.95058572555035992</c:v>
                </c:pt>
                <c:pt idx="1045">
                  <c:v>-0.95765667104561203</c:v>
                </c:pt>
                <c:pt idx="1046">
                  <c:v>-1.2083513312564442</c:v>
                </c:pt>
                <c:pt idx="1047">
                  <c:v>-1.0119640835347425</c:v>
                </c:pt>
                <c:pt idx="1048">
                  <c:v>-0.65127085518205885</c:v>
                </c:pt>
                <c:pt idx="1049">
                  <c:v>-8.6795742024535036E-2</c:v>
                </c:pt>
                <c:pt idx="1050">
                  <c:v>8.4003403704758797E-2</c:v>
                </c:pt>
                <c:pt idx="1051">
                  <c:v>-2.7239601716665209E-3</c:v>
                </c:pt>
                <c:pt idx="1052">
                  <c:v>-1.9573051941507793E-2</c:v>
                </c:pt>
                <c:pt idx="1053">
                  <c:v>-7.2238625010185034E-2</c:v>
                </c:pt>
                <c:pt idx="1054">
                  <c:v>-0.25025068237079207</c:v>
                </c:pt>
                <c:pt idx="1055">
                  <c:v>-0.47294449537700983</c:v>
                </c:pt>
                <c:pt idx="1056">
                  <c:v>-0.75271127958605477</c:v>
                </c:pt>
                <c:pt idx="1057">
                  <c:v>-0.85090167088271984</c:v>
                </c:pt>
                <c:pt idx="1058">
                  <c:v>-1.0335427848490859</c:v>
                </c:pt>
                <c:pt idx="1059">
                  <c:v>-1.0675248567645184</c:v>
                </c:pt>
                <c:pt idx="1060">
                  <c:v>-1.0869459244966453</c:v>
                </c:pt>
                <c:pt idx="1061">
                  <c:v>-1.0470574327743585</c:v>
                </c:pt>
                <c:pt idx="1062">
                  <c:v>-0.96636003191071707</c:v>
                </c:pt>
                <c:pt idx="1063">
                  <c:v>-0.93260474385085157</c:v>
                </c:pt>
                <c:pt idx="1064">
                  <c:v>-0.94002180594807605</c:v>
                </c:pt>
                <c:pt idx="1065">
                  <c:v>-1.0892586148464518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CC-497B-9571-131029E3E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849088"/>
        <c:axId val="73213969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'XRF samples'!$Y$2:$Y$16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10.2980526</c:v>
                      </c:pt>
                      <c:pt idx="1">
                        <c:v>11.768077699999999</c:v>
                      </c:pt>
                      <c:pt idx="2">
                        <c:v>12.1405049</c:v>
                      </c:pt>
                      <c:pt idx="3">
                        <c:v>12.6819275</c:v>
                      </c:pt>
                      <c:pt idx="4">
                        <c:v>12.904340100000001</c:v>
                      </c:pt>
                      <c:pt idx="5">
                        <c:v>13.4115</c:v>
                      </c:pt>
                      <c:pt idx="6">
                        <c:v>15.2977455</c:v>
                      </c:pt>
                      <c:pt idx="7">
                        <c:v>17.6303333</c:v>
                      </c:pt>
                      <c:pt idx="8">
                        <c:v>19.7899794</c:v>
                      </c:pt>
                      <c:pt idx="9">
                        <c:v>22.102144299999999</c:v>
                      </c:pt>
                      <c:pt idx="10">
                        <c:v>26.1424615</c:v>
                      </c:pt>
                      <c:pt idx="11">
                        <c:v>29.476255299999998</c:v>
                      </c:pt>
                      <c:pt idx="12">
                        <c:v>30.863619100000001</c:v>
                      </c:pt>
                      <c:pt idx="13">
                        <c:v>31.4960381</c:v>
                      </c:pt>
                      <c:pt idx="14">
                        <c:v>33.121000000000002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'XRF samples'!$T$1:$T$16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0</c:v>
                      </c:pt>
                      <c:pt idx="1">
                        <c:v>0.94408901712885041</c:v>
                      </c:pt>
                      <c:pt idx="2">
                        <c:v>0.9375661704192314</c:v>
                      </c:pt>
                      <c:pt idx="3">
                        <c:v>0.41573791833812135</c:v>
                      </c:pt>
                      <c:pt idx="4">
                        <c:v>-0.14181589770270375</c:v>
                      </c:pt>
                      <c:pt idx="5">
                        <c:v>-0.61870546704901697</c:v>
                      </c:pt>
                      <c:pt idx="6">
                        <c:v>-0.63691565655264959</c:v>
                      </c:pt>
                      <c:pt idx="7">
                        <c:v>-0.94204294297966096</c:v>
                      </c:pt>
                      <c:pt idx="8">
                        <c:v>-1.4516293214330522</c:v>
                      </c:pt>
                      <c:pt idx="9">
                        <c:v>-1.9317111061209387</c:v>
                      </c:pt>
                      <c:pt idx="10">
                        <c:v>-1.8135296565834829</c:v>
                      </c:pt>
                      <c:pt idx="11">
                        <c:v>-1.4403604749861554</c:v>
                      </c:pt>
                      <c:pt idx="12">
                        <c:v>-1.2843028038601634</c:v>
                      </c:pt>
                      <c:pt idx="13">
                        <c:v>-1.1897315615390827</c:v>
                      </c:pt>
                      <c:pt idx="14">
                        <c:v>-1.1961038536760809</c:v>
                      </c:pt>
                      <c:pt idx="15">
                        <c:v>-1.1202203155084132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1-7FCC-497B-9571-131029E3E161}"/>
                  </c:ext>
                </c:extLst>
              </c15:ser>
            </c15:filteredScatterSeries>
            <c15:filteredScatterSeries>
              <c15:ser>
                <c:idx val="2"/>
                <c:order val="2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noFill/>
                    <a:ln w="31750">
                      <a:solidFill>
                        <a:srgbClr val="FF0000"/>
                      </a:solidFill>
                    </a:ln>
                    <a:effectLst/>
                  </c:spPr>
                </c:marker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9-105</a:t>
                          </a:r>
                        </a:p>
                      </c:rich>
                    </c:tx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1-7FCC-497B-9571-131029E3E161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9-015</a:t>
                          </a:r>
                        </a:p>
                      </c:rich>
                    </c:tx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2-7FCC-497B-9571-131029E3E161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8-145</a:t>
                          </a:r>
                        </a:p>
                      </c:rich>
                    </c:tx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3-7FCC-497B-9571-131029E3E161}"/>
                      </c:ext>
                    </c:extLst>
                  </c:dLbl>
                  <c:dLbl>
                    <c:idx val="3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8-075</a:t>
                          </a:r>
                        </a:p>
                      </c:rich>
                    </c:tx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4-7FCC-497B-9571-131029E3E161}"/>
                      </c:ext>
                    </c:extLst>
                  </c:dLbl>
                  <c:dLbl>
                    <c:idx val="4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8-020</a:t>
                          </a:r>
                        </a:p>
                      </c:rich>
                    </c:tx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5-7FCC-497B-9571-131029E3E161}"/>
                      </c:ext>
                    </c:extLst>
                  </c:dLbl>
                  <c:dLbl>
                    <c:idx val="5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7-025</a:t>
                          </a:r>
                        </a:p>
                      </c:rich>
                    </c:tx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6-7FCC-497B-9571-131029E3E161}"/>
                      </c:ext>
                    </c:extLst>
                  </c:dLbl>
                  <c:dLbl>
                    <c:idx val="6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6a-075</a:t>
                          </a:r>
                        </a:p>
                      </c:rich>
                    </c:tx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7-7FCC-497B-9571-131029E3E161}"/>
                      </c:ext>
                    </c:extLst>
                  </c:dLbl>
                  <c:dLbl>
                    <c:idx val="7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6a-010</a:t>
                          </a:r>
                        </a:p>
                      </c:rich>
                    </c:tx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8-7FCC-497B-9571-131029E3E161}"/>
                      </c:ext>
                    </c:extLst>
                  </c:dLbl>
                  <c:dLbl>
                    <c:idx val="8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6-125</a:t>
                          </a:r>
                        </a:p>
                      </c:rich>
                    </c:tx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9-7FCC-497B-9571-131029E3E161}"/>
                      </c:ext>
                    </c:extLst>
                  </c:dLbl>
                  <c:dLbl>
                    <c:idx val="9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6-090</a:t>
                          </a:r>
                        </a:p>
                      </c:rich>
                    </c:tx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A-7FCC-497B-9571-131029E3E161}"/>
                      </c:ext>
                    </c:extLst>
                  </c:dLbl>
                  <c:dLbl>
                    <c:idx val="10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6-020</a:t>
                          </a:r>
                        </a:p>
                      </c:rich>
                    </c:tx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B-7FCC-497B-9571-131029E3E161}"/>
                      </c:ext>
                    </c:extLst>
                  </c:dLbl>
                  <c:dLbl>
                    <c:idx val="11"/>
                    <c:tx>
                      <c:rich>
                        <a:bodyPr rot="0" spcFirstLastPara="1" vertOverflow="overflow" horzOverflow="overflow" vert="horz" wrap="square" lIns="38100" tIns="19050" rIns="38100" bIns="19050" anchor="ctr" anchorCtr="1">
                          <a:spAutoFit/>
                        </a:bodyPr>
                        <a:lstStyle/>
                        <a:p>
                          <a:pPr>
                            <a:defRPr sz="800" b="1" i="0" u="none" strike="noStrike" kern="1200" baseline="0">
                              <a:ln w="0">
                                <a:noFill/>
                              </a:ln>
                              <a:solidFill>
                                <a:schemeClr val="tx1"/>
                              </a:solidFill>
                              <a:effectLst>
                                <a:outerShdw blurRad="50800" dist="50800" dir="5400000" algn="ctr" rotWithShape="0">
                                  <a:schemeClr val="bg1"/>
                                </a:outerShdw>
                              </a:effectLst>
                              <a:latin typeface="+mn-lt"/>
                              <a:ea typeface="+mn-ea"/>
                              <a:cs typeface="+mn-cs"/>
                            </a:defRPr>
                          </a:pPr>
                          <a:r>
                            <a:rPr lang="en-US" sz="800" b="1">
                              <a:ln w="0">
                                <a:noFill/>
                              </a:ln>
                              <a:solidFill>
                                <a:schemeClr val="tx1"/>
                              </a:solidFill>
                              <a:effectLst>
                                <a:outerShdw blurRad="50800" dist="50800" dir="5400000" algn="ctr" rotWithShape="0">
                                  <a:schemeClr val="bg1"/>
                                </a:outerShdw>
                              </a:effectLst>
                            </a:rPr>
                            <a:t>4-060</a:t>
                          </a:r>
                        </a:p>
                      </c:rich>
                    </c:tx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overflow" horzOverflow="overflow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800" b="1" i="0" u="none" strike="noStrike" kern="1200" baseline="0">
                            <a:ln w="0">
                              <a:noFill/>
                            </a:ln>
                            <a:solidFill>
                              <a:schemeClr val="tx1"/>
                            </a:solidFill>
                            <a:effectLst>
                              <a:outerShdw blurRad="50800" dist="50800" dir="5400000" algn="ctr" rotWithShape="0">
                                <a:schemeClr val="bg1"/>
                              </a:outerShdw>
                            </a:effectLst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nl-NL"/>
                      </a:p>
                    </c:txPr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pPr xmlns:c15="http://schemas.microsoft.com/office/drawing/2012/chart"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C-7FCC-497B-9571-131029E3E161}"/>
                      </c:ext>
                    </c:extLst>
                  </c:dLbl>
                  <c:dLbl>
                    <c:idx val="12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4-005</a:t>
                          </a:r>
                        </a:p>
                      </c:rich>
                    </c:tx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D-7FCC-497B-9571-131029E3E161}"/>
                      </c:ext>
                    </c:extLst>
                  </c:dLbl>
                  <c:dLbl>
                    <c:idx val="13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3-031</a:t>
                          </a:r>
                        </a:p>
                      </c:rich>
                    </c:tx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E-7FCC-497B-9571-131029E3E161}"/>
                      </c:ext>
                    </c:extLst>
                  </c:dLbl>
                  <c:dLbl>
                    <c:idx val="14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2-025</a:t>
                          </a:r>
                        </a:p>
                      </c:rich>
                    </c:tx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F-7FCC-497B-9571-131029E3E161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1" i="0" u="none" strike="noStrike" kern="1200" baseline="0">
                          <a:ln w="0">
                            <a:noFill/>
                          </a:ln>
                          <a:solidFill>
                            <a:schemeClr val="tx1"/>
                          </a:solidFill>
                          <a:effectLst>
                            <a:outerShdw blurRad="50800" dist="50800" dir="5400000" algn="ctr" rotWithShape="0">
                              <a:schemeClr val="bg1"/>
                            </a:outerShdw>
                          </a:effectLst>
                          <a:latin typeface="+mn-lt"/>
                          <a:ea typeface="+mn-ea"/>
                          <a:cs typeface="+mn-cs"/>
                        </a:defRPr>
                      </a:pPr>
                      <a:endParaRPr lang="nl-NL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c15:spPr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('XRF selectie'!$Y$103,'XRF selectie'!$Y$193,'XRF selectie'!$Y$213,'XRF selectie'!$Y$283,'XRF selectie'!$Y$338,'XRF selectie'!$Y$484,'XRF selectie'!$Y$544,'XRF selectie'!$Y$609,'XRF selectie'!$Y$643,'XRF selectie'!$Y$678,'XRF selectie'!$Y$748,'XRF selectie'!$Y$835,'XRF selectie'!$Y$890,'XRF selectie'!$Y$942,'XRF selectie'!$Y$1023)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10.2980526</c:v>
                      </c:pt>
                      <c:pt idx="1">
                        <c:v>11.768077699999999</c:v>
                      </c:pt>
                      <c:pt idx="2">
                        <c:v>12.1405049</c:v>
                      </c:pt>
                      <c:pt idx="3">
                        <c:v>12.6819275</c:v>
                      </c:pt>
                      <c:pt idx="4">
                        <c:v>12.904340100000001</c:v>
                      </c:pt>
                      <c:pt idx="5">
                        <c:v>13.4115</c:v>
                      </c:pt>
                      <c:pt idx="6">
                        <c:v>15.2977455</c:v>
                      </c:pt>
                      <c:pt idx="7">
                        <c:v>17.6303333</c:v>
                      </c:pt>
                      <c:pt idx="8">
                        <c:v>19.7899794</c:v>
                      </c:pt>
                      <c:pt idx="9">
                        <c:v>22.102144299999999</c:v>
                      </c:pt>
                      <c:pt idx="10">
                        <c:v>26.1424615</c:v>
                      </c:pt>
                      <c:pt idx="11">
                        <c:v>29.476255299999998</c:v>
                      </c:pt>
                      <c:pt idx="12">
                        <c:v>30.863619100000001</c:v>
                      </c:pt>
                      <c:pt idx="13">
                        <c:v>31.4960381</c:v>
                      </c:pt>
                      <c:pt idx="14">
                        <c:v>33.121000000000002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('XRF selectie'!$T$103,'XRF selectie'!$T$193,'XRF selectie'!$T$213,'XRF selectie'!$T$283,'XRF selectie'!$T$338,'XRF selectie'!$T$484,'XRF selectie'!$T$544,'XRF selectie'!$T$609,'XRF selectie'!$T$643,'XRF selectie'!$T$678,'XRF selectie'!$T$748,'XRF selectie'!$T$835,'XRF selectie'!$T$890,'XRF selectie'!$T$942,'XRF selectie'!$T$1023)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1.247767791537624</c:v>
                      </c:pt>
                      <c:pt idx="1">
                        <c:v>0.69830519598119822</c:v>
                      </c:pt>
                      <c:pt idx="2">
                        <c:v>0.94352448319192384</c:v>
                      </c:pt>
                      <c:pt idx="3">
                        <c:v>-0.35183242952405053</c:v>
                      </c:pt>
                      <c:pt idx="4">
                        <c:v>-1.0315523158559567</c:v>
                      </c:pt>
                      <c:pt idx="5">
                        <c:v>-0.45993079634645256</c:v>
                      </c:pt>
                      <c:pt idx="6">
                        <c:v>-0.5083661431327311</c:v>
                      </c:pt>
                      <c:pt idx="7">
                        <c:v>-1.9598161592244112</c:v>
                      </c:pt>
                      <c:pt idx="8">
                        <c:v>-2.0509613187001334</c:v>
                      </c:pt>
                      <c:pt idx="9">
                        <c:v>-1.773715120338428</c:v>
                      </c:pt>
                      <c:pt idx="10">
                        <c:v>-1.5715075637724676</c:v>
                      </c:pt>
                      <c:pt idx="11">
                        <c:v>-0.91575757652992007</c:v>
                      </c:pt>
                      <c:pt idx="12">
                        <c:v>-1.3503758633247909</c:v>
                      </c:pt>
                      <c:pt idx="13">
                        <c:v>-0.86393926418257905</c:v>
                      </c:pt>
                      <c:pt idx="14">
                        <c:v>-0.96401486396787017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7FCC-497B-9571-131029E3E161}"/>
                  </c:ext>
                </c:extLst>
              </c15:ser>
            </c15:filteredScatterSeries>
          </c:ext>
        </c:extLst>
      </c:scatterChart>
      <c:valAx>
        <c:axId val="670849088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000" baseline="0"/>
                  <a:t>Age (ka BP)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1270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732139696"/>
        <c:crosses val="autoZero"/>
        <c:crossBetween val="midCat"/>
        <c:majorUnit val="4"/>
      </c:valAx>
      <c:valAx>
        <c:axId val="732139696"/>
        <c:scaling>
          <c:orientation val="minMax"/>
        </c:scaling>
        <c:delete val="0"/>
        <c:axPos val="l"/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000" baseline="0"/>
                  <a:t>ln(Ti/Ca)</a:t>
                </a:r>
              </a:p>
            </c:rich>
          </c:tx>
          <c:layout>
            <c:manualLayout>
              <c:xMode val="edge"/>
              <c:yMode val="edge"/>
              <c:x val="1.4963286927506999E-2"/>
              <c:y val="0.38427248512952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t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670849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EM1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'[2]AnalySize 16 age'!$B$2:$B$30</c:f>
              <c:numCache>
                <c:formatCode>General</c:formatCode>
                <c:ptCount val="29"/>
                <c:pt idx="0">
                  <c:v>8.7352109999999996</c:v>
                </c:pt>
                <c:pt idx="1">
                  <c:v>9.5166319999999995</c:v>
                </c:pt>
                <c:pt idx="2">
                  <c:v>9.7398950000000006</c:v>
                </c:pt>
                <c:pt idx="3">
                  <c:v>10.53726</c:v>
                </c:pt>
                <c:pt idx="4">
                  <c:v>11.65635</c:v>
                </c:pt>
                <c:pt idx="5">
                  <c:v>12.904339999999999</c:v>
                </c:pt>
                <c:pt idx="6">
                  <c:v>13.862500000000001</c:v>
                </c:pt>
                <c:pt idx="7">
                  <c:v>15.335979999999999</c:v>
                </c:pt>
                <c:pt idx="8">
                  <c:v>17.013829999999999</c:v>
                </c:pt>
                <c:pt idx="9">
                  <c:v>17.0595</c:v>
                </c:pt>
                <c:pt idx="10">
                  <c:v>17.470500000000001</c:v>
                </c:pt>
                <c:pt idx="11">
                  <c:v>19.525729999999999</c:v>
                </c:pt>
                <c:pt idx="12">
                  <c:v>20.780909999999999</c:v>
                </c:pt>
                <c:pt idx="13">
                  <c:v>24.186920000000001</c:v>
                </c:pt>
                <c:pt idx="14">
                  <c:v>24.650079999999999</c:v>
                </c:pt>
                <c:pt idx="15">
                  <c:v>25.216149999999999</c:v>
                </c:pt>
                <c:pt idx="16">
                  <c:v>27.017309999999998</c:v>
                </c:pt>
                <c:pt idx="17">
                  <c:v>27.53192</c:v>
                </c:pt>
                <c:pt idx="18">
                  <c:v>27.840689999999999</c:v>
                </c:pt>
                <c:pt idx="19">
                  <c:v>28.351150000000001</c:v>
                </c:pt>
                <c:pt idx="20">
                  <c:v>28.85745</c:v>
                </c:pt>
                <c:pt idx="21">
                  <c:v>29.307490000000001</c:v>
                </c:pt>
                <c:pt idx="22">
                  <c:v>29.813790000000001</c:v>
                </c:pt>
                <c:pt idx="23">
                  <c:v>30.151319999999998</c:v>
                </c:pt>
                <c:pt idx="24">
                  <c:v>30.839300000000001</c:v>
                </c:pt>
                <c:pt idx="25">
                  <c:v>31.629819999999999</c:v>
                </c:pt>
                <c:pt idx="26">
                  <c:v>32.57</c:v>
                </c:pt>
                <c:pt idx="27">
                  <c:v>33.411000000000001</c:v>
                </c:pt>
                <c:pt idx="28">
                  <c:v>34.078000000000003</c:v>
                </c:pt>
              </c:numCache>
            </c:numRef>
          </c:xVal>
          <c:yVal>
            <c:numRef>
              <c:f>'[2]AnalySize 16 age'!$E$2:$E$30</c:f>
              <c:numCache>
                <c:formatCode>General</c:formatCode>
                <c:ptCount val="29"/>
                <c:pt idx="0">
                  <c:v>66.375600000000006</c:v>
                </c:pt>
                <c:pt idx="1">
                  <c:v>62.448300000000003</c:v>
                </c:pt>
                <c:pt idx="2">
                  <c:v>49.682200000000002</c:v>
                </c:pt>
                <c:pt idx="3">
                  <c:v>80.469700000000003</c:v>
                </c:pt>
                <c:pt idx="4">
                  <c:v>45.838700000000003</c:v>
                </c:pt>
                <c:pt idx="5">
                  <c:v>0</c:v>
                </c:pt>
                <c:pt idx="6">
                  <c:v>48.828600000000002</c:v>
                </c:pt>
                <c:pt idx="7">
                  <c:v>76.616</c:v>
                </c:pt>
                <c:pt idx="8">
                  <c:v>5.6734</c:v>
                </c:pt>
                <c:pt idx="9">
                  <c:v>35.4818</c:v>
                </c:pt>
                <c:pt idx="10">
                  <c:v>11.409000000000001</c:v>
                </c:pt>
                <c:pt idx="11">
                  <c:v>0</c:v>
                </c:pt>
                <c:pt idx="12">
                  <c:v>28.475100000000001</c:v>
                </c:pt>
                <c:pt idx="13">
                  <c:v>23.535399999999999</c:v>
                </c:pt>
                <c:pt idx="14">
                  <c:v>12.6287</c:v>
                </c:pt>
                <c:pt idx="15">
                  <c:v>4.2332000000000001</c:v>
                </c:pt>
                <c:pt idx="16">
                  <c:v>17.6646</c:v>
                </c:pt>
                <c:pt idx="17">
                  <c:v>44.782600000000002</c:v>
                </c:pt>
                <c:pt idx="18">
                  <c:v>27.256900000000002</c:v>
                </c:pt>
                <c:pt idx="19">
                  <c:v>40.494999999999997</c:v>
                </c:pt>
                <c:pt idx="20">
                  <c:v>36.605899999999998</c:v>
                </c:pt>
                <c:pt idx="21">
                  <c:v>33.801699999999997</c:v>
                </c:pt>
                <c:pt idx="22">
                  <c:v>34.852200000000003</c:v>
                </c:pt>
                <c:pt idx="23">
                  <c:v>28.789100000000001</c:v>
                </c:pt>
                <c:pt idx="24">
                  <c:v>42.230200000000004</c:v>
                </c:pt>
                <c:pt idx="25">
                  <c:v>39.915599999999998</c:v>
                </c:pt>
                <c:pt idx="26">
                  <c:v>25.399100000000001</c:v>
                </c:pt>
                <c:pt idx="27">
                  <c:v>27.6007</c:v>
                </c:pt>
                <c:pt idx="28">
                  <c:v>36.456899999999997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AD-774E-88F4-A60DA88149D5}"/>
            </c:ext>
          </c:extLst>
        </c:ser>
        <c:ser>
          <c:idx val="1"/>
          <c:order val="1"/>
          <c:tx>
            <c:v>EM2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'[2]AnalySize 16 age'!$B$2:$B$30</c:f>
              <c:numCache>
                <c:formatCode>General</c:formatCode>
                <c:ptCount val="29"/>
                <c:pt idx="0">
                  <c:v>8.7352109999999996</c:v>
                </c:pt>
                <c:pt idx="1">
                  <c:v>9.5166319999999995</c:v>
                </c:pt>
                <c:pt idx="2">
                  <c:v>9.7398950000000006</c:v>
                </c:pt>
                <c:pt idx="3">
                  <c:v>10.53726</c:v>
                </c:pt>
                <c:pt idx="4">
                  <c:v>11.65635</c:v>
                </c:pt>
                <c:pt idx="5">
                  <c:v>12.904339999999999</c:v>
                </c:pt>
                <c:pt idx="6">
                  <c:v>13.862500000000001</c:v>
                </c:pt>
                <c:pt idx="7">
                  <c:v>15.335979999999999</c:v>
                </c:pt>
                <c:pt idx="8">
                  <c:v>17.013829999999999</c:v>
                </c:pt>
                <c:pt idx="9">
                  <c:v>17.0595</c:v>
                </c:pt>
                <c:pt idx="10">
                  <c:v>17.470500000000001</c:v>
                </c:pt>
                <c:pt idx="11">
                  <c:v>19.525729999999999</c:v>
                </c:pt>
                <c:pt idx="12">
                  <c:v>20.780909999999999</c:v>
                </c:pt>
                <c:pt idx="13">
                  <c:v>24.186920000000001</c:v>
                </c:pt>
                <c:pt idx="14">
                  <c:v>24.650079999999999</c:v>
                </c:pt>
                <c:pt idx="15">
                  <c:v>25.216149999999999</c:v>
                </c:pt>
                <c:pt idx="16">
                  <c:v>27.017309999999998</c:v>
                </c:pt>
                <c:pt idx="17">
                  <c:v>27.53192</c:v>
                </c:pt>
                <c:pt idx="18">
                  <c:v>27.840689999999999</c:v>
                </c:pt>
                <c:pt idx="19">
                  <c:v>28.351150000000001</c:v>
                </c:pt>
                <c:pt idx="20">
                  <c:v>28.85745</c:v>
                </c:pt>
                <c:pt idx="21">
                  <c:v>29.307490000000001</c:v>
                </c:pt>
                <c:pt idx="22">
                  <c:v>29.813790000000001</c:v>
                </c:pt>
                <c:pt idx="23">
                  <c:v>30.151319999999998</c:v>
                </c:pt>
                <c:pt idx="24">
                  <c:v>30.839300000000001</c:v>
                </c:pt>
                <c:pt idx="25">
                  <c:v>31.629819999999999</c:v>
                </c:pt>
                <c:pt idx="26">
                  <c:v>32.57</c:v>
                </c:pt>
                <c:pt idx="27">
                  <c:v>33.411000000000001</c:v>
                </c:pt>
                <c:pt idx="28">
                  <c:v>34.078000000000003</c:v>
                </c:pt>
              </c:numCache>
            </c:numRef>
          </c:xVal>
          <c:yVal>
            <c:numRef>
              <c:f>'[2]AnalySize 16 age'!$F$2:$F$30</c:f>
              <c:numCache>
                <c:formatCode>General</c:formatCode>
                <c:ptCount val="29"/>
                <c:pt idx="0">
                  <c:v>16.402200000000001</c:v>
                </c:pt>
                <c:pt idx="1">
                  <c:v>0</c:v>
                </c:pt>
                <c:pt idx="2">
                  <c:v>0</c:v>
                </c:pt>
                <c:pt idx="3">
                  <c:v>4.0487000000000002</c:v>
                </c:pt>
                <c:pt idx="4">
                  <c:v>8.5402000000000005</c:v>
                </c:pt>
                <c:pt idx="5">
                  <c:v>23.293199999999999</c:v>
                </c:pt>
                <c:pt idx="6">
                  <c:v>21.335699999999999</c:v>
                </c:pt>
                <c:pt idx="7">
                  <c:v>23.384</c:v>
                </c:pt>
                <c:pt idx="8">
                  <c:v>76.287000000000006</c:v>
                </c:pt>
                <c:pt idx="9">
                  <c:v>56.906500000000001</c:v>
                </c:pt>
                <c:pt idx="10">
                  <c:v>64.127700000000004</c:v>
                </c:pt>
                <c:pt idx="11">
                  <c:v>45.940800000000003</c:v>
                </c:pt>
                <c:pt idx="12">
                  <c:v>68.417599999999993</c:v>
                </c:pt>
                <c:pt idx="13">
                  <c:v>23.7193</c:v>
                </c:pt>
                <c:pt idx="14">
                  <c:v>28.078299999999999</c:v>
                </c:pt>
                <c:pt idx="15">
                  <c:v>49.286700000000003</c:v>
                </c:pt>
                <c:pt idx="16">
                  <c:v>64.195099999999996</c:v>
                </c:pt>
                <c:pt idx="17">
                  <c:v>55.217399999999998</c:v>
                </c:pt>
                <c:pt idx="18">
                  <c:v>64.343299999999999</c:v>
                </c:pt>
                <c:pt idx="19">
                  <c:v>44.360700000000001</c:v>
                </c:pt>
                <c:pt idx="20">
                  <c:v>47.003700000000002</c:v>
                </c:pt>
                <c:pt idx="21">
                  <c:v>61.694200000000002</c:v>
                </c:pt>
                <c:pt idx="22">
                  <c:v>57.832599999999999</c:v>
                </c:pt>
                <c:pt idx="23">
                  <c:v>49.120600000000003</c:v>
                </c:pt>
                <c:pt idx="24">
                  <c:v>55.696599999999997</c:v>
                </c:pt>
                <c:pt idx="25">
                  <c:v>53.598500000000001</c:v>
                </c:pt>
                <c:pt idx="26">
                  <c:v>61.874699999999997</c:v>
                </c:pt>
                <c:pt idx="27">
                  <c:v>72.399299999999997</c:v>
                </c:pt>
                <c:pt idx="28">
                  <c:v>57.628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AD-774E-88F4-A60DA88149D5}"/>
            </c:ext>
          </c:extLst>
        </c:ser>
        <c:ser>
          <c:idx val="2"/>
          <c:order val="2"/>
          <c:tx>
            <c:v>EM3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'[2]AnalySize 16 age'!$B$2:$B$30</c:f>
              <c:numCache>
                <c:formatCode>General</c:formatCode>
                <c:ptCount val="29"/>
                <c:pt idx="0">
                  <c:v>8.7352109999999996</c:v>
                </c:pt>
                <c:pt idx="1">
                  <c:v>9.5166319999999995</c:v>
                </c:pt>
                <c:pt idx="2">
                  <c:v>9.7398950000000006</c:v>
                </c:pt>
                <c:pt idx="3">
                  <c:v>10.53726</c:v>
                </c:pt>
                <c:pt idx="4">
                  <c:v>11.65635</c:v>
                </c:pt>
                <c:pt idx="5">
                  <c:v>12.904339999999999</c:v>
                </c:pt>
                <c:pt idx="6">
                  <c:v>13.862500000000001</c:v>
                </c:pt>
                <c:pt idx="7">
                  <c:v>15.335979999999999</c:v>
                </c:pt>
                <c:pt idx="8">
                  <c:v>17.013829999999999</c:v>
                </c:pt>
                <c:pt idx="9">
                  <c:v>17.0595</c:v>
                </c:pt>
                <c:pt idx="10">
                  <c:v>17.470500000000001</c:v>
                </c:pt>
                <c:pt idx="11">
                  <c:v>19.525729999999999</c:v>
                </c:pt>
                <c:pt idx="12">
                  <c:v>20.780909999999999</c:v>
                </c:pt>
                <c:pt idx="13">
                  <c:v>24.186920000000001</c:v>
                </c:pt>
                <c:pt idx="14">
                  <c:v>24.650079999999999</c:v>
                </c:pt>
                <c:pt idx="15">
                  <c:v>25.216149999999999</c:v>
                </c:pt>
                <c:pt idx="16">
                  <c:v>27.017309999999998</c:v>
                </c:pt>
                <c:pt idx="17">
                  <c:v>27.53192</c:v>
                </c:pt>
                <c:pt idx="18">
                  <c:v>27.840689999999999</c:v>
                </c:pt>
                <c:pt idx="19">
                  <c:v>28.351150000000001</c:v>
                </c:pt>
                <c:pt idx="20">
                  <c:v>28.85745</c:v>
                </c:pt>
                <c:pt idx="21">
                  <c:v>29.307490000000001</c:v>
                </c:pt>
                <c:pt idx="22">
                  <c:v>29.813790000000001</c:v>
                </c:pt>
                <c:pt idx="23">
                  <c:v>30.151319999999998</c:v>
                </c:pt>
                <c:pt idx="24">
                  <c:v>30.839300000000001</c:v>
                </c:pt>
                <c:pt idx="25">
                  <c:v>31.629819999999999</c:v>
                </c:pt>
                <c:pt idx="26">
                  <c:v>32.57</c:v>
                </c:pt>
                <c:pt idx="27">
                  <c:v>33.411000000000001</c:v>
                </c:pt>
                <c:pt idx="28">
                  <c:v>34.078000000000003</c:v>
                </c:pt>
              </c:numCache>
            </c:numRef>
          </c:xVal>
          <c:yVal>
            <c:numRef>
              <c:f>'[2]AnalySize 16 age'!$G$2:$G$30</c:f>
              <c:numCache>
                <c:formatCode>General</c:formatCode>
                <c:ptCount val="29"/>
                <c:pt idx="0">
                  <c:v>17.222100000000001</c:v>
                </c:pt>
                <c:pt idx="1">
                  <c:v>37.551699999999997</c:v>
                </c:pt>
                <c:pt idx="2">
                  <c:v>50.317799999999998</c:v>
                </c:pt>
                <c:pt idx="3">
                  <c:v>15.4817</c:v>
                </c:pt>
                <c:pt idx="4">
                  <c:v>45.621099999999998</c:v>
                </c:pt>
                <c:pt idx="5">
                  <c:v>76.706800000000001</c:v>
                </c:pt>
                <c:pt idx="6">
                  <c:v>29.835599999999999</c:v>
                </c:pt>
                <c:pt idx="7">
                  <c:v>0</c:v>
                </c:pt>
                <c:pt idx="8">
                  <c:v>18.0396</c:v>
                </c:pt>
                <c:pt idx="9">
                  <c:v>7.6116999999999999</c:v>
                </c:pt>
                <c:pt idx="10">
                  <c:v>24.4634</c:v>
                </c:pt>
                <c:pt idx="11">
                  <c:v>54.059199999999997</c:v>
                </c:pt>
                <c:pt idx="12">
                  <c:v>3.1073</c:v>
                </c:pt>
                <c:pt idx="13">
                  <c:v>52.7453</c:v>
                </c:pt>
                <c:pt idx="14">
                  <c:v>59.292999999999999</c:v>
                </c:pt>
                <c:pt idx="15">
                  <c:v>46.480200000000004</c:v>
                </c:pt>
                <c:pt idx="16">
                  <c:v>18.1403</c:v>
                </c:pt>
                <c:pt idx="17">
                  <c:v>0</c:v>
                </c:pt>
                <c:pt idx="18">
                  <c:v>8.3999000000000006</c:v>
                </c:pt>
                <c:pt idx="19">
                  <c:v>15.144399999999999</c:v>
                </c:pt>
                <c:pt idx="20">
                  <c:v>16.3903</c:v>
                </c:pt>
                <c:pt idx="21">
                  <c:v>4.5042</c:v>
                </c:pt>
                <c:pt idx="22">
                  <c:v>7.3151999999999999</c:v>
                </c:pt>
                <c:pt idx="23">
                  <c:v>22.090399999999999</c:v>
                </c:pt>
                <c:pt idx="24">
                  <c:v>2.0731999999999999</c:v>
                </c:pt>
                <c:pt idx="25">
                  <c:v>6.4858000000000002</c:v>
                </c:pt>
                <c:pt idx="26">
                  <c:v>12.7262</c:v>
                </c:pt>
                <c:pt idx="27">
                  <c:v>0</c:v>
                </c:pt>
                <c:pt idx="28">
                  <c:v>5.9150999999999998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9AD-774E-88F4-A60DA8814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069439"/>
        <c:axId val="1645071087"/>
      </c:scatterChart>
      <c:valAx>
        <c:axId val="164506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645071087"/>
        <c:crosses val="autoZero"/>
        <c:crossBetween val="midCat"/>
      </c:valAx>
      <c:valAx>
        <c:axId val="164507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64506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Ca from river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TGA!$C$3:$C$77</c:f>
              <c:numCache>
                <c:formatCode>0.00</c:formatCode>
                <c:ptCount val="75"/>
                <c:pt idx="0">
                  <c:v>9.0541578949999995</c:v>
                </c:pt>
                <c:pt idx="1">
                  <c:v>9.3093157889999993</c:v>
                </c:pt>
                <c:pt idx="2">
                  <c:v>9.6123157890000002</c:v>
                </c:pt>
                <c:pt idx="3">
                  <c:v>9.7398947370000002</c:v>
                </c:pt>
                <c:pt idx="4">
                  <c:v>9.8674736840000001</c:v>
                </c:pt>
                <c:pt idx="5">
                  <c:v>10.186421050000002</c:v>
                </c:pt>
                <c:pt idx="6">
                  <c:v>10.53726316</c:v>
                </c:pt>
                <c:pt idx="7">
                  <c:v>10.776473679999999</c:v>
                </c:pt>
                <c:pt idx="8">
                  <c:v>10.935947369999999</c:v>
                </c:pt>
                <c:pt idx="9">
                  <c:v>11.19110526</c:v>
                </c:pt>
                <c:pt idx="10">
                  <c:v>11.99153398</c:v>
                </c:pt>
                <c:pt idx="11">
                  <c:v>12.10326214</c:v>
                </c:pt>
                <c:pt idx="12">
                  <c:v>12.582507769999999</c:v>
                </c:pt>
                <c:pt idx="13">
                  <c:v>12.666632120000001</c:v>
                </c:pt>
                <c:pt idx="14">
                  <c:v>12.704870469999999</c:v>
                </c:pt>
                <c:pt idx="15">
                  <c:v>12.746932640000001</c:v>
                </c:pt>
                <c:pt idx="16">
                  <c:v>12.81958549</c:v>
                </c:pt>
                <c:pt idx="17">
                  <c:v>12.974816329999999</c:v>
                </c:pt>
                <c:pt idx="18">
                  <c:v>13.22148299</c:v>
                </c:pt>
                <c:pt idx="19">
                  <c:v>13.7395</c:v>
                </c:pt>
                <c:pt idx="20">
                  <c:v>13.862500000000001</c:v>
                </c:pt>
                <c:pt idx="21">
                  <c:v>15.106563640000001</c:v>
                </c:pt>
                <c:pt idx="22">
                  <c:v>15.297745450000001</c:v>
                </c:pt>
                <c:pt idx="23">
                  <c:v>15.68010909</c:v>
                </c:pt>
                <c:pt idx="24">
                  <c:v>15.986000000000001</c:v>
                </c:pt>
                <c:pt idx="25">
                  <c:v>16.164000000000001</c:v>
                </c:pt>
                <c:pt idx="26">
                  <c:v>16.486222219999998</c:v>
                </c:pt>
                <c:pt idx="27">
                  <c:v>17.150833330000001</c:v>
                </c:pt>
                <c:pt idx="28">
                  <c:v>17.402000000000001</c:v>
                </c:pt>
                <c:pt idx="29">
                  <c:v>17.607500000000002</c:v>
                </c:pt>
                <c:pt idx="30">
                  <c:v>18.00630928</c:v>
                </c:pt>
                <c:pt idx="31">
                  <c:v>18.336618559999998</c:v>
                </c:pt>
                <c:pt idx="32">
                  <c:v>18.799051550000001</c:v>
                </c:pt>
                <c:pt idx="33">
                  <c:v>19.789979380000002</c:v>
                </c:pt>
                <c:pt idx="34">
                  <c:v>19.988164949999998</c:v>
                </c:pt>
                <c:pt idx="35">
                  <c:v>20.12028866</c:v>
                </c:pt>
                <c:pt idx="36">
                  <c:v>20.78090722</c:v>
                </c:pt>
                <c:pt idx="37">
                  <c:v>21.24334021</c:v>
                </c:pt>
                <c:pt idx="38">
                  <c:v>21.639711340000002</c:v>
                </c:pt>
                <c:pt idx="39">
                  <c:v>22.23426804</c:v>
                </c:pt>
                <c:pt idx="40">
                  <c:v>22.43245361</c:v>
                </c:pt>
                <c:pt idx="41">
                  <c:v>23.819752579999999</c:v>
                </c:pt>
                <c:pt idx="42">
                  <c:v>24.547153849999997</c:v>
                </c:pt>
                <c:pt idx="43">
                  <c:v>25.216153849999998</c:v>
                </c:pt>
                <c:pt idx="44">
                  <c:v>25.73076923</c:v>
                </c:pt>
                <c:pt idx="45">
                  <c:v>26.142461539999999</c:v>
                </c:pt>
                <c:pt idx="46">
                  <c:v>26.39976923</c:v>
                </c:pt>
                <c:pt idx="47">
                  <c:v>27.171692309999997</c:v>
                </c:pt>
                <c:pt idx="48">
                  <c:v>27.326076919999998</c:v>
                </c:pt>
                <c:pt idx="49">
                  <c:v>27.686307690000003</c:v>
                </c:pt>
                <c:pt idx="50">
                  <c:v>28.046538460000001</c:v>
                </c:pt>
                <c:pt idx="51">
                  <c:v>28.857446810000003</c:v>
                </c:pt>
                <c:pt idx="52">
                  <c:v>29.166851060000003</c:v>
                </c:pt>
                <c:pt idx="53">
                  <c:v>29.47625532</c:v>
                </c:pt>
                <c:pt idx="54">
                  <c:v>29.7012766</c:v>
                </c:pt>
                <c:pt idx="55">
                  <c:v>29.89817021</c:v>
                </c:pt>
                <c:pt idx="56">
                  <c:v>30.038808509999999</c:v>
                </c:pt>
                <c:pt idx="57">
                  <c:v>30.207574470000001</c:v>
                </c:pt>
                <c:pt idx="58">
                  <c:v>30.516978720000001</c:v>
                </c:pt>
                <c:pt idx="59">
                  <c:v>30.65761702</c:v>
                </c:pt>
                <c:pt idx="60">
                  <c:v>30.766323810000003</c:v>
                </c:pt>
                <c:pt idx="61">
                  <c:v>30.93659048</c:v>
                </c:pt>
                <c:pt idx="62">
                  <c:v>31.021723810000001</c:v>
                </c:pt>
                <c:pt idx="63">
                  <c:v>31.119019049999999</c:v>
                </c:pt>
                <c:pt idx="64">
                  <c:v>31.21631429</c:v>
                </c:pt>
                <c:pt idx="65">
                  <c:v>31.32577143</c:v>
                </c:pt>
                <c:pt idx="66">
                  <c:v>31.556847619999999</c:v>
                </c:pt>
                <c:pt idx="67">
                  <c:v>32.018999999999998</c:v>
                </c:pt>
                <c:pt idx="68">
                  <c:v>32.308999999999997</c:v>
                </c:pt>
                <c:pt idx="69">
                  <c:v>32.540999999999997</c:v>
                </c:pt>
                <c:pt idx="70">
                  <c:v>32.744</c:v>
                </c:pt>
                <c:pt idx="71">
                  <c:v>32.947000000000003</c:v>
                </c:pt>
                <c:pt idx="72">
                  <c:v>33.265999999999998</c:v>
                </c:pt>
                <c:pt idx="73">
                  <c:v>33.701000000000001</c:v>
                </c:pt>
                <c:pt idx="74">
                  <c:v>33.991</c:v>
                </c:pt>
              </c:numCache>
            </c:numRef>
          </c:xVal>
          <c:yVal>
            <c:numRef>
              <c:f>TGA!$K$3:$K$77</c:f>
              <c:numCache>
                <c:formatCode>General</c:formatCode>
                <c:ptCount val="75"/>
                <c:pt idx="0">
                  <c:v>62.733999999999995</c:v>
                </c:pt>
                <c:pt idx="1">
                  <c:v>63.756999999999998</c:v>
                </c:pt>
                <c:pt idx="2">
                  <c:v>61.642000000000003</c:v>
                </c:pt>
                <c:pt idx="3">
                  <c:v>60.935000000000002</c:v>
                </c:pt>
                <c:pt idx="4">
                  <c:v>63.643000000000001</c:v>
                </c:pt>
                <c:pt idx="5">
                  <c:v>63.805999999999997</c:v>
                </c:pt>
                <c:pt idx="6">
                  <c:v>64.804000000000002</c:v>
                </c:pt>
                <c:pt idx="7">
                  <c:v>61.881</c:v>
                </c:pt>
                <c:pt idx="8">
                  <c:v>62.366</c:v>
                </c:pt>
                <c:pt idx="9">
                  <c:v>63.623000000000005</c:v>
                </c:pt>
                <c:pt idx="10">
                  <c:v>65.793000000000006</c:v>
                </c:pt>
                <c:pt idx="11">
                  <c:v>62.123000000000005</c:v>
                </c:pt>
                <c:pt idx="12">
                  <c:v>65.515999999999991</c:v>
                </c:pt>
                <c:pt idx="13">
                  <c:v>64.036000000000001</c:v>
                </c:pt>
                <c:pt idx="14">
                  <c:v>66.115000000000009</c:v>
                </c:pt>
                <c:pt idx="15">
                  <c:v>63.62</c:v>
                </c:pt>
                <c:pt idx="16">
                  <c:v>61.115000000000002</c:v>
                </c:pt>
                <c:pt idx="17">
                  <c:v>63.576000000000001</c:v>
                </c:pt>
                <c:pt idx="18">
                  <c:v>63.552</c:v>
                </c:pt>
                <c:pt idx="19">
                  <c:v>64.03</c:v>
                </c:pt>
                <c:pt idx="20">
                  <c:v>64.826999999999998</c:v>
                </c:pt>
                <c:pt idx="21">
                  <c:v>64.784999999999997</c:v>
                </c:pt>
                <c:pt idx="22">
                  <c:v>62.424000000000007</c:v>
                </c:pt>
                <c:pt idx="23">
                  <c:v>63.936999999999998</c:v>
                </c:pt>
                <c:pt idx="24">
                  <c:v>64.137</c:v>
                </c:pt>
                <c:pt idx="25">
                  <c:v>63.924000000000007</c:v>
                </c:pt>
                <c:pt idx="26">
                  <c:v>63.503999999999998</c:v>
                </c:pt>
                <c:pt idx="27">
                  <c:v>61.396000000000001</c:v>
                </c:pt>
                <c:pt idx="28">
                  <c:v>62.401000000000003</c:v>
                </c:pt>
                <c:pt idx="29">
                  <c:v>61.770999999999994</c:v>
                </c:pt>
                <c:pt idx="30">
                  <c:v>62.695</c:v>
                </c:pt>
                <c:pt idx="31">
                  <c:v>64.091000000000008</c:v>
                </c:pt>
                <c:pt idx="32">
                  <c:v>61.882000000000005</c:v>
                </c:pt>
                <c:pt idx="33">
                  <c:v>62.661999999999999</c:v>
                </c:pt>
                <c:pt idx="34">
                  <c:v>62.601999999999997</c:v>
                </c:pt>
                <c:pt idx="35">
                  <c:v>62.146000000000001</c:v>
                </c:pt>
                <c:pt idx="36">
                  <c:v>62.063000000000002</c:v>
                </c:pt>
                <c:pt idx="37">
                  <c:v>58.984999999999999</c:v>
                </c:pt>
                <c:pt idx="38">
                  <c:v>62.870999999999995</c:v>
                </c:pt>
                <c:pt idx="39">
                  <c:v>61.648000000000003</c:v>
                </c:pt>
                <c:pt idx="40">
                  <c:v>62.036000000000001</c:v>
                </c:pt>
                <c:pt idx="41">
                  <c:v>61.292999999999999</c:v>
                </c:pt>
                <c:pt idx="42">
                  <c:v>62.843000000000004</c:v>
                </c:pt>
                <c:pt idx="43">
                  <c:v>63.226999999999997</c:v>
                </c:pt>
                <c:pt idx="44">
                  <c:v>60.457999999999998</c:v>
                </c:pt>
                <c:pt idx="45">
                  <c:v>63.405999999999999</c:v>
                </c:pt>
                <c:pt idx="46">
                  <c:v>63.905000000000001</c:v>
                </c:pt>
                <c:pt idx="47">
                  <c:v>62.716999999999999</c:v>
                </c:pt>
                <c:pt idx="48">
                  <c:v>63.15</c:v>
                </c:pt>
                <c:pt idx="49">
                  <c:v>62.277999999999999</c:v>
                </c:pt>
                <c:pt idx="50">
                  <c:v>63.259</c:v>
                </c:pt>
                <c:pt idx="51">
                  <c:v>63.548999999999999</c:v>
                </c:pt>
                <c:pt idx="52">
                  <c:v>61.421999999999997</c:v>
                </c:pt>
                <c:pt idx="53">
                  <c:v>63.067999999999998</c:v>
                </c:pt>
                <c:pt idx="54">
                  <c:v>63.814999999999998</c:v>
                </c:pt>
                <c:pt idx="55">
                  <c:v>60.923999999999999</c:v>
                </c:pt>
                <c:pt idx="56">
                  <c:v>63.592999999999996</c:v>
                </c:pt>
                <c:pt idx="57">
                  <c:v>64.490000000000009</c:v>
                </c:pt>
                <c:pt idx="58">
                  <c:v>64.38900000000001</c:v>
                </c:pt>
                <c:pt idx="59">
                  <c:v>64.343999999999994</c:v>
                </c:pt>
                <c:pt idx="60">
                  <c:v>63.928999999999995</c:v>
                </c:pt>
                <c:pt idx="61">
                  <c:v>63.014000000000003</c:v>
                </c:pt>
                <c:pt idx="62">
                  <c:v>64.694000000000003</c:v>
                </c:pt>
                <c:pt idx="63">
                  <c:v>64.162999999999997</c:v>
                </c:pt>
                <c:pt idx="64">
                  <c:v>63.491</c:v>
                </c:pt>
                <c:pt idx="65">
                  <c:v>64.245999999999995</c:v>
                </c:pt>
                <c:pt idx="66">
                  <c:v>63.534999999999997</c:v>
                </c:pt>
                <c:pt idx="67">
                  <c:v>62.731000000000002</c:v>
                </c:pt>
                <c:pt idx="68">
                  <c:v>60.183000000000007</c:v>
                </c:pt>
                <c:pt idx="69">
                  <c:v>64.117999999999995</c:v>
                </c:pt>
                <c:pt idx="70">
                  <c:v>63.03</c:v>
                </c:pt>
                <c:pt idx="71">
                  <c:v>64.673000000000002</c:v>
                </c:pt>
                <c:pt idx="72">
                  <c:v>64.635000000000005</c:v>
                </c:pt>
                <c:pt idx="73">
                  <c:v>63.088000000000001</c:v>
                </c:pt>
                <c:pt idx="74">
                  <c:v>64.044999999999987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F2-4BA4-A2AD-8F5D5F517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659032"/>
        <c:axId val="1438660112"/>
      </c:scatterChart>
      <c:valAx>
        <c:axId val="1438659032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438660112"/>
        <c:crosses val="autoZero"/>
        <c:crossBetween val="midCat"/>
      </c:valAx>
      <c:valAx>
        <c:axId val="143866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Rest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438659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Productivity</a:t>
            </a:r>
            <a:r>
              <a:rPr lang="nl-NL" baseline="0"/>
              <a:t> over time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TGA!$C$3:$C$77</c:f>
              <c:numCache>
                <c:formatCode>0.00</c:formatCode>
                <c:ptCount val="75"/>
                <c:pt idx="0">
                  <c:v>9.0541578949999995</c:v>
                </c:pt>
                <c:pt idx="1">
                  <c:v>9.3093157889999993</c:v>
                </c:pt>
                <c:pt idx="2">
                  <c:v>9.6123157890000002</c:v>
                </c:pt>
                <c:pt idx="3">
                  <c:v>9.7398947370000002</c:v>
                </c:pt>
                <c:pt idx="4">
                  <c:v>9.8674736840000001</c:v>
                </c:pt>
                <c:pt idx="5">
                  <c:v>10.186421050000002</c:v>
                </c:pt>
                <c:pt idx="6">
                  <c:v>10.53726316</c:v>
                </c:pt>
                <c:pt idx="7">
                  <c:v>10.776473679999999</c:v>
                </c:pt>
                <c:pt idx="8">
                  <c:v>10.935947369999999</c:v>
                </c:pt>
                <c:pt idx="9">
                  <c:v>11.19110526</c:v>
                </c:pt>
                <c:pt idx="10">
                  <c:v>11.99153398</c:v>
                </c:pt>
                <c:pt idx="11">
                  <c:v>12.10326214</c:v>
                </c:pt>
                <c:pt idx="12">
                  <c:v>12.582507769999999</c:v>
                </c:pt>
                <c:pt idx="13">
                  <c:v>12.666632120000001</c:v>
                </c:pt>
                <c:pt idx="14">
                  <c:v>12.704870469999999</c:v>
                </c:pt>
                <c:pt idx="15">
                  <c:v>12.746932640000001</c:v>
                </c:pt>
                <c:pt idx="16">
                  <c:v>12.81958549</c:v>
                </c:pt>
                <c:pt idx="17">
                  <c:v>12.974816329999999</c:v>
                </c:pt>
                <c:pt idx="18">
                  <c:v>13.22148299</c:v>
                </c:pt>
                <c:pt idx="19">
                  <c:v>13.7395</c:v>
                </c:pt>
                <c:pt idx="20">
                  <c:v>13.862500000000001</c:v>
                </c:pt>
                <c:pt idx="21">
                  <c:v>15.106563640000001</c:v>
                </c:pt>
                <c:pt idx="22">
                  <c:v>15.297745450000001</c:v>
                </c:pt>
                <c:pt idx="23">
                  <c:v>15.68010909</c:v>
                </c:pt>
                <c:pt idx="24">
                  <c:v>15.986000000000001</c:v>
                </c:pt>
                <c:pt idx="25">
                  <c:v>16.164000000000001</c:v>
                </c:pt>
                <c:pt idx="26">
                  <c:v>16.486222219999998</c:v>
                </c:pt>
                <c:pt idx="27">
                  <c:v>17.150833330000001</c:v>
                </c:pt>
                <c:pt idx="28">
                  <c:v>17.402000000000001</c:v>
                </c:pt>
                <c:pt idx="29">
                  <c:v>17.607500000000002</c:v>
                </c:pt>
                <c:pt idx="30">
                  <c:v>18.00630928</c:v>
                </c:pt>
                <c:pt idx="31">
                  <c:v>18.336618559999998</c:v>
                </c:pt>
                <c:pt idx="32">
                  <c:v>18.799051550000001</c:v>
                </c:pt>
                <c:pt idx="33">
                  <c:v>19.789979380000002</c:v>
                </c:pt>
                <c:pt idx="34">
                  <c:v>19.988164949999998</c:v>
                </c:pt>
                <c:pt idx="35">
                  <c:v>20.12028866</c:v>
                </c:pt>
                <c:pt idx="36">
                  <c:v>20.78090722</c:v>
                </c:pt>
                <c:pt idx="37">
                  <c:v>21.24334021</c:v>
                </c:pt>
                <c:pt idx="38">
                  <c:v>21.639711340000002</c:v>
                </c:pt>
                <c:pt idx="39">
                  <c:v>22.23426804</c:v>
                </c:pt>
                <c:pt idx="40">
                  <c:v>22.43245361</c:v>
                </c:pt>
                <c:pt idx="41">
                  <c:v>23.819752579999999</c:v>
                </c:pt>
                <c:pt idx="42">
                  <c:v>24.547153849999997</c:v>
                </c:pt>
                <c:pt idx="43">
                  <c:v>25.216153849999998</c:v>
                </c:pt>
                <c:pt idx="44">
                  <c:v>25.73076923</c:v>
                </c:pt>
                <c:pt idx="45">
                  <c:v>26.142461539999999</c:v>
                </c:pt>
                <c:pt idx="46">
                  <c:v>26.39976923</c:v>
                </c:pt>
                <c:pt idx="47">
                  <c:v>27.171692309999997</c:v>
                </c:pt>
                <c:pt idx="48">
                  <c:v>27.326076919999998</c:v>
                </c:pt>
                <c:pt idx="49">
                  <c:v>27.686307690000003</c:v>
                </c:pt>
                <c:pt idx="50">
                  <c:v>28.046538460000001</c:v>
                </c:pt>
                <c:pt idx="51">
                  <c:v>28.857446810000003</c:v>
                </c:pt>
                <c:pt idx="52">
                  <c:v>29.166851060000003</c:v>
                </c:pt>
                <c:pt idx="53">
                  <c:v>29.47625532</c:v>
                </c:pt>
                <c:pt idx="54">
                  <c:v>29.7012766</c:v>
                </c:pt>
                <c:pt idx="55">
                  <c:v>29.89817021</c:v>
                </c:pt>
                <c:pt idx="56">
                  <c:v>30.038808509999999</c:v>
                </c:pt>
                <c:pt idx="57">
                  <c:v>30.207574470000001</c:v>
                </c:pt>
                <c:pt idx="58">
                  <c:v>30.516978720000001</c:v>
                </c:pt>
                <c:pt idx="59">
                  <c:v>30.65761702</c:v>
                </c:pt>
                <c:pt idx="60">
                  <c:v>30.766323810000003</c:v>
                </c:pt>
                <c:pt idx="61">
                  <c:v>30.93659048</c:v>
                </c:pt>
                <c:pt idx="62">
                  <c:v>31.021723810000001</c:v>
                </c:pt>
                <c:pt idx="63">
                  <c:v>31.119019049999999</c:v>
                </c:pt>
                <c:pt idx="64">
                  <c:v>31.21631429</c:v>
                </c:pt>
                <c:pt idx="65">
                  <c:v>31.32577143</c:v>
                </c:pt>
                <c:pt idx="66">
                  <c:v>31.556847619999999</c:v>
                </c:pt>
                <c:pt idx="67">
                  <c:v>32.018999999999998</c:v>
                </c:pt>
                <c:pt idx="68">
                  <c:v>32.308999999999997</c:v>
                </c:pt>
                <c:pt idx="69">
                  <c:v>32.540999999999997</c:v>
                </c:pt>
                <c:pt idx="70">
                  <c:v>32.744</c:v>
                </c:pt>
                <c:pt idx="71">
                  <c:v>32.947000000000003</c:v>
                </c:pt>
                <c:pt idx="72">
                  <c:v>33.265999999999998</c:v>
                </c:pt>
                <c:pt idx="73">
                  <c:v>33.701000000000001</c:v>
                </c:pt>
                <c:pt idx="74">
                  <c:v>33.991</c:v>
                </c:pt>
              </c:numCache>
            </c:numRef>
          </c:xVal>
          <c:yVal>
            <c:numRef>
              <c:f>TGA!$J$3:$J$77</c:f>
              <c:numCache>
                <c:formatCode>General</c:formatCode>
                <c:ptCount val="75"/>
                <c:pt idx="0">
                  <c:v>19.289000000000001</c:v>
                </c:pt>
                <c:pt idx="1">
                  <c:v>19.919999999999998</c:v>
                </c:pt>
                <c:pt idx="2">
                  <c:v>20.058</c:v>
                </c:pt>
                <c:pt idx="3">
                  <c:v>19.387999999999998</c:v>
                </c:pt>
                <c:pt idx="4">
                  <c:v>20.318000000000001</c:v>
                </c:pt>
                <c:pt idx="5">
                  <c:v>20.132999999999999</c:v>
                </c:pt>
                <c:pt idx="6">
                  <c:v>19.323999999999998</c:v>
                </c:pt>
                <c:pt idx="7">
                  <c:v>19.518000000000001</c:v>
                </c:pt>
                <c:pt idx="8">
                  <c:v>19.541</c:v>
                </c:pt>
                <c:pt idx="9">
                  <c:v>19.261000000000003</c:v>
                </c:pt>
                <c:pt idx="10">
                  <c:v>18.881999999999998</c:v>
                </c:pt>
                <c:pt idx="11">
                  <c:v>18.902000000000001</c:v>
                </c:pt>
                <c:pt idx="12">
                  <c:v>19.207000000000001</c:v>
                </c:pt>
                <c:pt idx="13">
                  <c:v>18.640999999999998</c:v>
                </c:pt>
                <c:pt idx="14">
                  <c:v>18.881</c:v>
                </c:pt>
                <c:pt idx="15">
                  <c:v>19.048000000000002</c:v>
                </c:pt>
                <c:pt idx="16">
                  <c:v>19.972999999999999</c:v>
                </c:pt>
                <c:pt idx="17">
                  <c:v>19.414000000000001</c:v>
                </c:pt>
                <c:pt idx="18">
                  <c:v>19.407</c:v>
                </c:pt>
                <c:pt idx="19">
                  <c:v>18.905999999999999</c:v>
                </c:pt>
                <c:pt idx="20">
                  <c:v>18.611000000000001</c:v>
                </c:pt>
                <c:pt idx="21">
                  <c:v>18.752000000000002</c:v>
                </c:pt>
                <c:pt idx="22">
                  <c:v>18.617000000000001</c:v>
                </c:pt>
                <c:pt idx="23">
                  <c:v>18.877000000000002</c:v>
                </c:pt>
                <c:pt idx="24">
                  <c:v>19.058999999999997</c:v>
                </c:pt>
                <c:pt idx="25">
                  <c:v>18.483999999999998</c:v>
                </c:pt>
                <c:pt idx="26">
                  <c:v>19.227</c:v>
                </c:pt>
                <c:pt idx="27">
                  <c:v>21.056000000000001</c:v>
                </c:pt>
                <c:pt idx="28">
                  <c:v>20.863</c:v>
                </c:pt>
                <c:pt idx="29">
                  <c:v>21.158999999999999</c:v>
                </c:pt>
                <c:pt idx="30">
                  <c:v>20.538</c:v>
                </c:pt>
                <c:pt idx="31">
                  <c:v>20.527000000000001</c:v>
                </c:pt>
                <c:pt idx="32">
                  <c:v>21.07</c:v>
                </c:pt>
                <c:pt idx="33">
                  <c:v>20.818999999999999</c:v>
                </c:pt>
                <c:pt idx="34">
                  <c:v>20.986000000000001</c:v>
                </c:pt>
                <c:pt idx="35">
                  <c:v>21.166</c:v>
                </c:pt>
                <c:pt idx="36">
                  <c:v>21.137999999999998</c:v>
                </c:pt>
                <c:pt idx="37">
                  <c:v>21.873000000000001</c:v>
                </c:pt>
                <c:pt idx="38">
                  <c:v>21.755000000000003</c:v>
                </c:pt>
                <c:pt idx="39">
                  <c:v>21.791</c:v>
                </c:pt>
                <c:pt idx="40">
                  <c:v>21.548000000000002</c:v>
                </c:pt>
                <c:pt idx="41">
                  <c:v>21.744</c:v>
                </c:pt>
                <c:pt idx="42">
                  <c:v>21.054000000000002</c:v>
                </c:pt>
                <c:pt idx="43">
                  <c:v>20.794</c:v>
                </c:pt>
                <c:pt idx="44">
                  <c:v>20.996000000000002</c:v>
                </c:pt>
                <c:pt idx="45">
                  <c:v>20.731999999999999</c:v>
                </c:pt>
                <c:pt idx="46">
                  <c:v>20.469000000000001</c:v>
                </c:pt>
                <c:pt idx="47">
                  <c:v>20.009</c:v>
                </c:pt>
                <c:pt idx="48">
                  <c:v>19.445</c:v>
                </c:pt>
                <c:pt idx="49">
                  <c:v>20.780999999999999</c:v>
                </c:pt>
                <c:pt idx="50">
                  <c:v>20.233000000000001</c:v>
                </c:pt>
                <c:pt idx="51">
                  <c:v>19.646000000000001</c:v>
                </c:pt>
                <c:pt idx="52">
                  <c:v>19.925999999999998</c:v>
                </c:pt>
                <c:pt idx="53">
                  <c:v>20.006</c:v>
                </c:pt>
                <c:pt idx="54">
                  <c:v>19.942999999999998</c:v>
                </c:pt>
                <c:pt idx="55">
                  <c:v>20.367999999999999</c:v>
                </c:pt>
                <c:pt idx="56">
                  <c:v>19.944000000000003</c:v>
                </c:pt>
                <c:pt idx="57">
                  <c:v>19.350999999999999</c:v>
                </c:pt>
                <c:pt idx="58">
                  <c:v>19.317999999999998</c:v>
                </c:pt>
                <c:pt idx="59">
                  <c:v>19.311</c:v>
                </c:pt>
                <c:pt idx="60">
                  <c:v>19.824000000000002</c:v>
                </c:pt>
                <c:pt idx="61">
                  <c:v>20.268999999999998</c:v>
                </c:pt>
                <c:pt idx="62">
                  <c:v>19.140999999999998</c:v>
                </c:pt>
                <c:pt idx="63">
                  <c:v>19.377000000000002</c:v>
                </c:pt>
                <c:pt idx="64">
                  <c:v>19.236000000000001</c:v>
                </c:pt>
                <c:pt idx="65">
                  <c:v>19.152000000000001</c:v>
                </c:pt>
                <c:pt idx="66">
                  <c:v>19.344999999999999</c:v>
                </c:pt>
                <c:pt idx="67">
                  <c:v>20.054000000000002</c:v>
                </c:pt>
                <c:pt idx="68">
                  <c:v>20.791</c:v>
                </c:pt>
                <c:pt idx="69">
                  <c:v>19.105</c:v>
                </c:pt>
                <c:pt idx="70">
                  <c:v>19.630000000000003</c:v>
                </c:pt>
                <c:pt idx="71">
                  <c:v>18.78</c:v>
                </c:pt>
                <c:pt idx="72">
                  <c:v>19.132999999999999</c:v>
                </c:pt>
                <c:pt idx="73">
                  <c:v>19.420999999999999</c:v>
                </c:pt>
                <c:pt idx="74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90-4E69-88A2-FF1A16912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4235520"/>
        <c:axId val="1144236600"/>
      </c:scatterChart>
      <c:valAx>
        <c:axId val="114423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Age (ka)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44236600"/>
        <c:crosses val="autoZero"/>
        <c:crossBetween val="midCat"/>
      </c:valAx>
      <c:valAx>
        <c:axId val="1144236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Total productivity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44235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TGA!$F$2</c:f>
              <c:strCache>
                <c:ptCount val="1"/>
                <c:pt idx="0">
                  <c:v>LOI330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TGA!$C$3:$C$77</c:f>
              <c:numCache>
                <c:formatCode>0.00</c:formatCode>
                <c:ptCount val="75"/>
                <c:pt idx="0">
                  <c:v>9.0541578949999995</c:v>
                </c:pt>
                <c:pt idx="1">
                  <c:v>9.3093157889999993</c:v>
                </c:pt>
                <c:pt idx="2">
                  <c:v>9.6123157890000002</c:v>
                </c:pt>
                <c:pt idx="3">
                  <c:v>9.7398947370000002</c:v>
                </c:pt>
                <c:pt idx="4">
                  <c:v>9.8674736840000001</c:v>
                </c:pt>
                <c:pt idx="5">
                  <c:v>10.186421050000002</c:v>
                </c:pt>
                <c:pt idx="6">
                  <c:v>10.53726316</c:v>
                </c:pt>
                <c:pt idx="7">
                  <c:v>10.776473679999999</c:v>
                </c:pt>
                <c:pt idx="8">
                  <c:v>10.935947369999999</c:v>
                </c:pt>
                <c:pt idx="9">
                  <c:v>11.19110526</c:v>
                </c:pt>
                <c:pt idx="10">
                  <c:v>11.99153398</c:v>
                </c:pt>
                <c:pt idx="11">
                  <c:v>12.10326214</c:v>
                </c:pt>
                <c:pt idx="12">
                  <c:v>12.582507769999999</c:v>
                </c:pt>
                <c:pt idx="13">
                  <c:v>12.666632120000001</c:v>
                </c:pt>
                <c:pt idx="14">
                  <c:v>12.704870469999999</c:v>
                </c:pt>
                <c:pt idx="15">
                  <c:v>12.746932640000001</c:v>
                </c:pt>
                <c:pt idx="16">
                  <c:v>12.81958549</c:v>
                </c:pt>
                <c:pt idx="17">
                  <c:v>12.974816329999999</c:v>
                </c:pt>
                <c:pt idx="18">
                  <c:v>13.22148299</c:v>
                </c:pt>
                <c:pt idx="19">
                  <c:v>13.7395</c:v>
                </c:pt>
                <c:pt idx="20">
                  <c:v>13.862500000000001</c:v>
                </c:pt>
                <c:pt idx="21">
                  <c:v>15.106563640000001</c:v>
                </c:pt>
                <c:pt idx="22">
                  <c:v>15.297745450000001</c:v>
                </c:pt>
                <c:pt idx="23">
                  <c:v>15.68010909</c:v>
                </c:pt>
                <c:pt idx="24">
                  <c:v>15.986000000000001</c:v>
                </c:pt>
                <c:pt idx="25">
                  <c:v>16.164000000000001</c:v>
                </c:pt>
                <c:pt idx="26">
                  <c:v>16.486222219999998</c:v>
                </c:pt>
                <c:pt idx="27">
                  <c:v>17.150833330000001</c:v>
                </c:pt>
                <c:pt idx="28">
                  <c:v>17.402000000000001</c:v>
                </c:pt>
                <c:pt idx="29">
                  <c:v>17.607500000000002</c:v>
                </c:pt>
                <c:pt idx="30">
                  <c:v>18.00630928</c:v>
                </c:pt>
                <c:pt idx="31">
                  <c:v>18.336618559999998</c:v>
                </c:pt>
                <c:pt idx="32">
                  <c:v>18.799051550000001</c:v>
                </c:pt>
                <c:pt idx="33">
                  <c:v>19.789979380000002</c:v>
                </c:pt>
                <c:pt idx="34">
                  <c:v>19.988164949999998</c:v>
                </c:pt>
                <c:pt idx="35">
                  <c:v>20.12028866</c:v>
                </c:pt>
                <c:pt idx="36">
                  <c:v>20.78090722</c:v>
                </c:pt>
                <c:pt idx="37">
                  <c:v>21.24334021</c:v>
                </c:pt>
                <c:pt idx="38">
                  <c:v>21.639711340000002</c:v>
                </c:pt>
                <c:pt idx="39">
                  <c:v>22.23426804</c:v>
                </c:pt>
                <c:pt idx="40">
                  <c:v>22.43245361</c:v>
                </c:pt>
                <c:pt idx="41">
                  <c:v>23.819752579999999</c:v>
                </c:pt>
                <c:pt idx="42">
                  <c:v>24.547153849999997</c:v>
                </c:pt>
                <c:pt idx="43">
                  <c:v>25.216153849999998</c:v>
                </c:pt>
                <c:pt idx="44">
                  <c:v>25.73076923</c:v>
                </c:pt>
                <c:pt idx="45">
                  <c:v>26.142461539999999</c:v>
                </c:pt>
                <c:pt idx="46">
                  <c:v>26.39976923</c:v>
                </c:pt>
                <c:pt idx="47">
                  <c:v>27.171692309999997</c:v>
                </c:pt>
                <c:pt idx="48">
                  <c:v>27.326076919999998</c:v>
                </c:pt>
                <c:pt idx="49">
                  <c:v>27.686307690000003</c:v>
                </c:pt>
                <c:pt idx="50">
                  <c:v>28.046538460000001</c:v>
                </c:pt>
                <c:pt idx="51">
                  <c:v>28.857446810000003</c:v>
                </c:pt>
                <c:pt idx="52">
                  <c:v>29.166851060000003</c:v>
                </c:pt>
                <c:pt idx="53">
                  <c:v>29.47625532</c:v>
                </c:pt>
                <c:pt idx="54">
                  <c:v>29.7012766</c:v>
                </c:pt>
                <c:pt idx="55">
                  <c:v>29.89817021</c:v>
                </c:pt>
                <c:pt idx="56">
                  <c:v>30.038808509999999</c:v>
                </c:pt>
                <c:pt idx="57">
                  <c:v>30.207574470000001</c:v>
                </c:pt>
                <c:pt idx="58">
                  <c:v>30.516978720000001</c:v>
                </c:pt>
                <c:pt idx="59">
                  <c:v>30.65761702</c:v>
                </c:pt>
                <c:pt idx="60">
                  <c:v>30.766323810000003</c:v>
                </c:pt>
                <c:pt idx="61">
                  <c:v>30.93659048</c:v>
                </c:pt>
                <c:pt idx="62">
                  <c:v>31.021723810000001</c:v>
                </c:pt>
                <c:pt idx="63">
                  <c:v>31.119019049999999</c:v>
                </c:pt>
                <c:pt idx="64">
                  <c:v>31.21631429</c:v>
                </c:pt>
                <c:pt idx="65">
                  <c:v>31.32577143</c:v>
                </c:pt>
                <c:pt idx="66">
                  <c:v>31.556847619999999</c:v>
                </c:pt>
                <c:pt idx="67">
                  <c:v>32.018999999999998</c:v>
                </c:pt>
                <c:pt idx="68">
                  <c:v>32.308999999999997</c:v>
                </c:pt>
                <c:pt idx="69">
                  <c:v>32.540999999999997</c:v>
                </c:pt>
                <c:pt idx="70">
                  <c:v>32.744</c:v>
                </c:pt>
                <c:pt idx="71">
                  <c:v>32.947000000000003</c:v>
                </c:pt>
                <c:pt idx="72">
                  <c:v>33.265999999999998</c:v>
                </c:pt>
                <c:pt idx="73">
                  <c:v>33.701000000000001</c:v>
                </c:pt>
                <c:pt idx="74">
                  <c:v>33.991</c:v>
                </c:pt>
              </c:numCache>
            </c:numRef>
          </c:xVal>
          <c:yVal>
            <c:numRef>
              <c:f>TGA!$F$3:$F$77</c:f>
              <c:numCache>
                <c:formatCode>General</c:formatCode>
                <c:ptCount val="75"/>
                <c:pt idx="0">
                  <c:v>5.0659999999999998</c:v>
                </c:pt>
                <c:pt idx="1">
                  <c:v>5.2770000000000001</c:v>
                </c:pt>
                <c:pt idx="2">
                  <c:v>5.0449999999999999</c:v>
                </c:pt>
                <c:pt idx="3">
                  <c:v>4.9539999999999997</c:v>
                </c:pt>
                <c:pt idx="4">
                  <c:v>4.8780000000000001</c:v>
                </c:pt>
                <c:pt idx="5">
                  <c:v>5.0309999999999997</c:v>
                </c:pt>
                <c:pt idx="6">
                  <c:v>4.7530000000000001</c:v>
                </c:pt>
                <c:pt idx="7">
                  <c:v>4.8220000000000001</c:v>
                </c:pt>
                <c:pt idx="8">
                  <c:v>4.7160000000000002</c:v>
                </c:pt>
                <c:pt idx="9">
                  <c:v>4.5339999999999998</c:v>
                </c:pt>
                <c:pt idx="10">
                  <c:v>4.5919999999999996</c:v>
                </c:pt>
                <c:pt idx="11">
                  <c:v>4.3630000000000004</c:v>
                </c:pt>
                <c:pt idx="12">
                  <c:v>4.3019999999999996</c:v>
                </c:pt>
                <c:pt idx="13">
                  <c:v>4.08</c:v>
                </c:pt>
                <c:pt idx="14">
                  <c:v>4.1130000000000004</c:v>
                </c:pt>
                <c:pt idx="15">
                  <c:v>4.24</c:v>
                </c:pt>
                <c:pt idx="16">
                  <c:v>4.5810000000000004</c:v>
                </c:pt>
                <c:pt idx="17">
                  <c:v>4.37</c:v>
                </c:pt>
                <c:pt idx="18">
                  <c:v>4.8899999999999997</c:v>
                </c:pt>
                <c:pt idx="19">
                  <c:v>4.4420000000000002</c:v>
                </c:pt>
                <c:pt idx="20">
                  <c:v>4.1550000000000002</c:v>
                </c:pt>
                <c:pt idx="21">
                  <c:v>4.4640000000000004</c:v>
                </c:pt>
                <c:pt idx="22">
                  <c:v>4.4249999999999998</c:v>
                </c:pt>
                <c:pt idx="23">
                  <c:v>4.5460000000000003</c:v>
                </c:pt>
                <c:pt idx="24">
                  <c:v>4.5650000000000004</c:v>
                </c:pt>
                <c:pt idx="25">
                  <c:v>4.7380000000000004</c:v>
                </c:pt>
                <c:pt idx="26">
                  <c:v>4.8949999999999996</c:v>
                </c:pt>
                <c:pt idx="27">
                  <c:v>4.9649999999999999</c:v>
                </c:pt>
                <c:pt idx="28">
                  <c:v>4.569</c:v>
                </c:pt>
                <c:pt idx="29">
                  <c:v>4.6120000000000001</c:v>
                </c:pt>
                <c:pt idx="30">
                  <c:v>4.4059999999999997</c:v>
                </c:pt>
                <c:pt idx="31">
                  <c:v>4.1239999999999997</c:v>
                </c:pt>
                <c:pt idx="32">
                  <c:v>4.3639999999999999</c:v>
                </c:pt>
                <c:pt idx="33">
                  <c:v>4.2939999999999996</c:v>
                </c:pt>
                <c:pt idx="34">
                  <c:v>4.399</c:v>
                </c:pt>
                <c:pt idx="35">
                  <c:v>4.577</c:v>
                </c:pt>
                <c:pt idx="36">
                  <c:v>5.7039999999999997</c:v>
                </c:pt>
                <c:pt idx="37">
                  <c:v>6.1689999999999996</c:v>
                </c:pt>
                <c:pt idx="38">
                  <c:v>5.0339999999999998</c:v>
                </c:pt>
                <c:pt idx="39">
                  <c:v>5.0119999999999996</c:v>
                </c:pt>
                <c:pt idx="40">
                  <c:v>4.7140000000000004</c:v>
                </c:pt>
                <c:pt idx="41">
                  <c:v>5.3810000000000002</c:v>
                </c:pt>
                <c:pt idx="42">
                  <c:v>4.9260000000000002</c:v>
                </c:pt>
                <c:pt idx="43">
                  <c:v>4.37</c:v>
                </c:pt>
                <c:pt idx="44">
                  <c:v>4.923</c:v>
                </c:pt>
                <c:pt idx="45">
                  <c:v>4.3540000000000001</c:v>
                </c:pt>
                <c:pt idx="46">
                  <c:v>4.2539999999999996</c:v>
                </c:pt>
                <c:pt idx="47">
                  <c:v>4.6429999999999998</c:v>
                </c:pt>
                <c:pt idx="48">
                  <c:v>4.6289999999999996</c:v>
                </c:pt>
                <c:pt idx="49">
                  <c:v>5.1639999999999997</c:v>
                </c:pt>
                <c:pt idx="50">
                  <c:v>4.76</c:v>
                </c:pt>
                <c:pt idx="51">
                  <c:v>4.556</c:v>
                </c:pt>
                <c:pt idx="52">
                  <c:v>4.9139999999999997</c:v>
                </c:pt>
                <c:pt idx="53">
                  <c:v>5.4669999999999996</c:v>
                </c:pt>
                <c:pt idx="54">
                  <c:v>4.9130000000000003</c:v>
                </c:pt>
                <c:pt idx="55">
                  <c:v>4.8689999999999998</c:v>
                </c:pt>
                <c:pt idx="56">
                  <c:v>4.3979999999999997</c:v>
                </c:pt>
                <c:pt idx="57">
                  <c:v>5.085</c:v>
                </c:pt>
                <c:pt idx="58">
                  <c:v>4.4950000000000001</c:v>
                </c:pt>
                <c:pt idx="59">
                  <c:v>4.6689999999999996</c:v>
                </c:pt>
                <c:pt idx="60">
                  <c:v>4.3490000000000002</c:v>
                </c:pt>
                <c:pt idx="61">
                  <c:v>4.702</c:v>
                </c:pt>
                <c:pt idx="62">
                  <c:v>4.4989999999999997</c:v>
                </c:pt>
                <c:pt idx="63">
                  <c:v>4.742</c:v>
                </c:pt>
                <c:pt idx="64">
                  <c:v>4.74</c:v>
                </c:pt>
                <c:pt idx="65">
                  <c:v>4.8170000000000002</c:v>
                </c:pt>
                <c:pt idx="66">
                  <c:v>5.1260000000000003</c:v>
                </c:pt>
                <c:pt idx="67">
                  <c:v>4.9690000000000003</c:v>
                </c:pt>
                <c:pt idx="68">
                  <c:v>6.2649999999999997</c:v>
                </c:pt>
                <c:pt idx="69">
                  <c:v>4.625</c:v>
                </c:pt>
                <c:pt idx="70">
                  <c:v>4.9139999999999997</c:v>
                </c:pt>
                <c:pt idx="71">
                  <c:v>4.6900000000000004</c:v>
                </c:pt>
                <c:pt idx="72">
                  <c:v>4.492</c:v>
                </c:pt>
                <c:pt idx="73">
                  <c:v>4.665</c:v>
                </c:pt>
                <c:pt idx="74">
                  <c:v>4.4909999999999997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9D-478D-89B7-D65D1F512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909448"/>
        <c:axId val="1508910528"/>
      </c:scatterChart>
      <c:valAx>
        <c:axId val="1508909448"/>
        <c:scaling>
          <c:orientation val="minMax"/>
          <c:max val="3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910528"/>
        <c:crosses val="autoZero"/>
        <c:crossBetween val="midCat"/>
      </c:valAx>
      <c:valAx>
        <c:axId val="1508910528"/>
        <c:scaling>
          <c:orientation val="minMax"/>
          <c:min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909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accent1"/>
              </a:solidFill>
            </a:ln>
          </c:spPr>
          <c:marker>
            <c:symbol val="diamond"/>
            <c:size val="2"/>
            <c:spPr>
              <a:ln>
                <a:solidFill>
                  <a:schemeClr val="accent1"/>
                </a:solidFill>
              </a:ln>
            </c:spPr>
          </c:marker>
          <c:xVal>
            <c:numRef>
              <c:f>'isotopes rr'!$I$3:$I$109</c:f>
              <c:numCache>
                <c:formatCode>0.000</c:formatCode>
                <c:ptCount val="107"/>
                <c:pt idx="0">
                  <c:v>8.7989999999999995</c:v>
                </c:pt>
                <c:pt idx="1">
                  <c:v>9.1817368419999994</c:v>
                </c:pt>
                <c:pt idx="2">
                  <c:v>9.9312631580000001</c:v>
                </c:pt>
                <c:pt idx="3">
                  <c:v>10.840263160000001</c:v>
                </c:pt>
                <c:pt idx="4">
                  <c:v>11.23894737</c:v>
                </c:pt>
                <c:pt idx="5">
                  <c:v>11.398421050000001</c:v>
                </c:pt>
                <c:pt idx="6">
                  <c:v>11.842563109999999</c:v>
                </c:pt>
                <c:pt idx="7">
                  <c:v>12.50985492</c:v>
                </c:pt>
                <c:pt idx="8">
                  <c:v>12.59397927</c:v>
                </c:pt>
                <c:pt idx="9">
                  <c:v>12.643689119999999</c:v>
                </c:pt>
                <c:pt idx="10">
                  <c:v>12.681927460000001</c:v>
                </c:pt>
                <c:pt idx="11">
                  <c:v>12.73546114</c:v>
                </c:pt>
                <c:pt idx="12">
                  <c:v>12.81576166</c:v>
                </c:pt>
                <c:pt idx="13">
                  <c:v>12.853999999999999</c:v>
                </c:pt>
                <c:pt idx="14">
                  <c:v>12.90434014</c:v>
                </c:pt>
                <c:pt idx="15">
                  <c:v>12.954680270000001</c:v>
                </c:pt>
                <c:pt idx="16">
                  <c:v>13.035224490000001</c:v>
                </c:pt>
                <c:pt idx="17">
                  <c:v>13.08556463</c:v>
                </c:pt>
                <c:pt idx="18">
                  <c:v>13.14597279</c:v>
                </c:pt>
                <c:pt idx="19">
                  <c:v>13.1862449</c:v>
                </c:pt>
                <c:pt idx="20">
                  <c:v>13.21141497</c:v>
                </c:pt>
                <c:pt idx="21">
                  <c:v>13.234950000000001</c:v>
                </c:pt>
                <c:pt idx="22">
                  <c:v>13.25685</c:v>
                </c:pt>
                <c:pt idx="23">
                  <c:v>13.271450000000002</c:v>
                </c:pt>
                <c:pt idx="24">
                  <c:v>13.286049999999999</c:v>
                </c:pt>
                <c:pt idx="25">
                  <c:v>13.30149153</c:v>
                </c:pt>
                <c:pt idx="26">
                  <c:v>13.310474579999999</c:v>
                </c:pt>
                <c:pt idx="27">
                  <c:v>13.32844068</c:v>
                </c:pt>
                <c:pt idx="28">
                  <c:v>13.4115</c:v>
                </c:pt>
                <c:pt idx="29">
                  <c:v>13.5345</c:v>
                </c:pt>
                <c:pt idx="30">
                  <c:v>13.6165</c:v>
                </c:pt>
                <c:pt idx="31">
                  <c:v>13.7395</c:v>
                </c:pt>
                <c:pt idx="32">
                  <c:v>13.8215</c:v>
                </c:pt>
                <c:pt idx="33">
                  <c:v>15.297745450000001</c:v>
                </c:pt>
                <c:pt idx="34">
                  <c:v>15.48892727</c:v>
                </c:pt>
                <c:pt idx="35">
                  <c:v>15.68010909</c:v>
                </c:pt>
                <c:pt idx="36">
                  <c:v>15.986000000000001</c:v>
                </c:pt>
                <c:pt idx="37">
                  <c:v>16.057200000000002</c:v>
                </c:pt>
                <c:pt idx="38">
                  <c:v>16.270799999999998</c:v>
                </c:pt>
                <c:pt idx="39">
                  <c:v>16.486222219999998</c:v>
                </c:pt>
                <c:pt idx="40">
                  <c:v>16.84677778</c:v>
                </c:pt>
                <c:pt idx="41">
                  <c:v>17.105166669999999</c:v>
                </c:pt>
                <c:pt idx="42">
                  <c:v>17.24216667</c:v>
                </c:pt>
                <c:pt idx="43">
                  <c:v>17.287833330000002</c:v>
                </c:pt>
                <c:pt idx="44">
                  <c:v>17.402000000000001</c:v>
                </c:pt>
                <c:pt idx="45">
                  <c:v>17.561833330000002</c:v>
                </c:pt>
                <c:pt idx="46">
                  <c:v>17.630333330000003</c:v>
                </c:pt>
                <c:pt idx="47">
                  <c:v>17.874185570000002</c:v>
                </c:pt>
                <c:pt idx="48">
                  <c:v>18.072371130000001</c:v>
                </c:pt>
                <c:pt idx="49">
                  <c:v>18.336618559999998</c:v>
                </c:pt>
                <c:pt idx="50">
                  <c:v>18.46874227</c:v>
                </c:pt>
                <c:pt idx="51">
                  <c:v>18.799051550000001</c:v>
                </c:pt>
                <c:pt idx="52">
                  <c:v>18.997237109999997</c:v>
                </c:pt>
                <c:pt idx="53">
                  <c:v>19.129360820000002</c:v>
                </c:pt>
                <c:pt idx="54">
                  <c:v>19.261484540000001</c:v>
                </c:pt>
                <c:pt idx="55">
                  <c:v>19.4596701</c:v>
                </c:pt>
                <c:pt idx="56">
                  <c:v>19.723917529999998</c:v>
                </c:pt>
                <c:pt idx="57">
                  <c:v>19.789979380000002</c:v>
                </c:pt>
                <c:pt idx="58">
                  <c:v>19.988164949999998</c:v>
                </c:pt>
                <c:pt idx="59">
                  <c:v>20.12028866</c:v>
                </c:pt>
                <c:pt idx="60">
                  <c:v>20.31847423</c:v>
                </c:pt>
                <c:pt idx="61">
                  <c:v>20.450597939999998</c:v>
                </c:pt>
                <c:pt idx="62">
                  <c:v>20.648783510000001</c:v>
                </c:pt>
                <c:pt idx="63">
                  <c:v>20.78090722</c:v>
                </c:pt>
                <c:pt idx="64">
                  <c:v>20.979092779999998</c:v>
                </c:pt>
                <c:pt idx="65">
                  <c:v>21.11121649</c:v>
                </c:pt>
                <c:pt idx="66">
                  <c:v>21.30940206</c:v>
                </c:pt>
                <c:pt idx="67">
                  <c:v>21.441525770000002</c:v>
                </c:pt>
                <c:pt idx="68">
                  <c:v>21.639711340000002</c:v>
                </c:pt>
                <c:pt idx="69">
                  <c:v>21.77183505</c:v>
                </c:pt>
                <c:pt idx="70">
                  <c:v>21.97002062</c:v>
                </c:pt>
                <c:pt idx="71">
                  <c:v>22.102144329999998</c:v>
                </c:pt>
                <c:pt idx="72">
                  <c:v>22.300329900000001</c:v>
                </c:pt>
                <c:pt idx="73">
                  <c:v>22.43245361</c:v>
                </c:pt>
                <c:pt idx="74">
                  <c:v>22.630639179999999</c:v>
                </c:pt>
                <c:pt idx="75">
                  <c:v>22.762762890000001</c:v>
                </c:pt>
                <c:pt idx="76">
                  <c:v>22.96094845</c:v>
                </c:pt>
                <c:pt idx="77">
                  <c:v>23.093072159999998</c:v>
                </c:pt>
                <c:pt idx="78">
                  <c:v>23.291257730000002</c:v>
                </c:pt>
                <c:pt idx="79">
                  <c:v>23.42338144</c:v>
                </c:pt>
                <c:pt idx="80">
                  <c:v>23.62156701</c:v>
                </c:pt>
                <c:pt idx="81">
                  <c:v>23.819752579999999</c:v>
                </c:pt>
                <c:pt idx="82">
                  <c:v>23.951876290000001</c:v>
                </c:pt>
                <c:pt idx="83">
                  <c:v>24.084</c:v>
                </c:pt>
                <c:pt idx="84">
                  <c:v>24.65007692</c:v>
                </c:pt>
                <c:pt idx="85">
                  <c:v>25.62784615</c:v>
                </c:pt>
                <c:pt idx="86">
                  <c:v>26.142461539999999</c:v>
                </c:pt>
                <c:pt idx="87">
                  <c:v>26.91438462</c:v>
                </c:pt>
                <c:pt idx="88">
                  <c:v>27.840692309999998</c:v>
                </c:pt>
                <c:pt idx="89">
                  <c:v>28.18238298</c:v>
                </c:pt>
                <c:pt idx="90">
                  <c:v>28.519914889999999</c:v>
                </c:pt>
                <c:pt idx="91">
                  <c:v>29.082468089999999</c:v>
                </c:pt>
                <c:pt idx="92">
                  <c:v>29.47625532</c:v>
                </c:pt>
                <c:pt idx="93">
                  <c:v>30.038808509999999</c:v>
                </c:pt>
                <c:pt idx="94">
                  <c:v>30.54510638</c:v>
                </c:pt>
                <c:pt idx="95">
                  <c:v>30.80280952</c:v>
                </c:pt>
                <c:pt idx="96">
                  <c:v>30.86361905</c:v>
                </c:pt>
                <c:pt idx="97">
                  <c:v>31.021723810000001</c:v>
                </c:pt>
                <c:pt idx="98">
                  <c:v>31.179828570000002</c:v>
                </c:pt>
                <c:pt idx="99">
                  <c:v>31.690628570000001</c:v>
                </c:pt>
                <c:pt idx="100">
                  <c:v>31.812247619999997</c:v>
                </c:pt>
                <c:pt idx="101">
                  <c:v>32.018999999999998</c:v>
                </c:pt>
                <c:pt idx="102">
                  <c:v>32.250999999999998</c:v>
                </c:pt>
                <c:pt idx="103">
                  <c:v>32.540999999999997</c:v>
                </c:pt>
                <c:pt idx="104">
                  <c:v>33.121000000000002</c:v>
                </c:pt>
                <c:pt idx="105">
                  <c:v>33.411000000000001</c:v>
                </c:pt>
                <c:pt idx="106">
                  <c:v>33.701000000000001</c:v>
                </c:pt>
              </c:numCache>
            </c:numRef>
          </c:xVal>
          <c:yVal>
            <c:numRef>
              <c:f>'isotopes rr'!$M$3:$M$109</c:f>
              <c:numCache>
                <c:formatCode>General</c:formatCode>
                <c:ptCount val="107"/>
                <c:pt idx="1">
                  <c:v>1.02</c:v>
                </c:pt>
                <c:pt idx="2">
                  <c:v>0.53</c:v>
                </c:pt>
                <c:pt idx="3">
                  <c:v>1.17</c:v>
                </c:pt>
                <c:pt idx="4">
                  <c:v>1.2</c:v>
                </c:pt>
                <c:pt idx="5">
                  <c:v>1.1399999999999999</c:v>
                </c:pt>
                <c:pt idx="6">
                  <c:v>1.06</c:v>
                </c:pt>
                <c:pt idx="7">
                  <c:v>0.87</c:v>
                </c:pt>
                <c:pt idx="8">
                  <c:v>1.07</c:v>
                </c:pt>
                <c:pt idx="9">
                  <c:v>1.03</c:v>
                </c:pt>
                <c:pt idx="10">
                  <c:v>0.93</c:v>
                </c:pt>
                <c:pt idx="11">
                  <c:v>1.1399999999999999</c:v>
                </c:pt>
                <c:pt idx="12">
                  <c:v>0.83</c:v>
                </c:pt>
                <c:pt idx="13">
                  <c:v>1</c:v>
                </c:pt>
                <c:pt idx="14">
                  <c:v>0.78</c:v>
                </c:pt>
                <c:pt idx="15">
                  <c:v>0.91</c:v>
                </c:pt>
                <c:pt idx="16">
                  <c:v>0.96</c:v>
                </c:pt>
                <c:pt idx="17">
                  <c:v>0.71</c:v>
                </c:pt>
                <c:pt idx="18">
                  <c:v>1.03</c:v>
                </c:pt>
                <c:pt idx="19">
                  <c:v>0.98</c:v>
                </c:pt>
                <c:pt idx="20">
                  <c:v>0.88</c:v>
                </c:pt>
                <c:pt idx="21">
                  <c:v>1.1299999999999999</c:v>
                </c:pt>
                <c:pt idx="22">
                  <c:v>1.02</c:v>
                </c:pt>
                <c:pt idx="23">
                  <c:v>1.1200000000000001</c:v>
                </c:pt>
                <c:pt idx="24">
                  <c:v>0.93</c:v>
                </c:pt>
                <c:pt idx="25">
                  <c:v>1.18</c:v>
                </c:pt>
                <c:pt idx="26">
                  <c:v>1.02</c:v>
                </c:pt>
                <c:pt idx="27">
                  <c:v>0.88</c:v>
                </c:pt>
                <c:pt idx="28">
                  <c:v>0.98</c:v>
                </c:pt>
                <c:pt idx="29">
                  <c:v>1.22</c:v>
                </c:pt>
                <c:pt idx="30">
                  <c:v>0.95</c:v>
                </c:pt>
                <c:pt idx="31">
                  <c:v>1.19</c:v>
                </c:pt>
                <c:pt idx="32">
                  <c:v>0.6</c:v>
                </c:pt>
                <c:pt idx="33">
                  <c:v>0.65</c:v>
                </c:pt>
                <c:pt idx="34">
                  <c:v>0.94</c:v>
                </c:pt>
                <c:pt idx="35">
                  <c:v>0.82</c:v>
                </c:pt>
                <c:pt idx="36">
                  <c:v>0.71</c:v>
                </c:pt>
                <c:pt idx="37">
                  <c:v>1.1599999999999999</c:v>
                </c:pt>
                <c:pt idx="38">
                  <c:v>1.1499999999999999</c:v>
                </c:pt>
                <c:pt idx="39">
                  <c:v>0.9</c:v>
                </c:pt>
                <c:pt idx="40">
                  <c:v>0.96</c:v>
                </c:pt>
                <c:pt idx="41">
                  <c:v>0.89</c:v>
                </c:pt>
                <c:pt idx="42">
                  <c:v>0.61</c:v>
                </c:pt>
                <c:pt idx="43">
                  <c:v>0.67</c:v>
                </c:pt>
                <c:pt idx="44">
                  <c:v>0.95</c:v>
                </c:pt>
                <c:pt idx="45">
                  <c:v>0.94</c:v>
                </c:pt>
                <c:pt idx="46">
                  <c:v>0.81</c:v>
                </c:pt>
                <c:pt idx="47">
                  <c:v>0.75</c:v>
                </c:pt>
                <c:pt idx="48">
                  <c:v>0.83</c:v>
                </c:pt>
                <c:pt idx="49">
                  <c:v>0.85</c:v>
                </c:pt>
                <c:pt idx="50">
                  <c:v>1.0900000000000001</c:v>
                </c:pt>
                <c:pt idx="51">
                  <c:v>0.99</c:v>
                </c:pt>
                <c:pt idx="52">
                  <c:v>0.74</c:v>
                </c:pt>
                <c:pt idx="53">
                  <c:v>1.1499999999999999</c:v>
                </c:pt>
                <c:pt idx="54">
                  <c:v>0.93</c:v>
                </c:pt>
                <c:pt idx="55">
                  <c:v>0.93</c:v>
                </c:pt>
                <c:pt idx="56">
                  <c:v>0.98</c:v>
                </c:pt>
                <c:pt idx="57">
                  <c:v>1.1200000000000001</c:v>
                </c:pt>
                <c:pt idx="58">
                  <c:v>0.93</c:v>
                </c:pt>
                <c:pt idx="59">
                  <c:v>0.92</c:v>
                </c:pt>
                <c:pt idx="60">
                  <c:v>0.96</c:v>
                </c:pt>
                <c:pt idx="61">
                  <c:v>1.08</c:v>
                </c:pt>
                <c:pt idx="62">
                  <c:v>1.24</c:v>
                </c:pt>
                <c:pt idx="63">
                  <c:v>1.19</c:v>
                </c:pt>
                <c:pt idx="64">
                  <c:v>1.25</c:v>
                </c:pt>
                <c:pt idx="65">
                  <c:v>1.1599999999999999</c:v>
                </c:pt>
                <c:pt idx="66">
                  <c:v>0.91</c:v>
                </c:pt>
                <c:pt idx="67">
                  <c:v>1.27</c:v>
                </c:pt>
                <c:pt idx="68">
                  <c:v>1.25</c:v>
                </c:pt>
                <c:pt idx="69">
                  <c:v>1.4</c:v>
                </c:pt>
                <c:pt idx="70">
                  <c:v>1.32</c:v>
                </c:pt>
                <c:pt idx="71">
                  <c:v>1.05</c:v>
                </c:pt>
                <c:pt idx="72">
                  <c:v>1.05</c:v>
                </c:pt>
                <c:pt idx="73">
                  <c:v>1.18</c:v>
                </c:pt>
                <c:pt idx="74">
                  <c:v>1.17</c:v>
                </c:pt>
                <c:pt idx="75">
                  <c:v>1.0900000000000001</c:v>
                </c:pt>
                <c:pt idx="76">
                  <c:v>1.21</c:v>
                </c:pt>
                <c:pt idx="77">
                  <c:v>1.07</c:v>
                </c:pt>
                <c:pt idx="78">
                  <c:v>1.04</c:v>
                </c:pt>
                <c:pt idx="79">
                  <c:v>1.04</c:v>
                </c:pt>
                <c:pt idx="80">
                  <c:v>1.05</c:v>
                </c:pt>
                <c:pt idx="81">
                  <c:v>1.32</c:v>
                </c:pt>
                <c:pt idx="82">
                  <c:v>1.0900000000000001</c:v>
                </c:pt>
                <c:pt idx="83">
                  <c:v>0.98</c:v>
                </c:pt>
                <c:pt idx="84">
                  <c:v>0.92</c:v>
                </c:pt>
                <c:pt idx="85">
                  <c:v>0.96</c:v>
                </c:pt>
                <c:pt idx="86">
                  <c:v>1.01</c:v>
                </c:pt>
                <c:pt idx="87">
                  <c:v>0.88</c:v>
                </c:pt>
                <c:pt idx="88">
                  <c:v>1.1000000000000001</c:v>
                </c:pt>
                <c:pt idx="89">
                  <c:v>1.24</c:v>
                </c:pt>
                <c:pt idx="90">
                  <c:v>1.4</c:v>
                </c:pt>
                <c:pt idx="91">
                  <c:v>1.43</c:v>
                </c:pt>
                <c:pt idx="92">
                  <c:v>1.21</c:v>
                </c:pt>
                <c:pt idx="93">
                  <c:v>1.1599999999999999</c:v>
                </c:pt>
                <c:pt idx="94">
                  <c:v>1.19</c:v>
                </c:pt>
                <c:pt idx="95">
                  <c:v>1.22</c:v>
                </c:pt>
                <c:pt idx="96">
                  <c:v>1.39</c:v>
                </c:pt>
                <c:pt idx="97">
                  <c:v>1.32</c:v>
                </c:pt>
                <c:pt idx="98">
                  <c:v>1.25</c:v>
                </c:pt>
                <c:pt idx="99">
                  <c:v>1.35</c:v>
                </c:pt>
                <c:pt idx="100">
                  <c:v>1.52</c:v>
                </c:pt>
                <c:pt idx="101">
                  <c:v>1.19</c:v>
                </c:pt>
                <c:pt idx="102">
                  <c:v>1.44</c:v>
                </c:pt>
                <c:pt idx="103">
                  <c:v>1.37</c:v>
                </c:pt>
                <c:pt idx="104">
                  <c:v>1.39</c:v>
                </c:pt>
                <c:pt idx="105">
                  <c:v>1.48</c:v>
                </c:pt>
                <c:pt idx="106">
                  <c:v>1.37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89-0949-BB90-BF4848AC5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3090424"/>
        <c:axId val="2133095944"/>
      </c:scatterChart>
      <c:valAx>
        <c:axId val="2133090424"/>
        <c:scaling>
          <c:orientation val="minMax"/>
          <c:max val="34"/>
          <c:min val="8"/>
        </c:scaling>
        <c:delete val="0"/>
        <c:axPos val="b"/>
        <c:numFmt formatCode="0" sourceLinked="0"/>
        <c:majorTickMark val="cross"/>
        <c:minorTickMark val="in"/>
        <c:tickLblPos val="high"/>
        <c:crossAx val="2133095944"/>
        <c:crosses val="autoZero"/>
        <c:crossBetween val="midCat"/>
        <c:majorUnit val="1"/>
      </c:valAx>
      <c:valAx>
        <c:axId val="2133095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30904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accent1"/>
              </a:solidFill>
            </a:ln>
          </c:spPr>
          <c:marker>
            <c:symbol val="diamond"/>
            <c:size val="2"/>
            <c:spPr>
              <a:ln>
                <a:solidFill>
                  <a:schemeClr val="accent1"/>
                </a:solidFill>
              </a:ln>
            </c:spPr>
          </c:marker>
          <c:xVal>
            <c:numRef>
              <c:f>'isotopes rr'!$I$3:$I$109</c:f>
              <c:numCache>
                <c:formatCode>0.000</c:formatCode>
                <c:ptCount val="107"/>
                <c:pt idx="0">
                  <c:v>8.7989999999999995</c:v>
                </c:pt>
                <c:pt idx="1">
                  <c:v>9.1817368419999994</c:v>
                </c:pt>
                <c:pt idx="2">
                  <c:v>9.9312631580000001</c:v>
                </c:pt>
                <c:pt idx="3">
                  <c:v>10.840263160000001</c:v>
                </c:pt>
                <c:pt idx="4">
                  <c:v>11.23894737</c:v>
                </c:pt>
                <c:pt idx="5">
                  <c:v>11.398421050000001</c:v>
                </c:pt>
                <c:pt idx="6">
                  <c:v>11.842563109999999</c:v>
                </c:pt>
                <c:pt idx="7">
                  <c:v>12.50985492</c:v>
                </c:pt>
                <c:pt idx="8">
                  <c:v>12.59397927</c:v>
                </c:pt>
                <c:pt idx="9">
                  <c:v>12.643689119999999</c:v>
                </c:pt>
                <c:pt idx="10">
                  <c:v>12.681927460000001</c:v>
                </c:pt>
                <c:pt idx="11">
                  <c:v>12.73546114</c:v>
                </c:pt>
                <c:pt idx="12">
                  <c:v>12.81576166</c:v>
                </c:pt>
                <c:pt idx="13">
                  <c:v>12.853999999999999</c:v>
                </c:pt>
                <c:pt idx="14">
                  <c:v>12.90434014</c:v>
                </c:pt>
                <c:pt idx="15">
                  <c:v>12.954680270000001</c:v>
                </c:pt>
                <c:pt idx="16">
                  <c:v>13.035224490000001</c:v>
                </c:pt>
                <c:pt idx="17">
                  <c:v>13.08556463</c:v>
                </c:pt>
                <c:pt idx="18">
                  <c:v>13.14597279</c:v>
                </c:pt>
                <c:pt idx="19">
                  <c:v>13.1862449</c:v>
                </c:pt>
                <c:pt idx="20">
                  <c:v>13.21141497</c:v>
                </c:pt>
                <c:pt idx="21">
                  <c:v>13.234950000000001</c:v>
                </c:pt>
                <c:pt idx="22">
                  <c:v>13.25685</c:v>
                </c:pt>
                <c:pt idx="23">
                  <c:v>13.271450000000002</c:v>
                </c:pt>
                <c:pt idx="24">
                  <c:v>13.286049999999999</c:v>
                </c:pt>
                <c:pt idx="25">
                  <c:v>13.30149153</c:v>
                </c:pt>
                <c:pt idx="26">
                  <c:v>13.310474579999999</c:v>
                </c:pt>
                <c:pt idx="27">
                  <c:v>13.32844068</c:v>
                </c:pt>
                <c:pt idx="28">
                  <c:v>13.4115</c:v>
                </c:pt>
                <c:pt idx="29">
                  <c:v>13.5345</c:v>
                </c:pt>
                <c:pt idx="30">
                  <c:v>13.6165</c:v>
                </c:pt>
                <c:pt idx="31">
                  <c:v>13.7395</c:v>
                </c:pt>
                <c:pt idx="32">
                  <c:v>13.8215</c:v>
                </c:pt>
                <c:pt idx="33">
                  <c:v>15.297745450000001</c:v>
                </c:pt>
                <c:pt idx="34">
                  <c:v>15.48892727</c:v>
                </c:pt>
                <c:pt idx="35">
                  <c:v>15.68010909</c:v>
                </c:pt>
                <c:pt idx="36">
                  <c:v>15.986000000000001</c:v>
                </c:pt>
                <c:pt idx="37">
                  <c:v>16.057200000000002</c:v>
                </c:pt>
                <c:pt idx="38">
                  <c:v>16.270799999999998</c:v>
                </c:pt>
                <c:pt idx="39">
                  <c:v>16.486222219999998</c:v>
                </c:pt>
                <c:pt idx="40">
                  <c:v>16.84677778</c:v>
                </c:pt>
                <c:pt idx="41">
                  <c:v>17.105166669999999</c:v>
                </c:pt>
                <c:pt idx="42">
                  <c:v>17.24216667</c:v>
                </c:pt>
                <c:pt idx="43">
                  <c:v>17.287833330000002</c:v>
                </c:pt>
                <c:pt idx="44">
                  <c:v>17.402000000000001</c:v>
                </c:pt>
                <c:pt idx="45">
                  <c:v>17.561833330000002</c:v>
                </c:pt>
                <c:pt idx="46">
                  <c:v>17.630333330000003</c:v>
                </c:pt>
                <c:pt idx="47">
                  <c:v>17.874185570000002</c:v>
                </c:pt>
                <c:pt idx="48">
                  <c:v>18.072371130000001</c:v>
                </c:pt>
                <c:pt idx="49">
                  <c:v>18.336618559999998</c:v>
                </c:pt>
                <c:pt idx="50">
                  <c:v>18.46874227</c:v>
                </c:pt>
                <c:pt idx="51">
                  <c:v>18.799051550000001</c:v>
                </c:pt>
                <c:pt idx="52">
                  <c:v>18.997237109999997</c:v>
                </c:pt>
                <c:pt idx="53">
                  <c:v>19.129360820000002</c:v>
                </c:pt>
                <c:pt idx="54">
                  <c:v>19.261484540000001</c:v>
                </c:pt>
                <c:pt idx="55">
                  <c:v>19.4596701</c:v>
                </c:pt>
                <c:pt idx="56">
                  <c:v>19.723917529999998</c:v>
                </c:pt>
                <c:pt idx="57">
                  <c:v>19.789979380000002</c:v>
                </c:pt>
                <c:pt idx="58">
                  <c:v>19.988164949999998</c:v>
                </c:pt>
                <c:pt idx="59">
                  <c:v>20.12028866</c:v>
                </c:pt>
                <c:pt idx="60">
                  <c:v>20.31847423</c:v>
                </c:pt>
                <c:pt idx="61">
                  <c:v>20.450597939999998</c:v>
                </c:pt>
                <c:pt idx="62">
                  <c:v>20.648783510000001</c:v>
                </c:pt>
                <c:pt idx="63">
                  <c:v>20.78090722</c:v>
                </c:pt>
                <c:pt idx="64">
                  <c:v>20.979092779999998</c:v>
                </c:pt>
                <c:pt idx="65">
                  <c:v>21.11121649</c:v>
                </c:pt>
                <c:pt idx="66">
                  <c:v>21.30940206</c:v>
                </c:pt>
                <c:pt idx="67">
                  <c:v>21.441525770000002</c:v>
                </c:pt>
                <c:pt idx="68">
                  <c:v>21.639711340000002</c:v>
                </c:pt>
                <c:pt idx="69">
                  <c:v>21.77183505</c:v>
                </c:pt>
                <c:pt idx="70">
                  <c:v>21.97002062</c:v>
                </c:pt>
                <c:pt idx="71">
                  <c:v>22.102144329999998</c:v>
                </c:pt>
                <c:pt idx="72">
                  <c:v>22.300329900000001</c:v>
                </c:pt>
                <c:pt idx="73">
                  <c:v>22.43245361</c:v>
                </c:pt>
                <c:pt idx="74">
                  <c:v>22.630639179999999</c:v>
                </c:pt>
                <c:pt idx="75">
                  <c:v>22.762762890000001</c:v>
                </c:pt>
                <c:pt idx="76">
                  <c:v>22.96094845</c:v>
                </c:pt>
                <c:pt idx="77">
                  <c:v>23.093072159999998</c:v>
                </c:pt>
                <c:pt idx="78">
                  <c:v>23.291257730000002</c:v>
                </c:pt>
                <c:pt idx="79">
                  <c:v>23.42338144</c:v>
                </c:pt>
                <c:pt idx="80">
                  <c:v>23.62156701</c:v>
                </c:pt>
                <c:pt idx="81">
                  <c:v>23.819752579999999</c:v>
                </c:pt>
                <c:pt idx="82">
                  <c:v>23.951876290000001</c:v>
                </c:pt>
                <c:pt idx="83">
                  <c:v>24.084</c:v>
                </c:pt>
                <c:pt idx="84">
                  <c:v>24.65007692</c:v>
                </c:pt>
                <c:pt idx="85">
                  <c:v>25.62784615</c:v>
                </c:pt>
                <c:pt idx="86">
                  <c:v>26.142461539999999</c:v>
                </c:pt>
                <c:pt idx="87">
                  <c:v>26.91438462</c:v>
                </c:pt>
                <c:pt idx="88">
                  <c:v>27.840692309999998</c:v>
                </c:pt>
                <c:pt idx="89">
                  <c:v>28.18238298</c:v>
                </c:pt>
                <c:pt idx="90">
                  <c:v>28.519914889999999</c:v>
                </c:pt>
                <c:pt idx="91">
                  <c:v>29.082468089999999</c:v>
                </c:pt>
                <c:pt idx="92">
                  <c:v>29.47625532</c:v>
                </c:pt>
                <c:pt idx="93">
                  <c:v>30.038808509999999</c:v>
                </c:pt>
                <c:pt idx="94">
                  <c:v>30.54510638</c:v>
                </c:pt>
                <c:pt idx="95">
                  <c:v>30.80280952</c:v>
                </c:pt>
                <c:pt idx="96">
                  <c:v>30.86361905</c:v>
                </c:pt>
                <c:pt idx="97">
                  <c:v>31.021723810000001</c:v>
                </c:pt>
                <c:pt idx="98">
                  <c:v>31.179828570000002</c:v>
                </c:pt>
                <c:pt idx="99">
                  <c:v>31.690628570000001</c:v>
                </c:pt>
                <c:pt idx="100">
                  <c:v>31.812247619999997</c:v>
                </c:pt>
                <c:pt idx="101">
                  <c:v>32.018999999999998</c:v>
                </c:pt>
                <c:pt idx="102">
                  <c:v>32.250999999999998</c:v>
                </c:pt>
                <c:pt idx="103">
                  <c:v>32.540999999999997</c:v>
                </c:pt>
                <c:pt idx="104">
                  <c:v>33.121000000000002</c:v>
                </c:pt>
                <c:pt idx="105">
                  <c:v>33.411000000000001</c:v>
                </c:pt>
                <c:pt idx="106">
                  <c:v>33.701000000000001</c:v>
                </c:pt>
              </c:numCache>
            </c:numRef>
          </c:xVal>
          <c:yVal>
            <c:numRef>
              <c:f>'isotopes rr'!$L$3:$L$109</c:f>
              <c:numCache>
                <c:formatCode>General</c:formatCode>
                <c:ptCount val="107"/>
                <c:pt idx="1">
                  <c:v>-2.58</c:v>
                </c:pt>
                <c:pt idx="2">
                  <c:v>-2.93</c:v>
                </c:pt>
                <c:pt idx="3">
                  <c:v>-2.4300000000000002</c:v>
                </c:pt>
                <c:pt idx="4">
                  <c:v>-1.96</c:v>
                </c:pt>
                <c:pt idx="5">
                  <c:v>-2.0699999999999998</c:v>
                </c:pt>
                <c:pt idx="6">
                  <c:v>-1.83</c:v>
                </c:pt>
                <c:pt idx="7">
                  <c:v>-2.04</c:v>
                </c:pt>
                <c:pt idx="8">
                  <c:v>-1.97</c:v>
                </c:pt>
                <c:pt idx="9">
                  <c:v>-1.81</c:v>
                </c:pt>
                <c:pt idx="10">
                  <c:v>-1.67</c:v>
                </c:pt>
                <c:pt idx="11">
                  <c:v>-1.63</c:v>
                </c:pt>
                <c:pt idx="12">
                  <c:v>-1.5</c:v>
                </c:pt>
                <c:pt idx="13">
                  <c:v>-1.54</c:v>
                </c:pt>
                <c:pt idx="14">
                  <c:v>-1.27</c:v>
                </c:pt>
                <c:pt idx="15">
                  <c:v>-1.39</c:v>
                </c:pt>
                <c:pt idx="16">
                  <c:v>-1.19</c:v>
                </c:pt>
                <c:pt idx="17">
                  <c:v>-1.2</c:v>
                </c:pt>
                <c:pt idx="18">
                  <c:v>-0.88</c:v>
                </c:pt>
                <c:pt idx="19">
                  <c:v>-0.92</c:v>
                </c:pt>
                <c:pt idx="20">
                  <c:v>-0.84</c:v>
                </c:pt>
                <c:pt idx="21">
                  <c:v>-1.01</c:v>
                </c:pt>
                <c:pt idx="22">
                  <c:v>-1.1000000000000001</c:v>
                </c:pt>
                <c:pt idx="23">
                  <c:v>-1.31</c:v>
                </c:pt>
                <c:pt idx="24">
                  <c:v>-1.29</c:v>
                </c:pt>
                <c:pt idx="25">
                  <c:v>-1.41</c:v>
                </c:pt>
                <c:pt idx="26">
                  <c:v>-1.37</c:v>
                </c:pt>
                <c:pt idx="27">
                  <c:v>-1.19</c:v>
                </c:pt>
                <c:pt idx="28">
                  <c:v>-1.1599999999999999</c:v>
                </c:pt>
                <c:pt idx="29">
                  <c:v>-1.07</c:v>
                </c:pt>
                <c:pt idx="30">
                  <c:v>-1.1599999999999999</c:v>
                </c:pt>
                <c:pt idx="31">
                  <c:v>-1.39</c:v>
                </c:pt>
                <c:pt idx="32">
                  <c:v>-1.33</c:v>
                </c:pt>
                <c:pt idx="33">
                  <c:v>-0.92</c:v>
                </c:pt>
                <c:pt idx="34">
                  <c:v>-1.2</c:v>
                </c:pt>
                <c:pt idx="35">
                  <c:v>-0.76</c:v>
                </c:pt>
                <c:pt idx="36">
                  <c:v>-0.59</c:v>
                </c:pt>
                <c:pt idx="37">
                  <c:v>-0.81</c:v>
                </c:pt>
                <c:pt idx="38">
                  <c:v>-0.78</c:v>
                </c:pt>
                <c:pt idx="39">
                  <c:v>-0.66</c:v>
                </c:pt>
                <c:pt idx="40">
                  <c:v>-0.71</c:v>
                </c:pt>
                <c:pt idx="41">
                  <c:v>-0.64</c:v>
                </c:pt>
                <c:pt idx="42">
                  <c:v>-0.53</c:v>
                </c:pt>
                <c:pt idx="43">
                  <c:v>-0.39</c:v>
                </c:pt>
                <c:pt idx="44">
                  <c:v>-0.8</c:v>
                </c:pt>
                <c:pt idx="45">
                  <c:v>-0.6</c:v>
                </c:pt>
                <c:pt idx="46">
                  <c:v>-0.62</c:v>
                </c:pt>
                <c:pt idx="47">
                  <c:v>-0.52</c:v>
                </c:pt>
                <c:pt idx="48">
                  <c:v>-0.64</c:v>
                </c:pt>
                <c:pt idx="49">
                  <c:v>-0.48</c:v>
                </c:pt>
                <c:pt idx="50">
                  <c:v>-0.03</c:v>
                </c:pt>
                <c:pt idx="51">
                  <c:v>-0.33</c:v>
                </c:pt>
                <c:pt idx="52">
                  <c:v>-0.17</c:v>
                </c:pt>
                <c:pt idx="53">
                  <c:v>-0.54</c:v>
                </c:pt>
                <c:pt idx="54">
                  <c:v>-0.19</c:v>
                </c:pt>
                <c:pt idx="55">
                  <c:v>-0.34</c:v>
                </c:pt>
                <c:pt idx="56">
                  <c:v>-0.18</c:v>
                </c:pt>
                <c:pt idx="57">
                  <c:v>-0.11</c:v>
                </c:pt>
                <c:pt idx="58">
                  <c:v>-0.26</c:v>
                </c:pt>
                <c:pt idx="59">
                  <c:v>-0.11</c:v>
                </c:pt>
                <c:pt idx="60">
                  <c:v>-0.28000000000000003</c:v>
                </c:pt>
                <c:pt idx="61">
                  <c:v>-0.28999999999999998</c:v>
                </c:pt>
                <c:pt idx="62">
                  <c:v>-0.46</c:v>
                </c:pt>
                <c:pt idx="63">
                  <c:v>-0.21</c:v>
                </c:pt>
                <c:pt idx="64">
                  <c:v>-0.36</c:v>
                </c:pt>
                <c:pt idx="65">
                  <c:v>-0.44</c:v>
                </c:pt>
                <c:pt idx="66">
                  <c:v>-0.06</c:v>
                </c:pt>
                <c:pt idx="67">
                  <c:v>-0.5</c:v>
                </c:pt>
                <c:pt idx="68">
                  <c:v>-0.23</c:v>
                </c:pt>
                <c:pt idx="69">
                  <c:v>-0.31</c:v>
                </c:pt>
                <c:pt idx="70">
                  <c:v>-0.37</c:v>
                </c:pt>
                <c:pt idx="71">
                  <c:v>-0.13</c:v>
                </c:pt>
                <c:pt idx="72">
                  <c:v>-7.0000000000000007E-2</c:v>
                </c:pt>
                <c:pt idx="73">
                  <c:v>-0.28999999999999998</c:v>
                </c:pt>
                <c:pt idx="74">
                  <c:v>-0.21</c:v>
                </c:pt>
                <c:pt idx="75">
                  <c:v>-0.31</c:v>
                </c:pt>
                <c:pt idx="76">
                  <c:v>-0.26</c:v>
                </c:pt>
                <c:pt idx="77">
                  <c:v>-0.17</c:v>
                </c:pt>
                <c:pt idx="78">
                  <c:v>-0.27</c:v>
                </c:pt>
                <c:pt idx="79">
                  <c:v>-0.16</c:v>
                </c:pt>
                <c:pt idx="80">
                  <c:v>-0.34</c:v>
                </c:pt>
                <c:pt idx="81">
                  <c:v>-0.15</c:v>
                </c:pt>
                <c:pt idx="82">
                  <c:v>-0.06</c:v>
                </c:pt>
                <c:pt idx="83">
                  <c:v>-0.11</c:v>
                </c:pt>
                <c:pt idx="84">
                  <c:v>-0.12</c:v>
                </c:pt>
                <c:pt idx="85">
                  <c:v>-0.12</c:v>
                </c:pt>
                <c:pt idx="86">
                  <c:v>-0.2</c:v>
                </c:pt>
                <c:pt idx="87">
                  <c:v>-0.53</c:v>
                </c:pt>
                <c:pt idx="88">
                  <c:v>-0.39</c:v>
                </c:pt>
                <c:pt idx="89">
                  <c:v>-0.65</c:v>
                </c:pt>
                <c:pt idx="90">
                  <c:v>-0.42</c:v>
                </c:pt>
                <c:pt idx="91">
                  <c:v>-0.37</c:v>
                </c:pt>
                <c:pt idx="92">
                  <c:v>-0.51</c:v>
                </c:pt>
                <c:pt idx="93">
                  <c:v>-0.43</c:v>
                </c:pt>
                <c:pt idx="94">
                  <c:v>-0.46</c:v>
                </c:pt>
                <c:pt idx="95">
                  <c:v>-0.54</c:v>
                </c:pt>
                <c:pt idx="96">
                  <c:v>-0.44</c:v>
                </c:pt>
                <c:pt idx="97">
                  <c:v>-0.75</c:v>
                </c:pt>
                <c:pt idx="98">
                  <c:v>-0.71</c:v>
                </c:pt>
                <c:pt idx="99">
                  <c:v>-0.55000000000000004</c:v>
                </c:pt>
                <c:pt idx="100">
                  <c:v>-0.57999999999999996</c:v>
                </c:pt>
                <c:pt idx="101">
                  <c:v>-0.68</c:v>
                </c:pt>
                <c:pt idx="102">
                  <c:v>-0.74</c:v>
                </c:pt>
                <c:pt idx="103">
                  <c:v>-0.6</c:v>
                </c:pt>
                <c:pt idx="104">
                  <c:v>-0.63</c:v>
                </c:pt>
                <c:pt idx="105">
                  <c:v>-0.8</c:v>
                </c:pt>
                <c:pt idx="106">
                  <c:v>-0.71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9D-3F4D-B9BF-326217941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3699320"/>
        <c:axId val="2103704888"/>
      </c:scatterChart>
      <c:valAx>
        <c:axId val="2103699320"/>
        <c:scaling>
          <c:orientation val="minMax"/>
          <c:max val="34"/>
          <c:min val="8"/>
        </c:scaling>
        <c:delete val="0"/>
        <c:axPos val="t"/>
        <c:numFmt formatCode="0" sourceLinked="0"/>
        <c:majorTickMark val="cross"/>
        <c:minorTickMark val="in"/>
        <c:tickLblPos val="high"/>
        <c:crossAx val="2103704888"/>
        <c:crosses val="autoZero"/>
        <c:crossBetween val="midCat"/>
        <c:majorUnit val="1"/>
      </c:valAx>
      <c:valAx>
        <c:axId val="2103704888"/>
        <c:scaling>
          <c:orientation val="maxMin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036993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'isotopes bull'!$D$3:$D$87</c:f>
              <c:numCache>
                <c:formatCode>General</c:formatCode>
                <c:ptCount val="85"/>
                <c:pt idx="0">
                  <c:v>502</c:v>
                </c:pt>
                <c:pt idx="1">
                  <c:v>706</c:v>
                </c:pt>
                <c:pt idx="2">
                  <c:v>706</c:v>
                </c:pt>
                <c:pt idx="3">
                  <c:v>706</c:v>
                </c:pt>
                <c:pt idx="4">
                  <c:v>870</c:v>
                </c:pt>
                <c:pt idx="5">
                  <c:v>870</c:v>
                </c:pt>
                <c:pt idx="6">
                  <c:v>870</c:v>
                </c:pt>
                <c:pt idx="7">
                  <c:v>674</c:v>
                </c:pt>
                <c:pt idx="8">
                  <c:v>674</c:v>
                </c:pt>
                <c:pt idx="9">
                  <c:v>674</c:v>
                </c:pt>
                <c:pt idx="10">
                  <c:v>853</c:v>
                </c:pt>
                <c:pt idx="11">
                  <c:v>853</c:v>
                </c:pt>
                <c:pt idx="12">
                  <c:v>853</c:v>
                </c:pt>
                <c:pt idx="13">
                  <c:v>1041</c:v>
                </c:pt>
                <c:pt idx="14">
                  <c:v>1041</c:v>
                </c:pt>
                <c:pt idx="15">
                  <c:v>1041</c:v>
                </c:pt>
                <c:pt idx="16">
                  <c:v>956</c:v>
                </c:pt>
                <c:pt idx="17">
                  <c:v>956</c:v>
                </c:pt>
                <c:pt idx="18">
                  <c:v>956</c:v>
                </c:pt>
                <c:pt idx="19">
                  <c:v>736</c:v>
                </c:pt>
                <c:pt idx="20">
                  <c:v>736</c:v>
                </c:pt>
                <c:pt idx="21">
                  <c:v>736</c:v>
                </c:pt>
                <c:pt idx="22">
                  <c:v>966</c:v>
                </c:pt>
                <c:pt idx="23">
                  <c:v>966</c:v>
                </c:pt>
                <c:pt idx="24">
                  <c:v>966</c:v>
                </c:pt>
                <c:pt idx="25">
                  <c:v>1001</c:v>
                </c:pt>
                <c:pt idx="26">
                  <c:v>1001</c:v>
                </c:pt>
                <c:pt idx="27">
                  <c:v>1001</c:v>
                </c:pt>
                <c:pt idx="28">
                  <c:v>592</c:v>
                </c:pt>
                <c:pt idx="29">
                  <c:v>592</c:v>
                </c:pt>
                <c:pt idx="30">
                  <c:v>592</c:v>
                </c:pt>
                <c:pt idx="31">
                  <c:v>542</c:v>
                </c:pt>
                <c:pt idx="32">
                  <c:v>542</c:v>
                </c:pt>
                <c:pt idx="33">
                  <c:v>542</c:v>
                </c:pt>
                <c:pt idx="34">
                  <c:v>787</c:v>
                </c:pt>
                <c:pt idx="35">
                  <c:v>787</c:v>
                </c:pt>
                <c:pt idx="36">
                  <c:v>787</c:v>
                </c:pt>
                <c:pt idx="37">
                  <c:v>879</c:v>
                </c:pt>
                <c:pt idx="38">
                  <c:v>879</c:v>
                </c:pt>
                <c:pt idx="39">
                  <c:v>879</c:v>
                </c:pt>
                <c:pt idx="40">
                  <c:v>633</c:v>
                </c:pt>
                <c:pt idx="41">
                  <c:v>633</c:v>
                </c:pt>
                <c:pt idx="42">
                  <c:v>633</c:v>
                </c:pt>
                <c:pt idx="43">
                  <c:v>362</c:v>
                </c:pt>
                <c:pt idx="44">
                  <c:v>362</c:v>
                </c:pt>
                <c:pt idx="45">
                  <c:v>362</c:v>
                </c:pt>
                <c:pt idx="46">
                  <c:v>833</c:v>
                </c:pt>
                <c:pt idx="47">
                  <c:v>833</c:v>
                </c:pt>
                <c:pt idx="48">
                  <c:v>833</c:v>
                </c:pt>
                <c:pt idx="49">
                  <c:v>914</c:v>
                </c:pt>
                <c:pt idx="50">
                  <c:v>914</c:v>
                </c:pt>
                <c:pt idx="51">
                  <c:v>914</c:v>
                </c:pt>
                <c:pt idx="52">
                  <c:v>633.5</c:v>
                </c:pt>
                <c:pt idx="53">
                  <c:v>633.5</c:v>
                </c:pt>
                <c:pt idx="54">
                  <c:v>633.5</c:v>
                </c:pt>
                <c:pt idx="55">
                  <c:v>761</c:v>
                </c:pt>
                <c:pt idx="56">
                  <c:v>761</c:v>
                </c:pt>
                <c:pt idx="57">
                  <c:v>761</c:v>
                </c:pt>
                <c:pt idx="58">
                  <c:v>572</c:v>
                </c:pt>
                <c:pt idx="59">
                  <c:v>572</c:v>
                </c:pt>
                <c:pt idx="60">
                  <c:v>572</c:v>
                </c:pt>
                <c:pt idx="61">
                  <c:v>649</c:v>
                </c:pt>
                <c:pt idx="62">
                  <c:v>649</c:v>
                </c:pt>
                <c:pt idx="63">
                  <c:v>649</c:v>
                </c:pt>
                <c:pt idx="64">
                  <c:v>607</c:v>
                </c:pt>
                <c:pt idx="65">
                  <c:v>607</c:v>
                </c:pt>
                <c:pt idx="66">
                  <c:v>607</c:v>
                </c:pt>
                <c:pt idx="67">
                  <c:v>626</c:v>
                </c:pt>
                <c:pt idx="68">
                  <c:v>626</c:v>
                </c:pt>
                <c:pt idx="69">
                  <c:v>482</c:v>
                </c:pt>
                <c:pt idx="70">
                  <c:v>482</c:v>
                </c:pt>
                <c:pt idx="71">
                  <c:v>482</c:v>
                </c:pt>
                <c:pt idx="72">
                  <c:v>482</c:v>
                </c:pt>
                <c:pt idx="75">
                  <c:v>688.5</c:v>
                </c:pt>
                <c:pt idx="76">
                  <c:v>688.5</c:v>
                </c:pt>
                <c:pt idx="77">
                  <c:v>688.5</c:v>
                </c:pt>
                <c:pt idx="78">
                  <c:v>614</c:v>
                </c:pt>
                <c:pt idx="79">
                  <c:v>614</c:v>
                </c:pt>
                <c:pt idx="80">
                  <c:v>650</c:v>
                </c:pt>
                <c:pt idx="81">
                  <c:v>650</c:v>
                </c:pt>
                <c:pt idx="82">
                  <c:v>316</c:v>
                </c:pt>
                <c:pt idx="83">
                  <c:v>316</c:v>
                </c:pt>
                <c:pt idx="84">
                  <c:v>316</c:v>
                </c:pt>
              </c:numCache>
            </c:numRef>
          </c:xVal>
          <c:yVal>
            <c:numRef>
              <c:f>'isotopes bull'!$E$3:$E$87</c:f>
              <c:numCache>
                <c:formatCode>0.00</c:formatCode>
                <c:ptCount val="85"/>
                <c:pt idx="0">
                  <c:v>-1.252856756524463</c:v>
                </c:pt>
                <c:pt idx="1">
                  <c:v>-0.53629722203613739</c:v>
                </c:pt>
                <c:pt idx="2">
                  <c:v>-0.57897895790561615</c:v>
                </c:pt>
                <c:pt idx="3">
                  <c:v>-0.63892801987564118</c:v>
                </c:pt>
                <c:pt idx="4">
                  <c:v>-0.52253379522360932</c:v>
                </c:pt>
                <c:pt idx="5">
                  <c:v>-0.38764423222294742</c:v>
                </c:pt>
                <c:pt idx="6">
                  <c:v>-1.0166868654081398</c:v>
                </c:pt>
                <c:pt idx="7">
                  <c:v>-0.68641449557372103</c:v>
                </c:pt>
                <c:pt idx="8">
                  <c:v>-0.78315535218232268</c:v>
                </c:pt>
                <c:pt idx="9">
                  <c:v>-1.1556197221081923</c:v>
                </c:pt>
                <c:pt idx="10">
                  <c:v>-0.39167236274754119</c:v>
                </c:pt>
                <c:pt idx="11">
                  <c:v>0.32982187201280211</c:v>
                </c:pt>
                <c:pt idx="12">
                  <c:v>-0.91568712337057101</c:v>
                </c:pt>
                <c:pt idx="13">
                  <c:v>0.12176606836984044</c:v>
                </c:pt>
                <c:pt idx="14">
                  <c:v>0.24309956792209403</c:v>
                </c:pt>
                <c:pt idx="15">
                  <c:v>0.20241105969388784</c:v>
                </c:pt>
                <c:pt idx="16">
                  <c:v>0.42595337354054891</c:v>
                </c:pt>
                <c:pt idx="17">
                  <c:v>0.40511616759789881</c:v>
                </c:pt>
                <c:pt idx="18">
                  <c:v>-0.24904462924908144</c:v>
                </c:pt>
                <c:pt idx="19">
                  <c:v>-0.82163660174182285</c:v>
                </c:pt>
                <c:pt idx="20">
                  <c:v>-0.71002977790923616</c:v>
                </c:pt>
                <c:pt idx="21">
                  <c:v>-0.43942767811747252</c:v>
                </c:pt>
                <c:pt idx="22">
                  <c:v>-0.25949058616191689</c:v>
                </c:pt>
                <c:pt idx="23">
                  <c:v>-0.12035179677835882</c:v>
                </c:pt>
                <c:pt idx="24">
                  <c:v>-0.6559204353302226</c:v>
                </c:pt>
                <c:pt idx="25">
                  <c:v>-0.63968648690399132</c:v>
                </c:pt>
                <c:pt idx="26">
                  <c:v>-0.8501163624245649</c:v>
                </c:pt>
                <c:pt idx="27">
                  <c:v>-0.76730418131276412</c:v>
                </c:pt>
                <c:pt idx="28">
                  <c:v>-1.6517400718813984</c:v>
                </c:pt>
                <c:pt idx="29">
                  <c:v>-2.2770182941698822</c:v>
                </c:pt>
                <c:pt idx="30">
                  <c:v>-1.8810384120881873</c:v>
                </c:pt>
                <c:pt idx="31">
                  <c:v>-1.3925006953366046</c:v>
                </c:pt>
                <c:pt idx="32">
                  <c:v>-1.3068975574032815</c:v>
                </c:pt>
                <c:pt idx="33">
                  <c:v>-0.74223698315768005</c:v>
                </c:pt>
                <c:pt idx="34">
                  <c:v>-0.35573249240609095</c:v>
                </c:pt>
                <c:pt idx="35">
                  <c:v>-1.0384684454165709</c:v>
                </c:pt>
                <c:pt idx="36">
                  <c:v>-0.89610191594481681</c:v>
                </c:pt>
                <c:pt idx="37">
                  <c:v>-0.62437951246438672</c:v>
                </c:pt>
                <c:pt idx="38">
                  <c:v>-0.71175310738426678</c:v>
                </c:pt>
                <c:pt idx="39">
                  <c:v>0.11721974723309897</c:v>
                </c:pt>
                <c:pt idx="40">
                  <c:v>0.21712615717048994</c:v>
                </c:pt>
                <c:pt idx="41">
                  <c:v>0.427875742310938</c:v>
                </c:pt>
                <c:pt idx="42">
                  <c:v>-0.67184799900236714</c:v>
                </c:pt>
                <c:pt idx="44">
                  <c:v>-1.6523135022896285</c:v>
                </c:pt>
                <c:pt idx="45">
                  <c:v>-1.8325707572399532</c:v>
                </c:pt>
                <c:pt idx="46">
                  <c:v>-0.32305231781514404</c:v>
                </c:pt>
                <c:pt idx="47">
                  <c:v>-0.3333318549677966</c:v>
                </c:pt>
                <c:pt idx="48">
                  <c:v>-0.30511468780791284</c:v>
                </c:pt>
                <c:pt idx="49">
                  <c:v>-0.48121524782568081</c:v>
                </c:pt>
                <c:pt idx="50">
                  <c:v>-0.48719698962666375</c:v>
                </c:pt>
                <c:pt idx="51">
                  <c:v>-0.19114944704636846</c:v>
                </c:pt>
                <c:pt idx="52">
                  <c:v>-0.3243963298808667</c:v>
                </c:pt>
                <c:pt idx="53">
                  <c:v>-0.5873234071718757</c:v>
                </c:pt>
                <c:pt idx="54">
                  <c:v>-0.96393862024976595</c:v>
                </c:pt>
                <c:pt idx="55">
                  <c:v>-1.284338703211287</c:v>
                </c:pt>
                <c:pt idx="56">
                  <c:v>-1.2341216306686194</c:v>
                </c:pt>
                <c:pt idx="57">
                  <c:v>-1.9742038129805839</c:v>
                </c:pt>
                <c:pt idx="58">
                  <c:v>-2.1687901417481013</c:v>
                </c:pt>
                <c:pt idx="59">
                  <c:v>-1.7246360412408039</c:v>
                </c:pt>
                <c:pt idx="60">
                  <c:v>-2.1083262968364465</c:v>
                </c:pt>
                <c:pt idx="61">
                  <c:v>-4.8889167850845155E-2</c:v>
                </c:pt>
                <c:pt idx="62">
                  <c:v>1.2263353202374733E-2</c:v>
                </c:pt>
                <c:pt idx="63">
                  <c:v>-2.6844222898724013E-2</c:v>
                </c:pt>
                <c:pt idx="64">
                  <c:v>-2.2341652743316862</c:v>
                </c:pt>
                <c:pt idx="65">
                  <c:v>-2.1597925387132357</c:v>
                </c:pt>
                <c:pt idx="66">
                  <c:v>-1.5324748417078613</c:v>
                </c:pt>
                <c:pt idx="67">
                  <c:v>-0.63763086996965956</c:v>
                </c:pt>
                <c:pt idx="68">
                  <c:v>-0.65252006339008617</c:v>
                </c:pt>
                <c:pt idx="69">
                  <c:v>-2.127023449725904</c:v>
                </c:pt>
                <c:pt idx="70">
                  <c:v>-1.7842377951938295</c:v>
                </c:pt>
                <c:pt idx="71">
                  <c:v>-2.1213084342343103</c:v>
                </c:pt>
                <c:pt idx="72">
                  <c:v>-2.0099999999999998</c:v>
                </c:pt>
                <c:pt idx="75">
                  <c:v>-0.77722990824568117</c:v>
                </c:pt>
                <c:pt idx="76">
                  <c:v>-0.91584832897178381</c:v>
                </c:pt>
                <c:pt idx="77">
                  <c:v>-0.60560644876429381</c:v>
                </c:pt>
                <c:pt idx="78">
                  <c:v>-1.1578042980335137</c:v>
                </c:pt>
                <c:pt idx="79">
                  <c:v>-1.7230035959592667</c:v>
                </c:pt>
                <c:pt idx="80">
                  <c:v>-0.76194131290877265</c:v>
                </c:pt>
                <c:pt idx="81">
                  <c:v>-1.7355981836456431</c:v>
                </c:pt>
                <c:pt idx="82">
                  <c:v>-1.6559842327108374</c:v>
                </c:pt>
                <c:pt idx="83">
                  <c:v>-1.0494665288529794</c:v>
                </c:pt>
                <c:pt idx="84">
                  <c:v>-1.3360691096445541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9D-D640-AF54-0DE90D83A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7319551"/>
        <c:axId val="1587418639"/>
      </c:scatterChart>
      <c:valAx>
        <c:axId val="158731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587418639"/>
        <c:crosses val="autoZero"/>
        <c:crossBetween val="midCat"/>
      </c:valAx>
      <c:valAx>
        <c:axId val="158741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587319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13" Type="http://schemas.openxmlformats.org/officeDocument/2006/relationships/chart" Target="../charts/chart16.xml"/><Relationship Id="rId18" Type="http://schemas.openxmlformats.org/officeDocument/2006/relationships/chart" Target="../charts/chart21.xml"/><Relationship Id="rId26" Type="http://schemas.openxmlformats.org/officeDocument/2006/relationships/chart" Target="../charts/chart29.xml"/><Relationship Id="rId3" Type="http://schemas.openxmlformats.org/officeDocument/2006/relationships/chart" Target="../charts/chart6.xml"/><Relationship Id="rId21" Type="http://schemas.openxmlformats.org/officeDocument/2006/relationships/chart" Target="../charts/chart24.xml"/><Relationship Id="rId7" Type="http://schemas.openxmlformats.org/officeDocument/2006/relationships/chart" Target="../charts/chart10.xml"/><Relationship Id="rId12" Type="http://schemas.openxmlformats.org/officeDocument/2006/relationships/chart" Target="../charts/chart15.xml"/><Relationship Id="rId17" Type="http://schemas.openxmlformats.org/officeDocument/2006/relationships/chart" Target="../charts/chart20.xml"/><Relationship Id="rId25" Type="http://schemas.openxmlformats.org/officeDocument/2006/relationships/chart" Target="../charts/chart28.xml"/><Relationship Id="rId2" Type="http://schemas.openxmlformats.org/officeDocument/2006/relationships/chart" Target="../charts/chart5.xml"/><Relationship Id="rId16" Type="http://schemas.openxmlformats.org/officeDocument/2006/relationships/chart" Target="../charts/chart19.xml"/><Relationship Id="rId20" Type="http://schemas.openxmlformats.org/officeDocument/2006/relationships/chart" Target="../charts/chart23.xml"/><Relationship Id="rId29" Type="http://schemas.openxmlformats.org/officeDocument/2006/relationships/chart" Target="../charts/chart32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24" Type="http://schemas.openxmlformats.org/officeDocument/2006/relationships/chart" Target="../charts/chart27.xml"/><Relationship Id="rId5" Type="http://schemas.openxmlformats.org/officeDocument/2006/relationships/chart" Target="../charts/chart8.xml"/><Relationship Id="rId15" Type="http://schemas.openxmlformats.org/officeDocument/2006/relationships/chart" Target="../charts/chart18.xml"/><Relationship Id="rId23" Type="http://schemas.openxmlformats.org/officeDocument/2006/relationships/chart" Target="../charts/chart26.xml"/><Relationship Id="rId28" Type="http://schemas.openxmlformats.org/officeDocument/2006/relationships/chart" Target="../charts/chart31.xml"/><Relationship Id="rId10" Type="http://schemas.openxmlformats.org/officeDocument/2006/relationships/chart" Target="../charts/chart13.xml"/><Relationship Id="rId19" Type="http://schemas.openxmlformats.org/officeDocument/2006/relationships/chart" Target="../charts/chart22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14" Type="http://schemas.openxmlformats.org/officeDocument/2006/relationships/chart" Target="../charts/chart17.xml"/><Relationship Id="rId22" Type="http://schemas.openxmlformats.org/officeDocument/2006/relationships/chart" Target="../charts/chart25.xml"/><Relationship Id="rId27" Type="http://schemas.openxmlformats.org/officeDocument/2006/relationships/chart" Target="../charts/chart30.xml"/><Relationship Id="rId30" Type="http://schemas.openxmlformats.org/officeDocument/2006/relationships/chart" Target="../charts/chart3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5" Type="http://schemas.openxmlformats.org/officeDocument/2006/relationships/chart" Target="../charts/chart38.xml"/><Relationship Id="rId4" Type="http://schemas.openxmlformats.org/officeDocument/2006/relationships/chart" Target="../charts/chart3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Relationship Id="rId4" Type="http://schemas.openxmlformats.org/officeDocument/2006/relationships/chart" Target="../charts/chart4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6.xml"/><Relationship Id="rId2" Type="http://schemas.openxmlformats.org/officeDocument/2006/relationships/chart" Target="../charts/chart45.xml"/><Relationship Id="rId1" Type="http://schemas.openxmlformats.org/officeDocument/2006/relationships/chart" Target="../charts/chart44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5</xdr:col>
      <xdr:colOff>0</xdr:colOff>
      <xdr:row>39</xdr:row>
      <xdr:rowOff>0</xdr:rowOff>
    </xdr:to>
    <xdr:graphicFrame macro="">
      <xdr:nvGraphicFramePr>
        <xdr:cNvPr id="5191" name="Chart 1">
          <a:extLst>
            <a:ext uri="{FF2B5EF4-FFF2-40B4-BE49-F238E27FC236}">
              <a16:creationId xmlns:a16="http://schemas.microsoft.com/office/drawing/2014/main" id="{00000000-0008-0000-0000-000047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3</xdr:row>
      <xdr:rowOff>0</xdr:rowOff>
    </xdr:from>
    <xdr:to>
      <xdr:col>9</xdr:col>
      <xdr:colOff>12700</xdr:colOff>
      <xdr:row>39</xdr:row>
      <xdr:rowOff>0</xdr:rowOff>
    </xdr:to>
    <xdr:graphicFrame macro="">
      <xdr:nvGraphicFramePr>
        <xdr:cNvPr id="5192" name="Chart 3">
          <a:extLst>
            <a:ext uri="{FF2B5EF4-FFF2-40B4-BE49-F238E27FC236}">
              <a16:creationId xmlns:a16="http://schemas.microsoft.com/office/drawing/2014/main" id="{00000000-0008-0000-0000-000048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</xdr:row>
      <xdr:rowOff>0</xdr:rowOff>
    </xdr:from>
    <xdr:to>
      <xdr:col>13</xdr:col>
      <xdr:colOff>12700</xdr:colOff>
      <xdr:row>39</xdr:row>
      <xdr:rowOff>0</xdr:rowOff>
    </xdr:to>
    <xdr:graphicFrame macro="">
      <xdr:nvGraphicFramePr>
        <xdr:cNvPr id="5193" name="Chart 3">
          <a:extLst>
            <a:ext uri="{FF2B5EF4-FFF2-40B4-BE49-F238E27FC236}">
              <a16:creationId xmlns:a16="http://schemas.microsoft.com/office/drawing/2014/main" id="{00000000-0008-0000-0000-000049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0</xdr:colOff>
      <xdr:row>20</xdr:row>
      <xdr:rowOff>0</xdr:rowOff>
    </xdr:from>
    <xdr:to>
      <xdr:col>77</xdr:col>
      <xdr:colOff>0</xdr:colOff>
      <xdr:row>28</xdr:row>
      <xdr:rowOff>0</xdr:rowOff>
    </xdr:to>
    <xdr:graphicFrame macro="">
      <xdr:nvGraphicFramePr>
        <xdr:cNvPr id="409064" name="Chart 3">
          <a:extLst>
            <a:ext uri="{FF2B5EF4-FFF2-40B4-BE49-F238E27FC236}">
              <a16:creationId xmlns:a16="http://schemas.microsoft.com/office/drawing/2014/main" id="{00000000-0008-0000-0100-0000E83D0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71</xdr:col>
      <xdr:colOff>0</xdr:colOff>
      <xdr:row>12</xdr:row>
      <xdr:rowOff>0</xdr:rowOff>
    </xdr:from>
    <xdr:to>
      <xdr:col>77</xdr:col>
      <xdr:colOff>0</xdr:colOff>
      <xdr:row>20</xdr:row>
      <xdr:rowOff>0</xdr:rowOff>
    </xdr:to>
    <xdr:graphicFrame macro="">
      <xdr:nvGraphicFramePr>
        <xdr:cNvPr id="409065" name="Chart 15">
          <a:extLst>
            <a:ext uri="{FF2B5EF4-FFF2-40B4-BE49-F238E27FC236}">
              <a16:creationId xmlns:a16="http://schemas.microsoft.com/office/drawing/2014/main" id="{00000000-0008-0000-0100-0000E93D0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71</xdr:col>
      <xdr:colOff>0</xdr:colOff>
      <xdr:row>4</xdr:row>
      <xdr:rowOff>0</xdr:rowOff>
    </xdr:from>
    <xdr:to>
      <xdr:col>77</xdr:col>
      <xdr:colOff>0</xdr:colOff>
      <xdr:row>12</xdr:row>
      <xdr:rowOff>0</xdr:rowOff>
    </xdr:to>
    <xdr:graphicFrame macro="">
      <xdr:nvGraphicFramePr>
        <xdr:cNvPr id="409066" name="Chart 16">
          <a:extLst>
            <a:ext uri="{FF2B5EF4-FFF2-40B4-BE49-F238E27FC236}">
              <a16:creationId xmlns:a16="http://schemas.microsoft.com/office/drawing/2014/main" id="{00000000-0008-0000-0100-0000EA3D0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71</xdr:col>
      <xdr:colOff>0</xdr:colOff>
      <xdr:row>28</xdr:row>
      <xdr:rowOff>0</xdr:rowOff>
    </xdr:from>
    <xdr:to>
      <xdr:col>77</xdr:col>
      <xdr:colOff>0</xdr:colOff>
      <xdr:row>36</xdr:row>
      <xdr:rowOff>0</xdr:rowOff>
    </xdr:to>
    <xdr:graphicFrame macro="">
      <xdr:nvGraphicFramePr>
        <xdr:cNvPr id="409067" name="Chart 17">
          <a:extLst>
            <a:ext uri="{FF2B5EF4-FFF2-40B4-BE49-F238E27FC236}">
              <a16:creationId xmlns:a16="http://schemas.microsoft.com/office/drawing/2014/main" id="{00000000-0008-0000-0100-0000EB3D0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71</xdr:col>
      <xdr:colOff>0</xdr:colOff>
      <xdr:row>36</xdr:row>
      <xdr:rowOff>0</xdr:rowOff>
    </xdr:from>
    <xdr:to>
      <xdr:col>77</xdr:col>
      <xdr:colOff>0</xdr:colOff>
      <xdr:row>44</xdr:row>
      <xdr:rowOff>0</xdr:rowOff>
    </xdr:to>
    <xdr:graphicFrame macro="">
      <xdr:nvGraphicFramePr>
        <xdr:cNvPr id="409068" name="Chart 18">
          <a:extLst>
            <a:ext uri="{FF2B5EF4-FFF2-40B4-BE49-F238E27FC236}">
              <a16:creationId xmlns:a16="http://schemas.microsoft.com/office/drawing/2014/main" id="{00000000-0008-0000-0100-0000EC3D0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71</xdr:col>
      <xdr:colOff>0</xdr:colOff>
      <xdr:row>44</xdr:row>
      <xdr:rowOff>0</xdr:rowOff>
    </xdr:from>
    <xdr:to>
      <xdr:col>77</xdr:col>
      <xdr:colOff>0</xdr:colOff>
      <xdr:row>52</xdr:row>
      <xdr:rowOff>0</xdr:rowOff>
    </xdr:to>
    <xdr:graphicFrame macro="">
      <xdr:nvGraphicFramePr>
        <xdr:cNvPr id="409069" name="Chart 19">
          <a:extLst>
            <a:ext uri="{FF2B5EF4-FFF2-40B4-BE49-F238E27FC236}">
              <a16:creationId xmlns:a16="http://schemas.microsoft.com/office/drawing/2014/main" id="{00000000-0008-0000-0100-0000ED3D0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71</xdr:col>
      <xdr:colOff>0</xdr:colOff>
      <xdr:row>52</xdr:row>
      <xdr:rowOff>0</xdr:rowOff>
    </xdr:from>
    <xdr:to>
      <xdr:col>77</xdr:col>
      <xdr:colOff>0</xdr:colOff>
      <xdr:row>60</xdr:row>
      <xdr:rowOff>0</xdr:rowOff>
    </xdr:to>
    <xdr:graphicFrame macro="">
      <xdr:nvGraphicFramePr>
        <xdr:cNvPr id="409070" name="Chart 20">
          <a:extLst>
            <a:ext uri="{FF2B5EF4-FFF2-40B4-BE49-F238E27FC236}">
              <a16:creationId xmlns:a16="http://schemas.microsoft.com/office/drawing/2014/main" id="{00000000-0008-0000-0100-0000EE3D0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71</xdr:col>
      <xdr:colOff>0</xdr:colOff>
      <xdr:row>60</xdr:row>
      <xdr:rowOff>0</xdr:rowOff>
    </xdr:from>
    <xdr:to>
      <xdr:col>77</xdr:col>
      <xdr:colOff>0</xdr:colOff>
      <xdr:row>68</xdr:row>
      <xdr:rowOff>0</xdr:rowOff>
    </xdr:to>
    <xdr:graphicFrame macro="">
      <xdr:nvGraphicFramePr>
        <xdr:cNvPr id="409071" name="Chart 21">
          <a:extLst>
            <a:ext uri="{FF2B5EF4-FFF2-40B4-BE49-F238E27FC236}">
              <a16:creationId xmlns:a16="http://schemas.microsoft.com/office/drawing/2014/main" id="{00000000-0008-0000-0100-0000EF3D0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71</xdr:col>
      <xdr:colOff>0</xdr:colOff>
      <xdr:row>68</xdr:row>
      <xdr:rowOff>0</xdr:rowOff>
    </xdr:from>
    <xdr:to>
      <xdr:col>77</xdr:col>
      <xdr:colOff>0</xdr:colOff>
      <xdr:row>76</xdr:row>
      <xdr:rowOff>0</xdr:rowOff>
    </xdr:to>
    <xdr:graphicFrame macro="">
      <xdr:nvGraphicFramePr>
        <xdr:cNvPr id="409072" name="Chart 22">
          <a:extLst>
            <a:ext uri="{FF2B5EF4-FFF2-40B4-BE49-F238E27FC236}">
              <a16:creationId xmlns:a16="http://schemas.microsoft.com/office/drawing/2014/main" id="{00000000-0008-0000-0100-0000F03D0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71</xdr:col>
      <xdr:colOff>0</xdr:colOff>
      <xdr:row>76</xdr:row>
      <xdr:rowOff>0</xdr:rowOff>
    </xdr:from>
    <xdr:to>
      <xdr:col>77</xdr:col>
      <xdr:colOff>0</xdr:colOff>
      <xdr:row>84</xdr:row>
      <xdr:rowOff>0</xdr:rowOff>
    </xdr:to>
    <xdr:graphicFrame macro="">
      <xdr:nvGraphicFramePr>
        <xdr:cNvPr id="409073" name="Chart 23">
          <a:extLst>
            <a:ext uri="{FF2B5EF4-FFF2-40B4-BE49-F238E27FC236}">
              <a16:creationId xmlns:a16="http://schemas.microsoft.com/office/drawing/2014/main" id="{00000000-0008-0000-0100-0000F13D0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71</xdr:col>
      <xdr:colOff>0</xdr:colOff>
      <xdr:row>92</xdr:row>
      <xdr:rowOff>0</xdr:rowOff>
    </xdr:from>
    <xdr:to>
      <xdr:col>77</xdr:col>
      <xdr:colOff>0</xdr:colOff>
      <xdr:row>100</xdr:row>
      <xdr:rowOff>0</xdr:rowOff>
    </xdr:to>
    <xdr:graphicFrame macro="">
      <xdr:nvGraphicFramePr>
        <xdr:cNvPr id="409074" name="Chart 24">
          <a:extLst>
            <a:ext uri="{FF2B5EF4-FFF2-40B4-BE49-F238E27FC236}">
              <a16:creationId xmlns:a16="http://schemas.microsoft.com/office/drawing/2014/main" id="{00000000-0008-0000-0100-0000F23D0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71</xdr:col>
      <xdr:colOff>0</xdr:colOff>
      <xdr:row>84</xdr:row>
      <xdr:rowOff>0</xdr:rowOff>
    </xdr:from>
    <xdr:to>
      <xdr:col>77</xdr:col>
      <xdr:colOff>0</xdr:colOff>
      <xdr:row>92</xdr:row>
      <xdr:rowOff>0</xdr:rowOff>
    </xdr:to>
    <xdr:graphicFrame macro="">
      <xdr:nvGraphicFramePr>
        <xdr:cNvPr id="409075" name="Chart 25">
          <a:extLst>
            <a:ext uri="{FF2B5EF4-FFF2-40B4-BE49-F238E27FC236}">
              <a16:creationId xmlns:a16="http://schemas.microsoft.com/office/drawing/2014/main" id="{00000000-0008-0000-0100-0000F33D0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69</xdr:col>
      <xdr:colOff>0</xdr:colOff>
      <xdr:row>4</xdr:row>
      <xdr:rowOff>0</xdr:rowOff>
    </xdr:from>
    <xdr:to>
      <xdr:col>71</xdr:col>
      <xdr:colOff>0</xdr:colOff>
      <xdr:row>12</xdr:row>
      <xdr:rowOff>0</xdr:rowOff>
    </xdr:to>
    <xdr:sp macro="" textlink="">
      <xdr:nvSpPr>
        <xdr:cNvPr id="1050" name="Text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36372800" y="660400"/>
          <a:ext cx="444500" cy="1320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270" wrap="square" lIns="27432" tIns="18288" rIns="27432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sz="1000" b="0" i="1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G. ruber  </a:t>
          </a: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white</a:t>
          </a:r>
        </a:p>
        <a:p>
          <a:pPr algn="ctr" rtl="0">
            <a:lnSpc>
              <a:spcPts val="12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Geneva"/>
            <a:ea typeface="Geneva"/>
            <a:cs typeface="Geneva"/>
          </a:endParaRPr>
        </a:p>
      </xdr:txBody>
    </xdr:sp>
    <xdr:clientData/>
  </xdr:twoCellAnchor>
  <xdr:twoCellAnchor>
    <xdr:from>
      <xdr:col>69</xdr:col>
      <xdr:colOff>12700</xdr:colOff>
      <xdr:row>12</xdr:row>
      <xdr:rowOff>0</xdr:rowOff>
    </xdr:from>
    <xdr:to>
      <xdr:col>71</xdr:col>
      <xdr:colOff>0</xdr:colOff>
      <xdr:row>20</xdr:row>
      <xdr:rowOff>0</xdr:rowOff>
    </xdr:to>
    <xdr:sp macro="" textlink="">
      <xdr:nvSpPr>
        <xdr:cNvPr id="1051" name="Text 27">
          <a:extLst>
            <a:ext uri="{FF2B5EF4-FFF2-40B4-BE49-F238E27FC236}">
              <a16:creationId xmlns:a16="http://schemas.microsoft.com/office/drawing/2014/main" id="{00000000-0008-0000-0100-00001B040000}"/>
            </a:ext>
          </a:extLst>
        </xdr:cNvPr>
        <xdr:cNvSpPr txBox="1">
          <a:spLocks noChangeArrowheads="1"/>
        </xdr:cNvSpPr>
      </xdr:nvSpPr>
      <xdr:spPr bwMode="auto">
        <a:xfrm>
          <a:off x="36385500" y="1981200"/>
          <a:ext cx="431800" cy="1320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270" wrap="square" lIns="0" tIns="18288" rIns="27432" bIns="18288" anchor="b" upright="1"/>
        <a:lstStyle/>
        <a:p>
          <a:pPr algn="ctr" rtl="0">
            <a:defRPr sz="1000"/>
          </a:pPr>
          <a:r>
            <a:rPr lang="en-US" sz="1000" b="0" i="1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G. ruber </a:t>
          </a: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pink</a:t>
          </a: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Geneva"/>
            <a:ea typeface="Geneva"/>
            <a:cs typeface="Geneva"/>
          </a:endParaRPr>
        </a:p>
      </xdr:txBody>
    </xdr:sp>
    <xdr:clientData/>
  </xdr:twoCellAnchor>
  <xdr:twoCellAnchor>
    <xdr:from>
      <xdr:col>69</xdr:col>
      <xdr:colOff>0</xdr:colOff>
      <xdr:row>20</xdr:row>
      <xdr:rowOff>0</xdr:rowOff>
    </xdr:from>
    <xdr:to>
      <xdr:col>71</xdr:col>
      <xdr:colOff>0</xdr:colOff>
      <xdr:row>28</xdr:row>
      <xdr:rowOff>0</xdr:rowOff>
    </xdr:to>
    <xdr:sp macro="" textlink="">
      <xdr:nvSpPr>
        <xdr:cNvPr id="1052" name="Text 28">
          <a:extLst>
            <a:ext uri="{FF2B5EF4-FFF2-40B4-BE49-F238E27FC236}">
              <a16:creationId xmlns:a16="http://schemas.microsoft.com/office/drawing/2014/main" id="{00000000-0008-0000-0100-00001C040000}"/>
            </a:ext>
          </a:extLst>
        </xdr:cNvPr>
        <xdr:cNvSpPr txBox="1">
          <a:spLocks noChangeArrowheads="1"/>
        </xdr:cNvSpPr>
      </xdr:nvSpPr>
      <xdr:spPr bwMode="auto">
        <a:xfrm>
          <a:off x="36372800" y="3302000"/>
          <a:ext cx="444500" cy="1320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270" wrap="square" lIns="0" tIns="18288" rIns="27432" bIns="18288" anchor="b" upright="1"/>
        <a:lstStyle/>
        <a:p>
          <a:pPr algn="ctr" rtl="0">
            <a:defRPr sz="1000"/>
          </a:pPr>
          <a:r>
            <a:rPr lang="en-US" sz="1000" b="0" i="1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Orbulina</a:t>
          </a:r>
          <a:endParaRPr lang="en-US" sz="1000" b="0" i="0" u="none" strike="noStrike" baseline="0">
            <a:solidFill>
              <a:srgbClr val="000000"/>
            </a:solidFill>
            <a:latin typeface="Geneva"/>
            <a:ea typeface="Geneva"/>
            <a:cs typeface="Geneva"/>
          </a:endParaRP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Geneva"/>
            <a:ea typeface="Geneva"/>
            <a:cs typeface="Geneva"/>
          </a:endParaRPr>
        </a:p>
      </xdr:txBody>
    </xdr:sp>
    <xdr:clientData/>
  </xdr:twoCellAnchor>
  <xdr:twoCellAnchor>
    <xdr:from>
      <xdr:col>69</xdr:col>
      <xdr:colOff>0</xdr:colOff>
      <xdr:row>28</xdr:row>
      <xdr:rowOff>0</xdr:rowOff>
    </xdr:from>
    <xdr:to>
      <xdr:col>71</xdr:col>
      <xdr:colOff>0</xdr:colOff>
      <xdr:row>36</xdr:row>
      <xdr:rowOff>0</xdr:rowOff>
    </xdr:to>
    <xdr:sp macro="" textlink="">
      <xdr:nvSpPr>
        <xdr:cNvPr id="1053" name="Text 29">
          <a:extLst>
            <a:ext uri="{FF2B5EF4-FFF2-40B4-BE49-F238E27FC236}">
              <a16:creationId xmlns:a16="http://schemas.microsoft.com/office/drawing/2014/main" id="{00000000-0008-0000-0100-00001D040000}"/>
            </a:ext>
          </a:extLst>
        </xdr:cNvPr>
        <xdr:cNvSpPr txBox="1">
          <a:spLocks noChangeArrowheads="1"/>
        </xdr:cNvSpPr>
      </xdr:nvSpPr>
      <xdr:spPr bwMode="auto">
        <a:xfrm>
          <a:off x="36372800" y="4622800"/>
          <a:ext cx="444500" cy="1320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270" wrap="square" lIns="0" tIns="18288" rIns="27432" bIns="18288" anchor="b" upright="1"/>
        <a:lstStyle/>
        <a:p>
          <a:pPr algn="ctr" rtl="0">
            <a:defRPr sz="1000"/>
          </a:pPr>
          <a:r>
            <a:rPr lang="en-US" sz="1000" b="0" i="1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G. sacculifer</a:t>
          </a:r>
          <a:endParaRPr lang="en-US" sz="1000" b="0" i="0" u="none" strike="noStrike" baseline="0">
            <a:solidFill>
              <a:srgbClr val="000000"/>
            </a:solidFill>
            <a:latin typeface="Geneva"/>
            <a:ea typeface="Geneva"/>
            <a:cs typeface="Geneva"/>
          </a:endParaRP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Geneva"/>
            <a:ea typeface="Geneva"/>
            <a:cs typeface="Geneva"/>
          </a:endParaRPr>
        </a:p>
      </xdr:txBody>
    </xdr:sp>
    <xdr:clientData/>
  </xdr:twoCellAnchor>
  <xdr:twoCellAnchor>
    <xdr:from>
      <xdr:col>69</xdr:col>
      <xdr:colOff>0</xdr:colOff>
      <xdr:row>36</xdr:row>
      <xdr:rowOff>0</xdr:rowOff>
    </xdr:from>
    <xdr:to>
      <xdr:col>71</xdr:col>
      <xdr:colOff>0</xdr:colOff>
      <xdr:row>44</xdr:row>
      <xdr:rowOff>0</xdr:rowOff>
    </xdr:to>
    <xdr:sp macro="" textlink="">
      <xdr:nvSpPr>
        <xdr:cNvPr id="1054" name="Text 30">
          <a:extLst>
            <a:ext uri="{FF2B5EF4-FFF2-40B4-BE49-F238E27FC236}">
              <a16:creationId xmlns:a16="http://schemas.microsoft.com/office/drawing/2014/main" id="{00000000-0008-0000-0100-00001E040000}"/>
            </a:ext>
          </a:extLst>
        </xdr:cNvPr>
        <xdr:cNvSpPr txBox="1">
          <a:spLocks noChangeArrowheads="1"/>
        </xdr:cNvSpPr>
      </xdr:nvSpPr>
      <xdr:spPr bwMode="auto">
        <a:xfrm>
          <a:off x="36372800" y="5943600"/>
          <a:ext cx="444500" cy="1320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270" wrap="square" lIns="0" tIns="18288" rIns="27432" bIns="18288" anchor="b" upright="1"/>
        <a:lstStyle/>
        <a:p>
          <a:pPr algn="ctr" rtl="0">
            <a:defRPr sz="1000"/>
          </a:pPr>
          <a:r>
            <a:rPr lang="en-US" sz="1000" b="0" i="1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G. bulloides</a:t>
          </a:r>
          <a:endParaRPr lang="en-US" sz="1000" b="0" i="0" u="none" strike="noStrike" baseline="0">
            <a:solidFill>
              <a:srgbClr val="000000"/>
            </a:solidFill>
            <a:latin typeface="Geneva"/>
            <a:ea typeface="Geneva"/>
            <a:cs typeface="Geneva"/>
          </a:endParaRP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Geneva"/>
            <a:ea typeface="Geneva"/>
            <a:cs typeface="Geneva"/>
          </a:endParaRPr>
        </a:p>
      </xdr:txBody>
    </xdr:sp>
    <xdr:clientData/>
  </xdr:twoCellAnchor>
  <xdr:twoCellAnchor>
    <xdr:from>
      <xdr:col>69</xdr:col>
      <xdr:colOff>0</xdr:colOff>
      <xdr:row>52</xdr:row>
      <xdr:rowOff>0</xdr:rowOff>
    </xdr:from>
    <xdr:to>
      <xdr:col>71</xdr:col>
      <xdr:colOff>0</xdr:colOff>
      <xdr:row>60</xdr:row>
      <xdr:rowOff>0</xdr:rowOff>
    </xdr:to>
    <xdr:sp macro="" textlink="">
      <xdr:nvSpPr>
        <xdr:cNvPr id="1056" name="Text 32">
          <a:extLst>
            <a:ext uri="{FF2B5EF4-FFF2-40B4-BE49-F238E27FC236}">
              <a16:creationId xmlns:a16="http://schemas.microsoft.com/office/drawing/2014/main" id="{00000000-0008-0000-0100-000020040000}"/>
            </a:ext>
          </a:extLst>
        </xdr:cNvPr>
        <xdr:cNvSpPr txBox="1">
          <a:spLocks noChangeArrowheads="1"/>
        </xdr:cNvSpPr>
      </xdr:nvSpPr>
      <xdr:spPr bwMode="auto">
        <a:xfrm>
          <a:off x="36372800" y="8585200"/>
          <a:ext cx="444500" cy="1320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270" wrap="square" lIns="0" tIns="18288" rIns="27432" bIns="18288" anchor="b" upright="1"/>
        <a:lstStyle/>
        <a:p>
          <a:pPr algn="ctr" rtl="0">
            <a:defRPr sz="1000"/>
          </a:pPr>
          <a:r>
            <a:rPr lang="en-US" sz="1000" b="0" i="1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G. glutinata</a:t>
          </a:r>
          <a:endParaRPr lang="en-US" sz="1000" b="0" i="0" u="none" strike="noStrike" baseline="0">
            <a:solidFill>
              <a:srgbClr val="000000"/>
            </a:solidFill>
            <a:latin typeface="Geneva"/>
            <a:ea typeface="Geneva"/>
            <a:cs typeface="Geneva"/>
          </a:endParaRP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Geneva"/>
            <a:ea typeface="Geneva"/>
            <a:cs typeface="Geneva"/>
          </a:endParaRPr>
        </a:p>
      </xdr:txBody>
    </xdr:sp>
    <xdr:clientData/>
  </xdr:twoCellAnchor>
  <xdr:twoCellAnchor>
    <xdr:from>
      <xdr:col>69</xdr:col>
      <xdr:colOff>0</xdr:colOff>
      <xdr:row>76</xdr:row>
      <xdr:rowOff>0</xdr:rowOff>
    </xdr:from>
    <xdr:to>
      <xdr:col>71</xdr:col>
      <xdr:colOff>0</xdr:colOff>
      <xdr:row>84</xdr:row>
      <xdr:rowOff>0</xdr:rowOff>
    </xdr:to>
    <xdr:sp macro="" textlink="">
      <xdr:nvSpPr>
        <xdr:cNvPr id="1058" name="Text 34">
          <a:extLst>
            <a:ext uri="{FF2B5EF4-FFF2-40B4-BE49-F238E27FC236}">
              <a16:creationId xmlns:a16="http://schemas.microsoft.com/office/drawing/2014/main" id="{00000000-0008-0000-0100-000022040000}"/>
            </a:ext>
          </a:extLst>
        </xdr:cNvPr>
        <xdr:cNvSpPr txBox="1">
          <a:spLocks noChangeArrowheads="1"/>
        </xdr:cNvSpPr>
      </xdr:nvSpPr>
      <xdr:spPr bwMode="auto">
        <a:xfrm>
          <a:off x="36372800" y="12547600"/>
          <a:ext cx="444500" cy="1320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270" wrap="square" lIns="0" tIns="18288" rIns="27432" bIns="18288" anchor="b" upright="1"/>
        <a:lstStyle/>
        <a:p>
          <a:pPr algn="ctr" rtl="0">
            <a:defRPr sz="1000"/>
          </a:pPr>
          <a:r>
            <a:rPr lang="en-US" sz="1000" b="0" i="1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G. crassaformis</a:t>
          </a:r>
          <a:endParaRPr lang="en-US" sz="1000" b="0" i="0" u="none" strike="noStrike" baseline="0">
            <a:solidFill>
              <a:srgbClr val="000000"/>
            </a:solidFill>
            <a:latin typeface="Geneva"/>
            <a:ea typeface="Geneva"/>
            <a:cs typeface="Geneva"/>
          </a:endParaRP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Geneva"/>
            <a:ea typeface="Geneva"/>
            <a:cs typeface="Geneva"/>
          </a:endParaRPr>
        </a:p>
      </xdr:txBody>
    </xdr:sp>
    <xdr:clientData/>
  </xdr:twoCellAnchor>
  <xdr:twoCellAnchor>
    <xdr:from>
      <xdr:col>69</xdr:col>
      <xdr:colOff>0</xdr:colOff>
      <xdr:row>84</xdr:row>
      <xdr:rowOff>0</xdr:rowOff>
    </xdr:from>
    <xdr:to>
      <xdr:col>71</xdr:col>
      <xdr:colOff>0</xdr:colOff>
      <xdr:row>92</xdr:row>
      <xdr:rowOff>0</xdr:rowOff>
    </xdr:to>
    <xdr:sp macro="" textlink="">
      <xdr:nvSpPr>
        <xdr:cNvPr id="1059" name="Text 35">
          <a:extLst>
            <a:ext uri="{FF2B5EF4-FFF2-40B4-BE49-F238E27FC236}">
              <a16:creationId xmlns:a16="http://schemas.microsoft.com/office/drawing/2014/main" id="{00000000-0008-0000-0100-000023040000}"/>
            </a:ext>
          </a:extLst>
        </xdr:cNvPr>
        <xdr:cNvSpPr txBox="1">
          <a:spLocks noChangeArrowheads="1"/>
        </xdr:cNvSpPr>
      </xdr:nvSpPr>
      <xdr:spPr bwMode="auto">
        <a:xfrm>
          <a:off x="36372800" y="13868400"/>
          <a:ext cx="444500" cy="1320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270" wrap="square" lIns="0" tIns="18288" rIns="27432" bIns="18288" anchor="b" upright="1"/>
        <a:lstStyle/>
        <a:p>
          <a:pPr algn="ctr" rtl="0">
            <a:defRPr sz="1000"/>
          </a:pPr>
          <a:r>
            <a:rPr lang="en-US" sz="1000" b="0" i="1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N. pachyderma  </a:t>
          </a:r>
          <a:endParaRPr lang="en-US" sz="1000" b="0" i="0" u="none" strike="noStrike" baseline="0">
            <a:solidFill>
              <a:srgbClr val="000000"/>
            </a:solidFill>
            <a:latin typeface="Geneva"/>
            <a:ea typeface="Geneva"/>
            <a:cs typeface="Geneva"/>
          </a:endParaRP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Geneva"/>
            <a:ea typeface="Geneva"/>
            <a:cs typeface="Geneva"/>
          </a:endParaRPr>
        </a:p>
      </xdr:txBody>
    </xdr:sp>
    <xdr:clientData/>
  </xdr:twoCellAnchor>
  <xdr:twoCellAnchor>
    <xdr:from>
      <xdr:col>69</xdr:col>
      <xdr:colOff>0</xdr:colOff>
      <xdr:row>92</xdr:row>
      <xdr:rowOff>0</xdr:rowOff>
    </xdr:from>
    <xdr:to>
      <xdr:col>71</xdr:col>
      <xdr:colOff>0</xdr:colOff>
      <xdr:row>100</xdr:row>
      <xdr:rowOff>0</xdr:rowOff>
    </xdr:to>
    <xdr:sp macro="" textlink="">
      <xdr:nvSpPr>
        <xdr:cNvPr id="1060" name="Text 36">
          <a:extLst>
            <a:ext uri="{FF2B5EF4-FFF2-40B4-BE49-F238E27FC236}">
              <a16:creationId xmlns:a16="http://schemas.microsoft.com/office/drawing/2014/main" id="{00000000-0008-0000-0100-000024040000}"/>
            </a:ext>
          </a:extLst>
        </xdr:cNvPr>
        <xdr:cNvSpPr txBox="1">
          <a:spLocks noChangeArrowheads="1"/>
        </xdr:cNvSpPr>
      </xdr:nvSpPr>
      <xdr:spPr bwMode="auto">
        <a:xfrm>
          <a:off x="36372800" y="15189200"/>
          <a:ext cx="444500" cy="1320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270" wrap="square" lIns="0" tIns="18288" rIns="27432" bIns="18288" anchor="b" upright="1"/>
        <a:lstStyle/>
        <a:p>
          <a:pPr algn="ctr" rtl="0">
            <a:defRPr sz="1000"/>
          </a:pPr>
          <a:r>
            <a:rPr lang="en-US" sz="1000" b="0" i="1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N. dutertrei</a:t>
          </a:r>
          <a:endParaRPr lang="en-US" sz="1000" b="0" i="0" u="none" strike="noStrike" baseline="0">
            <a:solidFill>
              <a:srgbClr val="000000"/>
            </a:solidFill>
            <a:latin typeface="Geneva"/>
            <a:ea typeface="Geneva"/>
            <a:cs typeface="Geneva"/>
          </a:endParaRP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Geneva"/>
            <a:ea typeface="Geneva"/>
            <a:cs typeface="Geneva"/>
          </a:endParaRPr>
        </a:p>
      </xdr:txBody>
    </xdr:sp>
    <xdr:clientData/>
  </xdr:twoCellAnchor>
  <xdr:twoCellAnchor>
    <xdr:from>
      <xdr:col>69</xdr:col>
      <xdr:colOff>0</xdr:colOff>
      <xdr:row>60</xdr:row>
      <xdr:rowOff>0</xdr:rowOff>
    </xdr:from>
    <xdr:to>
      <xdr:col>71</xdr:col>
      <xdr:colOff>0</xdr:colOff>
      <xdr:row>68</xdr:row>
      <xdr:rowOff>0</xdr:rowOff>
    </xdr:to>
    <xdr:sp macro="" textlink="">
      <xdr:nvSpPr>
        <xdr:cNvPr id="1061" name="Text 37">
          <a:extLst>
            <a:ext uri="{FF2B5EF4-FFF2-40B4-BE49-F238E27FC236}">
              <a16:creationId xmlns:a16="http://schemas.microsoft.com/office/drawing/2014/main" id="{00000000-0008-0000-0100-000025040000}"/>
            </a:ext>
          </a:extLst>
        </xdr:cNvPr>
        <xdr:cNvSpPr txBox="1">
          <a:spLocks noChangeArrowheads="1"/>
        </xdr:cNvSpPr>
      </xdr:nvSpPr>
      <xdr:spPr bwMode="auto">
        <a:xfrm>
          <a:off x="36372800" y="9906000"/>
          <a:ext cx="444500" cy="1320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270" wrap="square" lIns="0" tIns="18288" rIns="27432" bIns="18288" anchor="b" upright="1"/>
        <a:lstStyle/>
        <a:p>
          <a:pPr algn="ctr" rtl="0">
            <a:defRPr sz="1000"/>
          </a:pPr>
          <a:r>
            <a:rPr lang="en-US" sz="1000" b="0" i="1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G. inflata</a:t>
          </a:r>
          <a:endParaRPr lang="en-US" sz="1000" b="0" i="0" u="none" strike="noStrike" baseline="0">
            <a:solidFill>
              <a:srgbClr val="000000"/>
            </a:solidFill>
            <a:latin typeface="Geneva"/>
            <a:ea typeface="Geneva"/>
            <a:cs typeface="Geneva"/>
          </a:endParaRP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Geneva"/>
            <a:ea typeface="Geneva"/>
            <a:cs typeface="Geneva"/>
          </a:endParaRPr>
        </a:p>
      </xdr:txBody>
    </xdr:sp>
    <xdr:clientData/>
  </xdr:twoCellAnchor>
  <xdr:twoCellAnchor>
    <xdr:from>
      <xdr:col>69</xdr:col>
      <xdr:colOff>0</xdr:colOff>
      <xdr:row>100</xdr:row>
      <xdr:rowOff>0</xdr:rowOff>
    </xdr:from>
    <xdr:to>
      <xdr:col>71</xdr:col>
      <xdr:colOff>0</xdr:colOff>
      <xdr:row>108</xdr:row>
      <xdr:rowOff>0</xdr:rowOff>
    </xdr:to>
    <xdr:sp macro="" textlink="">
      <xdr:nvSpPr>
        <xdr:cNvPr id="1062" name="Text 38">
          <a:extLst>
            <a:ext uri="{FF2B5EF4-FFF2-40B4-BE49-F238E27FC236}">
              <a16:creationId xmlns:a16="http://schemas.microsoft.com/office/drawing/2014/main" id="{00000000-0008-0000-0100-000026040000}"/>
            </a:ext>
          </a:extLst>
        </xdr:cNvPr>
        <xdr:cNvSpPr txBox="1">
          <a:spLocks noChangeArrowheads="1"/>
        </xdr:cNvSpPr>
      </xdr:nvSpPr>
      <xdr:spPr bwMode="auto">
        <a:xfrm>
          <a:off x="36372800" y="16510000"/>
          <a:ext cx="444500" cy="1320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270" wrap="square" lIns="0" tIns="0" rIns="27432" bIns="18288" anchor="b" upright="1"/>
        <a:lstStyle/>
        <a:p>
          <a:pPr algn="l" rtl="0">
            <a:defRPr sz="1000"/>
          </a:pPr>
          <a:r>
            <a:rPr lang="en-US" sz="900" b="0" i="1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G. siphonifera</a:t>
          </a:r>
          <a:endParaRPr lang="en-US" sz="900" b="0" i="0" u="none" strike="noStrike" baseline="0">
            <a:solidFill>
              <a:srgbClr val="000000"/>
            </a:solidFill>
            <a:latin typeface="Geneva"/>
            <a:ea typeface="Geneva"/>
            <a:cs typeface="Geneva"/>
          </a:endParaRPr>
        </a:p>
        <a:p>
          <a:pPr algn="l" rtl="0">
            <a:defRPr sz="1000"/>
          </a:pPr>
          <a:r>
            <a:rPr lang="en-US" sz="900" b="0" i="1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G. calida</a:t>
          </a:r>
        </a:p>
      </xdr:txBody>
    </xdr:sp>
    <xdr:clientData/>
  </xdr:twoCellAnchor>
  <xdr:twoCellAnchor>
    <xdr:from>
      <xdr:col>71</xdr:col>
      <xdr:colOff>0</xdr:colOff>
      <xdr:row>100</xdr:row>
      <xdr:rowOff>0</xdr:rowOff>
    </xdr:from>
    <xdr:to>
      <xdr:col>77</xdr:col>
      <xdr:colOff>0</xdr:colOff>
      <xdr:row>108</xdr:row>
      <xdr:rowOff>0</xdr:rowOff>
    </xdr:to>
    <xdr:graphicFrame macro="">
      <xdr:nvGraphicFramePr>
        <xdr:cNvPr id="409087" name="Chart 39">
          <a:extLst>
            <a:ext uri="{FF2B5EF4-FFF2-40B4-BE49-F238E27FC236}">
              <a16:creationId xmlns:a16="http://schemas.microsoft.com/office/drawing/2014/main" id="{00000000-0008-0000-0100-0000FF3D0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71</xdr:col>
      <xdr:colOff>0</xdr:colOff>
      <xdr:row>108</xdr:row>
      <xdr:rowOff>0</xdr:rowOff>
    </xdr:from>
    <xdr:to>
      <xdr:col>77</xdr:col>
      <xdr:colOff>0</xdr:colOff>
      <xdr:row>116</xdr:row>
      <xdr:rowOff>0</xdr:rowOff>
    </xdr:to>
    <xdr:graphicFrame macro="">
      <xdr:nvGraphicFramePr>
        <xdr:cNvPr id="409088" name="Chart 41">
          <a:extLst>
            <a:ext uri="{FF2B5EF4-FFF2-40B4-BE49-F238E27FC236}">
              <a16:creationId xmlns:a16="http://schemas.microsoft.com/office/drawing/2014/main" id="{00000000-0008-0000-0100-0000003E0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73</xdr:col>
      <xdr:colOff>1473200</xdr:colOff>
      <xdr:row>116</xdr:row>
      <xdr:rowOff>12700</xdr:rowOff>
    </xdr:from>
    <xdr:to>
      <xdr:col>73</xdr:col>
      <xdr:colOff>1739900</xdr:colOff>
      <xdr:row>120</xdr:row>
      <xdr:rowOff>12700</xdr:rowOff>
    </xdr:to>
    <xdr:sp macro="" textlink="">
      <xdr:nvSpPr>
        <xdr:cNvPr id="1066" name="Text 42">
          <a:extLst>
            <a:ext uri="{FF2B5EF4-FFF2-40B4-BE49-F238E27FC236}">
              <a16:creationId xmlns:a16="http://schemas.microsoft.com/office/drawing/2014/main" id="{00000000-0008-0000-0100-00002A040000}"/>
            </a:ext>
          </a:extLst>
        </xdr:cNvPr>
        <xdr:cNvSpPr txBox="1">
          <a:spLocks noChangeArrowheads="1"/>
        </xdr:cNvSpPr>
      </xdr:nvSpPr>
      <xdr:spPr bwMode="auto">
        <a:xfrm>
          <a:off x="42354500" y="19164300"/>
          <a:ext cx="266700" cy="660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xmlns="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18288" rIns="27432" bIns="0" anchor="ctr" upright="1"/>
        <a:lstStyle/>
        <a:p>
          <a:pPr algn="r" rtl="0">
            <a:lnSpc>
              <a:spcPts val="12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1200</a:t>
          </a:r>
        </a:p>
        <a:p>
          <a:pPr algn="r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Geneva"/>
            <a:ea typeface="Geneva"/>
            <a:cs typeface="Geneva"/>
          </a:endParaRPr>
        </a:p>
      </xdr:txBody>
    </xdr:sp>
    <xdr:clientData/>
  </xdr:twoCellAnchor>
  <xdr:twoCellAnchor>
    <xdr:from>
      <xdr:col>73</xdr:col>
      <xdr:colOff>457200</xdr:colOff>
      <xdr:row>116</xdr:row>
      <xdr:rowOff>25400</xdr:rowOff>
    </xdr:from>
    <xdr:to>
      <xdr:col>73</xdr:col>
      <xdr:colOff>850900</xdr:colOff>
      <xdr:row>120</xdr:row>
      <xdr:rowOff>12700</xdr:rowOff>
    </xdr:to>
    <xdr:sp macro="" textlink="">
      <xdr:nvSpPr>
        <xdr:cNvPr id="1068" name="Text 44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 txBox="1">
          <a:spLocks noChangeArrowheads="1"/>
        </xdr:cNvSpPr>
      </xdr:nvSpPr>
      <xdr:spPr bwMode="auto">
        <a:xfrm>
          <a:off x="41338500" y="19177000"/>
          <a:ext cx="393700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xmlns="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18288" rIns="27432" bIns="0" anchor="ctr" upright="1"/>
        <a:lstStyle/>
        <a:p>
          <a:pPr algn="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1000</a:t>
          </a:r>
        </a:p>
      </xdr:txBody>
    </xdr:sp>
    <xdr:clientData/>
  </xdr:twoCellAnchor>
  <xdr:twoCellAnchor>
    <xdr:from>
      <xdr:col>72</xdr:col>
      <xdr:colOff>1028700</xdr:colOff>
      <xdr:row>116</xdr:row>
      <xdr:rowOff>12700</xdr:rowOff>
    </xdr:from>
    <xdr:to>
      <xdr:col>72</xdr:col>
      <xdr:colOff>1435100</xdr:colOff>
      <xdr:row>120</xdr:row>
      <xdr:rowOff>12700</xdr:rowOff>
    </xdr:to>
    <xdr:sp macro="" textlink="">
      <xdr:nvSpPr>
        <xdr:cNvPr id="1070" name="Text 46">
          <a:extLst>
            <a:ext uri="{FF2B5EF4-FFF2-40B4-BE49-F238E27FC236}">
              <a16:creationId xmlns:a16="http://schemas.microsoft.com/office/drawing/2014/main" id="{00000000-0008-0000-0100-00002E040000}"/>
            </a:ext>
          </a:extLst>
        </xdr:cNvPr>
        <xdr:cNvSpPr txBox="1">
          <a:spLocks noChangeArrowheads="1"/>
        </xdr:cNvSpPr>
      </xdr:nvSpPr>
      <xdr:spPr bwMode="auto">
        <a:xfrm>
          <a:off x="39624000" y="19164300"/>
          <a:ext cx="406400" cy="660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xmlns="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300</a:t>
          </a:r>
        </a:p>
      </xdr:txBody>
    </xdr:sp>
    <xdr:clientData/>
  </xdr:twoCellAnchor>
  <xdr:twoCellAnchor>
    <xdr:from>
      <xdr:col>71</xdr:col>
      <xdr:colOff>2171700</xdr:colOff>
      <xdr:row>116</xdr:row>
      <xdr:rowOff>12700</xdr:rowOff>
    </xdr:from>
    <xdr:to>
      <xdr:col>72</xdr:col>
      <xdr:colOff>215900</xdr:colOff>
      <xdr:row>118</xdr:row>
      <xdr:rowOff>152400</xdr:rowOff>
    </xdr:to>
    <xdr:sp macro="" textlink="">
      <xdr:nvSpPr>
        <xdr:cNvPr id="1071" name="Text 47">
          <a:extLst>
            <a:ext uri="{FF2B5EF4-FFF2-40B4-BE49-F238E27FC236}">
              <a16:creationId xmlns:a16="http://schemas.microsoft.com/office/drawing/2014/main" id="{00000000-0008-0000-0100-00002F040000}"/>
            </a:ext>
          </a:extLst>
        </xdr:cNvPr>
        <xdr:cNvSpPr txBox="1">
          <a:spLocks noChangeArrowheads="1"/>
        </xdr:cNvSpPr>
      </xdr:nvSpPr>
      <xdr:spPr bwMode="auto">
        <a:xfrm>
          <a:off x="38595300" y="19164300"/>
          <a:ext cx="215900" cy="469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xmlns="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18288" rIns="27432" bIns="0" anchor="ctr" upright="1"/>
        <a:lstStyle/>
        <a:p>
          <a:pPr algn="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400</a:t>
          </a:r>
        </a:p>
      </xdr:txBody>
    </xdr:sp>
    <xdr:clientData/>
  </xdr:twoCellAnchor>
  <xdr:twoCellAnchor>
    <xdr:from>
      <xdr:col>71</xdr:col>
      <xdr:colOff>1193800</xdr:colOff>
      <xdr:row>116</xdr:row>
      <xdr:rowOff>12700</xdr:rowOff>
    </xdr:from>
    <xdr:to>
      <xdr:col>71</xdr:col>
      <xdr:colOff>1460500</xdr:colOff>
      <xdr:row>118</xdr:row>
      <xdr:rowOff>152400</xdr:rowOff>
    </xdr:to>
    <xdr:sp macro="" textlink="">
      <xdr:nvSpPr>
        <xdr:cNvPr id="1072" name="Text 48">
          <a:extLst>
            <a:ext uri="{FF2B5EF4-FFF2-40B4-BE49-F238E27FC236}">
              <a16:creationId xmlns:a16="http://schemas.microsoft.com/office/drawing/2014/main" id="{00000000-0008-0000-0100-000030040000}"/>
            </a:ext>
          </a:extLst>
        </xdr:cNvPr>
        <xdr:cNvSpPr txBox="1">
          <a:spLocks noChangeArrowheads="1"/>
        </xdr:cNvSpPr>
      </xdr:nvSpPr>
      <xdr:spPr bwMode="auto">
        <a:xfrm>
          <a:off x="38011100" y="19164300"/>
          <a:ext cx="266700" cy="469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xmlns="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18288" rIns="27432" bIns="0" anchor="ctr" upright="1"/>
        <a:lstStyle/>
        <a:p>
          <a:pPr algn="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200</a:t>
          </a:r>
        </a:p>
      </xdr:txBody>
    </xdr:sp>
    <xdr:clientData/>
  </xdr:twoCellAnchor>
  <xdr:twoCellAnchor>
    <xdr:from>
      <xdr:col>71</xdr:col>
      <xdr:colOff>228600</xdr:colOff>
      <xdr:row>116</xdr:row>
      <xdr:rowOff>12700</xdr:rowOff>
    </xdr:from>
    <xdr:to>
      <xdr:col>71</xdr:col>
      <xdr:colOff>495300</xdr:colOff>
      <xdr:row>118</xdr:row>
      <xdr:rowOff>152400</xdr:rowOff>
    </xdr:to>
    <xdr:sp macro="" textlink="">
      <xdr:nvSpPr>
        <xdr:cNvPr id="1074" name="Text 50">
          <a:extLst>
            <a:ext uri="{FF2B5EF4-FFF2-40B4-BE49-F238E27FC236}">
              <a16:creationId xmlns:a16="http://schemas.microsoft.com/office/drawing/2014/main" id="{00000000-0008-0000-0100-000032040000}"/>
            </a:ext>
          </a:extLst>
        </xdr:cNvPr>
        <xdr:cNvSpPr txBox="1">
          <a:spLocks noChangeArrowheads="1"/>
        </xdr:cNvSpPr>
      </xdr:nvSpPr>
      <xdr:spPr bwMode="auto">
        <a:xfrm>
          <a:off x="37045900" y="19164300"/>
          <a:ext cx="266700" cy="469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xmlns="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18288" rIns="27432" bIns="0" anchor="ctr" upright="1"/>
        <a:lstStyle/>
        <a:p>
          <a:pPr algn="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0</a:t>
          </a:r>
        </a:p>
      </xdr:txBody>
    </xdr:sp>
    <xdr:clientData/>
  </xdr:twoCellAnchor>
  <xdr:twoCellAnchor>
    <xdr:from>
      <xdr:col>74</xdr:col>
      <xdr:colOff>12700</xdr:colOff>
      <xdr:row>116</xdr:row>
      <xdr:rowOff>12700</xdr:rowOff>
    </xdr:from>
    <xdr:to>
      <xdr:col>74</xdr:col>
      <xdr:colOff>279400</xdr:colOff>
      <xdr:row>120</xdr:row>
      <xdr:rowOff>12700</xdr:rowOff>
    </xdr:to>
    <xdr:sp macro="" textlink="">
      <xdr:nvSpPr>
        <xdr:cNvPr id="1080" name="Text 56">
          <a:extLst>
            <a:ext uri="{FF2B5EF4-FFF2-40B4-BE49-F238E27FC236}">
              <a16:creationId xmlns:a16="http://schemas.microsoft.com/office/drawing/2014/main" id="{00000000-0008-0000-0100-000038040000}"/>
            </a:ext>
          </a:extLst>
        </xdr:cNvPr>
        <xdr:cNvSpPr txBox="1">
          <a:spLocks noChangeArrowheads="1"/>
        </xdr:cNvSpPr>
      </xdr:nvSpPr>
      <xdr:spPr bwMode="auto">
        <a:xfrm>
          <a:off x="43268900" y="19164300"/>
          <a:ext cx="266700" cy="660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xmlns="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18288" rIns="27432" bIns="0" anchor="ctr" upright="1"/>
        <a:lstStyle/>
        <a:p>
          <a:pPr algn="r" rtl="0">
            <a:lnSpc>
              <a:spcPts val="12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1800</a:t>
          </a:r>
        </a:p>
        <a:p>
          <a:pPr algn="r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Geneva"/>
            <a:ea typeface="Geneva"/>
            <a:cs typeface="Geneva"/>
          </a:endParaRPr>
        </a:p>
      </xdr:txBody>
    </xdr:sp>
    <xdr:clientData/>
  </xdr:twoCellAnchor>
  <xdr:twoCellAnchor>
    <xdr:from>
      <xdr:col>72</xdr:col>
      <xdr:colOff>914400</xdr:colOff>
      <xdr:row>116</xdr:row>
      <xdr:rowOff>12700</xdr:rowOff>
    </xdr:from>
    <xdr:to>
      <xdr:col>72</xdr:col>
      <xdr:colOff>1320800</xdr:colOff>
      <xdr:row>120</xdr:row>
      <xdr:rowOff>12700</xdr:rowOff>
    </xdr:to>
    <xdr:sp macro="" textlink="">
      <xdr:nvSpPr>
        <xdr:cNvPr id="1083" name="Text 59">
          <a:extLst>
            <a:ext uri="{FF2B5EF4-FFF2-40B4-BE49-F238E27FC236}">
              <a16:creationId xmlns:a16="http://schemas.microsoft.com/office/drawing/2014/main" id="{00000000-0008-0000-0100-00003B040000}"/>
            </a:ext>
          </a:extLst>
        </xdr:cNvPr>
        <xdr:cNvSpPr txBox="1">
          <a:spLocks noChangeArrowheads="1"/>
        </xdr:cNvSpPr>
      </xdr:nvSpPr>
      <xdr:spPr bwMode="auto">
        <a:xfrm>
          <a:off x="39509700" y="19164300"/>
          <a:ext cx="406400" cy="660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xmlns="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600</a:t>
          </a:r>
        </a:p>
      </xdr:txBody>
    </xdr:sp>
    <xdr:clientData/>
  </xdr:twoCellAnchor>
  <xdr:twoCellAnchor>
    <xdr:from>
      <xdr:col>72</xdr:col>
      <xdr:colOff>1879600</xdr:colOff>
      <xdr:row>116</xdr:row>
      <xdr:rowOff>25400</xdr:rowOff>
    </xdr:from>
    <xdr:to>
      <xdr:col>73</xdr:col>
      <xdr:colOff>0</xdr:colOff>
      <xdr:row>120</xdr:row>
      <xdr:rowOff>25400</xdr:rowOff>
    </xdr:to>
    <xdr:sp macro="" textlink="">
      <xdr:nvSpPr>
        <xdr:cNvPr id="1084" name="Text 60">
          <a:extLst>
            <a:ext uri="{FF2B5EF4-FFF2-40B4-BE49-F238E27FC236}">
              <a16:creationId xmlns:a16="http://schemas.microsoft.com/office/drawing/2014/main" id="{00000000-0008-0000-0100-00003C040000}"/>
            </a:ext>
          </a:extLst>
        </xdr:cNvPr>
        <xdr:cNvSpPr txBox="1">
          <a:spLocks noChangeArrowheads="1"/>
        </xdr:cNvSpPr>
      </xdr:nvSpPr>
      <xdr:spPr bwMode="auto">
        <a:xfrm>
          <a:off x="40474900" y="19177000"/>
          <a:ext cx="406400" cy="660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xmlns="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800</a:t>
          </a:r>
        </a:p>
      </xdr:txBody>
    </xdr:sp>
    <xdr:clientData/>
  </xdr:twoCellAnchor>
  <xdr:twoCellAnchor>
    <xdr:from>
      <xdr:col>69</xdr:col>
      <xdr:colOff>0</xdr:colOff>
      <xdr:row>44</xdr:row>
      <xdr:rowOff>0</xdr:rowOff>
    </xdr:from>
    <xdr:to>
      <xdr:col>71</xdr:col>
      <xdr:colOff>0</xdr:colOff>
      <xdr:row>52</xdr:row>
      <xdr:rowOff>0</xdr:rowOff>
    </xdr:to>
    <xdr:sp macro="" textlink="">
      <xdr:nvSpPr>
        <xdr:cNvPr id="1086" name="Text 62">
          <a:extLst>
            <a:ext uri="{FF2B5EF4-FFF2-40B4-BE49-F238E27FC236}">
              <a16:creationId xmlns:a16="http://schemas.microsoft.com/office/drawing/2014/main" id="{00000000-0008-0000-0100-00003E040000}"/>
            </a:ext>
          </a:extLst>
        </xdr:cNvPr>
        <xdr:cNvSpPr txBox="1">
          <a:spLocks noChangeArrowheads="1"/>
        </xdr:cNvSpPr>
      </xdr:nvSpPr>
      <xdr:spPr bwMode="auto">
        <a:xfrm>
          <a:off x="36372800" y="7264400"/>
          <a:ext cx="444500" cy="1320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270" wrap="square" lIns="27432" tIns="18288" rIns="27432" bIns="18288" anchor="ctr" upright="1"/>
        <a:lstStyle/>
        <a:p>
          <a:pPr algn="ctr" rtl="0">
            <a:defRPr sz="1000"/>
          </a:pPr>
          <a:r>
            <a:rPr lang="en-US" sz="1000" b="0" i="1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G. scitula</a:t>
          </a:r>
        </a:p>
      </xdr:txBody>
    </xdr:sp>
    <xdr:clientData/>
  </xdr:twoCellAnchor>
  <xdr:twoCellAnchor>
    <xdr:from>
      <xdr:col>69</xdr:col>
      <xdr:colOff>0</xdr:colOff>
      <xdr:row>68</xdr:row>
      <xdr:rowOff>0</xdr:rowOff>
    </xdr:from>
    <xdr:to>
      <xdr:col>71</xdr:col>
      <xdr:colOff>0</xdr:colOff>
      <xdr:row>76</xdr:row>
      <xdr:rowOff>0</xdr:rowOff>
    </xdr:to>
    <xdr:sp macro="" textlink="">
      <xdr:nvSpPr>
        <xdr:cNvPr id="1087" name="Text 63">
          <a:extLst>
            <a:ext uri="{FF2B5EF4-FFF2-40B4-BE49-F238E27FC236}">
              <a16:creationId xmlns:a16="http://schemas.microsoft.com/office/drawing/2014/main" id="{00000000-0008-0000-0100-00003F040000}"/>
            </a:ext>
          </a:extLst>
        </xdr:cNvPr>
        <xdr:cNvSpPr txBox="1">
          <a:spLocks noChangeArrowheads="1"/>
        </xdr:cNvSpPr>
      </xdr:nvSpPr>
      <xdr:spPr bwMode="auto">
        <a:xfrm>
          <a:off x="36372800" y="11226800"/>
          <a:ext cx="444500" cy="1320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270" wrap="square" lIns="27432" tIns="18288" rIns="27432" bIns="18288" anchor="ctr" upright="1"/>
        <a:lstStyle/>
        <a:p>
          <a:pPr algn="ctr" rtl="0">
            <a:defRPr sz="1000"/>
          </a:pPr>
          <a:r>
            <a:rPr lang="en-US" sz="1000" b="0" i="1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G. menardii</a:t>
          </a:r>
        </a:p>
      </xdr:txBody>
    </xdr:sp>
    <xdr:clientData/>
  </xdr:twoCellAnchor>
  <xdr:twoCellAnchor>
    <xdr:from>
      <xdr:col>70</xdr:col>
      <xdr:colOff>101600</xdr:colOff>
      <xdr:row>100</xdr:row>
      <xdr:rowOff>114300</xdr:rowOff>
    </xdr:from>
    <xdr:to>
      <xdr:col>70</xdr:col>
      <xdr:colOff>101600</xdr:colOff>
      <xdr:row>102</xdr:row>
      <xdr:rowOff>38100</xdr:rowOff>
    </xdr:to>
    <xdr:sp macro="" textlink="">
      <xdr:nvSpPr>
        <xdr:cNvPr id="409100" name="Line 64">
          <a:extLst>
            <a:ext uri="{FF2B5EF4-FFF2-40B4-BE49-F238E27FC236}">
              <a16:creationId xmlns:a16="http://schemas.microsoft.com/office/drawing/2014/main" id="{00000000-0008-0000-0100-00000C3E0600}"/>
            </a:ext>
          </a:extLst>
        </xdr:cNvPr>
        <xdr:cNvSpPr>
          <a:spLocks noChangeShapeType="1"/>
        </xdr:cNvSpPr>
      </xdr:nvSpPr>
      <xdr:spPr bwMode="auto">
        <a:xfrm flipV="1">
          <a:off x="37617400" y="16624300"/>
          <a:ext cx="0" cy="254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70</xdr:col>
      <xdr:colOff>215900</xdr:colOff>
      <xdr:row>100</xdr:row>
      <xdr:rowOff>127000</xdr:rowOff>
    </xdr:from>
    <xdr:to>
      <xdr:col>70</xdr:col>
      <xdr:colOff>215900</xdr:colOff>
      <xdr:row>103</xdr:row>
      <xdr:rowOff>76200</xdr:rowOff>
    </xdr:to>
    <xdr:sp macro="" textlink="">
      <xdr:nvSpPr>
        <xdr:cNvPr id="409101" name="Line 65">
          <a:extLst>
            <a:ext uri="{FF2B5EF4-FFF2-40B4-BE49-F238E27FC236}">
              <a16:creationId xmlns:a16="http://schemas.microsoft.com/office/drawing/2014/main" id="{00000000-0008-0000-0100-00000D3E0600}"/>
            </a:ext>
          </a:extLst>
        </xdr:cNvPr>
        <xdr:cNvSpPr>
          <a:spLocks noChangeShapeType="1"/>
        </xdr:cNvSpPr>
      </xdr:nvSpPr>
      <xdr:spPr bwMode="auto">
        <a:xfrm>
          <a:off x="37731700" y="16637000"/>
          <a:ext cx="0" cy="444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73</xdr:col>
      <xdr:colOff>2463800</xdr:colOff>
      <xdr:row>116</xdr:row>
      <xdr:rowOff>12700</xdr:rowOff>
    </xdr:from>
    <xdr:to>
      <xdr:col>73</xdr:col>
      <xdr:colOff>2730500</xdr:colOff>
      <xdr:row>120</xdr:row>
      <xdr:rowOff>12700</xdr:rowOff>
    </xdr:to>
    <xdr:sp macro="" textlink="">
      <xdr:nvSpPr>
        <xdr:cNvPr id="1090" name="Text 66">
          <a:extLst>
            <a:ext uri="{FF2B5EF4-FFF2-40B4-BE49-F238E27FC236}">
              <a16:creationId xmlns:a16="http://schemas.microsoft.com/office/drawing/2014/main" id="{00000000-0008-0000-0100-000042040000}"/>
            </a:ext>
          </a:extLst>
        </xdr:cNvPr>
        <xdr:cNvSpPr txBox="1">
          <a:spLocks noChangeArrowheads="1"/>
        </xdr:cNvSpPr>
      </xdr:nvSpPr>
      <xdr:spPr bwMode="auto">
        <a:xfrm>
          <a:off x="43256200" y="19164300"/>
          <a:ext cx="0" cy="660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xmlns="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18288" rIns="27432" bIns="0" anchor="ctr" upright="1"/>
        <a:lstStyle/>
        <a:p>
          <a:pPr algn="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1400</a:t>
          </a:r>
        </a:p>
        <a:p>
          <a:pPr algn="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Geneva"/>
            <a:ea typeface="Geneva"/>
            <a:cs typeface="Geneva"/>
          </a:endParaRPr>
        </a:p>
      </xdr:txBody>
    </xdr:sp>
    <xdr:clientData/>
  </xdr:twoCellAnchor>
  <xdr:twoCellAnchor>
    <xdr:from>
      <xdr:col>73</xdr:col>
      <xdr:colOff>3429000</xdr:colOff>
      <xdr:row>116</xdr:row>
      <xdr:rowOff>12700</xdr:rowOff>
    </xdr:from>
    <xdr:to>
      <xdr:col>73</xdr:col>
      <xdr:colOff>3695700</xdr:colOff>
      <xdr:row>120</xdr:row>
      <xdr:rowOff>12700</xdr:rowOff>
    </xdr:to>
    <xdr:sp macro="" textlink="">
      <xdr:nvSpPr>
        <xdr:cNvPr id="1091" name="Text 67">
          <a:extLst>
            <a:ext uri="{FF2B5EF4-FFF2-40B4-BE49-F238E27FC236}">
              <a16:creationId xmlns:a16="http://schemas.microsoft.com/office/drawing/2014/main" id="{00000000-0008-0000-0100-000043040000}"/>
            </a:ext>
          </a:extLst>
        </xdr:cNvPr>
        <xdr:cNvSpPr txBox="1">
          <a:spLocks noChangeArrowheads="1"/>
        </xdr:cNvSpPr>
      </xdr:nvSpPr>
      <xdr:spPr bwMode="auto">
        <a:xfrm>
          <a:off x="43256200" y="19164300"/>
          <a:ext cx="0" cy="660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xmlns="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18288" rIns="27432" bIns="0" anchor="ctr" upright="1"/>
        <a:lstStyle/>
        <a:p>
          <a:pPr algn="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1600</a:t>
          </a:r>
        </a:p>
        <a:p>
          <a:pPr algn="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Geneva"/>
            <a:ea typeface="Geneva"/>
            <a:cs typeface="Geneva"/>
          </a:endParaRPr>
        </a:p>
      </xdr:txBody>
    </xdr:sp>
    <xdr:clientData/>
  </xdr:twoCellAnchor>
  <xdr:twoCellAnchor>
    <xdr:from>
      <xdr:col>77</xdr:col>
      <xdr:colOff>0</xdr:colOff>
      <xdr:row>4</xdr:row>
      <xdr:rowOff>63500</xdr:rowOff>
    </xdr:from>
    <xdr:to>
      <xdr:col>80</xdr:col>
      <xdr:colOff>901700</xdr:colOff>
      <xdr:row>24</xdr:row>
      <xdr:rowOff>0</xdr:rowOff>
    </xdr:to>
    <xdr:graphicFrame macro="">
      <xdr:nvGraphicFramePr>
        <xdr:cNvPr id="409104" name="Chart 69">
          <a:extLst>
            <a:ext uri="{FF2B5EF4-FFF2-40B4-BE49-F238E27FC236}">
              <a16:creationId xmlns:a16="http://schemas.microsoft.com/office/drawing/2014/main" id="{00000000-0008-0000-0100-0000103E0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71</xdr:col>
      <xdr:colOff>0</xdr:colOff>
      <xdr:row>116</xdr:row>
      <xdr:rowOff>0</xdr:rowOff>
    </xdr:from>
    <xdr:to>
      <xdr:col>77</xdr:col>
      <xdr:colOff>0</xdr:colOff>
      <xdr:row>124</xdr:row>
      <xdr:rowOff>0</xdr:rowOff>
    </xdr:to>
    <xdr:graphicFrame macro="">
      <xdr:nvGraphicFramePr>
        <xdr:cNvPr id="409105" name="Chart 70">
          <a:extLst>
            <a:ext uri="{FF2B5EF4-FFF2-40B4-BE49-F238E27FC236}">
              <a16:creationId xmlns:a16="http://schemas.microsoft.com/office/drawing/2014/main" id="{00000000-0008-0000-0100-0000113E0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69</xdr:col>
      <xdr:colOff>0</xdr:colOff>
      <xdr:row>116</xdr:row>
      <xdr:rowOff>0</xdr:rowOff>
    </xdr:from>
    <xdr:to>
      <xdr:col>71</xdr:col>
      <xdr:colOff>0</xdr:colOff>
      <xdr:row>124</xdr:row>
      <xdr:rowOff>0</xdr:rowOff>
    </xdr:to>
    <xdr:sp macro="" textlink="">
      <xdr:nvSpPr>
        <xdr:cNvPr id="1097" name="Text 73">
          <a:extLst>
            <a:ext uri="{FF2B5EF4-FFF2-40B4-BE49-F238E27FC236}">
              <a16:creationId xmlns:a16="http://schemas.microsoft.com/office/drawing/2014/main" id="{00000000-0008-0000-0100-000049040000}"/>
            </a:ext>
          </a:extLst>
        </xdr:cNvPr>
        <xdr:cNvSpPr txBox="1">
          <a:spLocks noChangeArrowheads="1"/>
        </xdr:cNvSpPr>
      </xdr:nvSpPr>
      <xdr:spPr bwMode="auto">
        <a:xfrm>
          <a:off x="36372800" y="19151600"/>
          <a:ext cx="444500" cy="1320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270" wrap="square" lIns="0" tIns="18288" rIns="27432" bIns="18288" anchor="b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p/p+b</a:t>
          </a: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Geneva"/>
            <a:ea typeface="Geneva"/>
            <a:cs typeface="Geneva"/>
          </a:endParaRPr>
        </a:p>
      </xdr:txBody>
    </xdr:sp>
    <xdr:clientData/>
  </xdr:twoCellAnchor>
  <xdr:twoCellAnchor>
    <xdr:from>
      <xdr:col>71</xdr:col>
      <xdr:colOff>292100</xdr:colOff>
      <xdr:row>135</xdr:row>
      <xdr:rowOff>12700</xdr:rowOff>
    </xdr:from>
    <xdr:to>
      <xdr:col>71</xdr:col>
      <xdr:colOff>342900</xdr:colOff>
      <xdr:row>137</xdr:row>
      <xdr:rowOff>152400</xdr:rowOff>
    </xdr:to>
    <xdr:sp macro="" textlink="">
      <xdr:nvSpPr>
        <xdr:cNvPr id="409108" name="Rectangle 83">
          <a:extLst>
            <a:ext uri="{FF2B5EF4-FFF2-40B4-BE49-F238E27FC236}">
              <a16:creationId xmlns:a16="http://schemas.microsoft.com/office/drawing/2014/main" id="{00000000-0008-0000-0100-0000143E0600}"/>
            </a:ext>
          </a:extLst>
        </xdr:cNvPr>
        <xdr:cNvSpPr>
          <a:spLocks noChangeArrowheads="1"/>
        </xdr:cNvSpPr>
      </xdr:nvSpPr>
      <xdr:spPr bwMode="auto">
        <a:xfrm>
          <a:off x="38100000" y="22301200"/>
          <a:ext cx="50800" cy="469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xmlns="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71</xdr:col>
      <xdr:colOff>0</xdr:colOff>
      <xdr:row>147</xdr:row>
      <xdr:rowOff>0</xdr:rowOff>
    </xdr:from>
    <xdr:to>
      <xdr:col>77</xdr:col>
      <xdr:colOff>0</xdr:colOff>
      <xdr:row>155</xdr:row>
      <xdr:rowOff>0</xdr:rowOff>
    </xdr:to>
    <xdr:graphicFrame macro="">
      <xdr:nvGraphicFramePr>
        <xdr:cNvPr id="409109" name="Chart 86">
          <a:extLst>
            <a:ext uri="{FF2B5EF4-FFF2-40B4-BE49-F238E27FC236}">
              <a16:creationId xmlns:a16="http://schemas.microsoft.com/office/drawing/2014/main" id="{00000000-0008-0000-0100-0000153E0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69</xdr:col>
      <xdr:colOff>0</xdr:colOff>
      <xdr:row>108</xdr:row>
      <xdr:rowOff>0</xdr:rowOff>
    </xdr:from>
    <xdr:to>
      <xdr:col>71</xdr:col>
      <xdr:colOff>0</xdr:colOff>
      <xdr:row>116</xdr:row>
      <xdr:rowOff>0</xdr:rowOff>
    </xdr:to>
    <xdr:sp macro="" textlink="">
      <xdr:nvSpPr>
        <xdr:cNvPr id="1112" name="Text 88">
          <a:extLst>
            <a:ext uri="{FF2B5EF4-FFF2-40B4-BE49-F238E27FC236}">
              <a16:creationId xmlns:a16="http://schemas.microsoft.com/office/drawing/2014/main" id="{00000000-0008-0000-0100-000058040000}"/>
            </a:ext>
          </a:extLst>
        </xdr:cNvPr>
        <xdr:cNvSpPr txBox="1">
          <a:spLocks noChangeArrowheads="1"/>
        </xdr:cNvSpPr>
      </xdr:nvSpPr>
      <xdr:spPr bwMode="auto">
        <a:xfrm>
          <a:off x="36372800" y="17830800"/>
          <a:ext cx="444500" cy="1320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270" wrap="square" lIns="0" tIns="18288" rIns="27432" bIns="18288" anchor="b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forams/gram</a:t>
          </a: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Geneva"/>
            <a:ea typeface="Geneva"/>
            <a:cs typeface="Geneva"/>
          </a:endParaRPr>
        </a:p>
      </xdr:txBody>
    </xdr:sp>
    <xdr:clientData/>
  </xdr:twoCellAnchor>
  <xdr:twoCellAnchor>
    <xdr:from>
      <xdr:col>71</xdr:col>
      <xdr:colOff>0</xdr:colOff>
      <xdr:row>132</xdr:row>
      <xdr:rowOff>0</xdr:rowOff>
    </xdr:from>
    <xdr:to>
      <xdr:col>77</xdr:col>
      <xdr:colOff>0</xdr:colOff>
      <xdr:row>135</xdr:row>
      <xdr:rowOff>0</xdr:rowOff>
    </xdr:to>
    <xdr:graphicFrame macro="">
      <xdr:nvGraphicFramePr>
        <xdr:cNvPr id="409111" name="Chart 89">
          <a:extLst>
            <a:ext uri="{FF2B5EF4-FFF2-40B4-BE49-F238E27FC236}">
              <a16:creationId xmlns:a16="http://schemas.microsoft.com/office/drawing/2014/main" id="{00000000-0008-0000-0100-0000173E0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71</xdr:col>
      <xdr:colOff>304800</xdr:colOff>
      <xdr:row>134</xdr:row>
      <xdr:rowOff>114300</xdr:rowOff>
    </xdr:from>
    <xdr:to>
      <xdr:col>74</xdr:col>
      <xdr:colOff>1955800</xdr:colOff>
      <xdr:row>135</xdr:row>
      <xdr:rowOff>38100</xdr:rowOff>
    </xdr:to>
    <xdr:sp macro="" textlink="">
      <xdr:nvSpPr>
        <xdr:cNvPr id="409112" name="Rectangle 91">
          <a:extLst>
            <a:ext uri="{FF2B5EF4-FFF2-40B4-BE49-F238E27FC236}">
              <a16:creationId xmlns:a16="http://schemas.microsoft.com/office/drawing/2014/main" id="{00000000-0008-0000-0100-0000183E0600}"/>
            </a:ext>
          </a:extLst>
        </xdr:cNvPr>
        <xdr:cNvSpPr>
          <a:spLocks noChangeArrowheads="1"/>
        </xdr:cNvSpPr>
      </xdr:nvSpPr>
      <xdr:spPr bwMode="auto">
        <a:xfrm>
          <a:off x="38112700" y="22237700"/>
          <a:ext cx="8089900" cy="88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xmlns="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71</xdr:col>
      <xdr:colOff>215900</xdr:colOff>
      <xdr:row>133</xdr:row>
      <xdr:rowOff>76200</xdr:rowOff>
    </xdr:from>
    <xdr:to>
      <xdr:col>74</xdr:col>
      <xdr:colOff>1905000</xdr:colOff>
      <xdr:row>134</xdr:row>
      <xdr:rowOff>114300</xdr:rowOff>
    </xdr:to>
    <xdr:sp macro="" textlink="">
      <xdr:nvSpPr>
        <xdr:cNvPr id="409113" name="Rectangle 92">
          <a:extLst>
            <a:ext uri="{FF2B5EF4-FFF2-40B4-BE49-F238E27FC236}">
              <a16:creationId xmlns:a16="http://schemas.microsoft.com/office/drawing/2014/main" id="{00000000-0008-0000-0100-0000193E0600}"/>
            </a:ext>
          </a:extLst>
        </xdr:cNvPr>
        <xdr:cNvSpPr>
          <a:spLocks noChangeArrowheads="1"/>
        </xdr:cNvSpPr>
      </xdr:nvSpPr>
      <xdr:spPr bwMode="auto">
        <a:xfrm>
          <a:off x="38023800" y="22034500"/>
          <a:ext cx="8128000" cy="203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xmlns="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71</xdr:col>
      <xdr:colOff>279400</xdr:colOff>
      <xdr:row>132</xdr:row>
      <xdr:rowOff>0</xdr:rowOff>
    </xdr:from>
    <xdr:to>
      <xdr:col>71</xdr:col>
      <xdr:colOff>381000</xdr:colOff>
      <xdr:row>134</xdr:row>
      <xdr:rowOff>76200</xdr:rowOff>
    </xdr:to>
    <xdr:sp macro="" textlink="">
      <xdr:nvSpPr>
        <xdr:cNvPr id="409114" name="Rectangle 93">
          <a:extLst>
            <a:ext uri="{FF2B5EF4-FFF2-40B4-BE49-F238E27FC236}">
              <a16:creationId xmlns:a16="http://schemas.microsoft.com/office/drawing/2014/main" id="{00000000-0008-0000-0100-00001A3E0600}"/>
            </a:ext>
          </a:extLst>
        </xdr:cNvPr>
        <xdr:cNvSpPr>
          <a:spLocks noChangeArrowheads="1"/>
        </xdr:cNvSpPr>
      </xdr:nvSpPr>
      <xdr:spPr bwMode="auto">
        <a:xfrm>
          <a:off x="38087300" y="21793200"/>
          <a:ext cx="101600" cy="406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xmlns="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71</xdr:col>
      <xdr:colOff>12700</xdr:colOff>
      <xdr:row>135</xdr:row>
      <xdr:rowOff>0</xdr:rowOff>
    </xdr:from>
    <xdr:to>
      <xdr:col>77</xdr:col>
      <xdr:colOff>12700</xdr:colOff>
      <xdr:row>138</xdr:row>
      <xdr:rowOff>0</xdr:rowOff>
    </xdr:to>
    <xdr:graphicFrame macro="">
      <xdr:nvGraphicFramePr>
        <xdr:cNvPr id="409115" name="Chart 95">
          <a:extLst>
            <a:ext uri="{FF2B5EF4-FFF2-40B4-BE49-F238E27FC236}">
              <a16:creationId xmlns:a16="http://schemas.microsoft.com/office/drawing/2014/main" id="{00000000-0008-0000-0100-00001B3E0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71</xdr:col>
      <xdr:colOff>317500</xdr:colOff>
      <xdr:row>135</xdr:row>
      <xdr:rowOff>12700</xdr:rowOff>
    </xdr:from>
    <xdr:to>
      <xdr:col>71</xdr:col>
      <xdr:colOff>368300</xdr:colOff>
      <xdr:row>138</xdr:row>
      <xdr:rowOff>38100</xdr:rowOff>
    </xdr:to>
    <xdr:sp macro="" textlink="">
      <xdr:nvSpPr>
        <xdr:cNvPr id="409116" name="Rectangle 96">
          <a:extLst>
            <a:ext uri="{FF2B5EF4-FFF2-40B4-BE49-F238E27FC236}">
              <a16:creationId xmlns:a16="http://schemas.microsoft.com/office/drawing/2014/main" id="{00000000-0008-0000-0100-00001C3E0600}"/>
            </a:ext>
          </a:extLst>
        </xdr:cNvPr>
        <xdr:cNvSpPr>
          <a:spLocks noChangeArrowheads="1"/>
        </xdr:cNvSpPr>
      </xdr:nvSpPr>
      <xdr:spPr bwMode="auto">
        <a:xfrm>
          <a:off x="38125400" y="22301200"/>
          <a:ext cx="50800" cy="520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xmlns="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71</xdr:col>
      <xdr:colOff>317500</xdr:colOff>
      <xdr:row>137</xdr:row>
      <xdr:rowOff>114300</xdr:rowOff>
    </xdr:from>
    <xdr:to>
      <xdr:col>74</xdr:col>
      <xdr:colOff>1993900</xdr:colOff>
      <xdr:row>138</xdr:row>
      <xdr:rowOff>25400</xdr:rowOff>
    </xdr:to>
    <xdr:sp macro="" textlink="">
      <xdr:nvSpPr>
        <xdr:cNvPr id="409117" name="Rectangle 97">
          <a:extLst>
            <a:ext uri="{FF2B5EF4-FFF2-40B4-BE49-F238E27FC236}">
              <a16:creationId xmlns:a16="http://schemas.microsoft.com/office/drawing/2014/main" id="{00000000-0008-0000-0100-00001D3E0600}"/>
            </a:ext>
          </a:extLst>
        </xdr:cNvPr>
        <xdr:cNvSpPr>
          <a:spLocks noChangeArrowheads="1"/>
        </xdr:cNvSpPr>
      </xdr:nvSpPr>
      <xdr:spPr bwMode="auto">
        <a:xfrm>
          <a:off x="38125400" y="22733000"/>
          <a:ext cx="811530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xmlns="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81</xdr:col>
      <xdr:colOff>25400</xdr:colOff>
      <xdr:row>5</xdr:row>
      <xdr:rowOff>101600</xdr:rowOff>
    </xdr:from>
    <xdr:to>
      <xdr:col>87</xdr:col>
      <xdr:colOff>1066800</xdr:colOff>
      <xdr:row>25</xdr:row>
      <xdr:rowOff>114300</xdr:rowOff>
    </xdr:to>
    <xdr:graphicFrame macro="">
      <xdr:nvGraphicFramePr>
        <xdr:cNvPr id="409118" name="Chart 16">
          <a:extLst>
            <a:ext uri="{FF2B5EF4-FFF2-40B4-BE49-F238E27FC236}">
              <a16:creationId xmlns:a16="http://schemas.microsoft.com/office/drawing/2014/main" id="{00000000-0008-0000-0100-00001E3E0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81</xdr:col>
      <xdr:colOff>0</xdr:colOff>
      <xdr:row>26</xdr:row>
      <xdr:rowOff>0</xdr:rowOff>
    </xdr:from>
    <xdr:to>
      <xdr:col>87</xdr:col>
      <xdr:colOff>1041400</xdr:colOff>
      <xdr:row>46</xdr:row>
      <xdr:rowOff>12700</xdr:rowOff>
    </xdr:to>
    <xdr:graphicFrame macro="">
      <xdr:nvGraphicFramePr>
        <xdr:cNvPr id="409119" name="Chart 16">
          <a:extLst>
            <a:ext uri="{FF2B5EF4-FFF2-40B4-BE49-F238E27FC236}">
              <a16:creationId xmlns:a16="http://schemas.microsoft.com/office/drawing/2014/main" id="{00000000-0008-0000-0100-00001F3E0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81</xdr:col>
      <xdr:colOff>0</xdr:colOff>
      <xdr:row>46</xdr:row>
      <xdr:rowOff>0</xdr:rowOff>
    </xdr:from>
    <xdr:to>
      <xdr:col>88</xdr:col>
      <xdr:colOff>110067</xdr:colOff>
      <xdr:row>66</xdr:row>
      <xdr:rowOff>12699</xdr:rowOff>
    </xdr:to>
    <xdr:graphicFrame macro="">
      <xdr:nvGraphicFramePr>
        <xdr:cNvPr id="58" name="Chart 16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81</xdr:col>
      <xdr:colOff>0</xdr:colOff>
      <xdr:row>66</xdr:row>
      <xdr:rowOff>0</xdr:rowOff>
    </xdr:from>
    <xdr:to>
      <xdr:col>88</xdr:col>
      <xdr:colOff>110067</xdr:colOff>
      <xdr:row>88</xdr:row>
      <xdr:rowOff>105833</xdr:rowOff>
    </xdr:to>
    <xdr:graphicFrame macro="">
      <xdr:nvGraphicFramePr>
        <xdr:cNvPr id="59" name="Chart 16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71</xdr:col>
      <xdr:colOff>0</xdr:colOff>
      <xdr:row>127</xdr:row>
      <xdr:rowOff>0</xdr:rowOff>
    </xdr:from>
    <xdr:to>
      <xdr:col>77</xdr:col>
      <xdr:colOff>0</xdr:colOff>
      <xdr:row>146</xdr:row>
      <xdr:rowOff>13655</xdr:rowOff>
    </xdr:to>
    <xdr:graphicFrame macro="">
      <xdr:nvGraphicFramePr>
        <xdr:cNvPr id="60" name="Chart 24">
          <a:extLst>
            <a:ext uri="{FF2B5EF4-FFF2-40B4-BE49-F238E27FC236}">
              <a16:creationId xmlns:a16="http://schemas.microsoft.com/office/drawing/2014/main" id="{9229EBA8-ED4F-1440-B132-4E68852AB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6</xdr:col>
      <xdr:colOff>499807</xdr:colOff>
      <xdr:row>78</xdr:row>
      <xdr:rowOff>164689</xdr:rowOff>
    </xdr:from>
    <xdr:to>
      <xdr:col>23</xdr:col>
      <xdr:colOff>204839</xdr:colOff>
      <xdr:row>109</xdr:row>
      <xdr:rowOff>13655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8556C9-CB5E-F146-BD9A-2735D5A368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37</xdr:col>
      <xdr:colOff>679691</xdr:colOff>
      <xdr:row>72</xdr:row>
      <xdr:rowOff>164305</xdr:rowOff>
    </xdr:from>
    <xdr:to>
      <xdr:col>48</xdr:col>
      <xdr:colOff>417753</xdr:colOff>
      <xdr:row>91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2BF2C2-1A1B-62C2-1BAB-4B727381B8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37</xdr:col>
      <xdr:colOff>705971</xdr:colOff>
      <xdr:row>92</xdr:row>
      <xdr:rowOff>79559</xdr:rowOff>
    </xdr:from>
    <xdr:to>
      <xdr:col>48</xdr:col>
      <xdr:colOff>409014</xdr:colOff>
      <xdr:row>110</xdr:row>
      <xdr:rowOff>100852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CA228D-4C8B-205D-5CFE-47FB7049C9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19</xdr:col>
      <xdr:colOff>291353</xdr:colOff>
      <xdr:row>83</xdr:row>
      <xdr:rowOff>113177</xdr:rowOff>
    </xdr:from>
    <xdr:to>
      <xdr:col>35</xdr:col>
      <xdr:colOff>61632</xdr:colOff>
      <xdr:row>106</xdr:row>
      <xdr:rowOff>89646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1D478D-CE58-DC8A-E7AF-219E94D2BD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55</xdr:col>
      <xdr:colOff>151695</xdr:colOff>
      <xdr:row>74</xdr:row>
      <xdr:rowOff>7</xdr:rowOff>
    </xdr:from>
    <xdr:to>
      <xdr:col>63</xdr:col>
      <xdr:colOff>292806</xdr:colOff>
      <xdr:row>90</xdr:row>
      <xdr:rowOff>146762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E36B09-3F0C-1558-5592-9AE274D169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55</xdr:col>
      <xdr:colOff>126999</xdr:colOff>
      <xdr:row>92</xdr:row>
      <xdr:rowOff>20108</xdr:rowOff>
    </xdr:from>
    <xdr:to>
      <xdr:col>63</xdr:col>
      <xdr:colOff>444499</xdr:colOff>
      <xdr:row>109</xdr:row>
      <xdr:rowOff>64558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D62EF3E-E09A-13C4-752D-CC5604F54F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0.5984</cdr:x>
      <cdr:y>0</cdr:y>
    </cdr:from>
    <cdr:to>
      <cdr:x>0.7349</cdr:x>
      <cdr:y>0.08078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523092" y="-10414"/>
          <a:ext cx="575542" cy="261610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xmlns="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22860" rIns="18288" bIns="2286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Times"/>
              <a:ea typeface="Times"/>
              <a:cs typeface="Times"/>
            </a:rPr>
            <a:t>T89-24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0.52428</cdr:x>
      <cdr:y>0.05372</cdr:y>
    </cdr:from>
    <cdr:to>
      <cdr:x>0.54031</cdr:x>
      <cdr:y>0.49801</cdr:y>
    </cdr:to>
    <cdr:sp macro="" textlink="">
      <cdr:nvSpPr>
        <cdr:cNvPr id="204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51886" y="27288"/>
          <a:ext cx="252377" cy="225703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xmlns="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18288" tIns="22860" rIns="18288" bIns="2286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Times"/>
              <a:ea typeface="Times"/>
              <a:cs typeface="Times"/>
            </a:rPr>
            <a:t>20</a:t>
          </a:r>
        </a:p>
      </cdr:txBody>
    </cdr:sp>
  </cdr:relSizeAnchor>
  <cdr:relSizeAnchor xmlns:cdr="http://schemas.openxmlformats.org/drawingml/2006/chartDrawing">
    <cdr:from>
      <cdr:x>0.96988</cdr:x>
      <cdr:y>0.05372</cdr:y>
    </cdr:from>
    <cdr:to>
      <cdr:x>0.98591</cdr:x>
      <cdr:y>0.49801</cdr:y>
    </cdr:to>
    <cdr:sp macro="" textlink="">
      <cdr:nvSpPr>
        <cdr:cNvPr id="205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265422" y="27288"/>
          <a:ext cx="252377" cy="225703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xmlns="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18288" tIns="22860" rIns="18288" bIns="2286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Times"/>
              <a:ea typeface="Times"/>
              <a:cs typeface="Times"/>
            </a:rPr>
            <a:t>30</a:t>
          </a:r>
        </a:p>
      </cdr:txBody>
    </cdr:sp>
  </cdr:relSizeAnchor>
  <cdr:relSizeAnchor xmlns:cdr="http://schemas.openxmlformats.org/drawingml/2006/chartDrawing">
    <cdr:from>
      <cdr:x>0.07867</cdr:x>
      <cdr:y>0.05372</cdr:y>
    </cdr:from>
    <cdr:to>
      <cdr:x>0.0947</cdr:x>
      <cdr:y>0.49801</cdr:y>
    </cdr:to>
    <cdr:sp macro="" textlink="">
      <cdr:nvSpPr>
        <cdr:cNvPr id="2051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38193" y="27288"/>
          <a:ext cx="252377" cy="225703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xmlns="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18288" tIns="22860" rIns="18288" bIns="2286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Times"/>
              <a:ea typeface="Times"/>
              <a:cs typeface="Times"/>
            </a:rPr>
            <a:t>10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0.01184</cdr:x>
      <cdr:y>0.26523</cdr:y>
    </cdr:from>
    <cdr:to>
      <cdr:x>0.02592</cdr:x>
      <cdr:y>0.73477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6363" y="134736"/>
          <a:ext cx="221599" cy="238527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xmlns="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18288" tIns="22860" rIns="18288" bIns="2286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"/>
              <a:ea typeface="Times"/>
              <a:cs typeface="Times"/>
            </a:rPr>
            <a:t>8.3</a:t>
          </a:r>
        </a:p>
      </cdr:txBody>
    </cdr:sp>
  </cdr:relSizeAnchor>
  <cdr:relSizeAnchor xmlns:cdr="http://schemas.openxmlformats.org/drawingml/2006/chartDrawing">
    <cdr:from>
      <cdr:x>0.16211</cdr:x>
      <cdr:y>0.12053</cdr:y>
    </cdr:from>
    <cdr:to>
      <cdr:x>0.17619</cdr:x>
      <cdr:y>0.74154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551542" y="61230"/>
          <a:ext cx="221599" cy="315471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xmlns="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18288" tIns="22860" rIns="18288" bIns="2286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"/>
              <a:ea typeface="Times"/>
              <a:cs typeface="Times"/>
            </a:rPr>
            <a:t>10.4</a:t>
          </a:r>
        </a:p>
      </cdr:txBody>
    </cdr:sp>
  </cdr:relSizeAnchor>
  <cdr:relSizeAnchor xmlns:cdr="http://schemas.openxmlformats.org/drawingml/2006/chartDrawing">
    <cdr:from>
      <cdr:x>0.2945</cdr:x>
      <cdr:y>0.11191</cdr:y>
    </cdr:from>
    <cdr:to>
      <cdr:x>0.30858</cdr:x>
      <cdr:y>0.73292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635299" y="56851"/>
          <a:ext cx="221599" cy="315471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xmlns="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18288" tIns="22860" rIns="18288" bIns="2286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"/>
              <a:ea typeface="Times"/>
              <a:cs typeface="Times"/>
            </a:rPr>
            <a:t>11.4</a:t>
          </a:r>
        </a:p>
      </cdr:txBody>
    </cdr:sp>
  </cdr:relSizeAnchor>
  <cdr:relSizeAnchor xmlns:cdr="http://schemas.openxmlformats.org/drawingml/2006/chartDrawing">
    <cdr:from>
      <cdr:x>0.43</cdr:x>
      <cdr:y>0.11191</cdr:y>
    </cdr:from>
    <cdr:to>
      <cdr:x>0.44407</cdr:x>
      <cdr:y>0.73292</cdr:y>
    </cdr:to>
    <cdr:sp macro="" textlink="">
      <cdr:nvSpPr>
        <cdr:cNvPr id="3076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767927" y="56851"/>
          <a:ext cx="221599" cy="315471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xmlns="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18288" tIns="22860" rIns="18288" bIns="2286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"/>
              <a:ea typeface="Times"/>
              <a:cs typeface="Times"/>
            </a:rPr>
            <a:t>11.9</a:t>
          </a:r>
        </a:p>
      </cdr:txBody>
    </cdr:sp>
  </cdr:relSizeAnchor>
  <cdr:relSizeAnchor xmlns:cdr="http://schemas.openxmlformats.org/drawingml/2006/chartDrawing">
    <cdr:from>
      <cdr:x>0.54785</cdr:x>
      <cdr:y>0.12053</cdr:y>
    </cdr:from>
    <cdr:to>
      <cdr:x>0.56193</cdr:x>
      <cdr:y>0.74154</cdr:y>
    </cdr:to>
    <cdr:sp macro="" textlink="">
      <cdr:nvSpPr>
        <cdr:cNvPr id="3077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22910" y="61230"/>
          <a:ext cx="221599" cy="315471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xmlns="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18288" tIns="22860" rIns="18288" bIns="2286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"/>
              <a:ea typeface="Times"/>
              <a:cs typeface="Times"/>
            </a:rPr>
            <a:t>14.9</a:t>
          </a:r>
        </a:p>
      </cdr:txBody>
    </cdr:sp>
  </cdr:relSizeAnchor>
  <cdr:relSizeAnchor xmlns:cdr="http://schemas.openxmlformats.org/drawingml/2006/chartDrawing">
    <cdr:from>
      <cdr:x>0.70036</cdr:x>
      <cdr:y>0.12053</cdr:y>
    </cdr:from>
    <cdr:to>
      <cdr:x>0.71444</cdr:x>
      <cdr:y>0.74154</cdr:y>
    </cdr:to>
    <cdr:sp macro="" textlink="">
      <cdr:nvSpPr>
        <cdr:cNvPr id="3078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023346" y="61230"/>
          <a:ext cx="221599" cy="315471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xmlns="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18288" tIns="22860" rIns="18288" bIns="2286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"/>
              <a:ea typeface="Times"/>
              <a:cs typeface="Times"/>
            </a:rPr>
            <a:t>24.4</a:t>
          </a:r>
        </a:p>
      </cdr:txBody>
    </cdr:sp>
  </cdr:relSizeAnchor>
  <cdr:relSizeAnchor xmlns:cdr="http://schemas.openxmlformats.org/drawingml/2006/chartDrawing">
    <cdr:from>
      <cdr:x>0.78594</cdr:x>
      <cdr:y>0.32033</cdr:y>
    </cdr:from>
    <cdr:to>
      <cdr:x>0.80001</cdr:x>
      <cdr:y>0.71414</cdr:y>
    </cdr:to>
    <cdr:sp macro="" textlink="">
      <cdr:nvSpPr>
        <cdr:cNvPr id="3079" name="Text Box 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370256" y="162730"/>
          <a:ext cx="221599" cy="200055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xmlns="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18288" tIns="22860" rIns="18288" bIns="2286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"/>
              <a:ea typeface="Times"/>
              <a:cs typeface="Times"/>
            </a:rPr>
            <a:t>27</a:t>
          </a:r>
        </a:p>
      </cdr:txBody>
    </cdr:sp>
  </cdr:relSizeAnchor>
  <cdr:relSizeAnchor xmlns:cdr="http://schemas.openxmlformats.org/drawingml/2006/chartDrawing">
    <cdr:from>
      <cdr:x>0.88044</cdr:x>
      <cdr:y>0.12053</cdr:y>
    </cdr:from>
    <cdr:to>
      <cdr:x>0.89452</cdr:x>
      <cdr:y>0.74154</cdr:y>
    </cdr:to>
    <cdr:sp macro="" textlink="">
      <cdr:nvSpPr>
        <cdr:cNvPr id="3080" name="Text Box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857721" y="61230"/>
          <a:ext cx="221599" cy="315471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xmlns="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18288" tIns="22860" rIns="18288" bIns="2286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"/>
              <a:ea typeface="Times"/>
              <a:cs typeface="Times"/>
            </a:rPr>
            <a:t>28.4</a:t>
          </a:r>
        </a:p>
      </cdr:txBody>
    </cdr:sp>
  </cdr:relSizeAnchor>
  <cdr:relSizeAnchor xmlns:cdr="http://schemas.openxmlformats.org/drawingml/2006/chartDrawing">
    <cdr:from>
      <cdr:x>0.92888</cdr:x>
      <cdr:y>0.12053</cdr:y>
    </cdr:from>
    <cdr:to>
      <cdr:x>0.94296</cdr:x>
      <cdr:y>0.74154</cdr:y>
    </cdr:to>
    <cdr:sp macro="" textlink="">
      <cdr:nvSpPr>
        <cdr:cNvPr id="3081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620144" y="61230"/>
          <a:ext cx="221599" cy="315471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xmlns="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18288" tIns="22860" rIns="18288" bIns="2286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"/>
              <a:ea typeface="Times"/>
              <a:cs typeface="Times"/>
            </a:rPr>
            <a:t>29.9</a:t>
          </a:r>
        </a:p>
      </cdr:txBody>
    </cdr:sp>
  </cdr:relSizeAnchor>
  <cdr:relSizeAnchor xmlns:cdr="http://schemas.openxmlformats.org/drawingml/2006/chartDrawing">
    <cdr:from>
      <cdr:x>0.62171</cdr:x>
      <cdr:y>0.17241</cdr:y>
    </cdr:from>
    <cdr:to>
      <cdr:x>0.63711</cdr:x>
      <cdr:y>0.72414</cdr:y>
    </cdr:to>
    <cdr:sp macro="" textlink="">
      <cdr:nvSpPr>
        <cdr:cNvPr id="3082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782778" y="127000"/>
          <a:ext cx="242323" cy="406400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xmlns="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"/>
              <a:ea typeface="Times"/>
              <a:cs typeface="Times"/>
            </a:rPr>
            <a:t>20.4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3010761" cy="436786"/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02E840D7-C561-F84D-A3AA-6B8A5CB40664}"/>
            </a:ext>
          </a:extLst>
        </xdr:cNvPr>
        <xdr:cNvSpPr txBox="1"/>
      </xdr:nvSpPr>
      <xdr:spPr>
        <a:xfrm>
          <a:off x="28575" y="28575"/>
          <a:ext cx="3010761" cy="43678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none" rtlCol="0" anchor="t">
          <a:spAutoFit/>
        </a:bodyPr>
        <a:lstStyle/>
        <a:p>
          <a:r>
            <a:rPr lang="en-GB" sz="1100" baseline="0"/>
            <a:t>Blauwe waardes zijn die van Ellen, wit die van mij</a:t>
          </a:r>
        </a:p>
        <a:p>
          <a:r>
            <a:rPr lang="en-GB" sz="1100" baseline="0"/>
            <a:t>Rood = duplicaten</a:t>
          </a:r>
          <a:endParaRPr lang="en-GB" sz="11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0</xdr:row>
      <xdr:rowOff>0</xdr:rowOff>
    </xdr:from>
    <xdr:to>
      <xdr:col>46</xdr:col>
      <xdr:colOff>0</xdr:colOff>
      <xdr:row>16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F471AF2-DC80-8FAA-CA43-67CB41B356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759759</xdr:colOff>
      <xdr:row>16</xdr:row>
      <xdr:rowOff>146538</xdr:rowOff>
    </xdr:from>
    <xdr:to>
      <xdr:col>52</xdr:col>
      <xdr:colOff>195384</xdr:colOff>
      <xdr:row>58</xdr:row>
      <xdr:rowOff>23508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75CB11E-54B2-45DA-A06B-65A5054E3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0</xdr:colOff>
      <xdr:row>60</xdr:row>
      <xdr:rowOff>0</xdr:rowOff>
    </xdr:from>
    <xdr:to>
      <xdr:col>52</xdr:col>
      <xdr:colOff>197625</xdr:colOff>
      <xdr:row>101</xdr:row>
      <xdr:rowOff>84789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DCFF19-D597-42CE-BD98-BA5031ACEE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0</xdr:colOff>
      <xdr:row>103</xdr:row>
      <xdr:rowOff>0</xdr:rowOff>
    </xdr:from>
    <xdr:to>
      <xdr:col>52</xdr:col>
      <xdr:colOff>197625</xdr:colOff>
      <xdr:row>144</xdr:row>
      <xdr:rowOff>84789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F7FFED-36C5-4DC1-A03C-E30200354F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72838</xdr:colOff>
      <xdr:row>1</xdr:row>
      <xdr:rowOff>152399</xdr:rowOff>
    </xdr:from>
    <xdr:to>
      <xdr:col>35</xdr:col>
      <xdr:colOff>72838</xdr:colOff>
      <xdr:row>15</xdr:row>
      <xdr:rowOff>71717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0F9322-EE21-4218-ADE5-CDCAED28D6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95250</xdr:rowOff>
    </xdr:from>
    <xdr:to>
      <xdr:col>7</xdr:col>
      <xdr:colOff>304800</xdr:colOff>
      <xdr:row>35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B7BA61-6B29-F45E-F493-03EAB221C7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595312</xdr:colOff>
      <xdr:row>18</xdr:row>
      <xdr:rowOff>104775</xdr:rowOff>
    </xdr:from>
    <xdr:to>
      <xdr:col>15</xdr:col>
      <xdr:colOff>290512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6F7835-C811-E366-2539-EC64C80460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6569</xdr:colOff>
      <xdr:row>18</xdr:row>
      <xdr:rowOff>62656</xdr:rowOff>
    </xdr:from>
    <xdr:to>
      <xdr:col>24</xdr:col>
      <xdr:colOff>211723</xdr:colOff>
      <xdr:row>36</xdr:row>
      <xdr:rowOff>4982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91052B-B677-479F-96A1-78C78A289F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0</xdr:colOff>
      <xdr:row>18</xdr:row>
      <xdr:rowOff>0</xdr:rowOff>
    </xdr:from>
    <xdr:to>
      <xdr:col>34</xdr:col>
      <xdr:colOff>205153</xdr:colOff>
      <xdr:row>35</xdr:row>
      <xdr:rowOff>99439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C627F0B-3029-484A-AD4E-825A6EF033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482600</xdr:colOff>
      <xdr:row>31</xdr:row>
      <xdr:rowOff>120650</xdr:rowOff>
    </xdr:from>
    <xdr:to>
      <xdr:col>32</xdr:col>
      <xdr:colOff>342900</xdr:colOff>
      <xdr:row>46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4E3F02-AB72-B343-A85F-8D67E7C02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528637</xdr:colOff>
      <xdr:row>2</xdr:row>
      <xdr:rowOff>0</xdr:rowOff>
    </xdr:from>
    <xdr:to>
      <xdr:col>23</xdr:col>
      <xdr:colOff>528637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04E758-80A1-7614-F4AE-96E88D3B04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528637</xdr:colOff>
      <xdr:row>19</xdr:row>
      <xdr:rowOff>85725</xdr:rowOff>
    </xdr:from>
    <xdr:to>
      <xdr:col>23</xdr:col>
      <xdr:colOff>528637</xdr:colOff>
      <xdr:row>36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0F7F80-073F-5C3A-6160-7882E42486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476250</xdr:colOff>
      <xdr:row>19</xdr:row>
      <xdr:rowOff>100012</xdr:rowOff>
    </xdr:from>
    <xdr:to>
      <xdr:col>17</xdr:col>
      <xdr:colOff>476250</xdr:colOff>
      <xdr:row>36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281036-94FF-86E1-E74F-5D92F7D4C3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6350</xdr:rowOff>
    </xdr:from>
    <xdr:to>
      <xdr:col>25</xdr:col>
      <xdr:colOff>431800</xdr:colOff>
      <xdr:row>19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25</xdr:col>
      <xdr:colOff>431800</xdr:colOff>
      <xdr:row>37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844550</xdr:colOff>
      <xdr:row>55</xdr:row>
      <xdr:rowOff>127000</xdr:rowOff>
    </xdr:from>
    <xdr:to>
      <xdr:col>18</xdr:col>
      <xdr:colOff>762000</xdr:colOff>
      <xdr:row>88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124553-05EF-1742-9AA4-F2841FAD7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lsmacbook\Documents\T89-16\data%20Ellen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elsmacbook\Documents\onderwijs\BSc:MSc%20projecten\Caroline%20Goossens\final%20version%20%20Goossens\Bsc%20thesis%20Caroline%20Goossens.xlsx" TargetMode="External"/><Relationship Id="rId1" Type="http://schemas.openxmlformats.org/officeDocument/2006/relationships/externalLinkPath" Target="file:///D:\Users\elsmacbook\Documents\onderwijs\BSc:MSc%20projecten\Caroline%20Goossens\final%20version%20%20Goossens\Bsc%20thesis%20Caroline%20Goosse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llen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d T89-16"/>
      <sheetName val="Sed T89-24"/>
      <sheetName val="T89-16 mod"/>
      <sheetName val="T89-24 mod"/>
      <sheetName val="Opal mod"/>
      <sheetName val="Smearslides"/>
      <sheetName val="AnalySize 16 GS"/>
      <sheetName val="AnalySize 16 age"/>
      <sheetName val="AnalySize 24 GS"/>
      <sheetName val="AnalySize 24 a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8.7352109999999996</v>
          </cell>
          <cell r="E2">
            <v>66.375600000000006</v>
          </cell>
          <cell r="F2">
            <v>16.402200000000001</v>
          </cell>
          <cell r="G2">
            <v>17.222100000000001</v>
          </cell>
        </row>
        <row r="3">
          <cell r="B3">
            <v>9.5166319999999995</v>
          </cell>
          <cell r="E3">
            <v>62.448300000000003</v>
          </cell>
          <cell r="F3">
            <v>0</v>
          </cell>
          <cell r="G3">
            <v>37.551699999999997</v>
          </cell>
        </row>
        <row r="4">
          <cell r="B4">
            <v>9.7398950000000006</v>
          </cell>
          <cell r="E4">
            <v>49.682200000000002</v>
          </cell>
          <cell r="F4">
            <v>0</v>
          </cell>
          <cell r="G4">
            <v>50.317799999999998</v>
          </cell>
        </row>
        <row r="5">
          <cell r="B5">
            <v>10.53726</v>
          </cell>
          <cell r="E5">
            <v>80.469700000000003</v>
          </cell>
          <cell r="F5">
            <v>4.0487000000000002</v>
          </cell>
          <cell r="G5">
            <v>15.4817</v>
          </cell>
        </row>
        <row r="6">
          <cell r="B6">
            <v>11.65635</v>
          </cell>
          <cell r="E6">
            <v>45.838700000000003</v>
          </cell>
          <cell r="F6">
            <v>8.5402000000000005</v>
          </cell>
          <cell r="G6">
            <v>45.621099999999998</v>
          </cell>
        </row>
        <row r="7">
          <cell r="B7">
            <v>12.904339999999999</v>
          </cell>
          <cell r="E7">
            <v>0</v>
          </cell>
          <cell r="F7">
            <v>23.293199999999999</v>
          </cell>
          <cell r="G7">
            <v>76.706800000000001</v>
          </cell>
        </row>
        <row r="8">
          <cell r="B8">
            <v>13.862500000000001</v>
          </cell>
          <cell r="E8">
            <v>48.828600000000002</v>
          </cell>
          <cell r="F8">
            <v>21.335699999999999</v>
          </cell>
          <cell r="G8">
            <v>29.835599999999999</v>
          </cell>
        </row>
        <row r="9">
          <cell r="B9">
            <v>15.335979999999999</v>
          </cell>
          <cell r="E9">
            <v>76.616</v>
          </cell>
          <cell r="F9">
            <v>23.384</v>
          </cell>
          <cell r="G9">
            <v>0</v>
          </cell>
        </row>
        <row r="10">
          <cell r="B10">
            <v>17.013829999999999</v>
          </cell>
          <cell r="E10">
            <v>5.6734</v>
          </cell>
          <cell r="F10">
            <v>76.287000000000006</v>
          </cell>
          <cell r="G10">
            <v>18.0396</v>
          </cell>
        </row>
        <row r="11">
          <cell r="B11">
            <v>17.0595</v>
          </cell>
          <cell r="E11">
            <v>35.4818</v>
          </cell>
          <cell r="F11">
            <v>56.906500000000001</v>
          </cell>
          <cell r="G11">
            <v>7.6116999999999999</v>
          </cell>
        </row>
        <row r="12">
          <cell r="B12">
            <v>17.470500000000001</v>
          </cell>
          <cell r="E12">
            <v>11.409000000000001</v>
          </cell>
          <cell r="F12">
            <v>64.127700000000004</v>
          </cell>
          <cell r="G12">
            <v>24.4634</v>
          </cell>
        </row>
        <row r="13">
          <cell r="B13">
            <v>19.525729999999999</v>
          </cell>
          <cell r="E13">
            <v>0</v>
          </cell>
          <cell r="F13">
            <v>45.940800000000003</v>
          </cell>
          <cell r="G13">
            <v>54.059199999999997</v>
          </cell>
        </row>
        <row r="14">
          <cell r="B14">
            <v>20.780909999999999</v>
          </cell>
          <cell r="E14">
            <v>28.475100000000001</v>
          </cell>
          <cell r="F14">
            <v>68.417599999999993</v>
          </cell>
          <cell r="G14">
            <v>3.1073</v>
          </cell>
        </row>
        <row r="15">
          <cell r="B15">
            <v>24.186920000000001</v>
          </cell>
          <cell r="E15">
            <v>23.535399999999999</v>
          </cell>
          <cell r="F15">
            <v>23.7193</v>
          </cell>
          <cell r="G15">
            <v>52.7453</v>
          </cell>
        </row>
        <row r="16">
          <cell r="B16">
            <v>24.650079999999999</v>
          </cell>
          <cell r="E16">
            <v>12.6287</v>
          </cell>
          <cell r="F16">
            <v>28.078299999999999</v>
          </cell>
          <cell r="G16">
            <v>59.292999999999999</v>
          </cell>
        </row>
        <row r="17">
          <cell r="B17">
            <v>25.216149999999999</v>
          </cell>
          <cell r="E17">
            <v>4.2332000000000001</v>
          </cell>
          <cell r="F17">
            <v>49.286700000000003</v>
          </cell>
          <cell r="G17">
            <v>46.480200000000004</v>
          </cell>
        </row>
        <row r="18">
          <cell r="B18">
            <v>27.017309999999998</v>
          </cell>
          <cell r="E18">
            <v>17.6646</v>
          </cell>
          <cell r="F18">
            <v>64.195099999999996</v>
          </cell>
          <cell r="G18">
            <v>18.1403</v>
          </cell>
        </row>
        <row r="19">
          <cell r="B19">
            <v>27.53192</v>
          </cell>
          <cell r="E19">
            <v>44.782600000000002</v>
          </cell>
          <cell r="F19">
            <v>55.217399999999998</v>
          </cell>
          <cell r="G19">
            <v>0</v>
          </cell>
        </row>
        <row r="20">
          <cell r="B20">
            <v>27.840689999999999</v>
          </cell>
          <cell r="E20">
            <v>27.256900000000002</v>
          </cell>
          <cell r="F20">
            <v>64.343299999999999</v>
          </cell>
          <cell r="G20">
            <v>8.3999000000000006</v>
          </cell>
        </row>
        <row r="21">
          <cell r="B21">
            <v>28.351150000000001</v>
          </cell>
          <cell r="E21">
            <v>40.494999999999997</v>
          </cell>
          <cell r="F21">
            <v>44.360700000000001</v>
          </cell>
          <cell r="G21">
            <v>15.144399999999999</v>
          </cell>
        </row>
        <row r="22">
          <cell r="B22">
            <v>28.85745</v>
          </cell>
          <cell r="E22">
            <v>36.605899999999998</v>
          </cell>
          <cell r="F22">
            <v>47.003700000000002</v>
          </cell>
          <cell r="G22">
            <v>16.3903</v>
          </cell>
        </row>
        <row r="23">
          <cell r="B23">
            <v>29.307490000000001</v>
          </cell>
          <cell r="E23">
            <v>33.801699999999997</v>
          </cell>
          <cell r="F23">
            <v>61.694200000000002</v>
          </cell>
          <cell r="G23">
            <v>4.5042</v>
          </cell>
        </row>
        <row r="24">
          <cell r="B24">
            <v>29.813790000000001</v>
          </cell>
          <cell r="E24">
            <v>34.852200000000003</v>
          </cell>
          <cell r="F24">
            <v>57.832599999999999</v>
          </cell>
          <cell r="G24">
            <v>7.3151999999999999</v>
          </cell>
        </row>
        <row r="25">
          <cell r="B25">
            <v>30.151319999999998</v>
          </cell>
          <cell r="E25">
            <v>28.789100000000001</v>
          </cell>
          <cell r="F25">
            <v>49.120600000000003</v>
          </cell>
          <cell r="G25">
            <v>22.090399999999999</v>
          </cell>
        </row>
        <row r="26">
          <cell r="B26">
            <v>30.839300000000001</v>
          </cell>
          <cell r="E26">
            <v>42.230200000000004</v>
          </cell>
          <cell r="F26">
            <v>55.696599999999997</v>
          </cell>
          <cell r="G26">
            <v>2.0731999999999999</v>
          </cell>
        </row>
        <row r="27">
          <cell r="B27">
            <v>31.629819999999999</v>
          </cell>
          <cell r="E27">
            <v>39.915599999999998</v>
          </cell>
          <cell r="F27">
            <v>53.598500000000001</v>
          </cell>
          <cell r="G27">
            <v>6.4858000000000002</v>
          </cell>
        </row>
        <row r="28">
          <cell r="B28">
            <v>32.57</v>
          </cell>
          <cell r="E28">
            <v>25.399100000000001</v>
          </cell>
          <cell r="F28">
            <v>61.874699999999997</v>
          </cell>
          <cell r="G28">
            <v>12.7262</v>
          </cell>
        </row>
        <row r="29">
          <cell r="B29">
            <v>33.411000000000001</v>
          </cell>
          <cell r="E29">
            <v>27.6007</v>
          </cell>
          <cell r="F29">
            <v>72.399299999999997</v>
          </cell>
          <cell r="G29">
            <v>0</v>
          </cell>
        </row>
        <row r="30">
          <cell r="B30">
            <v>34.078000000000003</v>
          </cell>
          <cell r="E30">
            <v>36.456899999999997</v>
          </cell>
          <cell r="F30">
            <v>57.628</v>
          </cell>
          <cell r="G30">
            <v>5.9150999999999998</v>
          </cell>
        </row>
      </sheetData>
      <sheetData sheetId="8"/>
      <sheetData sheetId="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U" id="{E295D646-465A-0246-B9BC-A2F092793645}" userId="EU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3-11-27T14:20:31.75" personId="{E295D646-465A-0246-B9BC-A2F092793645}" id="{98F5BDF5-A928-5A4B-922E-F6736830A34D}">
    <text>=SUM(LOG(i2/j2))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1" dT="2023-11-27T14:20:31.75" personId="{E295D646-465A-0246-B9BC-A2F092793645}" id="{0DD88513-98E6-4AD1-936D-A6A3D09BCCF1}">
    <text>=SUM(LOG(i2/j2))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35" dT="2024-05-21T16:02:03.97" personId="{E295D646-465A-0246-B9BC-A2F092793645}" id="{5F054C36-FE08-CB4A-BDCB-D10810553EAB}">
    <text>+ los potje met 250-300 µm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7.xml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8.xml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2"/>
  <sheetViews>
    <sheetView topLeftCell="A7" workbookViewId="0">
      <selection activeCell="N17" sqref="N17"/>
    </sheetView>
  </sheetViews>
  <sheetFormatPr defaultColWidth="11.42578125" defaultRowHeight="12.75"/>
  <sheetData>
    <row r="2" spans="3:12">
      <c r="C2" t="s">
        <v>128</v>
      </c>
      <c r="G2" t="s">
        <v>129</v>
      </c>
      <c r="K2" t="s">
        <v>438</v>
      </c>
      <c r="L2" t="s">
        <v>437</v>
      </c>
    </row>
    <row r="19" spans="1:1">
      <c r="A19" s="16"/>
    </row>
    <row r="20" spans="1:1">
      <c r="A20" s="16" t="s">
        <v>126</v>
      </c>
    </row>
    <row r="21" spans="1:1">
      <c r="A21" s="16" t="s">
        <v>145</v>
      </c>
    </row>
    <row r="22" spans="1:1">
      <c r="A22" s="16"/>
    </row>
  </sheetData>
  <pageMargins left="0.75" right="0.75" top="1" bottom="1" header="0.5" footer="0.5"/>
  <pageSetup paperSize="9" orientation="portrait" horizontalDpi="0" verticalDpi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D195"/>
  <sheetViews>
    <sheetView topLeftCell="A94" zoomScale="90" zoomScaleNormal="90" zoomScalePageLayoutView="150" workbookViewId="0">
      <pane xSplit="7140" ySplit="1710" activePane="bottomRight"/>
      <selection activeCell="H3" sqref="H3"/>
      <selection pane="topRight" activeCell="F5" sqref="F5"/>
      <selection pane="bottomLeft" activeCell="H3" sqref="H3"/>
      <selection pane="bottomRight" activeCell="O3" sqref="O3"/>
    </sheetView>
  </sheetViews>
  <sheetFormatPr defaultColWidth="12.42578125" defaultRowHeight="12.75"/>
  <cols>
    <col min="1" max="1" width="6.5703125" customWidth="1"/>
    <col min="2" max="3" width="5.5703125" customWidth="1"/>
    <col min="4" max="4" width="8.42578125" customWidth="1"/>
    <col min="5" max="5" width="5.5703125" customWidth="1"/>
    <col min="6" max="6" width="7.7109375" customWidth="1"/>
    <col min="7" max="11" width="5.7109375" style="3" customWidth="1"/>
    <col min="12" max="37" width="5.7109375" style="2" customWidth="1"/>
    <col min="38" max="38" width="10.7109375" style="2" customWidth="1"/>
    <col min="39" max="39" width="5.85546875" customWidth="1"/>
    <col min="40" max="40" width="7.28515625" customWidth="1"/>
    <col min="41" max="41" width="5.85546875" customWidth="1"/>
    <col min="42" max="42" width="5.7109375" customWidth="1"/>
    <col min="43" max="43" width="5.42578125" style="5" customWidth="1"/>
    <col min="44" max="44" width="12.42578125" customWidth="1"/>
    <col min="45" max="45" width="7.7109375" customWidth="1"/>
    <col min="46" max="46" width="7.5703125" customWidth="1"/>
    <col min="47" max="48" width="7" customWidth="1"/>
    <col min="49" max="51" width="6.7109375" style="5" customWidth="1"/>
    <col min="52" max="52" width="5.85546875" style="5" customWidth="1"/>
    <col min="53" max="53" width="5" style="2" customWidth="1"/>
    <col min="54" max="54" width="5.7109375" style="2" customWidth="1"/>
    <col min="55" max="55" width="2.7109375" style="5" customWidth="1"/>
    <col min="56" max="56" width="9.42578125" style="15" customWidth="1"/>
    <col min="57" max="57" width="6.42578125" style="13" customWidth="1"/>
    <col min="58" max="60" width="7.85546875" style="13" customWidth="1"/>
    <col min="61" max="61" width="12.140625" style="13" customWidth="1"/>
    <col min="62" max="62" width="3.42578125" style="13" customWidth="1"/>
    <col min="63" max="64" width="8.42578125" style="13" customWidth="1"/>
    <col min="65" max="65" width="13.5703125" style="13" customWidth="1"/>
    <col min="66" max="66" width="8.5703125" style="13" customWidth="1"/>
    <col min="67" max="68" width="9.28515625" customWidth="1"/>
    <col min="69" max="69" width="3" style="5" customWidth="1"/>
    <col min="70" max="70" width="1.7109375" style="5" customWidth="1"/>
    <col min="71" max="71" width="3.28515625" customWidth="1"/>
    <col min="72" max="72" width="20" customWidth="1"/>
    <col min="73" max="73" width="25.7109375" customWidth="1"/>
    <col min="74" max="74" width="26.7109375" customWidth="1"/>
    <col min="75" max="75" width="32.7109375" customWidth="1"/>
    <col min="76" max="76" width="38.140625" customWidth="1"/>
    <col min="77" max="77" width="33.5703125" customWidth="1"/>
  </cols>
  <sheetData>
    <row r="1" spans="1:70">
      <c r="A1" t="s">
        <v>0</v>
      </c>
      <c r="AC1" s="2" t="s">
        <v>1</v>
      </c>
    </row>
    <row r="2" spans="1:70" ht="12.95" customHeight="1">
      <c r="AD2" s="2" t="s">
        <v>2</v>
      </c>
      <c r="AL2" s="2" t="s">
        <v>3</v>
      </c>
      <c r="AU2" s="1" t="s">
        <v>4</v>
      </c>
      <c r="AV2" s="1" t="s">
        <v>4</v>
      </c>
      <c r="BM2" s="54" t="s">
        <v>439</v>
      </c>
    </row>
    <row r="3" spans="1:70">
      <c r="A3" s="1" t="s">
        <v>5</v>
      </c>
      <c r="B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/>
      <c r="AM3" t="s">
        <v>38</v>
      </c>
      <c r="AN3" t="s">
        <v>39</v>
      </c>
      <c r="AO3" t="s">
        <v>40</v>
      </c>
      <c r="AP3" s="2" t="s">
        <v>41</v>
      </c>
      <c r="AQ3" s="5" t="s">
        <v>42</v>
      </c>
      <c r="AR3" s="2" t="s">
        <v>146</v>
      </c>
      <c r="AS3" s="1" t="s">
        <v>5</v>
      </c>
      <c r="AT3" s="1" t="s">
        <v>4</v>
      </c>
      <c r="AU3" s="14" t="s">
        <v>43</v>
      </c>
      <c r="AV3" s="1" t="s">
        <v>44</v>
      </c>
      <c r="AW3" s="5" t="s">
        <v>45</v>
      </c>
      <c r="AX3" s="5" t="s">
        <v>46</v>
      </c>
      <c r="AY3" s="5" t="s">
        <v>47</v>
      </c>
      <c r="AZ3" s="5" t="s">
        <v>48</v>
      </c>
      <c r="BD3" s="15" t="s">
        <v>49</v>
      </c>
      <c r="BF3" s="13" t="s">
        <v>50</v>
      </c>
      <c r="BG3" s="13" t="s">
        <v>51</v>
      </c>
      <c r="BH3" s="13" t="s">
        <v>52</v>
      </c>
      <c r="BI3" s="13" t="s">
        <v>53</v>
      </c>
      <c r="BJ3" s="13" t="s">
        <v>130</v>
      </c>
      <c r="BK3" s="13" t="s">
        <v>123</v>
      </c>
      <c r="BL3" s="13" t="s">
        <v>152</v>
      </c>
      <c r="BM3" s="13" t="s">
        <v>125</v>
      </c>
      <c r="BN3" s="13" t="s">
        <v>127</v>
      </c>
      <c r="BO3" s="13" t="s">
        <v>124</v>
      </c>
      <c r="BP3" s="13"/>
      <c r="BQ3" s="5" t="s">
        <v>147</v>
      </c>
    </row>
    <row r="4" spans="1:70" ht="6" customHeight="1">
      <c r="A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P4" s="2"/>
      <c r="AR4" s="2"/>
      <c r="AS4" s="1"/>
      <c r="AT4" s="1"/>
      <c r="AU4" s="14"/>
      <c r="AV4" s="1"/>
    </row>
    <row r="5" spans="1:70" ht="15.75">
      <c r="A5" s="1"/>
      <c r="B5" t="s">
        <v>6</v>
      </c>
      <c r="C5" s="5" t="s">
        <v>142</v>
      </c>
      <c r="D5" s="46" t="s">
        <v>150</v>
      </c>
      <c r="E5" s="39" t="s">
        <v>149</v>
      </c>
      <c r="F5" s="46" t="s">
        <v>151</v>
      </c>
      <c r="G5" s="3" t="s">
        <v>148</v>
      </c>
      <c r="H5" s="102" t="s">
        <v>606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P5" s="2"/>
      <c r="AR5" s="2"/>
      <c r="AS5" s="1"/>
      <c r="AT5" s="1"/>
      <c r="AU5" s="1"/>
      <c r="AV5" s="1"/>
      <c r="BA5" s="2" t="s">
        <v>54</v>
      </c>
      <c r="BB5" s="2" t="s">
        <v>55</v>
      </c>
      <c r="BD5" s="5" t="s">
        <v>142</v>
      </c>
      <c r="BM5" s="13" t="s">
        <v>125</v>
      </c>
      <c r="BO5" s="10"/>
      <c r="BP5" s="103" t="s">
        <v>607</v>
      </c>
    </row>
    <row r="6" spans="1:70" ht="15.75">
      <c r="A6" s="104" t="s">
        <v>56</v>
      </c>
      <c r="B6">
        <v>1</v>
      </c>
      <c r="C6" s="5">
        <v>8466</v>
      </c>
      <c r="D6" s="2">
        <f>C6/1000</f>
        <v>8.4659999999999993</v>
      </c>
      <c r="E6" s="39">
        <v>8703.3157890000002</v>
      </c>
      <c r="F6" s="2">
        <f>E6/1000</f>
        <v>8.7033157889999995</v>
      </c>
      <c r="G6" s="3">
        <v>13.106796116504855</v>
      </c>
      <c r="H6" s="3">
        <v>8.7378640776699026</v>
      </c>
      <c r="I6" s="3">
        <v>0</v>
      </c>
      <c r="J6" s="3">
        <v>2.4271844660194173</v>
      </c>
      <c r="K6" s="3">
        <v>0</v>
      </c>
      <c r="L6" s="2">
        <v>0.4854368932038835</v>
      </c>
      <c r="M6" s="2">
        <v>0</v>
      </c>
      <c r="N6" s="2">
        <v>0.970873786407767</v>
      </c>
      <c r="O6" s="2">
        <v>9.2233009708737868</v>
      </c>
      <c r="P6" s="2">
        <v>0</v>
      </c>
      <c r="Q6" s="2">
        <v>9.2233009708737868</v>
      </c>
      <c r="R6" s="2">
        <v>0</v>
      </c>
      <c r="S6" s="2">
        <v>7.766990291262136</v>
      </c>
      <c r="T6" s="2">
        <v>0.970873786407767</v>
      </c>
      <c r="U6" s="2">
        <v>0</v>
      </c>
      <c r="V6" s="2">
        <v>0</v>
      </c>
      <c r="W6" s="2">
        <v>4.3689320388349513</v>
      </c>
      <c r="X6" s="2">
        <v>0</v>
      </c>
      <c r="Y6" s="2">
        <v>0</v>
      </c>
      <c r="Z6" s="2">
        <v>0</v>
      </c>
      <c r="AA6" s="2">
        <v>2.4271844660194173</v>
      </c>
      <c r="AB6" s="2">
        <v>0</v>
      </c>
      <c r="AC6" s="2">
        <v>0.4854368932038835</v>
      </c>
      <c r="AD6" s="2">
        <v>2.4271844660194173</v>
      </c>
      <c r="AE6" s="2">
        <v>33.009708737864081</v>
      </c>
      <c r="AF6" s="2">
        <v>0</v>
      </c>
      <c r="AG6" s="2">
        <v>3.3980582524271843</v>
      </c>
      <c r="AH6" s="2">
        <v>0</v>
      </c>
      <c r="AI6" s="2">
        <v>0</v>
      </c>
      <c r="AJ6" s="2">
        <v>0</v>
      </c>
      <c r="AK6" s="2">
        <v>0.970873786407767</v>
      </c>
      <c r="AL6" s="2">
        <f t="shared" ref="AL6:AL37" si="0">AR6*O6/100</f>
        <v>1.5248796147672552</v>
      </c>
      <c r="AM6">
        <v>206</v>
      </c>
      <c r="AN6" s="2">
        <v>0</v>
      </c>
      <c r="AO6">
        <v>206</v>
      </c>
      <c r="AP6" s="2">
        <v>12.46</v>
      </c>
      <c r="AQ6" s="5">
        <v>1</v>
      </c>
      <c r="AR6" s="5">
        <f t="shared" ref="AR6:AR37" si="1">AO6*AQ6/AP6</f>
        <v>16.53290529695024</v>
      </c>
      <c r="AS6" s="1" t="s">
        <v>56</v>
      </c>
      <c r="AT6">
        <v>58.5</v>
      </c>
      <c r="AU6">
        <v>61.4</v>
      </c>
      <c r="AV6">
        <v>40.799999999999997</v>
      </c>
      <c r="AW6" s="5">
        <v>20</v>
      </c>
      <c r="AX6" s="5">
        <v>35.294117647058826</v>
      </c>
      <c r="AY6" s="5">
        <v>9.7087378640776691</v>
      </c>
      <c r="AZ6" s="5">
        <v>40</v>
      </c>
      <c r="BA6" s="2">
        <f t="shared" ref="BA6:BA37" si="2">W6+X6</f>
        <v>4.3689320388349513</v>
      </c>
      <c r="BB6" s="2">
        <f t="shared" ref="BB6:BB37" si="3">L6+M6</f>
        <v>0.4854368932038835</v>
      </c>
      <c r="BC6" s="6"/>
      <c r="BD6" s="5">
        <v>8466.3684209999992</v>
      </c>
      <c r="BE6" s="12"/>
      <c r="BF6" s="12">
        <v>4.8543689320388346</v>
      </c>
      <c r="BG6" s="12">
        <v>18.446601941747574</v>
      </c>
      <c r="BH6" s="12">
        <v>12.135922330097088</v>
      </c>
      <c r="BI6" s="12">
        <v>39.682539682539684</v>
      </c>
      <c r="BJ6" s="12">
        <f>O6+AD6</f>
        <v>11.650485436893204</v>
      </c>
      <c r="BK6" s="12">
        <f>O6+BG6</f>
        <v>27.66990291262136</v>
      </c>
      <c r="BL6" s="12">
        <f>BG6+BH6</f>
        <v>30.582524271844662</v>
      </c>
      <c r="BM6" s="12">
        <f>O6+BG6+BH6</f>
        <v>39.805825242718448</v>
      </c>
      <c r="BN6" s="12">
        <f>H6+BF6</f>
        <v>13.592233009708737</v>
      </c>
      <c r="BO6" s="11">
        <f>G6+H6+BF6</f>
        <v>26.699029126213592</v>
      </c>
      <c r="BP6" s="2">
        <f>G6+J6+Q6+AG6</f>
        <v>28.155339805825243</v>
      </c>
    </row>
    <row r="7" spans="1:70" ht="15.75">
      <c r="A7" s="1" t="s">
        <v>57</v>
      </c>
      <c r="B7">
        <v>23</v>
      </c>
      <c r="C7" s="5">
        <v>8744</v>
      </c>
      <c r="D7" s="2">
        <f t="shared" ref="D7:D69" si="4">C7/1000</f>
        <v>8.7439999999999998</v>
      </c>
      <c r="E7" s="39">
        <v>9054.1578950000003</v>
      </c>
      <c r="F7" s="2">
        <f t="shared" ref="F7:F69" si="5">E7/1000</f>
        <v>9.0541578949999995</v>
      </c>
      <c r="G7" s="3">
        <v>6.0606060606060606</v>
      </c>
      <c r="H7" s="3">
        <v>9.0909090909090917</v>
      </c>
      <c r="I7" s="3">
        <v>0</v>
      </c>
      <c r="J7" s="3">
        <v>3.0303030303030303</v>
      </c>
      <c r="K7" s="3">
        <v>0</v>
      </c>
      <c r="L7" s="2">
        <v>0</v>
      </c>
      <c r="M7" s="2">
        <v>0</v>
      </c>
      <c r="N7" s="2">
        <v>0</v>
      </c>
      <c r="O7" s="2">
        <v>12.121212121212121</v>
      </c>
      <c r="P7" s="2">
        <v>0</v>
      </c>
      <c r="Q7" s="2">
        <v>3.0303030303030303</v>
      </c>
      <c r="R7" s="2">
        <v>0</v>
      </c>
      <c r="S7" s="2">
        <v>15.151515151515152</v>
      </c>
      <c r="T7" s="2">
        <v>0</v>
      </c>
      <c r="U7" s="2">
        <v>0</v>
      </c>
      <c r="V7" s="2">
        <v>0</v>
      </c>
      <c r="W7" s="2">
        <v>6.0606060606060606</v>
      </c>
      <c r="X7" s="2">
        <v>0</v>
      </c>
      <c r="Y7" s="2">
        <v>0</v>
      </c>
      <c r="Z7" s="2">
        <v>0</v>
      </c>
      <c r="AA7" s="2">
        <v>9.0909090909090917</v>
      </c>
      <c r="AB7" s="2">
        <v>0</v>
      </c>
      <c r="AC7" s="2">
        <v>0</v>
      </c>
      <c r="AD7" s="2">
        <v>0</v>
      </c>
      <c r="AE7" s="2">
        <v>36.363636363636367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f t="shared" si="0"/>
        <v>0.34129692832764502</v>
      </c>
      <c r="AM7">
        <v>33</v>
      </c>
      <c r="AN7" s="2">
        <v>1.1363636363636365</v>
      </c>
      <c r="AO7">
        <v>33</v>
      </c>
      <c r="AP7" s="2">
        <v>11.72</v>
      </c>
      <c r="AQ7" s="5">
        <v>1</v>
      </c>
      <c r="AR7" s="5">
        <f t="shared" si="1"/>
        <v>2.8156996587030716</v>
      </c>
      <c r="AS7" s="1" t="s">
        <v>57</v>
      </c>
      <c r="AT7">
        <v>42.31</v>
      </c>
      <c r="AU7">
        <v>41.4</v>
      </c>
      <c r="AV7">
        <v>50</v>
      </c>
      <c r="AW7" s="5">
        <v>0</v>
      </c>
      <c r="AX7" s="5">
        <v>11.111111111111111</v>
      </c>
      <c r="AY7" s="5">
        <v>12.121212121212121</v>
      </c>
      <c r="AZ7" s="5">
        <v>60</v>
      </c>
      <c r="BA7" s="2">
        <f t="shared" si="2"/>
        <v>6.0606060606060606</v>
      </c>
      <c r="BB7" s="2">
        <f t="shared" si="3"/>
        <v>0</v>
      </c>
      <c r="BC7" s="7"/>
      <c r="BD7" s="5">
        <v>8744.2631579999997</v>
      </c>
      <c r="BF7" s="13">
        <v>9.0909090909090917</v>
      </c>
      <c r="BG7" s="13">
        <v>21.212121212121211</v>
      </c>
      <c r="BH7" s="13">
        <v>6.0606060606060606</v>
      </c>
      <c r="BI7" s="13">
        <v>22.222222222222221</v>
      </c>
      <c r="BJ7" s="12">
        <f t="shared" ref="BJ7:BJ69" si="6">O7+AD7</f>
        <v>12.121212121212121</v>
      </c>
      <c r="BK7" s="12">
        <f t="shared" ref="BK7:BK69" si="7">O7+BG7</f>
        <v>33.333333333333329</v>
      </c>
      <c r="BL7" s="12">
        <f t="shared" ref="BL7:BL69" si="8">BG7+BH7</f>
        <v>27.272727272727273</v>
      </c>
      <c r="BM7" s="12">
        <f t="shared" ref="BM7:BM69" si="9">O7+BG7+BH7</f>
        <v>39.393939393939391</v>
      </c>
      <c r="BN7" s="12">
        <f t="shared" ref="BN7:BN69" si="10">H7+BF7</f>
        <v>18.181818181818183</v>
      </c>
      <c r="BO7" s="11">
        <f t="shared" ref="BO7:BO69" si="11">G7+H7+BF7</f>
        <v>24.242424242424242</v>
      </c>
      <c r="BP7" s="2">
        <f t="shared" ref="BP7:BP69" si="12">G7+J7+Q7+AG7</f>
        <v>12.121212121212121</v>
      </c>
    </row>
    <row r="8" spans="1:70" ht="15.75">
      <c r="A8" s="1" t="s">
        <v>58</v>
      </c>
      <c r="B8">
        <v>41</v>
      </c>
      <c r="C8" s="5">
        <v>9084</v>
      </c>
      <c r="D8" s="2">
        <f t="shared" si="4"/>
        <v>9.0839999999999996</v>
      </c>
      <c r="E8" s="39">
        <v>9341.2105260000008</v>
      </c>
      <c r="F8" s="2">
        <f t="shared" si="5"/>
        <v>9.3412105260000011</v>
      </c>
      <c r="G8" s="3">
        <v>4.8991354466858787</v>
      </c>
      <c r="H8" s="3">
        <v>21.32564841498559</v>
      </c>
      <c r="I8" s="3">
        <v>0</v>
      </c>
      <c r="J8" s="3">
        <v>6.3400576368876083</v>
      </c>
      <c r="K8" s="3">
        <v>0</v>
      </c>
      <c r="L8" s="2">
        <v>0</v>
      </c>
      <c r="M8" s="2">
        <v>0</v>
      </c>
      <c r="N8" s="2">
        <v>0.57636887608069165</v>
      </c>
      <c r="O8" s="2">
        <v>20.749279538904901</v>
      </c>
      <c r="P8" s="2">
        <v>0</v>
      </c>
      <c r="Q8" s="2">
        <v>3.4582132564841497</v>
      </c>
      <c r="R8" s="2">
        <v>0</v>
      </c>
      <c r="S8" s="2">
        <v>3.1700288184438041</v>
      </c>
      <c r="T8" s="2">
        <v>0.86455331412103742</v>
      </c>
      <c r="U8" s="2">
        <v>0</v>
      </c>
      <c r="V8" s="2">
        <v>0</v>
      </c>
      <c r="W8" s="2">
        <v>0.28818443804034583</v>
      </c>
      <c r="X8" s="2">
        <v>0</v>
      </c>
      <c r="Y8" s="2">
        <v>0</v>
      </c>
      <c r="Z8" s="2">
        <v>0</v>
      </c>
      <c r="AA8" s="2">
        <v>6.0518731988472618</v>
      </c>
      <c r="AB8" s="2">
        <v>0</v>
      </c>
      <c r="AC8" s="2">
        <v>0.28818443804034583</v>
      </c>
      <c r="AD8" s="2">
        <v>1.1527377521613833</v>
      </c>
      <c r="AE8" s="2">
        <v>18.731988472622479</v>
      </c>
      <c r="AF8" s="2">
        <v>0</v>
      </c>
      <c r="AG8" s="2">
        <v>8.6455331412103753</v>
      </c>
      <c r="AH8" s="2">
        <v>0.86455331412103742</v>
      </c>
      <c r="AI8" s="2">
        <v>1.4409221902017291</v>
      </c>
      <c r="AJ8" s="2">
        <v>0.28818443804034583</v>
      </c>
      <c r="AK8" s="2">
        <v>0.86455331412103742</v>
      </c>
      <c r="AL8" s="2">
        <f t="shared" si="0"/>
        <v>6.117247238742566</v>
      </c>
      <c r="AM8">
        <v>347</v>
      </c>
      <c r="AN8" s="2">
        <v>0</v>
      </c>
      <c r="AO8">
        <v>347</v>
      </c>
      <c r="AP8">
        <v>11.77</v>
      </c>
      <c r="AQ8" s="5">
        <v>1</v>
      </c>
      <c r="AR8" s="5">
        <f t="shared" si="1"/>
        <v>29.481733220050977</v>
      </c>
      <c r="AS8" s="1" t="s">
        <v>58</v>
      </c>
      <c r="AT8">
        <v>61.2</v>
      </c>
      <c r="AU8">
        <v>57.8</v>
      </c>
      <c r="AV8">
        <v>70.400000000000006</v>
      </c>
      <c r="AW8" s="5">
        <v>0</v>
      </c>
      <c r="AX8" s="5">
        <v>6.4516129032258061</v>
      </c>
      <c r="AY8" s="5">
        <v>30.835734870317005</v>
      </c>
      <c r="AZ8" s="5">
        <v>81.318681318681314</v>
      </c>
      <c r="BA8" s="2">
        <f t="shared" si="2"/>
        <v>0.28818443804034583</v>
      </c>
      <c r="BB8" s="2">
        <f t="shared" si="3"/>
        <v>0</v>
      </c>
      <c r="BC8" s="7"/>
      <c r="BD8" s="5">
        <v>9083.9122810000008</v>
      </c>
      <c r="BF8" s="13">
        <v>11.527377521613801</v>
      </c>
      <c r="BG8" s="13">
        <v>7.7809798270893369</v>
      </c>
      <c r="BH8" s="13">
        <v>0.57636887608069165</v>
      </c>
      <c r="BI8" s="13">
        <v>6.8965517241379306</v>
      </c>
      <c r="BJ8" s="12">
        <f t="shared" si="6"/>
        <v>21.902017291066283</v>
      </c>
      <c r="BK8" s="12">
        <f t="shared" si="7"/>
        <v>28.530259365994237</v>
      </c>
      <c r="BL8" s="12">
        <f t="shared" si="8"/>
        <v>8.3573487031700289</v>
      </c>
      <c r="BM8" s="12">
        <f t="shared" si="9"/>
        <v>29.10662824207493</v>
      </c>
      <c r="BN8" s="12">
        <f t="shared" si="10"/>
        <v>32.853025936599394</v>
      </c>
      <c r="BO8" s="11">
        <f t="shared" si="11"/>
        <v>37.752161383285269</v>
      </c>
      <c r="BP8" s="2">
        <f t="shared" si="12"/>
        <v>23.342939481268012</v>
      </c>
    </row>
    <row r="9" spans="1:70" ht="15.75">
      <c r="A9" s="1" t="s">
        <v>59</v>
      </c>
      <c r="B9">
        <v>51</v>
      </c>
      <c r="C9" s="5">
        <v>9238</v>
      </c>
      <c r="D9" s="2">
        <f t="shared" si="4"/>
        <v>9.2379999999999995</v>
      </c>
      <c r="E9" s="39">
        <v>9500.6842109999998</v>
      </c>
      <c r="F9" s="2">
        <f t="shared" si="5"/>
        <v>9.5006842109999994</v>
      </c>
      <c r="G9" s="3">
        <v>6.4102564102564106</v>
      </c>
      <c r="H9" s="3">
        <v>17.948717948717949</v>
      </c>
      <c r="I9" s="3">
        <v>0</v>
      </c>
      <c r="J9" s="3">
        <v>7.0512820512820511</v>
      </c>
      <c r="K9" s="3">
        <v>0</v>
      </c>
      <c r="L9" s="2">
        <v>0</v>
      </c>
      <c r="M9" s="2">
        <v>0.32051282051282054</v>
      </c>
      <c r="N9" s="2">
        <v>0</v>
      </c>
      <c r="O9" s="2">
        <v>16.346153846153847</v>
      </c>
      <c r="P9" s="2">
        <v>0</v>
      </c>
      <c r="Q9" s="2">
        <v>1.6025641025641026</v>
      </c>
      <c r="R9" s="2">
        <v>0</v>
      </c>
      <c r="S9" s="2">
        <v>2.8846153846153846</v>
      </c>
      <c r="T9" s="2">
        <v>0.32051282051282054</v>
      </c>
      <c r="U9" s="2">
        <v>0</v>
      </c>
      <c r="V9" s="2">
        <v>0</v>
      </c>
      <c r="W9" s="2">
        <v>0.64102564102564108</v>
      </c>
      <c r="X9" s="2">
        <v>0</v>
      </c>
      <c r="Y9" s="2">
        <v>0.32051282051282054</v>
      </c>
      <c r="Z9" s="2">
        <v>0</v>
      </c>
      <c r="AA9" s="2">
        <v>5.7692307692307692</v>
      </c>
      <c r="AB9" s="2">
        <v>0</v>
      </c>
      <c r="AC9" s="2">
        <v>0.64102564102564108</v>
      </c>
      <c r="AD9" s="2">
        <v>6.0897435897435894</v>
      </c>
      <c r="AE9" s="2">
        <v>23.717948717948719</v>
      </c>
      <c r="AF9" s="2">
        <v>0</v>
      </c>
      <c r="AG9" s="2">
        <v>6.7307692307692308</v>
      </c>
      <c r="AH9" s="2">
        <v>0.32051282051282054</v>
      </c>
      <c r="AI9" s="2">
        <v>0.96153846153846156</v>
      </c>
      <c r="AJ9" s="2">
        <v>0</v>
      </c>
      <c r="AK9" s="2">
        <v>1.9230769230769231</v>
      </c>
      <c r="AL9" s="2">
        <f t="shared" si="0"/>
        <v>3.8145100972326107</v>
      </c>
      <c r="AM9">
        <v>312</v>
      </c>
      <c r="AN9" s="2">
        <v>1.2787723785166241</v>
      </c>
      <c r="AO9">
        <v>312</v>
      </c>
      <c r="AP9" s="2">
        <v>13.37</v>
      </c>
      <c r="AQ9" s="5">
        <v>1</v>
      </c>
      <c r="AR9" s="5">
        <f t="shared" si="1"/>
        <v>23.335826477187734</v>
      </c>
      <c r="AS9" s="1" t="s">
        <v>59</v>
      </c>
      <c r="AT9">
        <v>57.46</v>
      </c>
      <c r="AU9">
        <v>55.8</v>
      </c>
      <c r="AV9">
        <v>61.7</v>
      </c>
      <c r="AW9" s="5">
        <v>5.2631578947368416</v>
      </c>
      <c r="AX9" s="5">
        <v>1.4492753623188406</v>
      </c>
      <c r="AY9" s="5">
        <v>30.448717948717945</v>
      </c>
      <c r="AZ9" s="5">
        <v>73.68421052631578</v>
      </c>
      <c r="BA9" s="2">
        <f t="shared" si="2"/>
        <v>0.64102564102564108</v>
      </c>
      <c r="BB9" s="2">
        <f t="shared" si="3"/>
        <v>0.32051282051282054</v>
      </c>
      <c r="BC9" s="7"/>
      <c r="BD9" s="5">
        <v>9238.2982460000003</v>
      </c>
      <c r="BF9" s="13">
        <v>15.384615384615385</v>
      </c>
      <c r="BG9" s="13">
        <v>13.782051282051283</v>
      </c>
      <c r="BH9" s="13">
        <v>0.64102564102564108</v>
      </c>
      <c r="BI9" s="13">
        <v>4.4444444444444446</v>
      </c>
      <c r="BJ9" s="12">
        <f t="shared" si="6"/>
        <v>22.435897435897438</v>
      </c>
      <c r="BK9" s="12">
        <f t="shared" si="7"/>
        <v>30.128205128205131</v>
      </c>
      <c r="BL9" s="12">
        <f t="shared" si="8"/>
        <v>14.423076923076923</v>
      </c>
      <c r="BM9" s="12">
        <f t="shared" si="9"/>
        <v>30.769230769230774</v>
      </c>
      <c r="BN9" s="12">
        <f t="shared" si="10"/>
        <v>33.333333333333336</v>
      </c>
      <c r="BO9" s="11">
        <f t="shared" si="11"/>
        <v>39.743589743589745</v>
      </c>
      <c r="BP9" s="2">
        <f t="shared" si="12"/>
        <v>21.794871794871796</v>
      </c>
    </row>
    <row r="10" spans="1:70" s="30" customFormat="1" ht="15.75">
      <c r="A10" s="104" t="s">
        <v>60</v>
      </c>
      <c r="B10" s="30">
        <v>66</v>
      </c>
      <c r="C10" s="31">
        <v>9470</v>
      </c>
      <c r="D10" s="32">
        <f t="shared" si="4"/>
        <v>9.4700000000000006</v>
      </c>
      <c r="E10" s="39">
        <v>9739.8947370000005</v>
      </c>
      <c r="F10" s="2">
        <f t="shared" si="5"/>
        <v>9.7398947370000002</v>
      </c>
      <c r="G10" s="33">
        <v>0.56818181818181823</v>
      </c>
      <c r="H10" s="33">
        <v>25.568181818181817</v>
      </c>
      <c r="I10" s="33">
        <v>0</v>
      </c>
      <c r="J10" s="33">
        <v>8.5227272727272734</v>
      </c>
      <c r="K10" s="33">
        <v>0</v>
      </c>
      <c r="L10" s="32">
        <v>1.1363636363636365</v>
      </c>
      <c r="M10" s="32">
        <v>0</v>
      </c>
      <c r="N10" s="32">
        <v>0</v>
      </c>
      <c r="O10" s="32">
        <v>18.75</v>
      </c>
      <c r="P10" s="32">
        <v>0</v>
      </c>
      <c r="Q10" s="32">
        <v>0</v>
      </c>
      <c r="R10" s="32">
        <v>0</v>
      </c>
      <c r="S10" s="32">
        <v>2.2727272727272729</v>
      </c>
      <c r="T10" s="32">
        <v>0.56818181818181823</v>
      </c>
      <c r="U10" s="32">
        <v>0</v>
      </c>
      <c r="V10" s="32">
        <v>0</v>
      </c>
      <c r="W10" s="32">
        <v>0</v>
      </c>
      <c r="X10" s="32">
        <v>0.56818181818181823</v>
      </c>
      <c r="Y10" s="32">
        <v>0</v>
      </c>
      <c r="Z10" s="32">
        <v>0</v>
      </c>
      <c r="AA10" s="32">
        <v>8.5227272727272734</v>
      </c>
      <c r="AB10" s="32">
        <v>0</v>
      </c>
      <c r="AC10" s="32">
        <v>0</v>
      </c>
      <c r="AD10" s="32">
        <v>3.9772727272727271</v>
      </c>
      <c r="AE10" s="32">
        <v>19.886363636363637</v>
      </c>
      <c r="AF10" s="32">
        <v>0</v>
      </c>
      <c r="AG10" s="32">
        <v>6.25</v>
      </c>
      <c r="AH10" s="32">
        <v>0.56818181818181823</v>
      </c>
      <c r="AI10" s="32">
        <v>1.1363636363636365</v>
      </c>
      <c r="AJ10" s="32">
        <v>0</v>
      </c>
      <c r="AK10" s="32">
        <v>1.7045454545454546</v>
      </c>
      <c r="AL10" s="32">
        <f t="shared" si="0"/>
        <v>3.5560344827586214</v>
      </c>
      <c r="AM10" s="30">
        <v>176</v>
      </c>
      <c r="AN10" s="32">
        <v>1.5584415584415585</v>
      </c>
      <c r="AO10" s="30">
        <v>176</v>
      </c>
      <c r="AP10" s="32">
        <v>9.2799999999999994</v>
      </c>
      <c r="AQ10" s="31">
        <v>1</v>
      </c>
      <c r="AR10" s="31">
        <f t="shared" si="1"/>
        <v>18.965517241379313</v>
      </c>
      <c r="AS10" s="29" t="s">
        <v>60</v>
      </c>
      <c r="AT10" s="30">
        <v>54.5</v>
      </c>
      <c r="AU10" s="30">
        <v>51.9</v>
      </c>
      <c r="AV10" s="30">
        <v>61.9</v>
      </c>
      <c r="AW10" s="31">
        <v>0</v>
      </c>
      <c r="AX10" s="31">
        <v>0</v>
      </c>
      <c r="AY10" s="31">
        <v>29.545454545454547</v>
      </c>
      <c r="AZ10" s="31">
        <v>97.826086956521735</v>
      </c>
      <c r="BA10" s="32">
        <f t="shared" si="2"/>
        <v>0.56818181818181823</v>
      </c>
      <c r="BB10" s="32">
        <f t="shared" si="3"/>
        <v>1.1363636363636365</v>
      </c>
      <c r="BC10" s="34"/>
      <c r="BD10" s="31">
        <v>9469.8771930000003</v>
      </c>
      <c r="BE10" s="35"/>
      <c r="BF10" s="35">
        <v>14.204545454545455</v>
      </c>
      <c r="BG10" s="35">
        <v>9.6590909090909083</v>
      </c>
      <c r="BH10" s="35">
        <v>0</v>
      </c>
      <c r="BI10" s="35">
        <v>0</v>
      </c>
      <c r="BJ10" s="36">
        <f t="shared" si="6"/>
        <v>22.727272727272727</v>
      </c>
      <c r="BK10" s="36">
        <f t="shared" si="7"/>
        <v>28.409090909090907</v>
      </c>
      <c r="BL10" s="12">
        <f t="shared" si="8"/>
        <v>9.6590909090909083</v>
      </c>
      <c r="BM10" s="36">
        <f t="shared" si="9"/>
        <v>28.409090909090907</v>
      </c>
      <c r="BN10" s="36">
        <f t="shared" si="10"/>
        <v>39.772727272727273</v>
      </c>
      <c r="BO10" s="37">
        <f t="shared" si="11"/>
        <v>40.340909090909086</v>
      </c>
      <c r="BP10" s="2">
        <f t="shared" si="12"/>
        <v>15.340909090909092</v>
      </c>
      <c r="BQ10" s="31">
        <v>40</v>
      </c>
      <c r="BR10" s="31"/>
    </row>
    <row r="11" spans="1:70" ht="15.75">
      <c r="A11" s="1" t="s">
        <v>61</v>
      </c>
      <c r="B11">
        <v>86</v>
      </c>
      <c r="C11" s="5">
        <v>9779</v>
      </c>
      <c r="D11" s="2">
        <f t="shared" si="4"/>
        <v>9.7789999999999999</v>
      </c>
      <c r="E11" s="39">
        <v>10058.84211</v>
      </c>
      <c r="F11" s="2">
        <f t="shared" si="5"/>
        <v>10.058842109999999</v>
      </c>
      <c r="G11" s="3">
        <v>0.39840637450199201</v>
      </c>
      <c r="H11" s="3">
        <v>19.52191235059761</v>
      </c>
      <c r="I11" s="3">
        <v>0</v>
      </c>
      <c r="J11" s="3">
        <v>7.9681274900398407</v>
      </c>
      <c r="K11" s="3">
        <v>0</v>
      </c>
      <c r="L11" s="2">
        <v>0.79681274900398402</v>
      </c>
      <c r="M11" s="2">
        <v>0.39840637450199201</v>
      </c>
      <c r="N11" s="2">
        <v>0</v>
      </c>
      <c r="O11" s="2">
        <v>25.89641434262948</v>
      </c>
      <c r="P11" s="2">
        <v>0</v>
      </c>
      <c r="Q11" s="2">
        <v>1.9920318725099602</v>
      </c>
      <c r="R11" s="2">
        <v>0</v>
      </c>
      <c r="S11" s="2">
        <v>8.3665338645418323</v>
      </c>
      <c r="T11" s="2">
        <v>0.39840637450199201</v>
      </c>
      <c r="U11" s="2">
        <v>0</v>
      </c>
      <c r="V11" s="2">
        <v>0</v>
      </c>
      <c r="W11" s="2">
        <v>0</v>
      </c>
      <c r="X11" s="2">
        <v>1.1952191235059761</v>
      </c>
      <c r="Y11" s="2">
        <v>0.39840637450199201</v>
      </c>
      <c r="Z11" s="2">
        <v>0</v>
      </c>
      <c r="AA11" s="2">
        <v>6.7729083665338647</v>
      </c>
      <c r="AB11" s="2">
        <v>0</v>
      </c>
      <c r="AC11" s="2">
        <v>0</v>
      </c>
      <c r="AD11" s="2">
        <v>3.9840637450199203</v>
      </c>
      <c r="AE11" s="2">
        <v>17.131474103585656</v>
      </c>
      <c r="AF11" s="2">
        <v>0</v>
      </c>
      <c r="AG11" s="2">
        <v>3.5856573705179282</v>
      </c>
      <c r="AH11" s="2">
        <v>0.39840637450199201</v>
      </c>
      <c r="AI11" s="2">
        <v>0.79681274900398402</v>
      </c>
      <c r="AJ11" s="2">
        <v>0</v>
      </c>
      <c r="AK11" s="2">
        <v>0</v>
      </c>
      <c r="AL11" s="2">
        <f t="shared" si="0"/>
        <v>6.9222577209797649</v>
      </c>
      <c r="AM11">
        <v>251</v>
      </c>
      <c r="AN11" s="2">
        <v>0.1834862385321101</v>
      </c>
      <c r="AO11">
        <v>251</v>
      </c>
      <c r="AP11" s="2">
        <v>9.39</v>
      </c>
      <c r="AQ11" s="5">
        <v>1</v>
      </c>
      <c r="AR11" s="5">
        <f t="shared" si="1"/>
        <v>26.730564430244939</v>
      </c>
      <c r="AS11" s="1" t="s">
        <v>61</v>
      </c>
      <c r="AT11">
        <v>50.5</v>
      </c>
      <c r="AU11">
        <v>44.7</v>
      </c>
      <c r="AV11">
        <v>72.8</v>
      </c>
      <c r="AW11" s="5">
        <v>0</v>
      </c>
      <c r="AX11" s="5">
        <v>0</v>
      </c>
      <c r="AY11" s="5">
        <v>29.880478087649404</v>
      </c>
      <c r="AZ11" s="5">
        <v>98</v>
      </c>
      <c r="BA11" s="2">
        <f t="shared" si="2"/>
        <v>1.1952191235059761</v>
      </c>
      <c r="BB11" s="2">
        <f t="shared" si="3"/>
        <v>1.1952191235059759</v>
      </c>
      <c r="BC11" s="7"/>
      <c r="BD11" s="5">
        <v>9778.6491229999992</v>
      </c>
      <c r="BF11" s="13">
        <v>11.952191235059761</v>
      </c>
      <c r="BG11" s="13">
        <v>9.1633466135458175</v>
      </c>
      <c r="BH11" s="13">
        <v>0</v>
      </c>
      <c r="BI11" s="13">
        <v>0</v>
      </c>
      <c r="BJ11" s="12">
        <f t="shared" si="6"/>
        <v>29.880478087649401</v>
      </c>
      <c r="BK11" s="12">
        <f t="shared" si="7"/>
        <v>35.059760956175296</v>
      </c>
      <c r="BL11" s="12">
        <f t="shared" si="8"/>
        <v>9.1633466135458175</v>
      </c>
      <c r="BM11" s="12">
        <f t="shared" si="9"/>
        <v>35.059760956175296</v>
      </c>
      <c r="BN11" s="12">
        <f t="shared" si="10"/>
        <v>31.474103585657371</v>
      </c>
      <c r="BO11" s="11">
        <f t="shared" si="11"/>
        <v>31.872509960159363</v>
      </c>
      <c r="BP11" s="2">
        <f t="shared" si="12"/>
        <v>13.944223107569721</v>
      </c>
    </row>
    <row r="12" spans="1:70" s="123" customFormat="1" ht="15.75">
      <c r="A12" s="122" t="s">
        <v>62</v>
      </c>
      <c r="B12" s="123">
        <v>101</v>
      </c>
      <c r="C12" s="137">
        <v>10010</v>
      </c>
      <c r="D12" s="138">
        <f t="shared" si="4"/>
        <v>10.01</v>
      </c>
      <c r="E12" s="139">
        <v>10298.05263</v>
      </c>
      <c r="F12" s="138">
        <f t="shared" si="5"/>
        <v>10.298052630000001</v>
      </c>
      <c r="G12" s="140">
        <v>0.78740157480314965</v>
      </c>
      <c r="H12" s="140">
        <v>21.259842519685041</v>
      </c>
      <c r="I12" s="140">
        <v>0</v>
      </c>
      <c r="J12" s="140">
        <v>11.023622047244094</v>
      </c>
      <c r="K12" s="140">
        <v>0</v>
      </c>
      <c r="L12" s="138">
        <v>0.78740157480314965</v>
      </c>
      <c r="M12" s="138">
        <v>0.78740157480314965</v>
      </c>
      <c r="N12" s="138">
        <v>0</v>
      </c>
      <c r="O12" s="138">
        <v>20.472440944881889</v>
      </c>
      <c r="P12" s="138">
        <v>0</v>
      </c>
      <c r="Q12" s="138">
        <v>0</v>
      </c>
      <c r="R12" s="138">
        <v>0</v>
      </c>
      <c r="S12" s="138">
        <v>0.78740157480314965</v>
      </c>
      <c r="T12" s="138">
        <v>0.78740157480314965</v>
      </c>
      <c r="U12" s="138">
        <v>0</v>
      </c>
      <c r="V12" s="138">
        <v>0</v>
      </c>
      <c r="W12" s="138">
        <v>0</v>
      </c>
      <c r="X12" s="138">
        <v>0</v>
      </c>
      <c r="Y12" s="138">
        <v>0.78740157480314965</v>
      </c>
      <c r="Z12" s="138">
        <v>0</v>
      </c>
      <c r="AA12" s="138">
        <v>4.7244094488188972</v>
      </c>
      <c r="AB12" s="138">
        <v>0</v>
      </c>
      <c r="AC12" s="138">
        <v>0</v>
      </c>
      <c r="AD12" s="138">
        <v>2.3622047244094486</v>
      </c>
      <c r="AE12" s="138">
        <v>18.110236220472441</v>
      </c>
      <c r="AF12" s="138">
        <v>0</v>
      </c>
      <c r="AG12" s="138">
        <v>14.173228346456693</v>
      </c>
      <c r="AH12" s="138">
        <v>0</v>
      </c>
      <c r="AI12" s="138">
        <v>2.3622047244094486</v>
      </c>
      <c r="AJ12" s="138">
        <v>0</v>
      </c>
      <c r="AK12" s="138">
        <v>0.78740157480314965</v>
      </c>
      <c r="AL12" s="138">
        <f t="shared" si="0"/>
        <v>3.1476997578692494</v>
      </c>
      <c r="AM12" s="123">
        <v>127</v>
      </c>
      <c r="AN12" s="138">
        <v>0.6472491909385113</v>
      </c>
      <c r="AO12" s="123">
        <v>127</v>
      </c>
      <c r="AP12" s="138">
        <v>8.26</v>
      </c>
      <c r="AQ12" s="137">
        <v>1</v>
      </c>
      <c r="AR12" s="137">
        <f t="shared" si="1"/>
        <v>15.375302663438257</v>
      </c>
      <c r="AS12" s="122" t="s">
        <v>62</v>
      </c>
      <c r="AT12" s="123">
        <v>50.6</v>
      </c>
      <c r="AU12" s="123">
        <v>41.8</v>
      </c>
      <c r="AV12" s="123">
        <v>71.599999999999994</v>
      </c>
      <c r="AW12" s="137">
        <v>0</v>
      </c>
      <c r="AX12" s="137">
        <v>0</v>
      </c>
      <c r="AY12" s="137">
        <v>41.732283464566926</v>
      </c>
      <c r="AZ12" s="137">
        <v>96.428571428571431</v>
      </c>
      <c r="BA12" s="138">
        <f t="shared" si="2"/>
        <v>0</v>
      </c>
      <c r="BB12" s="138">
        <f t="shared" si="3"/>
        <v>1.5748031496062993</v>
      </c>
      <c r="BC12" s="141"/>
      <c r="BD12" s="137">
        <v>10010.228069999999</v>
      </c>
      <c r="BE12" s="142"/>
      <c r="BF12" s="143">
        <v>14.173228346456693</v>
      </c>
      <c r="BG12" s="142">
        <v>6.2992125984251972</v>
      </c>
      <c r="BH12" s="142">
        <v>0</v>
      </c>
      <c r="BI12" s="142">
        <v>0</v>
      </c>
      <c r="BJ12" s="144">
        <f t="shared" si="6"/>
        <v>22.834645669291337</v>
      </c>
      <c r="BK12" s="144">
        <f t="shared" si="7"/>
        <v>26.771653543307085</v>
      </c>
      <c r="BL12" s="144">
        <f t="shared" si="8"/>
        <v>6.2992125984251972</v>
      </c>
      <c r="BM12" s="144">
        <f t="shared" si="9"/>
        <v>26.771653543307085</v>
      </c>
      <c r="BN12" s="144">
        <f t="shared" si="10"/>
        <v>35.433070866141733</v>
      </c>
      <c r="BO12" s="145">
        <f t="shared" si="11"/>
        <v>36.220472440944881</v>
      </c>
      <c r="BP12" s="138">
        <f t="shared" si="12"/>
        <v>25.984251968503937</v>
      </c>
      <c r="BQ12" s="137"/>
      <c r="BR12" s="137"/>
    </row>
    <row r="13" spans="1:70" ht="15.75">
      <c r="A13" s="107" t="s">
        <v>63</v>
      </c>
      <c r="B13">
        <v>116</v>
      </c>
      <c r="C13" s="5">
        <v>10242</v>
      </c>
      <c r="D13" s="2">
        <f t="shared" si="4"/>
        <v>10.242000000000001</v>
      </c>
      <c r="E13" s="39">
        <v>10537.26316</v>
      </c>
      <c r="F13" s="2">
        <f t="shared" si="5"/>
        <v>10.53726316</v>
      </c>
      <c r="G13" s="3">
        <v>2.5510204081632653</v>
      </c>
      <c r="H13" s="3">
        <v>18.877551020408163</v>
      </c>
      <c r="I13" s="3">
        <v>0</v>
      </c>
      <c r="J13" s="3">
        <v>9.6938775510204085</v>
      </c>
      <c r="K13" s="3">
        <v>0</v>
      </c>
      <c r="L13" s="2">
        <v>2.0408163265306123</v>
      </c>
      <c r="M13" s="2">
        <v>0.51020408163265307</v>
      </c>
      <c r="N13" s="2">
        <v>0</v>
      </c>
      <c r="O13" s="2">
        <v>26.020408163265305</v>
      </c>
      <c r="P13" s="2">
        <v>0</v>
      </c>
      <c r="Q13" s="2">
        <v>5.1020408163265305</v>
      </c>
      <c r="R13" s="2">
        <v>0</v>
      </c>
      <c r="S13" s="2">
        <v>2.0408163265306123</v>
      </c>
      <c r="T13" s="2">
        <v>0.51020408163265307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7.6530612244897958</v>
      </c>
      <c r="AB13" s="2">
        <v>0</v>
      </c>
      <c r="AC13" s="2">
        <v>0</v>
      </c>
      <c r="AD13" s="2">
        <v>3.0612244897959182</v>
      </c>
      <c r="AE13" s="2">
        <v>14.795918367346939</v>
      </c>
      <c r="AF13" s="2">
        <v>0</v>
      </c>
      <c r="AG13" s="2">
        <v>4.591836734693878</v>
      </c>
      <c r="AH13" s="2">
        <v>1.0204081632653061</v>
      </c>
      <c r="AI13" s="2">
        <v>1.0204081632653061</v>
      </c>
      <c r="AJ13" s="2">
        <v>0</v>
      </c>
      <c r="AK13" s="2">
        <v>0.51020408163265307</v>
      </c>
      <c r="AL13" s="2">
        <f t="shared" si="0"/>
        <v>6.1519903498190596</v>
      </c>
      <c r="AM13">
        <v>196</v>
      </c>
      <c r="AN13" s="2">
        <v>0</v>
      </c>
      <c r="AO13">
        <v>196</v>
      </c>
      <c r="AP13" s="2">
        <v>8.2899999999999991</v>
      </c>
      <c r="AQ13" s="5">
        <v>1</v>
      </c>
      <c r="AR13" s="5">
        <f t="shared" si="1"/>
        <v>23.642943305186975</v>
      </c>
      <c r="AS13" s="1" t="s">
        <v>63</v>
      </c>
      <c r="AT13">
        <v>45.5</v>
      </c>
      <c r="AU13">
        <v>42.8</v>
      </c>
      <c r="AV13">
        <v>53.8</v>
      </c>
      <c r="AW13" s="5">
        <v>0</v>
      </c>
      <c r="AX13" s="5">
        <v>0</v>
      </c>
      <c r="AY13" s="5">
        <v>29.081632653061224</v>
      </c>
      <c r="AZ13" s="5">
        <v>88.095238095238088</v>
      </c>
      <c r="BA13" s="2">
        <f t="shared" si="2"/>
        <v>0</v>
      </c>
      <c r="BB13" s="2">
        <f t="shared" si="3"/>
        <v>2.5510204081632653</v>
      </c>
      <c r="BC13" s="7"/>
      <c r="BD13" s="5">
        <v>10241.80702</v>
      </c>
      <c r="BF13" s="13">
        <v>11.73469387755102</v>
      </c>
      <c r="BG13" s="13">
        <v>6.1224489795918364</v>
      </c>
      <c r="BH13" s="13">
        <v>0</v>
      </c>
      <c r="BI13" s="13">
        <v>0</v>
      </c>
      <c r="BJ13" s="12">
        <f t="shared" si="6"/>
        <v>29.081632653061224</v>
      </c>
      <c r="BK13" s="12">
        <f t="shared" si="7"/>
        <v>32.142857142857139</v>
      </c>
      <c r="BL13" s="12">
        <f t="shared" si="8"/>
        <v>6.1224489795918364</v>
      </c>
      <c r="BM13" s="12">
        <f t="shared" si="9"/>
        <v>32.142857142857139</v>
      </c>
      <c r="BN13" s="12">
        <f t="shared" si="10"/>
        <v>30.612244897959183</v>
      </c>
      <c r="BO13" s="11">
        <f t="shared" si="11"/>
        <v>33.163265306122447</v>
      </c>
      <c r="BP13" s="2">
        <f t="shared" si="12"/>
        <v>21.938775510204081</v>
      </c>
    </row>
    <row r="14" spans="1:70" ht="15.75">
      <c r="A14" s="104" t="s">
        <v>64</v>
      </c>
      <c r="B14">
        <v>126</v>
      </c>
      <c r="C14" s="5">
        <v>10396</v>
      </c>
      <c r="D14" s="2">
        <f t="shared" si="4"/>
        <v>10.396000000000001</v>
      </c>
      <c r="E14" s="39">
        <v>10696.73684</v>
      </c>
      <c r="F14" s="2">
        <f t="shared" si="5"/>
        <v>10.69673684</v>
      </c>
      <c r="G14" s="3">
        <v>1.5873015873015872</v>
      </c>
      <c r="H14" s="3">
        <v>21.164021164021165</v>
      </c>
      <c r="I14" s="3">
        <v>0</v>
      </c>
      <c r="J14" s="3">
        <v>6.8783068783068781</v>
      </c>
      <c r="K14" s="3">
        <v>0</v>
      </c>
      <c r="L14" s="2">
        <v>1.5873015873015872</v>
      </c>
      <c r="M14" s="2">
        <v>0</v>
      </c>
      <c r="N14" s="2">
        <v>0</v>
      </c>
      <c r="O14" s="2">
        <v>30.158730158730158</v>
      </c>
      <c r="P14" s="2">
        <v>0</v>
      </c>
      <c r="Q14" s="2">
        <v>0.52910052910052907</v>
      </c>
      <c r="R14" s="2">
        <v>0</v>
      </c>
      <c r="S14" s="2">
        <v>3.7037037037037037</v>
      </c>
      <c r="T14" s="2">
        <v>1.0582010582010581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6.8783068783068781</v>
      </c>
      <c r="AB14" s="2">
        <v>0</v>
      </c>
      <c r="AC14" s="2">
        <v>0</v>
      </c>
      <c r="AD14" s="2">
        <v>2.6455026455026456</v>
      </c>
      <c r="AE14" s="2">
        <v>15.873015873015873</v>
      </c>
      <c r="AF14" s="2">
        <v>0</v>
      </c>
      <c r="AG14" s="2">
        <v>3.1746031746031744</v>
      </c>
      <c r="AH14" s="2">
        <v>0.52910052910052907</v>
      </c>
      <c r="AI14" s="2">
        <v>2.6455026455026456</v>
      </c>
      <c r="AJ14" s="2">
        <v>0</v>
      </c>
      <c r="AK14" s="2">
        <v>1.5873015873015872</v>
      </c>
      <c r="AL14" s="2">
        <f t="shared" si="0"/>
        <v>5.5019305019305023</v>
      </c>
      <c r="AM14">
        <v>189</v>
      </c>
      <c r="AN14" s="2"/>
      <c r="AO14">
        <v>189</v>
      </c>
      <c r="AP14" s="2">
        <v>10.36</v>
      </c>
      <c r="AQ14" s="5">
        <v>1</v>
      </c>
      <c r="AR14" s="5">
        <f t="shared" si="1"/>
        <v>18.243243243243246</v>
      </c>
      <c r="AS14" s="1" t="s">
        <v>64</v>
      </c>
      <c r="AT14">
        <v>44.4</v>
      </c>
      <c r="AU14">
        <v>39.700000000000003</v>
      </c>
      <c r="AV14">
        <v>60.4</v>
      </c>
      <c r="AW14" s="5">
        <v>0</v>
      </c>
      <c r="AX14" s="5">
        <v>0</v>
      </c>
      <c r="AY14" s="5">
        <v>30.687830687830687</v>
      </c>
      <c r="AZ14" s="5">
        <v>93.023255813953483</v>
      </c>
      <c r="BA14" s="2">
        <f t="shared" si="2"/>
        <v>0</v>
      </c>
      <c r="BB14" s="2">
        <f t="shared" si="3"/>
        <v>1.5873015873015872</v>
      </c>
      <c r="BC14" s="8"/>
      <c r="BD14" s="5">
        <v>10396.19298</v>
      </c>
      <c r="BF14" s="13">
        <v>12.698412698412698</v>
      </c>
      <c r="BG14" s="13">
        <v>5.8201058201058204</v>
      </c>
      <c r="BH14" s="13">
        <v>0</v>
      </c>
      <c r="BI14" s="13">
        <v>0</v>
      </c>
      <c r="BJ14" s="12">
        <f t="shared" si="6"/>
        <v>32.804232804232804</v>
      </c>
      <c r="BK14" s="12">
        <f t="shared" si="7"/>
        <v>35.978835978835981</v>
      </c>
      <c r="BL14" s="12">
        <f t="shared" si="8"/>
        <v>5.8201058201058204</v>
      </c>
      <c r="BM14" s="12">
        <f t="shared" si="9"/>
        <v>35.978835978835981</v>
      </c>
      <c r="BN14" s="12">
        <f t="shared" si="10"/>
        <v>33.862433862433861</v>
      </c>
      <c r="BO14" s="11">
        <f t="shared" si="11"/>
        <v>35.449735449735449</v>
      </c>
      <c r="BP14" s="2">
        <f t="shared" si="12"/>
        <v>12.169312169312168</v>
      </c>
    </row>
    <row r="15" spans="1:70" ht="15.75">
      <c r="A15" s="1" t="s">
        <v>65</v>
      </c>
      <c r="B15">
        <v>141</v>
      </c>
      <c r="C15" s="5">
        <v>10628</v>
      </c>
      <c r="D15" s="2">
        <f t="shared" si="4"/>
        <v>10.628</v>
      </c>
      <c r="E15" s="39">
        <v>10935.94737</v>
      </c>
      <c r="F15" s="2">
        <f t="shared" si="5"/>
        <v>10.935947369999999</v>
      </c>
      <c r="G15" s="3">
        <v>2.6548672566371683</v>
      </c>
      <c r="H15" s="3">
        <v>23.451327433628318</v>
      </c>
      <c r="I15" s="3">
        <v>0</v>
      </c>
      <c r="J15" s="3">
        <v>4.8672566371681416</v>
      </c>
      <c r="K15" s="3">
        <v>0</v>
      </c>
      <c r="L15" s="2">
        <v>2.2123893805309733</v>
      </c>
      <c r="M15" s="2">
        <v>0</v>
      </c>
      <c r="N15" s="2">
        <v>0</v>
      </c>
      <c r="O15" s="2">
        <v>25.663716814159294</v>
      </c>
      <c r="P15" s="2">
        <v>0</v>
      </c>
      <c r="Q15" s="2">
        <v>0.44247787610619471</v>
      </c>
      <c r="R15" s="2">
        <v>0</v>
      </c>
      <c r="S15" s="2">
        <v>0.88495575221238942</v>
      </c>
      <c r="T15" s="2">
        <v>0.44247787610619471</v>
      </c>
      <c r="U15" s="2">
        <v>0</v>
      </c>
      <c r="V15" s="2">
        <v>0</v>
      </c>
      <c r="W15" s="2">
        <v>0.44247787610619471</v>
      </c>
      <c r="X15" s="2">
        <v>0</v>
      </c>
      <c r="Y15" s="2">
        <v>0</v>
      </c>
      <c r="Z15" s="2">
        <v>0</v>
      </c>
      <c r="AA15" s="2">
        <v>8.4070796460176993</v>
      </c>
      <c r="AB15" s="2">
        <v>0</v>
      </c>
      <c r="AC15" s="2">
        <v>0</v>
      </c>
      <c r="AD15" s="2">
        <v>3.0973451327433628</v>
      </c>
      <c r="AE15" s="2">
        <v>17.699115044247787</v>
      </c>
      <c r="AF15" s="2">
        <v>0</v>
      </c>
      <c r="AG15" s="2">
        <v>8.8495575221238933</v>
      </c>
      <c r="AH15" s="2">
        <v>0</v>
      </c>
      <c r="AI15" s="2">
        <v>0.44247787610619471</v>
      </c>
      <c r="AJ15" s="2">
        <v>0</v>
      </c>
      <c r="AK15" s="2">
        <v>0.44247787610619471</v>
      </c>
      <c r="AL15" s="2">
        <f t="shared" si="0"/>
        <v>5.6365403304178825</v>
      </c>
      <c r="AM15">
        <v>226</v>
      </c>
      <c r="AN15" s="2"/>
      <c r="AO15">
        <v>226</v>
      </c>
      <c r="AP15" s="2">
        <v>10.29</v>
      </c>
      <c r="AQ15" s="5">
        <v>1</v>
      </c>
      <c r="AR15" s="5">
        <f t="shared" si="1"/>
        <v>21.963070942662782</v>
      </c>
      <c r="AS15" s="1" t="s">
        <v>65</v>
      </c>
      <c r="AT15">
        <v>44.9</v>
      </c>
      <c r="AU15">
        <v>40.200000000000003</v>
      </c>
      <c r="AV15">
        <v>60.7</v>
      </c>
      <c r="AW15" s="5">
        <v>0</v>
      </c>
      <c r="AX15" s="5">
        <v>5</v>
      </c>
      <c r="AY15" s="5">
        <v>31.415929203539822</v>
      </c>
      <c r="AZ15" s="5">
        <v>89.830508474576277</v>
      </c>
      <c r="BA15" s="2">
        <f t="shared" si="2"/>
        <v>0.44247787610619471</v>
      </c>
      <c r="BB15" s="2">
        <f t="shared" si="3"/>
        <v>2.2123893805309733</v>
      </c>
      <c r="BC15" s="8"/>
      <c r="BD15" s="5">
        <v>10627.771930000001</v>
      </c>
      <c r="BF15" s="13">
        <v>11.504424778761061</v>
      </c>
      <c r="BG15" s="13">
        <v>8.4070796460176993</v>
      </c>
      <c r="BH15" s="13">
        <v>0.44247787610619471</v>
      </c>
      <c r="BI15" s="13">
        <v>5</v>
      </c>
      <c r="BJ15" s="12">
        <f t="shared" si="6"/>
        <v>28.761061946902657</v>
      </c>
      <c r="BK15" s="12">
        <f t="shared" si="7"/>
        <v>34.070796460176993</v>
      </c>
      <c r="BL15" s="12">
        <f t="shared" si="8"/>
        <v>8.8495575221238933</v>
      </c>
      <c r="BM15" s="12">
        <f t="shared" si="9"/>
        <v>34.513274336283189</v>
      </c>
      <c r="BN15" s="12">
        <f t="shared" si="10"/>
        <v>34.955752212389378</v>
      </c>
      <c r="BO15" s="11">
        <f t="shared" si="11"/>
        <v>37.610619469026545</v>
      </c>
      <c r="BP15" s="2">
        <f t="shared" si="12"/>
        <v>16.814159292035399</v>
      </c>
      <c r="BQ15"/>
      <c r="BR15"/>
    </row>
    <row r="16" spans="1:70" s="30" customFormat="1" ht="15.75">
      <c r="A16" s="29" t="s">
        <v>66</v>
      </c>
      <c r="B16" s="30">
        <v>151</v>
      </c>
      <c r="C16" s="31">
        <v>10782</v>
      </c>
      <c r="D16" s="32">
        <f t="shared" si="4"/>
        <v>10.782</v>
      </c>
      <c r="E16" s="39">
        <v>11095.421050000001</v>
      </c>
      <c r="F16" s="2">
        <f t="shared" si="5"/>
        <v>11.095421050000001</v>
      </c>
      <c r="G16" s="33">
        <v>2.5906735751295336</v>
      </c>
      <c r="H16" s="33">
        <v>23.834196891191709</v>
      </c>
      <c r="I16" s="33">
        <v>0</v>
      </c>
      <c r="J16" s="33">
        <v>20.725388601036268</v>
      </c>
      <c r="K16" s="33">
        <v>0</v>
      </c>
      <c r="L16" s="32">
        <v>0</v>
      </c>
      <c r="M16" s="32">
        <v>0.51813471502590669</v>
      </c>
      <c r="N16" s="32">
        <v>0</v>
      </c>
      <c r="O16" s="32">
        <v>18.652849740932641</v>
      </c>
      <c r="P16" s="32">
        <v>0</v>
      </c>
      <c r="Q16" s="32">
        <v>0</v>
      </c>
      <c r="R16" s="32">
        <v>0</v>
      </c>
      <c r="S16" s="32">
        <v>2.0725388601036268</v>
      </c>
      <c r="T16" s="32">
        <v>0</v>
      </c>
      <c r="U16" s="32">
        <v>0</v>
      </c>
      <c r="V16" s="32">
        <v>0</v>
      </c>
      <c r="W16" s="32">
        <v>0</v>
      </c>
      <c r="X16" s="32">
        <v>0.51813471502590669</v>
      </c>
      <c r="Y16" s="32">
        <v>1.0362694300518134</v>
      </c>
      <c r="Z16" s="32">
        <v>0</v>
      </c>
      <c r="AA16" s="32">
        <v>4.6632124352331603</v>
      </c>
      <c r="AB16" s="32">
        <v>0</v>
      </c>
      <c r="AC16" s="32">
        <v>0</v>
      </c>
      <c r="AD16" s="32">
        <v>2.0725388601036268</v>
      </c>
      <c r="AE16" s="32">
        <v>13.989637305699482</v>
      </c>
      <c r="AF16" s="32">
        <v>0</v>
      </c>
      <c r="AG16" s="32">
        <v>8.8082901554404138</v>
      </c>
      <c r="AH16" s="32">
        <v>0.51813471502590669</v>
      </c>
      <c r="AI16" s="32">
        <v>0</v>
      </c>
      <c r="AJ16" s="32">
        <v>0</v>
      </c>
      <c r="AK16" s="32">
        <v>0</v>
      </c>
      <c r="AL16" s="32">
        <f t="shared" si="0"/>
        <v>4.1237113402061851</v>
      </c>
      <c r="AM16" s="30">
        <v>193</v>
      </c>
      <c r="AN16" s="32"/>
      <c r="AO16" s="30">
        <v>193</v>
      </c>
      <c r="AP16" s="32">
        <v>8.73</v>
      </c>
      <c r="AQ16" s="31">
        <v>1</v>
      </c>
      <c r="AR16" s="31">
        <f t="shared" si="1"/>
        <v>22.107674684994272</v>
      </c>
      <c r="AS16" s="29" t="s">
        <v>66</v>
      </c>
      <c r="AT16" s="30">
        <v>43.7</v>
      </c>
      <c r="AU16" s="30">
        <v>36.4</v>
      </c>
      <c r="AV16" s="30">
        <v>63.6</v>
      </c>
      <c r="AW16" s="31">
        <v>0</v>
      </c>
      <c r="AX16" s="31">
        <v>0</v>
      </c>
      <c r="AY16" s="31">
        <v>38.860103626943001</v>
      </c>
      <c r="AZ16" s="31">
        <v>90.196078431372555</v>
      </c>
      <c r="BA16" s="32">
        <f t="shared" si="2"/>
        <v>0.51813471502590669</v>
      </c>
      <c r="BB16" s="32">
        <f t="shared" si="3"/>
        <v>0.51813471502590669</v>
      </c>
      <c r="BC16" s="38"/>
      <c r="BD16" s="31">
        <v>10782.15789</v>
      </c>
      <c r="BE16" s="35"/>
      <c r="BF16" s="35">
        <v>12.435233160621761</v>
      </c>
      <c r="BG16" s="35">
        <v>3.6269430051813472</v>
      </c>
      <c r="BH16" s="35">
        <v>0</v>
      </c>
      <c r="BI16" s="35">
        <v>0</v>
      </c>
      <c r="BJ16" s="36">
        <f t="shared" si="6"/>
        <v>20.725388601036268</v>
      </c>
      <c r="BK16" s="36">
        <f t="shared" si="7"/>
        <v>22.279792746113987</v>
      </c>
      <c r="BL16" s="12">
        <f t="shared" si="8"/>
        <v>3.6269430051813472</v>
      </c>
      <c r="BM16" s="36">
        <f t="shared" si="9"/>
        <v>22.279792746113987</v>
      </c>
      <c r="BN16" s="36">
        <f t="shared" si="10"/>
        <v>36.269430051813472</v>
      </c>
      <c r="BO16" s="37">
        <f t="shared" si="11"/>
        <v>38.860103626943001</v>
      </c>
      <c r="BP16" s="2">
        <f t="shared" si="12"/>
        <v>32.124352331606218</v>
      </c>
      <c r="BQ16" s="30">
        <v>36</v>
      </c>
    </row>
    <row r="17" spans="1:70" ht="15.75">
      <c r="A17" s="1" t="s">
        <v>67</v>
      </c>
      <c r="B17">
        <v>166</v>
      </c>
      <c r="C17" s="5">
        <v>11014</v>
      </c>
      <c r="D17" s="2">
        <f t="shared" si="4"/>
        <v>11.013999999999999</v>
      </c>
      <c r="E17" s="39">
        <v>11334.631579999999</v>
      </c>
      <c r="F17" s="2">
        <f t="shared" si="5"/>
        <v>11.33463158</v>
      </c>
      <c r="G17" s="3">
        <v>1.7793594306049823</v>
      </c>
      <c r="H17" s="3">
        <v>27.758007117437721</v>
      </c>
      <c r="I17" s="3">
        <v>0</v>
      </c>
      <c r="J17" s="3">
        <v>7.117437722419929</v>
      </c>
      <c r="K17" s="3">
        <v>0</v>
      </c>
      <c r="L17" s="2">
        <v>1.4234875444839858</v>
      </c>
      <c r="M17" s="2">
        <v>0.71174377224199292</v>
      </c>
      <c r="N17" s="2">
        <v>0</v>
      </c>
      <c r="O17" s="2">
        <v>23.487544483985765</v>
      </c>
      <c r="P17" s="2">
        <v>0.35587188612099646</v>
      </c>
      <c r="Q17" s="2">
        <v>2.4911032028469751</v>
      </c>
      <c r="R17" s="2">
        <v>0</v>
      </c>
      <c r="S17" s="2">
        <v>0</v>
      </c>
      <c r="T17" s="2">
        <v>0.35587188612099646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0.71174377224199292</v>
      </c>
      <c r="AA17" s="2">
        <v>4.9822064056939501</v>
      </c>
      <c r="AB17" s="2">
        <v>0.35587188612099646</v>
      </c>
      <c r="AC17" s="2">
        <v>0</v>
      </c>
      <c r="AD17" s="2">
        <v>4.2704626334519569</v>
      </c>
      <c r="AE17" s="2">
        <v>15.658362989323843</v>
      </c>
      <c r="AF17" s="2">
        <v>0</v>
      </c>
      <c r="AG17" s="2">
        <v>6.7615658362989324</v>
      </c>
      <c r="AH17" s="2">
        <v>0</v>
      </c>
      <c r="AI17" s="2">
        <v>1.4234875444839858</v>
      </c>
      <c r="AJ17" s="2">
        <v>0</v>
      </c>
      <c r="AK17" s="2">
        <v>0</v>
      </c>
      <c r="AL17" s="2">
        <f t="shared" si="0"/>
        <v>5.5415617128463479</v>
      </c>
      <c r="AM17">
        <v>281</v>
      </c>
      <c r="AN17" s="2"/>
      <c r="AO17">
        <v>281</v>
      </c>
      <c r="AP17" s="2">
        <v>11.91</v>
      </c>
      <c r="AQ17" s="5">
        <v>1</v>
      </c>
      <c r="AR17" s="5">
        <f t="shared" si="1"/>
        <v>23.593618807724599</v>
      </c>
      <c r="AS17" s="1" t="s">
        <v>67</v>
      </c>
      <c r="AT17">
        <v>51.6</v>
      </c>
      <c r="AU17">
        <v>46.5</v>
      </c>
      <c r="AV17">
        <v>69.400000000000006</v>
      </c>
      <c r="AW17" s="5">
        <v>0</v>
      </c>
      <c r="AX17" s="5">
        <v>0</v>
      </c>
      <c r="AY17" s="5">
        <v>31.939163498098861</v>
      </c>
      <c r="AZ17" s="5">
        <v>93.975903614457835</v>
      </c>
      <c r="BA17" s="2">
        <f t="shared" si="2"/>
        <v>0</v>
      </c>
      <c r="BB17" s="2">
        <f t="shared" si="3"/>
        <v>2.1352313167259789</v>
      </c>
      <c r="BC17" s="8"/>
      <c r="BD17" s="5">
        <v>11013.73684</v>
      </c>
      <c r="BF17" s="13">
        <v>12.5</v>
      </c>
      <c r="BG17" s="13">
        <v>7.5</v>
      </c>
      <c r="BH17" s="13">
        <v>0</v>
      </c>
      <c r="BI17" s="13">
        <v>0</v>
      </c>
      <c r="BJ17" s="12">
        <f t="shared" si="6"/>
        <v>27.758007117437721</v>
      </c>
      <c r="BK17" s="12">
        <f t="shared" si="7"/>
        <v>30.987544483985765</v>
      </c>
      <c r="BL17" s="12">
        <f t="shared" si="8"/>
        <v>7.5</v>
      </c>
      <c r="BM17" s="12">
        <f t="shared" si="9"/>
        <v>30.987544483985765</v>
      </c>
      <c r="BN17" s="12">
        <f t="shared" si="10"/>
        <v>40.258007117437721</v>
      </c>
      <c r="BO17" s="11">
        <f t="shared" si="11"/>
        <v>42.037366548042705</v>
      </c>
      <c r="BP17" s="2">
        <f t="shared" si="12"/>
        <v>18.14946619217082</v>
      </c>
      <c r="BQ17"/>
      <c r="BR17"/>
    </row>
    <row r="18" spans="1:70" ht="15.75">
      <c r="A18" s="104" t="s">
        <v>68</v>
      </c>
      <c r="B18">
        <v>176</v>
      </c>
      <c r="C18" s="5">
        <v>11168</v>
      </c>
      <c r="D18" s="2">
        <f t="shared" si="4"/>
        <v>11.167999999999999</v>
      </c>
      <c r="E18" s="39">
        <v>11494.10526</v>
      </c>
      <c r="F18" s="2">
        <f t="shared" si="5"/>
        <v>11.49410526</v>
      </c>
      <c r="G18" s="3">
        <v>3.125</v>
      </c>
      <c r="H18" s="3">
        <v>24.553571428571427</v>
      </c>
      <c r="I18" s="3">
        <v>0</v>
      </c>
      <c r="J18" s="3">
        <v>7.5892857142857144</v>
      </c>
      <c r="K18" s="3">
        <v>0</v>
      </c>
      <c r="L18" s="2">
        <v>2.6785714285714284</v>
      </c>
      <c r="M18" s="2">
        <v>0</v>
      </c>
      <c r="N18" s="2">
        <v>0</v>
      </c>
      <c r="O18" s="2">
        <v>16.071428571428573</v>
      </c>
      <c r="P18" s="2">
        <v>0</v>
      </c>
      <c r="Q18" s="2">
        <v>0.8928571428571429</v>
      </c>
      <c r="R18" s="2">
        <v>0</v>
      </c>
      <c r="S18" s="2">
        <v>0</v>
      </c>
      <c r="T18" s="2">
        <v>0.8928571428571429</v>
      </c>
      <c r="U18" s="2">
        <v>0</v>
      </c>
      <c r="V18" s="2">
        <v>0</v>
      </c>
      <c r="W18" s="2">
        <v>0</v>
      </c>
      <c r="X18" s="2">
        <v>0</v>
      </c>
      <c r="Y18" s="2">
        <v>0.44642857142857145</v>
      </c>
      <c r="Z18" s="2">
        <v>0</v>
      </c>
      <c r="AA18" s="2">
        <v>5.8035714285714288</v>
      </c>
      <c r="AB18" s="2">
        <v>0</v>
      </c>
      <c r="AC18" s="2">
        <v>0.44642857142857145</v>
      </c>
      <c r="AD18" s="2">
        <v>4.0178571428571432</v>
      </c>
      <c r="AE18" s="2">
        <v>19.642857142857142</v>
      </c>
      <c r="AF18" s="2">
        <v>0</v>
      </c>
      <c r="AG18" s="2">
        <v>10.714285714285714</v>
      </c>
      <c r="AH18" s="2">
        <v>1.7857142857142858</v>
      </c>
      <c r="AI18" s="2">
        <v>0.44642857142857145</v>
      </c>
      <c r="AJ18" s="2">
        <v>0</v>
      </c>
      <c r="AK18" s="2">
        <v>0.8928571428571429</v>
      </c>
      <c r="AL18" s="2">
        <f t="shared" si="0"/>
        <v>3.6437246963562751</v>
      </c>
      <c r="AM18">
        <v>224</v>
      </c>
      <c r="AN18" s="2"/>
      <c r="AO18">
        <v>224</v>
      </c>
      <c r="AP18" s="2">
        <v>9.8800000000000008</v>
      </c>
      <c r="AQ18" s="5">
        <v>1</v>
      </c>
      <c r="AR18" s="5">
        <f t="shared" si="1"/>
        <v>22.672064777327932</v>
      </c>
      <c r="AS18" s="1" t="s">
        <v>68</v>
      </c>
      <c r="AT18">
        <v>57.4</v>
      </c>
      <c r="AU18">
        <v>51.3</v>
      </c>
      <c r="AV18">
        <v>70.3</v>
      </c>
      <c r="AW18" s="5">
        <v>11.111111111111111</v>
      </c>
      <c r="AX18" s="5">
        <v>2.2727272727272729</v>
      </c>
      <c r="AY18" s="5">
        <v>37.946428571428569</v>
      </c>
      <c r="AZ18" s="5">
        <v>88.709677419354833</v>
      </c>
      <c r="BA18" s="2">
        <f t="shared" si="2"/>
        <v>0</v>
      </c>
      <c r="BB18" s="2">
        <f t="shared" si="3"/>
        <v>2.6785714285714284</v>
      </c>
      <c r="BC18" s="7"/>
      <c r="BD18" s="5">
        <v>11168.122810000001</v>
      </c>
      <c r="BF18" s="22">
        <v>16.071428571428573</v>
      </c>
      <c r="BG18" s="13">
        <v>6.6964285714285712</v>
      </c>
      <c r="BH18" s="13">
        <v>0.8928571428571429</v>
      </c>
      <c r="BI18" s="13">
        <v>11.76470588235294</v>
      </c>
      <c r="BJ18" s="12">
        <f t="shared" si="6"/>
        <v>20.089285714285715</v>
      </c>
      <c r="BK18" s="12">
        <f t="shared" si="7"/>
        <v>22.767857142857146</v>
      </c>
      <c r="BL18" s="12">
        <f t="shared" si="8"/>
        <v>7.5892857142857144</v>
      </c>
      <c r="BM18" s="12">
        <f t="shared" si="9"/>
        <v>23.660714285714288</v>
      </c>
      <c r="BN18" s="12">
        <f t="shared" si="10"/>
        <v>40.625</v>
      </c>
      <c r="BO18" s="11">
        <f t="shared" si="11"/>
        <v>43.75</v>
      </c>
      <c r="BP18" s="2">
        <f t="shared" si="12"/>
        <v>22.321428571428569</v>
      </c>
      <c r="BQ18"/>
      <c r="BR18"/>
    </row>
    <row r="19" spans="1:70" s="123" customFormat="1" ht="15.75">
      <c r="A19" s="122" t="s">
        <v>69</v>
      </c>
      <c r="B19" s="123">
        <v>191</v>
      </c>
      <c r="C19" s="137">
        <v>11432</v>
      </c>
      <c r="D19" s="138">
        <f t="shared" si="4"/>
        <v>11.432</v>
      </c>
      <c r="E19" s="139">
        <v>11768.077670000001</v>
      </c>
      <c r="F19" s="138">
        <f t="shared" si="5"/>
        <v>11.76807767</v>
      </c>
      <c r="G19" s="140">
        <v>2.4691358024691357</v>
      </c>
      <c r="H19" s="140">
        <v>24.938271604938272</v>
      </c>
      <c r="I19" s="140">
        <v>0</v>
      </c>
      <c r="J19" s="140">
        <v>6.666666666666667</v>
      </c>
      <c r="K19" s="140">
        <v>0</v>
      </c>
      <c r="L19" s="138">
        <v>0.98765432098765427</v>
      </c>
      <c r="M19" s="138">
        <v>0</v>
      </c>
      <c r="N19" s="138">
        <v>0</v>
      </c>
      <c r="O19" s="138">
        <v>27.407407407407408</v>
      </c>
      <c r="P19" s="138">
        <v>0</v>
      </c>
      <c r="Q19" s="138">
        <v>0.7407407407407407</v>
      </c>
      <c r="R19" s="138">
        <v>0</v>
      </c>
      <c r="S19" s="138">
        <v>0</v>
      </c>
      <c r="T19" s="138">
        <v>0</v>
      </c>
      <c r="U19" s="138">
        <v>0</v>
      </c>
      <c r="V19" s="138">
        <v>0</v>
      </c>
      <c r="W19" s="138">
        <v>0</v>
      </c>
      <c r="X19" s="138">
        <v>0</v>
      </c>
      <c r="Y19" s="138">
        <v>0.49382716049382713</v>
      </c>
      <c r="Z19" s="138">
        <v>0.24691358024691357</v>
      </c>
      <c r="AA19" s="138">
        <v>5.6790123456790127</v>
      </c>
      <c r="AB19" s="138">
        <v>0</v>
      </c>
      <c r="AC19" s="138">
        <v>0.24691358024691357</v>
      </c>
      <c r="AD19" s="138">
        <v>4.9382716049382713</v>
      </c>
      <c r="AE19" s="138">
        <v>12.345679012345679</v>
      </c>
      <c r="AF19" s="138">
        <v>0</v>
      </c>
      <c r="AG19" s="138">
        <v>8.1481481481481488</v>
      </c>
      <c r="AH19" s="138">
        <v>0.98765432098765427</v>
      </c>
      <c r="AI19" s="138">
        <v>2.2222222222222223</v>
      </c>
      <c r="AJ19" s="138">
        <v>0.24691358024691357</v>
      </c>
      <c r="AK19" s="138">
        <v>0.98765432098765427</v>
      </c>
      <c r="AL19" s="138">
        <f t="shared" si="0"/>
        <v>11.200807265388498</v>
      </c>
      <c r="AM19" s="123">
        <v>405</v>
      </c>
      <c r="AN19" s="138"/>
      <c r="AO19" s="123">
        <v>405</v>
      </c>
      <c r="AP19" s="138">
        <v>9.91</v>
      </c>
      <c r="AQ19" s="137">
        <v>1</v>
      </c>
      <c r="AR19" s="137">
        <f t="shared" si="1"/>
        <v>40.867810292633706</v>
      </c>
      <c r="AS19" s="122" t="s">
        <v>69</v>
      </c>
      <c r="AT19" s="123">
        <v>58</v>
      </c>
      <c r="AU19" s="123">
        <v>55.6</v>
      </c>
      <c r="AV19" s="123">
        <v>64.900000000000006</v>
      </c>
      <c r="AW19" s="137">
        <v>0</v>
      </c>
      <c r="AX19" s="137">
        <v>0</v>
      </c>
      <c r="AY19" s="137">
        <v>29.629629629629626</v>
      </c>
      <c r="AZ19" s="137">
        <v>90.990990990990994</v>
      </c>
      <c r="BA19" s="138">
        <f t="shared" si="2"/>
        <v>0</v>
      </c>
      <c r="BB19" s="138">
        <f t="shared" si="3"/>
        <v>0.98765432098765427</v>
      </c>
      <c r="BC19" s="141"/>
      <c r="BD19" s="137">
        <v>11431.737859999999</v>
      </c>
      <c r="BE19" s="142"/>
      <c r="BF19" s="142">
        <v>9.8765432098765427</v>
      </c>
      <c r="BG19" s="142">
        <v>7.4074074074074074</v>
      </c>
      <c r="BH19" s="142">
        <v>0</v>
      </c>
      <c r="BI19" s="142">
        <v>0</v>
      </c>
      <c r="BJ19" s="144">
        <f t="shared" si="6"/>
        <v>32.345679012345677</v>
      </c>
      <c r="BK19" s="144">
        <f t="shared" si="7"/>
        <v>34.814814814814817</v>
      </c>
      <c r="BL19" s="144">
        <f t="shared" si="8"/>
        <v>7.4074074074074074</v>
      </c>
      <c r="BM19" s="144">
        <f t="shared" si="9"/>
        <v>34.814814814814817</v>
      </c>
      <c r="BN19" s="144">
        <f t="shared" si="10"/>
        <v>34.814814814814817</v>
      </c>
      <c r="BO19" s="145">
        <f t="shared" si="11"/>
        <v>37.283950617283949</v>
      </c>
      <c r="BP19" s="138">
        <f t="shared" si="12"/>
        <v>18.02469135802469</v>
      </c>
    </row>
    <row r="20" spans="1:70" s="123" customFormat="1" ht="15.75">
      <c r="A20" s="122" t="s">
        <v>70</v>
      </c>
      <c r="B20" s="123">
        <v>211</v>
      </c>
      <c r="C20" s="137">
        <v>11790</v>
      </c>
      <c r="D20" s="138">
        <f t="shared" si="4"/>
        <v>11.79</v>
      </c>
      <c r="E20" s="139">
        <v>12140.504849999999</v>
      </c>
      <c r="F20" s="138">
        <f t="shared" si="5"/>
        <v>12.140504849999999</v>
      </c>
      <c r="G20" s="140">
        <v>6.9069069069069071</v>
      </c>
      <c r="H20" s="140">
        <v>17.417417417417418</v>
      </c>
      <c r="I20" s="140">
        <v>0</v>
      </c>
      <c r="J20" s="140">
        <v>15.615615615615615</v>
      </c>
      <c r="K20" s="140">
        <v>0.3003003003003003</v>
      </c>
      <c r="L20" s="138">
        <v>1.8018018018018018</v>
      </c>
      <c r="M20" s="138">
        <v>0</v>
      </c>
      <c r="N20" s="138">
        <v>0</v>
      </c>
      <c r="O20" s="138">
        <v>22.522522522522522</v>
      </c>
      <c r="P20" s="138">
        <v>0</v>
      </c>
      <c r="Q20" s="138">
        <v>3.0030030030030028</v>
      </c>
      <c r="R20" s="138">
        <v>0</v>
      </c>
      <c r="S20" s="138">
        <v>1.2012012012012012</v>
      </c>
      <c r="T20" s="138">
        <v>0.3003003003003003</v>
      </c>
      <c r="U20" s="138">
        <v>0</v>
      </c>
      <c r="V20" s="138">
        <v>0</v>
      </c>
      <c r="W20" s="138">
        <v>0</v>
      </c>
      <c r="X20" s="138">
        <v>0.3003003003003003</v>
      </c>
      <c r="Y20" s="138">
        <v>0.3003003003003003</v>
      </c>
      <c r="Z20" s="138">
        <v>0</v>
      </c>
      <c r="AA20" s="138">
        <v>4.5045045045045047</v>
      </c>
      <c r="AB20" s="138">
        <v>0</v>
      </c>
      <c r="AC20" s="138">
        <v>0.3003003003003003</v>
      </c>
      <c r="AD20" s="138">
        <v>3.9039039039039038</v>
      </c>
      <c r="AE20" s="138">
        <v>14.714714714714715</v>
      </c>
      <c r="AF20" s="138">
        <v>0</v>
      </c>
      <c r="AG20" s="138">
        <v>3.9039039039039038</v>
      </c>
      <c r="AH20" s="138">
        <v>1.5015015015015014</v>
      </c>
      <c r="AI20" s="138">
        <v>0.3003003003003003</v>
      </c>
      <c r="AJ20" s="138">
        <v>0</v>
      </c>
      <c r="AK20" s="138">
        <v>0.90090090090090091</v>
      </c>
      <c r="AL20" s="138">
        <f t="shared" si="0"/>
        <v>6.1830173124484737</v>
      </c>
      <c r="AM20" s="123">
        <v>333</v>
      </c>
      <c r="AN20" s="138"/>
      <c r="AO20" s="123">
        <v>333</v>
      </c>
      <c r="AP20" s="138">
        <v>12.13</v>
      </c>
      <c r="AQ20" s="137">
        <v>1</v>
      </c>
      <c r="AR20" s="137">
        <f>AO20*AQ20/AP20</f>
        <v>27.452596867271225</v>
      </c>
      <c r="AS20" s="122" t="s">
        <v>70</v>
      </c>
      <c r="AT20" s="123">
        <v>50.2</v>
      </c>
      <c r="AU20" s="123">
        <v>43.3</v>
      </c>
      <c r="AV20" s="123">
        <v>68.5</v>
      </c>
      <c r="AW20" s="137">
        <v>0</v>
      </c>
      <c r="AX20" s="137">
        <v>4.0816326530612246</v>
      </c>
      <c r="AY20" s="137">
        <v>37.237237237237238</v>
      </c>
      <c r="AZ20" s="137">
        <v>71.604938271604937</v>
      </c>
      <c r="BA20" s="138">
        <f t="shared" si="2"/>
        <v>0.3003003003003003</v>
      </c>
      <c r="BB20" s="138">
        <f t="shared" si="3"/>
        <v>1.8018018018018018</v>
      </c>
      <c r="BC20" s="141"/>
      <c r="BD20" s="137">
        <v>11789.796120000001</v>
      </c>
      <c r="BE20" s="142"/>
      <c r="BF20" s="142">
        <v>11.411411411411411</v>
      </c>
      <c r="BG20" s="142">
        <v>6.6066066066066069</v>
      </c>
      <c r="BH20" s="142">
        <v>0.3003003003003003</v>
      </c>
      <c r="BI20" s="142">
        <v>4.3478260869565215</v>
      </c>
      <c r="BJ20" s="144">
        <f t="shared" si="6"/>
        <v>26.426426426426424</v>
      </c>
      <c r="BK20" s="144">
        <f t="shared" si="7"/>
        <v>29.129129129129129</v>
      </c>
      <c r="BL20" s="144">
        <f t="shared" si="8"/>
        <v>6.9069069069069071</v>
      </c>
      <c r="BM20" s="144">
        <f>O20+BG20+BH20</f>
        <v>29.42942942942943</v>
      </c>
      <c r="BN20" s="144">
        <f t="shared" si="10"/>
        <v>28.828828828828829</v>
      </c>
      <c r="BO20" s="145">
        <f t="shared" si="11"/>
        <v>35.735735735735737</v>
      </c>
      <c r="BP20" s="138">
        <f t="shared" si="12"/>
        <v>29.429429429429426</v>
      </c>
    </row>
    <row r="21" spans="1:70" ht="15.75">
      <c r="A21" t="s">
        <v>71</v>
      </c>
      <c r="B21">
        <v>226</v>
      </c>
      <c r="C21" s="5">
        <v>12058</v>
      </c>
      <c r="D21" s="2">
        <f t="shared" si="4"/>
        <v>12.058</v>
      </c>
      <c r="E21" s="39">
        <v>12419.82524</v>
      </c>
      <c r="F21" s="2">
        <f t="shared" si="5"/>
        <v>12.41982524</v>
      </c>
      <c r="G21" s="3">
        <v>6.8728522336769755</v>
      </c>
      <c r="H21" s="3">
        <v>27.835051546391753</v>
      </c>
      <c r="I21" s="3">
        <v>0</v>
      </c>
      <c r="J21" s="3">
        <v>5.1546391752577323</v>
      </c>
      <c r="K21" s="3">
        <v>0</v>
      </c>
      <c r="L21" s="2">
        <v>0</v>
      </c>
      <c r="M21" s="2">
        <v>0</v>
      </c>
      <c r="N21" s="2">
        <v>0</v>
      </c>
      <c r="O21" s="2">
        <v>21.305841924398624</v>
      </c>
      <c r="P21" s="2">
        <v>0</v>
      </c>
      <c r="Q21" s="2">
        <v>1.7182130584192439</v>
      </c>
      <c r="R21" s="2">
        <v>0</v>
      </c>
      <c r="S21" s="2">
        <v>0</v>
      </c>
      <c r="T21" s="2">
        <v>0.3436426116838488</v>
      </c>
      <c r="U21" s="2">
        <v>0</v>
      </c>
      <c r="V21" s="2">
        <v>0</v>
      </c>
      <c r="W21" s="2">
        <v>0</v>
      </c>
      <c r="X21" s="2">
        <v>1.0309278350515463</v>
      </c>
      <c r="Y21" s="2">
        <v>0.6872852233676976</v>
      </c>
      <c r="Z21" s="2">
        <v>0</v>
      </c>
      <c r="AA21" s="2">
        <v>7.5601374570446733</v>
      </c>
      <c r="AB21" s="2">
        <v>0</v>
      </c>
      <c r="AC21" s="2">
        <v>0.3436426116838488</v>
      </c>
      <c r="AD21" s="2">
        <v>6.8728522336769755</v>
      </c>
      <c r="AE21" s="2">
        <v>14.0893470790378</v>
      </c>
      <c r="AF21" s="2">
        <v>0</v>
      </c>
      <c r="AG21" s="2">
        <v>4.4673539518900345</v>
      </c>
      <c r="AH21" s="2">
        <v>1.0309278350515463</v>
      </c>
      <c r="AI21" s="2">
        <v>0.3436426116838488</v>
      </c>
      <c r="AJ21" s="2">
        <v>0</v>
      </c>
      <c r="AK21" s="2">
        <v>0.3436426116838488</v>
      </c>
      <c r="AL21" s="2">
        <f t="shared" si="0"/>
        <v>5.5755395683453228</v>
      </c>
      <c r="AM21">
        <v>291</v>
      </c>
      <c r="AN21" s="2"/>
      <c r="AO21">
        <v>291</v>
      </c>
      <c r="AP21" s="2">
        <v>11.12</v>
      </c>
      <c r="AQ21" s="5">
        <v>1</v>
      </c>
      <c r="AR21" s="5">
        <f t="shared" si="1"/>
        <v>26.169064748201439</v>
      </c>
      <c r="AS21" t="s">
        <v>71</v>
      </c>
      <c r="AT21">
        <v>40.799999999999997</v>
      </c>
      <c r="AU21">
        <v>33.6</v>
      </c>
      <c r="AV21">
        <v>73.099999999999994</v>
      </c>
      <c r="AW21" s="5">
        <v>0</v>
      </c>
      <c r="AX21" s="5">
        <v>0</v>
      </c>
      <c r="AY21" s="5">
        <v>32.646048109965633</v>
      </c>
      <c r="AZ21" s="5">
        <v>80.198019801980209</v>
      </c>
      <c r="BA21" s="2">
        <f t="shared" si="2"/>
        <v>1.0309278350515463</v>
      </c>
      <c r="BB21" s="2">
        <f t="shared" si="3"/>
        <v>0</v>
      </c>
      <c r="BC21" s="7"/>
      <c r="BD21" s="5">
        <v>12058.339809999999</v>
      </c>
      <c r="BF21" s="13">
        <v>13.058419243986254</v>
      </c>
      <c r="BG21" s="13">
        <v>7.9037800687285227</v>
      </c>
      <c r="BH21" s="13">
        <v>0</v>
      </c>
      <c r="BI21" s="13">
        <v>0</v>
      </c>
      <c r="BJ21" s="12">
        <f t="shared" si="6"/>
        <v>28.178694158075601</v>
      </c>
      <c r="BK21" s="12">
        <f t="shared" si="7"/>
        <v>29.209621993127147</v>
      </c>
      <c r="BL21" s="12">
        <f t="shared" si="8"/>
        <v>7.9037800687285227</v>
      </c>
      <c r="BM21" s="12">
        <f t="shared" si="9"/>
        <v>29.209621993127147</v>
      </c>
      <c r="BN21" s="12">
        <f t="shared" si="10"/>
        <v>40.893470790378004</v>
      </c>
      <c r="BO21" s="11">
        <f t="shared" si="11"/>
        <v>47.766323024054984</v>
      </c>
      <c r="BP21" s="2">
        <f t="shared" si="12"/>
        <v>18.213058419243985</v>
      </c>
      <c r="BQ21"/>
      <c r="BR21"/>
    </row>
    <row r="22" spans="1:70" ht="15.75">
      <c r="A22" s="105" t="s">
        <v>72</v>
      </c>
      <c r="B22">
        <v>246</v>
      </c>
      <c r="C22" s="5">
        <v>12211</v>
      </c>
      <c r="D22" s="2">
        <f t="shared" si="4"/>
        <v>12.211</v>
      </c>
      <c r="E22" s="39">
        <v>12548.09326</v>
      </c>
      <c r="F22" s="2">
        <f t="shared" si="5"/>
        <v>12.54809326</v>
      </c>
      <c r="G22" s="2">
        <v>4.4189852700490997</v>
      </c>
      <c r="H22" s="2">
        <v>16.366612111292962</v>
      </c>
      <c r="I22" s="2">
        <v>0</v>
      </c>
      <c r="J22" s="2">
        <v>4.7463175122749588</v>
      </c>
      <c r="K22" s="2">
        <v>0.32733224222585927</v>
      </c>
      <c r="L22" s="2">
        <v>1.6366612111292962</v>
      </c>
      <c r="M22" s="2">
        <v>0.32733224222585927</v>
      </c>
      <c r="N22" s="2">
        <v>0</v>
      </c>
      <c r="O22" s="2">
        <v>32.405891980360067</v>
      </c>
      <c r="P22" s="2">
        <v>0</v>
      </c>
      <c r="Q22" s="2">
        <v>1.9639934533551555</v>
      </c>
      <c r="R22" s="2">
        <v>0</v>
      </c>
      <c r="S22" s="2">
        <v>5.5646481178396074</v>
      </c>
      <c r="T22" s="2">
        <v>0.49099836333878888</v>
      </c>
      <c r="U22" s="2">
        <v>0</v>
      </c>
      <c r="V22" s="2">
        <v>0</v>
      </c>
      <c r="W22" s="2">
        <v>0</v>
      </c>
      <c r="X22" s="2">
        <v>0.16366612111292964</v>
      </c>
      <c r="Y22" s="2">
        <v>0.16366612111292964</v>
      </c>
      <c r="Z22" s="2">
        <v>0</v>
      </c>
      <c r="AA22" s="2">
        <v>2.9459901800327333</v>
      </c>
      <c r="AB22" s="2">
        <v>0</v>
      </c>
      <c r="AC22" s="2">
        <v>0.98199672667757776</v>
      </c>
      <c r="AD22" s="2">
        <v>6.8739770867430439</v>
      </c>
      <c r="AE22" s="2">
        <v>13.747954173486088</v>
      </c>
      <c r="AF22" s="2">
        <v>0</v>
      </c>
      <c r="AG22" s="2">
        <v>5.4009819967266779</v>
      </c>
      <c r="AH22" s="2">
        <v>0</v>
      </c>
      <c r="AI22" s="2">
        <v>0.98199672667757776</v>
      </c>
      <c r="AJ22" s="2">
        <v>0</v>
      </c>
      <c r="AK22" s="2">
        <v>0.32733224222585927</v>
      </c>
      <c r="AL22" s="2">
        <f t="shared" si="0"/>
        <v>14.368650217706822</v>
      </c>
      <c r="AM22">
        <v>611</v>
      </c>
      <c r="AN22" s="2"/>
      <c r="AO22">
        <v>611</v>
      </c>
      <c r="AP22" s="2">
        <v>13.78</v>
      </c>
      <c r="AQ22" s="5">
        <v>1</v>
      </c>
      <c r="AR22" s="5">
        <f t="shared" si="1"/>
        <v>44.339622641509436</v>
      </c>
      <c r="AS22" t="s">
        <v>72</v>
      </c>
      <c r="AT22">
        <v>42.7</v>
      </c>
      <c r="AU22">
        <v>37.6</v>
      </c>
      <c r="AV22">
        <v>71.2</v>
      </c>
      <c r="AW22" s="5">
        <v>0</v>
      </c>
      <c r="AX22" s="5">
        <v>3.5714285714285712</v>
      </c>
      <c r="AY22" s="5">
        <v>25.531914893617021</v>
      </c>
      <c r="AZ22" s="5">
        <v>78.740157480314963</v>
      </c>
      <c r="BA22" s="2">
        <f t="shared" si="2"/>
        <v>0.16366612111292964</v>
      </c>
      <c r="BB22" s="2">
        <f t="shared" si="3"/>
        <v>1.9639934533551555</v>
      </c>
      <c r="BC22" s="7"/>
      <c r="BD22" s="5">
        <v>12210.937819999999</v>
      </c>
      <c r="BF22" s="13">
        <v>9.3289689034369889</v>
      </c>
      <c r="BG22" s="13">
        <v>10.801963993453356</v>
      </c>
      <c r="BH22" s="13">
        <v>0.32733224222585927</v>
      </c>
      <c r="BI22" s="13">
        <v>2.9411764705882351</v>
      </c>
      <c r="BJ22" s="12">
        <f t="shared" si="6"/>
        <v>39.279869067103114</v>
      </c>
      <c r="BK22" s="12">
        <f t="shared" si="7"/>
        <v>43.207855973813423</v>
      </c>
      <c r="BL22" s="12">
        <f t="shared" si="8"/>
        <v>11.129296235679215</v>
      </c>
      <c r="BM22" s="12">
        <f t="shared" si="9"/>
        <v>43.53518821603928</v>
      </c>
      <c r="BN22" s="12">
        <f t="shared" si="10"/>
        <v>25.695581014729953</v>
      </c>
      <c r="BO22" s="11">
        <f t="shared" si="11"/>
        <v>30.114566284779052</v>
      </c>
      <c r="BP22" s="2">
        <f t="shared" si="12"/>
        <v>16.530278232405891</v>
      </c>
      <c r="BQ22"/>
      <c r="BR22"/>
    </row>
    <row r="23" spans="1:70" ht="15.75">
      <c r="A23" t="s">
        <v>73</v>
      </c>
      <c r="B23">
        <v>261</v>
      </c>
      <c r="C23" s="5">
        <v>12293</v>
      </c>
      <c r="D23" s="2">
        <f t="shared" si="4"/>
        <v>12.292999999999999</v>
      </c>
      <c r="E23" s="39">
        <v>12605.450779999999</v>
      </c>
      <c r="F23" s="2">
        <f t="shared" si="5"/>
        <v>12.60545078</v>
      </c>
      <c r="G23" s="2">
        <v>7.2599531615925059</v>
      </c>
      <c r="H23" s="2">
        <v>18.969555035128806</v>
      </c>
      <c r="I23" s="2">
        <v>0</v>
      </c>
      <c r="J23" s="2">
        <v>8.899297423887587</v>
      </c>
      <c r="K23" s="2">
        <v>0</v>
      </c>
      <c r="L23" s="2">
        <v>0.70257611241217799</v>
      </c>
      <c r="M23" s="2">
        <v>0</v>
      </c>
      <c r="N23" s="2">
        <v>0</v>
      </c>
      <c r="O23" s="2">
        <v>28.805620608899297</v>
      </c>
      <c r="P23" s="2">
        <v>0</v>
      </c>
      <c r="Q23" s="2">
        <v>2.3419203747072599</v>
      </c>
      <c r="R23" s="2">
        <v>0</v>
      </c>
      <c r="S23" s="2">
        <v>0.23419203747072601</v>
      </c>
      <c r="T23" s="2">
        <v>1.1709601873536299</v>
      </c>
      <c r="U23" s="2">
        <v>0</v>
      </c>
      <c r="V23" s="2">
        <v>0</v>
      </c>
      <c r="W23" s="2">
        <v>0.23419203747072601</v>
      </c>
      <c r="X23" s="2">
        <v>0</v>
      </c>
      <c r="Y23" s="2">
        <v>0</v>
      </c>
      <c r="Z23" s="2">
        <v>0</v>
      </c>
      <c r="AA23" s="2">
        <v>4.6838407494145198</v>
      </c>
      <c r="AB23" s="2">
        <v>0</v>
      </c>
      <c r="AC23" s="2">
        <v>0</v>
      </c>
      <c r="AD23" s="2">
        <v>7.7283372365339575</v>
      </c>
      <c r="AE23" s="2">
        <v>11.475409836065573</v>
      </c>
      <c r="AF23" s="2">
        <v>0</v>
      </c>
      <c r="AG23" s="2">
        <v>4.918032786885246</v>
      </c>
      <c r="AH23" s="2">
        <v>0.23419203747072601</v>
      </c>
      <c r="AI23" s="2">
        <v>1.1709601873536299</v>
      </c>
      <c r="AJ23" s="2">
        <v>0</v>
      </c>
      <c r="AK23" s="2">
        <v>0.93676814988290402</v>
      </c>
      <c r="AL23" s="2">
        <f t="shared" si="0"/>
        <v>9.4325153374233128</v>
      </c>
      <c r="AM23">
        <v>427</v>
      </c>
      <c r="AN23" s="2"/>
      <c r="AO23">
        <v>427</v>
      </c>
      <c r="AP23" s="2">
        <v>13.04</v>
      </c>
      <c r="AQ23" s="5">
        <v>1</v>
      </c>
      <c r="AR23" s="5">
        <f t="shared" si="1"/>
        <v>32.745398773006137</v>
      </c>
      <c r="AS23" t="s">
        <v>73</v>
      </c>
      <c r="AT23">
        <v>41.7</v>
      </c>
      <c r="AU23">
        <v>36.9</v>
      </c>
      <c r="AV23">
        <v>64.400000000000006</v>
      </c>
      <c r="AW23" s="5">
        <v>0</v>
      </c>
      <c r="AX23" s="5">
        <v>0</v>
      </c>
      <c r="AY23" s="5">
        <v>27.166276346604217</v>
      </c>
      <c r="AZ23" s="5">
        <v>72.321428571428569</v>
      </c>
      <c r="BA23" s="2">
        <f t="shared" si="2"/>
        <v>0.23419203747072601</v>
      </c>
      <c r="BB23" s="2">
        <f t="shared" si="3"/>
        <v>0.70257611241217799</v>
      </c>
      <c r="BC23" s="7"/>
      <c r="BD23" s="5">
        <v>12292.699479999999</v>
      </c>
      <c r="BF23" s="13">
        <v>8.6651053864168617</v>
      </c>
      <c r="BG23" s="13">
        <v>10.53864168618267</v>
      </c>
      <c r="BH23" s="13">
        <v>0</v>
      </c>
      <c r="BI23" s="13">
        <v>0</v>
      </c>
      <c r="BJ23" s="12">
        <f t="shared" si="6"/>
        <v>36.533957845433257</v>
      </c>
      <c r="BK23" s="12">
        <f t="shared" si="7"/>
        <v>39.344262295081968</v>
      </c>
      <c r="BL23" s="12">
        <f t="shared" si="8"/>
        <v>10.53864168618267</v>
      </c>
      <c r="BM23" s="12">
        <f t="shared" si="9"/>
        <v>39.344262295081968</v>
      </c>
      <c r="BN23" s="12">
        <f t="shared" si="10"/>
        <v>27.634660421545668</v>
      </c>
      <c r="BO23" s="11">
        <f t="shared" si="11"/>
        <v>34.894613583138174</v>
      </c>
      <c r="BP23" s="2">
        <f t="shared" si="12"/>
        <v>23.419203747072601</v>
      </c>
      <c r="BQ23"/>
      <c r="BR23"/>
    </row>
    <row r="24" spans="1:70" s="123" customFormat="1" ht="15.75">
      <c r="A24" s="123" t="s">
        <v>74</v>
      </c>
      <c r="B24" s="123">
        <v>281</v>
      </c>
      <c r="C24" s="137">
        <v>12402</v>
      </c>
      <c r="D24" s="138">
        <f t="shared" si="4"/>
        <v>12.401999999999999</v>
      </c>
      <c r="E24" s="139">
        <v>12681.927460000001</v>
      </c>
      <c r="F24" s="138">
        <f t="shared" si="5"/>
        <v>12.681927460000001</v>
      </c>
      <c r="G24" s="138">
        <v>7.623318385650224</v>
      </c>
      <c r="H24" s="138">
        <v>16.143497757847534</v>
      </c>
      <c r="I24" s="138">
        <v>0</v>
      </c>
      <c r="J24" s="138">
        <v>9.4170403587443943</v>
      </c>
      <c r="K24" s="138">
        <v>0</v>
      </c>
      <c r="L24" s="138">
        <v>0.44843049327354262</v>
      </c>
      <c r="M24" s="138">
        <v>0.44843049327354262</v>
      </c>
      <c r="N24" s="138">
        <v>0</v>
      </c>
      <c r="O24" s="138">
        <v>33.183856502242151</v>
      </c>
      <c r="P24" s="138">
        <v>0</v>
      </c>
      <c r="Q24" s="138">
        <v>2.6905829596412558</v>
      </c>
      <c r="R24" s="138">
        <v>0</v>
      </c>
      <c r="S24" s="138">
        <v>0</v>
      </c>
      <c r="T24" s="138">
        <v>0.89686098654708524</v>
      </c>
      <c r="U24" s="138">
        <v>0</v>
      </c>
      <c r="V24" s="138">
        <v>0</v>
      </c>
      <c r="W24" s="138">
        <v>0</v>
      </c>
      <c r="X24" s="138">
        <v>0.44843049327354262</v>
      </c>
      <c r="Y24" s="138">
        <v>0</v>
      </c>
      <c r="Z24" s="138">
        <v>0</v>
      </c>
      <c r="AA24" s="138">
        <v>3.1390134529147984</v>
      </c>
      <c r="AB24" s="138">
        <v>0</v>
      </c>
      <c r="AC24" s="138">
        <v>0.89686098654708524</v>
      </c>
      <c r="AD24" s="138">
        <v>6.2780269058295968</v>
      </c>
      <c r="AE24" s="138">
        <v>9.8654708520179373</v>
      </c>
      <c r="AF24" s="138">
        <v>0</v>
      </c>
      <c r="AG24" s="138">
        <v>6.2780269058295968</v>
      </c>
      <c r="AH24" s="138">
        <v>0.89686098654708524</v>
      </c>
      <c r="AI24" s="138">
        <v>0.44843049327354262</v>
      </c>
      <c r="AJ24" s="138">
        <v>0</v>
      </c>
      <c r="AK24" s="138">
        <v>0.89686098654708524</v>
      </c>
      <c r="AL24" s="138">
        <f t="shared" si="0"/>
        <v>14.135625596943648</v>
      </c>
      <c r="AM24" s="123">
        <v>223</v>
      </c>
      <c r="AN24" s="138"/>
      <c r="AO24" s="123">
        <v>223</v>
      </c>
      <c r="AP24" s="138">
        <v>10.47</v>
      </c>
      <c r="AQ24" s="137">
        <v>2</v>
      </c>
      <c r="AR24" s="137">
        <f t="shared" si="1"/>
        <v>42.597898758357211</v>
      </c>
      <c r="AS24" s="123" t="s">
        <v>74</v>
      </c>
      <c r="AT24" s="123">
        <v>46.9</v>
      </c>
      <c r="AU24" s="123">
        <v>44.7</v>
      </c>
      <c r="AV24" s="123">
        <v>57.3</v>
      </c>
      <c r="AW24" s="137">
        <v>0</v>
      </c>
      <c r="AX24" s="137">
        <v>0</v>
      </c>
      <c r="AY24" s="137">
        <v>21.076233183856502</v>
      </c>
      <c r="AZ24" s="137">
        <v>67.924528301886795</v>
      </c>
      <c r="BA24" s="138">
        <f t="shared" si="2"/>
        <v>0.44843049327354262</v>
      </c>
      <c r="BB24" s="138">
        <f t="shared" si="3"/>
        <v>0.89686098654708524</v>
      </c>
      <c r="BC24" s="141"/>
      <c r="BD24" s="137">
        <v>12401.715029999999</v>
      </c>
      <c r="BE24" s="142"/>
      <c r="BF24" s="142">
        <v>8.071748878923767</v>
      </c>
      <c r="BG24" s="142">
        <v>8.071748878923767</v>
      </c>
      <c r="BH24" s="142">
        <v>0</v>
      </c>
      <c r="BI24" s="142">
        <v>0</v>
      </c>
      <c r="BJ24" s="144">
        <f t="shared" si="6"/>
        <v>39.461883408071749</v>
      </c>
      <c r="BK24" s="144">
        <f t="shared" si="7"/>
        <v>41.255605381165921</v>
      </c>
      <c r="BL24" s="144">
        <f t="shared" si="8"/>
        <v>8.071748878923767</v>
      </c>
      <c r="BM24" s="144">
        <f t="shared" si="9"/>
        <v>41.255605381165921</v>
      </c>
      <c r="BN24" s="144">
        <f t="shared" si="10"/>
        <v>24.215246636771301</v>
      </c>
      <c r="BO24" s="145">
        <f t="shared" si="11"/>
        <v>31.838565022421523</v>
      </c>
      <c r="BP24" s="138">
        <f t="shared" si="12"/>
        <v>26.00896860986547</v>
      </c>
    </row>
    <row r="25" spans="1:70" ht="15.75">
      <c r="A25" s="2" t="s">
        <v>75</v>
      </c>
      <c r="B25">
        <v>296</v>
      </c>
      <c r="C25" s="5">
        <v>12483</v>
      </c>
      <c r="D25" s="2">
        <f t="shared" si="4"/>
        <v>12.483000000000001</v>
      </c>
      <c r="E25" s="39">
        <v>12739.284970000001</v>
      </c>
      <c r="F25" s="2">
        <f t="shared" si="5"/>
        <v>12.73928497</v>
      </c>
      <c r="G25" s="2">
        <v>11.082474226804123</v>
      </c>
      <c r="H25" s="2">
        <v>11.340206185567011</v>
      </c>
      <c r="I25" s="2">
        <v>0</v>
      </c>
      <c r="J25" s="2">
        <v>7.9896907216494846</v>
      </c>
      <c r="K25" s="2">
        <v>0</v>
      </c>
      <c r="L25" s="2">
        <v>1.0309278350515463</v>
      </c>
      <c r="M25" s="2">
        <v>0</v>
      </c>
      <c r="N25" s="2">
        <v>0.25773195876288657</v>
      </c>
      <c r="O25" s="2">
        <v>33.505154639175259</v>
      </c>
      <c r="P25" s="2">
        <v>0</v>
      </c>
      <c r="Q25" s="2">
        <v>2.3195876288659796</v>
      </c>
      <c r="R25" s="2">
        <v>0</v>
      </c>
      <c r="S25" s="2">
        <v>1.2886597938144331</v>
      </c>
      <c r="T25" s="2">
        <v>2.0618556701030926</v>
      </c>
      <c r="U25" s="2">
        <v>0</v>
      </c>
      <c r="V25" s="2">
        <v>0</v>
      </c>
      <c r="W25" s="2">
        <v>0.25773195876288657</v>
      </c>
      <c r="X25" s="2">
        <v>0</v>
      </c>
      <c r="Y25" s="2">
        <v>0</v>
      </c>
      <c r="Z25" s="2">
        <v>0</v>
      </c>
      <c r="AA25" s="2">
        <v>3.3505154639175259</v>
      </c>
      <c r="AB25" s="2">
        <v>0</v>
      </c>
      <c r="AC25" s="2">
        <v>0.25773195876288657</v>
      </c>
      <c r="AD25" s="2">
        <v>4.1237113402061851</v>
      </c>
      <c r="AE25" s="2">
        <v>8.7628865979381452</v>
      </c>
      <c r="AF25" s="2">
        <v>0</v>
      </c>
      <c r="AG25" s="2">
        <v>7.2164948453608249</v>
      </c>
      <c r="AH25" s="2">
        <v>1.0309278350515463</v>
      </c>
      <c r="AI25" s="2">
        <v>2.3195876288659796</v>
      </c>
      <c r="AJ25" s="2">
        <v>0</v>
      </c>
      <c r="AK25" s="2">
        <v>1.8041237113402062</v>
      </c>
      <c r="AL25" s="2">
        <f t="shared" si="0"/>
        <v>23.255813953488374</v>
      </c>
      <c r="AM25">
        <v>388</v>
      </c>
      <c r="AN25" s="2"/>
      <c r="AO25">
        <v>388</v>
      </c>
      <c r="AP25" s="2">
        <v>11.18</v>
      </c>
      <c r="AQ25" s="5">
        <v>2</v>
      </c>
      <c r="AR25" s="5">
        <f t="shared" si="1"/>
        <v>69.409660107334531</v>
      </c>
      <c r="AS25" s="2" t="s">
        <v>75</v>
      </c>
      <c r="AT25">
        <v>52.1</v>
      </c>
      <c r="AU25">
        <v>48.9</v>
      </c>
      <c r="AV25">
        <v>68.900000000000006</v>
      </c>
      <c r="AW25" s="5">
        <v>0</v>
      </c>
      <c r="AX25" s="5">
        <v>0</v>
      </c>
      <c r="AY25" s="5">
        <v>21.134020618556701</v>
      </c>
      <c r="AZ25" s="5">
        <v>50.574712643678168</v>
      </c>
      <c r="BA25" s="2">
        <f t="shared" si="2"/>
        <v>0.25773195876288657</v>
      </c>
      <c r="BB25" s="2">
        <f t="shared" si="3"/>
        <v>1.0309278350515463</v>
      </c>
      <c r="BC25" s="7"/>
      <c r="BD25" s="5">
        <v>12483.47668</v>
      </c>
      <c r="BF25" s="13">
        <v>6.9587628865979383</v>
      </c>
      <c r="BG25" s="13">
        <v>5.927835051546392</v>
      </c>
      <c r="BH25" s="13">
        <v>0</v>
      </c>
      <c r="BI25" s="13">
        <v>0</v>
      </c>
      <c r="BJ25" s="12">
        <f t="shared" si="6"/>
        <v>37.628865979381445</v>
      </c>
      <c r="BK25" s="12">
        <f t="shared" si="7"/>
        <v>39.432989690721655</v>
      </c>
      <c r="BL25" s="12">
        <f t="shared" si="8"/>
        <v>5.927835051546392</v>
      </c>
      <c r="BM25" s="12">
        <f t="shared" si="9"/>
        <v>39.432989690721655</v>
      </c>
      <c r="BN25" s="12">
        <f t="shared" si="10"/>
        <v>18.298969072164951</v>
      </c>
      <c r="BO25" s="11">
        <f t="shared" si="11"/>
        <v>29.381443298969074</v>
      </c>
      <c r="BP25" s="2">
        <f t="shared" si="12"/>
        <v>28.60824742268041</v>
      </c>
      <c r="BQ25"/>
      <c r="BR25"/>
    </row>
    <row r="26" spans="1:70" s="30" customFormat="1" ht="15.75">
      <c r="A26" s="106" t="s">
        <v>76</v>
      </c>
      <c r="B26" s="30">
        <v>316</v>
      </c>
      <c r="C26" s="31">
        <v>12592</v>
      </c>
      <c r="D26" s="32">
        <f t="shared" si="4"/>
        <v>12.592000000000001</v>
      </c>
      <c r="E26" s="39">
        <v>12815.76166</v>
      </c>
      <c r="F26" s="2">
        <f t="shared" si="5"/>
        <v>12.81576166</v>
      </c>
      <c r="G26" s="32">
        <v>5.8004640371229694</v>
      </c>
      <c r="H26" s="32">
        <v>9.976798143851509</v>
      </c>
      <c r="I26" s="32">
        <v>0</v>
      </c>
      <c r="J26" s="32">
        <v>6.9605568445475638</v>
      </c>
      <c r="K26" s="32">
        <v>0</v>
      </c>
      <c r="L26" s="32">
        <v>2.0881670533642693</v>
      </c>
      <c r="M26" s="32">
        <v>0</v>
      </c>
      <c r="N26" s="32">
        <v>0.46403712296983757</v>
      </c>
      <c r="O26" s="32">
        <v>45.011600928074245</v>
      </c>
      <c r="P26" s="32">
        <v>0</v>
      </c>
      <c r="Q26" s="32">
        <v>2.7842227378190256</v>
      </c>
      <c r="R26" s="32">
        <v>0</v>
      </c>
      <c r="S26" s="32">
        <v>0</v>
      </c>
      <c r="T26" s="32">
        <v>2.3201856148491879</v>
      </c>
      <c r="U26" s="32">
        <v>0</v>
      </c>
      <c r="V26" s="32">
        <v>0</v>
      </c>
      <c r="W26" s="32">
        <v>0</v>
      </c>
      <c r="X26" s="32">
        <v>0</v>
      </c>
      <c r="Y26" s="32">
        <v>0</v>
      </c>
      <c r="Z26" s="32">
        <v>0</v>
      </c>
      <c r="AA26" s="32">
        <v>1.3921113689095128</v>
      </c>
      <c r="AB26" s="32">
        <v>0</v>
      </c>
      <c r="AC26" s="32">
        <v>0</v>
      </c>
      <c r="AD26" s="32">
        <v>1.160092807424594</v>
      </c>
      <c r="AE26" s="32">
        <v>8.8167053364269137</v>
      </c>
      <c r="AF26" s="32">
        <v>0</v>
      </c>
      <c r="AG26" s="32">
        <v>10.904872389791183</v>
      </c>
      <c r="AH26" s="32">
        <v>0.46403712296983757</v>
      </c>
      <c r="AI26" s="32">
        <v>0.46403712296983757</v>
      </c>
      <c r="AJ26" s="32">
        <v>0</v>
      </c>
      <c r="AK26" s="32">
        <v>1.160092807424594</v>
      </c>
      <c r="AL26" s="32">
        <f t="shared" si="0"/>
        <v>118.92720306513409</v>
      </c>
      <c r="AM26" s="30">
        <v>431</v>
      </c>
      <c r="AN26" s="32"/>
      <c r="AO26" s="30">
        <v>431</v>
      </c>
      <c r="AP26" s="32">
        <v>13.05</v>
      </c>
      <c r="AQ26" s="31">
        <v>8</v>
      </c>
      <c r="AR26" s="31">
        <f t="shared" si="1"/>
        <v>264.21455938697318</v>
      </c>
      <c r="AS26" s="32" t="s">
        <v>76</v>
      </c>
      <c r="AT26" s="30">
        <v>77.900000000000006</v>
      </c>
      <c r="AU26" s="30">
        <v>78.099999999999994</v>
      </c>
      <c r="AV26" s="30">
        <v>77.2</v>
      </c>
      <c r="AW26" s="31">
        <v>0</v>
      </c>
      <c r="AX26" s="31">
        <v>2.6315789473684208</v>
      </c>
      <c r="AY26" s="31">
        <v>22.041763341067284</v>
      </c>
      <c r="AZ26" s="31">
        <v>63.235294117647058</v>
      </c>
      <c r="BA26" s="32">
        <f t="shared" si="2"/>
        <v>0</v>
      </c>
      <c r="BB26" s="32">
        <f t="shared" si="3"/>
        <v>2.0881670533642693</v>
      </c>
      <c r="BC26" s="38"/>
      <c r="BD26" s="31">
        <v>12592.49223</v>
      </c>
      <c r="BE26" s="35"/>
      <c r="BF26" s="35">
        <v>6.7285382830626448</v>
      </c>
      <c r="BG26" s="35">
        <v>3.0162412993039442</v>
      </c>
      <c r="BH26" s="35">
        <v>0.23201856148491878</v>
      </c>
      <c r="BI26" s="35">
        <v>7.1428571428571423</v>
      </c>
      <c r="BJ26" s="36">
        <f t="shared" si="6"/>
        <v>46.171693735498842</v>
      </c>
      <c r="BK26" s="36">
        <f t="shared" si="7"/>
        <v>48.027842227378187</v>
      </c>
      <c r="BL26" s="12">
        <f t="shared" si="8"/>
        <v>3.2482598607888629</v>
      </c>
      <c r="BM26" s="36">
        <f t="shared" si="9"/>
        <v>48.259860788863108</v>
      </c>
      <c r="BN26" s="36">
        <f t="shared" si="10"/>
        <v>16.705336426914155</v>
      </c>
      <c r="BO26" s="37">
        <f t="shared" si="11"/>
        <v>22.505800464037122</v>
      </c>
      <c r="BP26" s="2">
        <f t="shared" si="12"/>
        <v>26.450116009280741</v>
      </c>
      <c r="BQ26" s="30">
        <v>17</v>
      </c>
    </row>
    <row r="27" spans="1:70" s="123" customFormat="1" ht="15.75">
      <c r="A27" s="138" t="s">
        <v>77</v>
      </c>
      <c r="B27" s="123">
        <v>336</v>
      </c>
      <c r="C27" s="137">
        <v>12692</v>
      </c>
      <c r="D27" s="138">
        <f t="shared" si="4"/>
        <v>12.692</v>
      </c>
      <c r="E27" s="139">
        <v>12904.34014</v>
      </c>
      <c r="F27" s="138">
        <f t="shared" si="5"/>
        <v>12.90434014</v>
      </c>
      <c r="G27" s="138">
        <v>8.8235294117647065</v>
      </c>
      <c r="H27" s="138">
        <v>9.7285067873303159</v>
      </c>
      <c r="I27" s="138">
        <v>0</v>
      </c>
      <c r="J27" s="138">
        <v>9.0497737556561084</v>
      </c>
      <c r="K27" s="138">
        <v>0.22624434389140272</v>
      </c>
      <c r="L27" s="138">
        <v>0.90497737556561086</v>
      </c>
      <c r="M27" s="138">
        <v>0.22624434389140272</v>
      </c>
      <c r="N27" s="138">
        <v>0.22624434389140272</v>
      </c>
      <c r="O27" s="138">
        <v>40.723981900452486</v>
      </c>
      <c r="P27" s="138">
        <v>0</v>
      </c>
      <c r="Q27" s="138">
        <v>1.8099547511312217</v>
      </c>
      <c r="R27" s="138">
        <v>0</v>
      </c>
      <c r="S27" s="138">
        <v>0</v>
      </c>
      <c r="T27" s="138">
        <v>1.5837104072398189</v>
      </c>
      <c r="U27" s="138">
        <v>0</v>
      </c>
      <c r="V27" s="138">
        <v>0</v>
      </c>
      <c r="W27" s="138">
        <v>0</v>
      </c>
      <c r="X27" s="138">
        <v>0</v>
      </c>
      <c r="Y27" s="138">
        <v>0</v>
      </c>
      <c r="Z27" s="138">
        <v>0</v>
      </c>
      <c r="AA27" s="138">
        <v>0.67873303167420818</v>
      </c>
      <c r="AB27" s="138">
        <v>0.22624434389140272</v>
      </c>
      <c r="AC27" s="138">
        <v>0.45248868778280543</v>
      </c>
      <c r="AD27" s="138">
        <v>5.6561085972850682</v>
      </c>
      <c r="AE27" s="138">
        <v>6.5610859728506785</v>
      </c>
      <c r="AF27" s="138">
        <v>0</v>
      </c>
      <c r="AG27" s="138">
        <v>10.859728506787331</v>
      </c>
      <c r="AH27" s="138">
        <v>0.67873303167420818</v>
      </c>
      <c r="AI27" s="138">
        <v>0.67873303167420818</v>
      </c>
      <c r="AJ27" s="138">
        <v>0</v>
      </c>
      <c r="AK27" s="138">
        <v>0.90497737556561086</v>
      </c>
      <c r="AL27" s="138">
        <f t="shared" si="0"/>
        <v>107.06319702602229</v>
      </c>
      <c r="AM27" s="123">
        <v>442</v>
      </c>
      <c r="AN27" s="138"/>
      <c r="AO27" s="123">
        <v>442</v>
      </c>
      <c r="AP27" s="138">
        <v>13.45</v>
      </c>
      <c r="AQ27" s="137">
        <v>8</v>
      </c>
      <c r="AR27" s="137">
        <f t="shared" si="1"/>
        <v>262.89962825278809</v>
      </c>
      <c r="AS27" s="138" t="s">
        <v>77</v>
      </c>
      <c r="AT27" s="123">
        <v>78.5</v>
      </c>
      <c r="AU27" s="123">
        <v>78.900000000000006</v>
      </c>
      <c r="AV27" s="123">
        <v>77.400000000000006</v>
      </c>
      <c r="AW27" s="137">
        <v>0</v>
      </c>
      <c r="AX27" s="137">
        <v>3.4482758620689653</v>
      </c>
      <c r="AY27" s="137">
        <v>23.981900452488688</v>
      </c>
      <c r="AZ27" s="137">
        <v>52.439024390243901</v>
      </c>
      <c r="BA27" s="138">
        <f t="shared" si="2"/>
        <v>0</v>
      </c>
      <c r="BB27" s="138">
        <f t="shared" si="3"/>
        <v>1.1312217194570136</v>
      </c>
      <c r="BC27" s="146"/>
      <c r="BD27" s="137">
        <v>12692.17007</v>
      </c>
      <c r="BE27" s="147"/>
      <c r="BF27" s="147">
        <v>5.6561085972850682</v>
      </c>
      <c r="BG27" s="147">
        <v>6.3348416289592757</v>
      </c>
      <c r="BH27" s="147">
        <v>0.22624434389140272</v>
      </c>
      <c r="BI27" s="147">
        <v>3.4482758620689653</v>
      </c>
      <c r="BJ27" s="144">
        <f t="shared" si="6"/>
        <v>46.380090497737555</v>
      </c>
      <c r="BK27" s="144">
        <f t="shared" si="7"/>
        <v>47.058823529411761</v>
      </c>
      <c r="BL27" s="144">
        <f t="shared" si="8"/>
        <v>6.5610859728506785</v>
      </c>
      <c r="BM27" s="144">
        <f t="shared" si="9"/>
        <v>47.285067873303163</v>
      </c>
      <c r="BN27" s="144">
        <f t="shared" si="10"/>
        <v>15.384615384615383</v>
      </c>
      <c r="BO27" s="145">
        <f t="shared" si="11"/>
        <v>24.20814479638009</v>
      </c>
      <c r="BP27" s="138">
        <f t="shared" si="12"/>
        <v>30.542986425339368</v>
      </c>
    </row>
    <row r="28" spans="1:70" ht="15.75">
      <c r="A28" s="2" t="s">
        <v>78</v>
      </c>
      <c r="B28">
        <v>346</v>
      </c>
      <c r="C28" s="5">
        <v>12737</v>
      </c>
      <c r="D28" s="2">
        <f t="shared" si="4"/>
        <v>12.737</v>
      </c>
      <c r="E28" s="39">
        <v>12954.680270000001</v>
      </c>
      <c r="F28" s="2">
        <f t="shared" si="5"/>
        <v>12.954680270000001</v>
      </c>
      <c r="G28" s="2">
        <v>5.0218340611353716</v>
      </c>
      <c r="H28" s="2">
        <v>8.9519650655021827</v>
      </c>
      <c r="I28" s="2">
        <v>0</v>
      </c>
      <c r="J28" s="2">
        <v>5.8951965065502181</v>
      </c>
      <c r="K28" s="2">
        <v>0</v>
      </c>
      <c r="L28" s="2">
        <v>1.3100436681222707</v>
      </c>
      <c r="M28" s="2">
        <v>0</v>
      </c>
      <c r="N28" s="2">
        <v>0.2183406113537118</v>
      </c>
      <c r="O28" s="2">
        <v>43.449781659388648</v>
      </c>
      <c r="P28" s="2">
        <v>0</v>
      </c>
      <c r="Q28" s="2">
        <v>3.0567685589519651</v>
      </c>
      <c r="R28" s="2">
        <v>0</v>
      </c>
      <c r="S28" s="2">
        <v>0.2183406113537118</v>
      </c>
      <c r="T28" s="2">
        <v>1.0917030567685591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0.2183406113537118</v>
      </c>
      <c r="AB28" s="2">
        <v>0.2183406113537118</v>
      </c>
      <c r="AC28" s="2">
        <v>0.65502183406113534</v>
      </c>
      <c r="AD28" s="2">
        <v>4.8034934497816595</v>
      </c>
      <c r="AE28" s="2">
        <v>8.2969432314410483</v>
      </c>
      <c r="AF28" s="2">
        <v>0</v>
      </c>
      <c r="AG28" s="2">
        <v>12.445414847161572</v>
      </c>
      <c r="AH28" s="2">
        <v>1.7467248908296944</v>
      </c>
      <c r="AI28" s="2">
        <v>1.3100436681222707</v>
      </c>
      <c r="AJ28" s="2">
        <v>0.2183406113537118</v>
      </c>
      <c r="AK28" s="2">
        <v>0.8733624454148472</v>
      </c>
      <c r="AL28" s="2">
        <f t="shared" si="0"/>
        <v>104.32503276539975</v>
      </c>
      <c r="AM28">
        <v>458</v>
      </c>
      <c r="AN28" s="2"/>
      <c r="AO28">
        <v>458</v>
      </c>
      <c r="AP28" s="2">
        <v>15.26</v>
      </c>
      <c r="AQ28" s="5">
        <v>8</v>
      </c>
      <c r="AR28" s="5">
        <f t="shared" si="1"/>
        <v>240.10484927916121</v>
      </c>
      <c r="AS28" s="2" t="s">
        <v>78</v>
      </c>
      <c r="AT28">
        <v>79.900000000000006</v>
      </c>
      <c r="AU28">
        <v>79.5</v>
      </c>
      <c r="AV28">
        <v>81.7</v>
      </c>
      <c r="AW28" s="5">
        <v>0</v>
      </c>
      <c r="AX28" s="5">
        <v>2.6315789473684208</v>
      </c>
      <c r="AY28" s="5">
        <v>18.5589519650655</v>
      </c>
      <c r="AZ28" s="5">
        <v>64.0625</v>
      </c>
      <c r="BA28" s="2">
        <f t="shared" si="2"/>
        <v>0</v>
      </c>
      <c r="BB28" s="2">
        <f t="shared" si="3"/>
        <v>1.3100436681222707</v>
      </c>
      <c r="BD28" s="5">
        <v>12737.34014</v>
      </c>
      <c r="BF28" s="13">
        <v>5.4585152838427948</v>
      </c>
      <c r="BG28" s="13">
        <v>7.4235807860262009</v>
      </c>
      <c r="BH28" s="13">
        <v>0.2183406113537118</v>
      </c>
      <c r="BI28" s="13">
        <v>2.8571428571428572</v>
      </c>
      <c r="BJ28" s="12">
        <f t="shared" si="6"/>
        <v>48.25327510917031</v>
      </c>
      <c r="BK28" s="12">
        <f t="shared" si="7"/>
        <v>50.873362445414848</v>
      </c>
      <c r="BL28" s="12">
        <f t="shared" si="8"/>
        <v>7.6419213973799129</v>
      </c>
      <c r="BM28" s="12">
        <f t="shared" si="9"/>
        <v>51.091703056768559</v>
      </c>
      <c r="BN28" s="12">
        <f t="shared" si="10"/>
        <v>14.410480349344978</v>
      </c>
      <c r="BO28" s="11">
        <f t="shared" si="11"/>
        <v>19.432314410480352</v>
      </c>
      <c r="BP28" s="2">
        <f t="shared" si="12"/>
        <v>26.419213973799128</v>
      </c>
      <c r="BQ28"/>
      <c r="BR28"/>
    </row>
    <row r="29" spans="1:70" ht="15.75">
      <c r="A29" s="2" t="s">
        <v>79</v>
      </c>
      <c r="B29">
        <v>362</v>
      </c>
      <c r="C29" s="5">
        <v>12810</v>
      </c>
      <c r="D29" s="2">
        <f t="shared" si="4"/>
        <v>12.81</v>
      </c>
      <c r="E29" s="39">
        <v>13035.224490000001</v>
      </c>
      <c r="F29" s="2">
        <f t="shared" si="5"/>
        <v>13.035224490000001</v>
      </c>
      <c r="G29" s="2">
        <v>5.6034482758620694</v>
      </c>
      <c r="H29" s="2">
        <v>12.068965517241379</v>
      </c>
      <c r="I29" s="2">
        <v>0</v>
      </c>
      <c r="J29" s="2">
        <v>6.8965517241379306</v>
      </c>
      <c r="K29" s="2">
        <v>0.43103448275862066</v>
      </c>
      <c r="L29" s="2">
        <v>1.2931034482758621</v>
      </c>
      <c r="M29" s="2">
        <v>0.43103448275862066</v>
      </c>
      <c r="N29" s="2">
        <v>0</v>
      </c>
      <c r="O29" s="2">
        <v>31.896551724137932</v>
      </c>
      <c r="P29" s="2">
        <v>0</v>
      </c>
      <c r="Q29" s="2">
        <v>1.7241379310344827</v>
      </c>
      <c r="R29" s="2">
        <v>0</v>
      </c>
      <c r="S29" s="2">
        <v>4.3103448275862073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4.3103448275862073</v>
      </c>
      <c r="AB29" s="2">
        <v>0</v>
      </c>
      <c r="AC29" s="2">
        <v>0</v>
      </c>
      <c r="AD29" s="2">
        <v>14.655172413793103</v>
      </c>
      <c r="AE29" s="2">
        <v>3.4482758620689653</v>
      </c>
      <c r="AF29" s="2">
        <v>0</v>
      </c>
      <c r="AG29" s="2">
        <v>8.6206896551724146</v>
      </c>
      <c r="AH29" s="2">
        <v>1.2931034482758621</v>
      </c>
      <c r="AI29" s="2">
        <v>1.2931034482758621</v>
      </c>
      <c r="AJ29" s="2">
        <v>0.43103448275862066</v>
      </c>
      <c r="AK29" s="2">
        <v>1.2931034482758621</v>
      </c>
      <c r="AL29" s="2">
        <f t="shared" si="0"/>
        <v>11.783439490445859</v>
      </c>
      <c r="AM29">
        <v>232</v>
      </c>
      <c r="AN29" s="2"/>
      <c r="AO29">
        <v>232</v>
      </c>
      <c r="AP29" s="2">
        <v>12.56</v>
      </c>
      <c r="AQ29" s="5">
        <v>2</v>
      </c>
      <c r="AR29" s="5">
        <f t="shared" si="1"/>
        <v>36.942675159235669</v>
      </c>
      <c r="AS29" s="2" t="s">
        <v>79</v>
      </c>
      <c r="AT29">
        <v>18.2</v>
      </c>
      <c r="AU29">
        <v>15.9</v>
      </c>
      <c r="AV29">
        <v>37.200000000000003</v>
      </c>
      <c r="AW29" s="5">
        <v>0</v>
      </c>
      <c r="AX29" s="5">
        <v>0</v>
      </c>
      <c r="AY29" s="5">
        <v>21.982758620689655</v>
      </c>
      <c r="AZ29" s="5">
        <v>68.292682926829272</v>
      </c>
      <c r="BA29" s="2">
        <f t="shared" si="2"/>
        <v>0</v>
      </c>
      <c r="BB29" s="2">
        <f t="shared" si="3"/>
        <v>1.7241379310344827</v>
      </c>
      <c r="BD29" s="5">
        <v>12809.61224</v>
      </c>
      <c r="BF29" s="13">
        <v>3.0172413793103448</v>
      </c>
      <c r="BG29" s="13">
        <v>15.086206896551724</v>
      </c>
      <c r="BH29" s="13">
        <v>0</v>
      </c>
      <c r="BI29" s="13">
        <v>0</v>
      </c>
      <c r="BJ29" s="12">
        <f t="shared" si="6"/>
        <v>46.551724137931032</v>
      </c>
      <c r="BK29" s="12">
        <f t="shared" si="7"/>
        <v>46.982758620689658</v>
      </c>
      <c r="BL29" s="12">
        <f t="shared" si="8"/>
        <v>15.086206896551724</v>
      </c>
      <c r="BM29" s="12">
        <f t="shared" si="9"/>
        <v>46.982758620689658</v>
      </c>
      <c r="BN29" s="12">
        <f t="shared" si="10"/>
        <v>15.086206896551724</v>
      </c>
      <c r="BO29" s="11">
        <f t="shared" si="11"/>
        <v>20.689655172413794</v>
      </c>
      <c r="BP29" s="2">
        <f t="shared" si="12"/>
        <v>22.844827586206897</v>
      </c>
      <c r="BQ29"/>
      <c r="BR29"/>
    </row>
    <row r="30" spans="1:70" ht="15.75">
      <c r="A30" s="106" t="s">
        <v>80</v>
      </c>
      <c r="B30">
        <v>382</v>
      </c>
      <c r="C30" s="5">
        <v>12900</v>
      </c>
      <c r="D30" s="2">
        <f t="shared" si="4"/>
        <v>12.9</v>
      </c>
      <c r="E30" s="39">
        <v>13135.904759999999</v>
      </c>
      <c r="F30" s="2">
        <f t="shared" si="5"/>
        <v>13.135904759999999</v>
      </c>
      <c r="G30" s="2">
        <v>7.441860465116279</v>
      </c>
      <c r="H30" s="2">
        <v>9.7674418604651159</v>
      </c>
      <c r="I30" s="2">
        <v>0</v>
      </c>
      <c r="J30" s="2">
        <v>1.8604651162790697</v>
      </c>
      <c r="K30" s="2">
        <v>0.46511627906976744</v>
      </c>
      <c r="L30" s="2">
        <v>2.7906976744186047</v>
      </c>
      <c r="M30" s="2">
        <v>0.93023255813953487</v>
      </c>
      <c r="N30" s="2">
        <v>0</v>
      </c>
      <c r="O30" s="2">
        <v>32.558139534883722</v>
      </c>
      <c r="P30" s="2">
        <v>0</v>
      </c>
      <c r="Q30" s="2">
        <v>2.3255813953488373</v>
      </c>
      <c r="R30" s="2">
        <v>0</v>
      </c>
      <c r="S30" s="2">
        <v>4.6511627906976747</v>
      </c>
      <c r="T30" s="2">
        <v>0.93023255813953487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4.6511627906976747</v>
      </c>
      <c r="AB30" s="2">
        <v>0</v>
      </c>
      <c r="AC30" s="2">
        <v>0.46511627906976744</v>
      </c>
      <c r="AD30" s="2">
        <v>13.023255813953488</v>
      </c>
      <c r="AE30" s="2">
        <v>7.9069767441860463</v>
      </c>
      <c r="AF30" s="2">
        <v>0</v>
      </c>
      <c r="AG30" s="2">
        <v>7.9069767441860463</v>
      </c>
      <c r="AH30" s="2">
        <v>0.46511627906976744</v>
      </c>
      <c r="AI30" s="2">
        <v>0.93023255813953487</v>
      </c>
      <c r="AJ30" s="2">
        <v>0</v>
      </c>
      <c r="AK30" s="2">
        <v>0.93023255813953487</v>
      </c>
      <c r="AL30" s="2">
        <f t="shared" si="0"/>
        <v>19.914651493598864</v>
      </c>
      <c r="AM30">
        <v>215</v>
      </c>
      <c r="AN30" s="2"/>
      <c r="AO30">
        <v>215</v>
      </c>
      <c r="AP30" s="2">
        <v>14.06</v>
      </c>
      <c r="AQ30" s="5">
        <v>4</v>
      </c>
      <c r="AR30" s="5">
        <f t="shared" si="1"/>
        <v>61.16642958748222</v>
      </c>
      <c r="AS30" s="2" t="s">
        <v>80</v>
      </c>
      <c r="AT30">
        <v>26.3</v>
      </c>
      <c r="AU30">
        <v>23.1</v>
      </c>
      <c r="AV30">
        <v>52.9</v>
      </c>
      <c r="AW30" s="5">
        <v>0</v>
      </c>
      <c r="AX30" s="5">
        <v>0</v>
      </c>
      <c r="AY30" s="5">
        <v>21.395348837209301</v>
      </c>
      <c r="AZ30" s="5">
        <v>56.756756756756758</v>
      </c>
      <c r="BA30" s="2">
        <f t="shared" si="2"/>
        <v>0</v>
      </c>
      <c r="BB30" s="2">
        <f t="shared" si="3"/>
        <v>3.7209302325581395</v>
      </c>
      <c r="BD30" s="5">
        <v>12899.952380000001</v>
      </c>
      <c r="BF30" s="13">
        <v>6.0465116279069768</v>
      </c>
      <c r="BG30" s="13">
        <v>14.883720930232558</v>
      </c>
      <c r="BH30" s="13">
        <v>0</v>
      </c>
      <c r="BI30" s="13">
        <v>0</v>
      </c>
      <c r="BJ30" s="12">
        <f t="shared" si="6"/>
        <v>45.581395348837212</v>
      </c>
      <c r="BK30" s="12">
        <f t="shared" si="7"/>
        <v>47.441860465116278</v>
      </c>
      <c r="BL30" s="12">
        <f t="shared" si="8"/>
        <v>14.883720930232558</v>
      </c>
      <c r="BM30" s="12">
        <f t="shared" si="9"/>
        <v>47.441860465116278</v>
      </c>
      <c r="BN30" s="12">
        <f t="shared" si="10"/>
        <v>15.813953488372093</v>
      </c>
      <c r="BO30" s="11">
        <f t="shared" si="11"/>
        <v>23.255813953488371</v>
      </c>
      <c r="BP30" s="2">
        <f t="shared" si="12"/>
        <v>19.534883720930232</v>
      </c>
      <c r="BQ30"/>
      <c r="BR30"/>
    </row>
    <row r="31" spans="1:70" ht="15.75">
      <c r="A31" s="2" t="s">
        <v>81</v>
      </c>
      <c r="B31">
        <v>397</v>
      </c>
      <c r="C31" s="5">
        <v>12968</v>
      </c>
      <c r="D31" s="2">
        <f t="shared" si="4"/>
        <v>12.968</v>
      </c>
      <c r="E31" s="39">
        <v>13211.41497</v>
      </c>
      <c r="F31" s="2">
        <f t="shared" si="5"/>
        <v>13.21141497</v>
      </c>
      <c r="G31" s="2">
        <v>6.4655172413793105</v>
      </c>
      <c r="H31" s="2">
        <v>12.5</v>
      </c>
      <c r="I31" s="2">
        <v>0</v>
      </c>
      <c r="J31" s="2">
        <v>5.6034482758620694</v>
      </c>
      <c r="K31" s="2">
        <v>0</v>
      </c>
      <c r="L31" s="2">
        <v>3.0172413793103448</v>
      </c>
      <c r="M31" s="2">
        <v>0.86206896551724133</v>
      </c>
      <c r="N31" s="2">
        <v>0</v>
      </c>
      <c r="O31" s="2">
        <v>31.46551724137931</v>
      </c>
      <c r="P31" s="2">
        <v>0</v>
      </c>
      <c r="Q31" s="2">
        <v>1.2931034482758621</v>
      </c>
      <c r="R31" s="2">
        <v>0</v>
      </c>
      <c r="S31" s="2">
        <v>3.8793103448275863</v>
      </c>
      <c r="T31" s="2">
        <v>0.86206896551724133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0.86206896551724133</v>
      </c>
      <c r="AB31" s="2">
        <v>0</v>
      </c>
      <c r="AC31" s="2">
        <v>0</v>
      </c>
      <c r="AD31" s="2">
        <v>15.086206896551724</v>
      </c>
      <c r="AE31" s="2">
        <v>5.6034482758620694</v>
      </c>
      <c r="AF31" s="2">
        <v>0</v>
      </c>
      <c r="AG31" s="2">
        <v>7.3275862068965516</v>
      </c>
      <c r="AH31" s="2">
        <v>0.86206896551724133</v>
      </c>
      <c r="AI31" s="2">
        <v>1.2931034482758621</v>
      </c>
      <c r="AJ31" s="2">
        <v>0</v>
      </c>
      <c r="AK31" s="2">
        <v>3.0172413793103448</v>
      </c>
      <c r="AL31" s="2">
        <f t="shared" si="0"/>
        <v>19.401993355481729</v>
      </c>
      <c r="AM31">
        <v>232</v>
      </c>
      <c r="AN31" s="2"/>
      <c r="AO31">
        <v>232</v>
      </c>
      <c r="AP31" s="2">
        <v>15.05</v>
      </c>
      <c r="AQ31" s="5">
        <v>4</v>
      </c>
      <c r="AR31" s="5">
        <f t="shared" si="1"/>
        <v>61.661129568106311</v>
      </c>
      <c r="AS31" s="2" t="s">
        <v>81</v>
      </c>
      <c r="AT31">
        <v>42.7</v>
      </c>
      <c r="AU31">
        <v>40.1</v>
      </c>
      <c r="AV31">
        <v>58.4</v>
      </c>
      <c r="AW31" s="5">
        <v>2.8571428571428572</v>
      </c>
      <c r="AX31" s="5">
        <v>0</v>
      </c>
      <c r="AY31" s="5">
        <v>19.396551724137932</v>
      </c>
      <c r="AZ31" s="5">
        <v>65.909090909090907</v>
      </c>
      <c r="BA31" s="2">
        <f t="shared" si="2"/>
        <v>0</v>
      </c>
      <c r="BB31" s="2">
        <f t="shared" si="3"/>
        <v>3.8793103448275863</v>
      </c>
      <c r="BD31" s="5">
        <v>12967.707479999999</v>
      </c>
      <c r="BF31" s="13">
        <v>3.0172413793103448</v>
      </c>
      <c r="BG31" s="13">
        <v>17.241379310344829</v>
      </c>
      <c r="BH31" s="13">
        <v>0.43103448275862066</v>
      </c>
      <c r="BI31" s="13">
        <v>2.4390243902439024</v>
      </c>
      <c r="BJ31" s="12">
        <f t="shared" si="6"/>
        <v>46.551724137931032</v>
      </c>
      <c r="BK31" s="12">
        <f t="shared" si="7"/>
        <v>48.706896551724142</v>
      </c>
      <c r="BL31" s="12">
        <f t="shared" si="8"/>
        <v>17.672413793103448</v>
      </c>
      <c r="BM31" s="12">
        <f t="shared" si="9"/>
        <v>49.137931034482762</v>
      </c>
      <c r="BN31" s="12">
        <f t="shared" si="10"/>
        <v>15.517241379310345</v>
      </c>
      <c r="BO31" s="11">
        <f t="shared" si="11"/>
        <v>21.982758620689655</v>
      </c>
      <c r="BP31" s="2">
        <f t="shared" si="12"/>
        <v>20.689655172413794</v>
      </c>
      <c r="BQ31"/>
      <c r="BR31"/>
    </row>
    <row r="32" spans="1:70" ht="15.75">
      <c r="A32" t="s">
        <v>82</v>
      </c>
      <c r="B32">
        <v>407</v>
      </c>
      <c r="C32" s="5">
        <v>12990</v>
      </c>
      <c r="D32" s="2">
        <f t="shared" si="4"/>
        <v>12.99</v>
      </c>
      <c r="E32" s="39">
        <v>13234.95</v>
      </c>
      <c r="F32" s="2">
        <f t="shared" si="5"/>
        <v>13.234950000000001</v>
      </c>
      <c r="G32" s="2">
        <v>5.5408970976253302</v>
      </c>
      <c r="H32" s="2">
        <v>10.29023746701847</v>
      </c>
      <c r="I32" s="2">
        <v>0</v>
      </c>
      <c r="J32" s="2">
        <v>8.7071240105540895</v>
      </c>
      <c r="K32" s="2">
        <v>0.26385224274406333</v>
      </c>
      <c r="L32" s="2">
        <v>2.1108179419525066</v>
      </c>
      <c r="M32" s="2">
        <v>0</v>
      </c>
      <c r="N32" s="2">
        <v>0</v>
      </c>
      <c r="O32" s="2">
        <v>28.759894459102902</v>
      </c>
      <c r="P32" s="2">
        <v>0</v>
      </c>
      <c r="Q32" s="2">
        <v>1.8469656992084433</v>
      </c>
      <c r="R32" s="2">
        <v>0</v>
      </c>
      <c r="S32" s="2">
        <v>4.2216358839050132</v>
      </c>
      <c r="T32" s="2">
        <v>0.26385224274406333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3.9577836411609497</v>
      </c>
      <c r="AB32" s="2">
        <v>0</v>
      </c>
      <c r="AC32" s="2">
        <v>0.52770448548812665</v>
      </c>
      <c r="AD32" s="2">
        <v>16.094986807387862</v>
      </c>
      <c r="AE32" s="2">
        <v>6.3324538258575194</v>
      </c>
      <c r="AF32" s="2">
        <v>0</v>
      </c>
      <c r="AG32" s="2">
        <v>8.1794195250659634</v>
      </c>
      <c r="AH32" s="2">
        <v>0</v>
      </c>
      <c r="AI32" s="2">
        <v>1.8469656992084433</v>
      </c>
      <c r="AJ32" s="2">
        <v>0</v>
      </c>
      <c r="AK32" s="2">
        <v>1.0554089709762533</v>
      </c>
      <c r="AL32" s="2">
        <f t="shared" si="0"/>
        <v>17.53821399839099</v>
      </c>
      <c r="AM32">
        <v>379</v>
      </c>
      <c r="AN32" s="2"/>
      <c r="AO32">
        <v>379</v>
      </c>
      <c r="AP32" s="2">
        <v>12.43</v>
      </c>
      <c r="AQ32" s="5">
        <v>2</v>
      </c>
      <c r="AR32" s="5">
        <f t="shared" si="1"/>
        <v>60.981496379726472</v>
      </c>
      <c r="AS32" t="s">
        <v>82</v>
      </c>
      <c r="AT32">
        <v>33</v>
      </c>
      <c r="AU32">
        <v>28.9</v>
      </c>
      <c r="AV32">
        <v>58.5</v>
      </c>
      <c r="AW32" s="5">
        <v>0</v>
      </c>
      <c r="AX32" s="5">
        <v>0</v>
      </c>
      <c r="AY32" s="5">
        <v>24.538258575197887</v>
      </c>
      <c r="AZ32" s="5">
        <v>65</v>
      </c>
      <c r="BA32" s="2">
        <f t="shared" si="2"/>
        <v>0</v>
      </c>
      <c r="BB32" s="2">
        <f t="shared" si="3"/>
        <v>2.1108179419525066</v>
      </c>
      <c r="BD32" s="5">
        <v>12990.1</v>
      </c>
      <c r="BF32" s="13">
        <v>3.9577836411609497</v>
      </c>
      <c r="BG32" s="13">
        <v>18.469656992084431</v>
      </c>
      <c r="BH32" s="13">
        <v>0</v>
      </c>
      <c r="BI32" s="13">
        <v>0</v>
      </c>
      <c r="BJ32" s="12">
        <f t="shared" si="6"/>
        <v>44.854881266490764</v>
      </c>
      <c r="BK32" s="12">
        <f t="shared" si="7"/>
        <v>47.229551451187334</v>
      </c>
      <c r="BL32" s="12">
        <f t="shared" si="8"/>
        <v>18.469656992084431</v>
      </c>
      <c r="BM32" s="12">
        <f t="shared" si="9"/>
        <v>47.229551451187334</v>
      </c>
      <c r="BN32" s="12">
        <f t="shared" si="10"/>
        <v>14.248021108179419</v>
      </c>
      <c r="BO32" s="11">
        <f t="shared" si="11"/>
        <v>19.788918205804752</v>
      </c>
      <c r="BP32" s="2">
        <f t="shared" si="12"/>
        <v>24.274406332453825</v>
      </c>
      <c r="BQ32"/>
      <c r="BR32"/>
    </row>
    <row r="33" spans="1:72" ht="15.75">
      <c r="A33" t="s">
        <v>83</v>
      </c>
      <c r="B33">
        <v>422</v>
      </c>
      <c r="C33" s="5">
        <v>13012</v>
      </c>
      <c r="D33" s="2">
        <f t="shared" si="4"/>
        <v>13.012</v>
      </c>
      <c r="E33" s="39">
        <v>13256.85</v>
      </c>
      <c r="F33" s="2">
        <f t="shared" si="5"/>
        <v>13.25685</v>
      </c>
      <c r="G33" s="2">
        <v>4.3478260869565215</v>
      </c>
      <c r="H33" s="2">
        <v>7.6726342710997439</v>
      </c>
      <c r="I33" s="2">
        <v>0</v>
      </c>
      <c r="J33" s="2">
        <v>6.3938618925831205</v>
      </c>
      <c r="K33" s="2">
        <v>0</v>
      </c>
      <c r="L33" s="2">
        <v>3.5805626598465472</v>
      </c>
      <c r="M33" s="2">
        <v>0.51150895140664965</v>
      </c>
      <c r="N33" s="2">
        <v>0</v>
      </c>
      <c r="O33" s="2">
        <v>36.0613810741688</v>
      </c>
      <c r="P33" s="2">
        <v>0</v>
      </c>
      <c r="Q33" s="2">
        <v>2.5575447570332481</v>
      </c>
      <c r="R33" s="2">
        <v>0</v>
      </c>
      <c r="S33" s="2">
        <v>3.5805626598465472</v>
      </c>
      <c r="T33" s="2">
        <v>0.76726342710997442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2.5575447570332481</v>
      </c>
      <c r="AB33" s="2">
        <v>0</v>
      </c>
      <c r="AC33" s="2">
        <v>1.2787723785166241</v>
      </c>
      <c r="AD33" s="2">
        <v>12.787723785166241</v>
      </c>
      <c r="AE33" s="2">
        <v>6.3938618925831205</v>
      </c>
      <c r="AF33" s="2">
        <v>0</v>
      </c>
      <c r="AG33" s="2">
        <v>9.9744245524296673</v>
      </c>
      <c r="AH33" s="2">
        <v>0.25575447570332482</v>
      </c>
      <c r="AI33" s="2">
        <v>0.25575447570332482</v>
      </c>
      <c r="AJ33" s="2">
        <v>0</v>
      </c>
      <c r="AK33" s="2">
        <v>1.0230179028132993</v>
      </c>
      <c r="AL33" s="2">
        <f t="shared" si="0"/>
        <v>36.575875486381321</v>
      </c>
      <c r="AM33">
        <v>391</v>
      </c>
      <c r="AN33" s="2"/>
      <c r="AO33">
        <v>391</v>
      </c>
      <c r="AP33" s="2">
        <v>15.42</v>
      </c>
      <c r="AQ33" s="5">
        <v>4</v>
      </c>
      <c r="AR33" s="5">
        <f t="shared" si="1"/>
        <v>101.42671854734111</v>
      </c>
      <c r="AS33" t="s">
        <v>83</v>
      </c>
      <c r="AT33">
        <v>60.6</v>
      </c>
      <c r="AU33">
        <v>56.8</v>
      </c>
      <c r="AV33">
        <v>81.2</v>
      </c>
      <c r="AW33" s="5">
        <v>0</v>
      </c>
      <c r="AX33" s="5">
        <v>0</v>
      </c>
      <c r="AY33" s="5">
        <v>20.971867007672635</v>
      </c>
      <c r="AZ33" s="5">
        <v>63.829787234042556</v>
      </c>
      <c r="BA33" s="2">
        <f t="shared" si="2"/>
        <v>0</v>
      </c>
      <c r="BB33" s="2">
        <f t="shared" si="3"/>
        <v>4.0920716112531972</v>
      </c>
      <c r="BD33" s="5">
        <v>13012.3</v>
      </c>
      <c r="BF33" s="13">
        <v>3.3248081841432224</v>
      </c>
      <c r="BG33" s="13">
        <v>15.856777493606138</v>
      </c>
      <c r="BH33" s="13">
        <v>0</v>
      </c>
      <c r="BI33" s="13">
        <v>0</v>
      </c>
      <c r="BJ33" s="12">
        <f t="shared" si="6"/>
        <v>48.849104859335043</v>
      </c>
      <c r="BK33" s="12">
        <f t="shared" si="7"/>
        <v>51.918158567774938</v>
      </c>
      <c r="BL33" s="12">
        <f t="shared" si="8"/>
        <v>15.856777493606138</v>
      </c>
      <c r="BM33" s="12">
        <f t="shared" si="9"/>
        <v>51.918158567774938</v>
      </c>
      <c r="BN33" s="12">
        <f t="shared" si="10"/>
        <v>10.997442455242966</v>
      </c>
      <c r="BO33" s="11">
        <f t="shared" si="11"/>
        <v>15.345268542199488</v>
      </c>
      <c r="BP33" s="2">
        <f t="shared" si="12"/>
        <v>23.273657289002557</v>
      </c>
      <c r="BQ33"/>
      <c r="BR33"/>
    </row>
    <row r="34" spans="1:72" s="23" customFormat="1" ht="15.75">
      <c r="A34" s="105" t="s">
        <v>84</v>
      </c>
      <c r="B34" s="23">
        <v>442</v>
      </c>
      <c r="C34" s="24">
        <v>13042</v>
      </c>
      <c r="D34" s="25">
        <f t="shared" si="4"/>
        <v>13.042</v>
      </c>
      <c r="E34" s="39">
        <v>13286.05</v>
      </c>
      <c r="F34" s="2">
        <f t="shared" si="5"/>
        <v>13.286049999999999</v>
      </c>
      <c r="G34" s="25">
        <v>4.967602591792657</v>
      </c>
      <c r="H34" s="25">
        <v>6.2634989200863931</v>
      </c>
      <c r="I34" s="25">
        <v>0</v>
      </c>
      <c r="J34" s="25">
        <v>7.7753779697624186</v>
      </c>
      <c r="K34" s="25">
        <v>0</v>
      </c>
      <c r="L34" s="25">
        <v>4.319654427645788</v>
      </c>
      <c r="M34" s="25">
        <v>0.43196544276457882</v>
      </c>
      <c r="N34" s="25">
        <v>0</v>
      </c>
      <c r="O34" s="25">
        <v>40.388768898488124</v>
      </c>
      <c r="P34" s="25">
        <v>0</v>
      </c>
      <c r="Q34" s="25">
        <v>4.1036717062634986</v>
      </c>
      <c r="R34" s="25">
        <v>0</v>
      </c>
      <c r="S34" s="25">
        <v>0.64794816414686829</v>
      </c>
      <c r="T34" s="25">
        <v>1.079913606911447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  <c r="AA34" s="25">
        <v>2.8077753779697625</v>
      </c>
      <c r="AB34" s="25">
        <v>0</v>
      </c>
      <c r="AC34" s="25">
        <v>1.7278617710583153</v>
      </c>
      <c r="AD34" s="25">
        <v>7.3434125269978399</v>
      </c>
      <c r="AE34" s="25">
        <v>5.3995680345572357</v>
      </c>
      <c r="AF34" s="25">
        <v>0</v>
      </c>
      <c r="AG34" s="25">
        <v>10.583153347732182</v>
      </c>
      <c r="AH34" s="25">
        <v>1.079913606911447</v>
      </c>
      <c r="AI34" s="25">
        <v>0.43196544276457882</v>
      </c>
      <c r="AJ34" s="25">
        <v>0</v>
      </c>
      <c r="AK34" s="25">
        <v>0.64794816414686829</v>
      </c>
      <c r="AL34" s="25">
        <f t="shared" si="0"/>
        <v>47.192429022082024</v>
      </c>
      <c r="AM34" s="23">
        <v>463</v>
      </c>
      <c r="AN34" s="25"/>
      <c r="AO34" s="23">
        <v>463</v>
      </c>
      <c r="AP34" s="25">
        <v>15.85</v>
      </c>
      <c r="AQ34" s="24">
        <v>4</v>
      </c>
      <c r="AR34" s="24">
        <f t="shared" si="1"/>
        <v>116.84542586750788</v>
      </c>
      <c r="AS34" s="23" t="s">
        <v>84</v>
      </c>
      <c r="AT34" s="23">
        <v>64.2</v>
      </c>
      <c r="AU34" s="23">
        <v>61.9</v>
      </c>
      <c r="AV34" s="23">
        <v>75.8</v>
      </c>
      <c r="AW34" s="24">
        <v>2.9411764705882351</v>
      </c>
      <c r="AX34" s="24">
        <v>0</v>
      </c>
      <c r="AY34" s="24">
        <v>19.654427645788335</v>
      </c>
      <c r="AZ34" s="24">
        <v>55.769230769230774</v>
      </c>
      <c r="BA34" s="25">
        <f t="shared" si="2"/>
        <v>0</v>
      </c>
      <c r="BB34" s="25">
        <f t="shared" si="3"/>
        <v>4.7516198704103667</v>
      </c>
      <c r="BC34" s="24"/>
      <c r="BD34" s="24">
        <v>13041.9</v>
      </c>
      <c r="BE34" s="26"/>
      <c r="BF34" s="26">
        <v>2.8077753779697625</v>
      </c>
      <c r="BG34" s="26">
        <v>9.7192224622030245</v>
      </c>
      <c r="BH34" s="26">
        <v>0.21598272138228941</v>
      </c>
      <c r="BI34" s="26">
        <v>2.1739130434782608</v>
      </c>
      <c r="BJ34" s="27">
        <f t="shared" si="6"/>
        <v>47.732181425485962</v>
      </c>
      <c r="BK34" s="27">
        <f t="shared" si="7"/>
        <v>50.107991360691145</v>
      </c>
      <c r="BL34" s="12">
        <f t="shared" si="8"/>
        <v>9.9352051835853139</v>
      </c>
      <c r="BM34" s="27">
        <f t="shared" si="9"/>
        <v>50.323974082073434</v>
      </c>
      <c r="BN34" s="27">
        <f t="shared" si="10"/>
        <v>9.0712742980561565</v>
      </c>
      <c r="BO34" s="28">
        <f t="shared" si="11"/>
        <v>14.038876889848812</v>
      </c>
      <c r="BP34" s="2">
        <f t="shared" si="12"/>
        <v>27.429805615550755</v>
      </c>
      <c r="BQ34" s="23">
        <v>9</v>
      </c>
    </row>
    <row r="35" spans="1:72" ht="15.75">
      <c r="A35" t="s">
        <v>85</v>
      </c>
      <c r="B35">
        <v>457</v>
      </c>
      <c r="C35" s="5">
        <v>13069</v>
      </c>
      <c r="D35" s="2">
        <f t="shared" si="4"/>
        <v>13.069000000000001</v>
      </c>
      <c r="E35" s="39">
        <v>13310.47458</v>
      </c>
      <c r="F35" s="2">
        <f t="shared" si="5"/>
        <v>13.310474579999999</v>
      </c>
      <c r="G35" s="2">
        <v>3.7135278514588861</v>
      </c>
      <c r="H35" s="2">
        <v>4.7745358090185679</v>
      </c>
      <c r="I35" s="2">
        <v>0</v>
      </c>
      <c r="J35" s="2">
        <v>5.8355437665782492</v>
      </c>
      <c r="K35" s="2">
        <v>0</v>
      </c>
      <c r="L35" s="2">
        <v>3.183023872679045</v>
      </c>
      <c r="M35" s="2">
        <v>0</v>
      </c>
      <c r="N35" s="2">
        <v>0.26525198938992045</v>
      </c>
      <c r="O35" s="2">
        <v>47.214854111405835</v>
      </c>
      <c r="P35" s="2">
        <v>0</v>
      </c>
      <c r="Q35" s="2">
        <v>2.9177718832891246</v>
      </c>
      <c r="R35" s="2">
        <v>0</v>
      </c>
      <c r="S35" s="2">
        <v>0</v>
      </c>
      <c r="T35" s="2">
        <v>2.3872679045092839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0.5305039787798409</v>
      </c>
      <c r="AB35" s="2">
        <v>0.26525198938992045</v>
      </c>
      <c r="AC35" s="2">
        <v>4.2440318302387272</v>
      </c>
      <c r="AD35" s="2">
        <v>6.8965517241379306</v>
      </c>
      <c r="AE35" s="2">
        <v>5.0397877984084882</v>
      </c>
      <c r="AF35" s="2">
        <v>0</v>
      </c>
      <c r="AG35" s="2">
        <v>6.6312997347480103</v>
      </c>
      <c r="AH35" s="2">
        <v>1.856763925729443</v>
      </c>
      <c r="AI35" s="2">
        <v>1.856763925729443</v>
      </c>
      <c r="AJ35" s="2">
        <v>0.5305039787798409</v>
      </c>
      <c r="AK35" s="2">
        <v>1.856763925729443</v>
      </c>
      <c r="AL35" s="2">
        <f t="shared" si="0"/>
        <v>97.869415807560145</v>
      </c>
      <c r="AM35">
        <v>377</v>
      </c>
      <c r="AN35" s="2"/>
      <c r="AO35">
        <v>377</v>
      </c>
      <c r="AP35" s="2">
        <v>14.55</v>
      </c>
      <c r="AQ35" s="5">
        <v>8</v>
      </c>
      <c r="AR35" s="5">
        <f t="shared" si="1"/>
        <v>207.2852233676976</v>
      </c>
      <c r="AS35" t="s">
        <v>85</v>
      </c>
      <c r="AT35">
        <v>78.2</v>
      </c>
      <c r="AU35">
        <v>77.7</v>
      </c>
      <c r="AV35">
        <v>82</v>
      </c>
      <c r="AW35" s="5">
        <v>0</v>
      </c>
      <c r="AX35" s="5">
        <v>0</v>
      </c>
      <c r="AY35" s="5">
        <v>13.262599469496022</v>
      </c>
      <c r="AZ35" s="5">
        <v>56.25</v>
      </c>
      <c r="BA35" s="2">
        <f t="shared" si="2"/>
        <v>0</v>
      </c>
      <c r="BB35" s="2">
        <f t="shared" si="3"/>
        <v>3.183023872679045</v>
      </c>
      <c r="BD35" s="5">
        <v>13069.016949999999</v>
      </c>
      <c r="BF35" s="13">
        <v>1.856763925729443</v>
      </c>
      <c r="BG35" s="13">
        <v>10.079575596816976</v>
      </c>
      <c r="BH35" s="13">
        <v>0</v>
      </c>
      <c r="BI35" s="13">
        <v>0</v>
      </c>
      <c r="BJ35" s="12">
        <f t="shared" si="6"/>
        <v>54.111405835543763</v>
      </c>
      <c r="BK35" s="12">
        <f t="shared" si="7"/>
        <v>57.294429708222808</v>
      </c>
      <c r="BL35" s="12">
        <f t="shared" si="8"/>
        <v>10.079575596816976</v>
      </c>
      <c r="BM35" s="12">
        <f t="shared" si="9"/>
        <v>57.294429708222808</v>
      </c>
      <c r="BN35" s="12">
        <f t="shared" si="10"/>
        <v>6.6312997347480112</v>
      </c>
      <c r="BO35" s="11">
        <f t="shared" si="11"/>
        <v>10.344827586206897</v>
      </c>
      <c r="BP35" s="2">
        <f t="shared" si="12"/>
        <v>19.098143236074272</v>
      </c>
      <c r="BQ35"/>
      <c r="BR35"/>
    </row>
    <row r="36" spans="1:72" ht="15.75">
      <c r="A36" t="s">
        <v>86</v>
      </c>
      <c r="B36">
        <v>467</v>
      </c>
      <c r="C36" s="5">
        <v>13090</v>
      </c>
      <c r="D36" s="2">
        <f t="shared" si="4"/>
        <v>13.09</v>
      </c>
      <c r="E36" s="39">
        <v>13328.44068</v>
      </c>
      <c r="F36" s="2">
        <f t="shared" si="5"/>
        <v>13.32844068</v>
      </c>
      <c r="G36" s="2">
        <v>4.4585987261146496</v>
      </c>
      <c r="H36" s="2">
        <v>6.369426751592357</v>
      </c>
      <c r="I36" s="2">
        <v>0</v>
      </c>
      <c r="J36" s="2">
        <v>4.7770700636942678</v>
      </c>
      <c r="K36" s="2">
        <v>0.31847133757961782</v>
      </c>
      <c r="L36" s="2">
        <v>0.63694267515923564</v>
      </c>
      <c r="M36" s="2">
        <v>0.31847133757961782</v>
      </c>
      <c r="N36" s="2">
        <v>0</v>
      </c>
      <c r="O36" s="2">
        <v>50.636942675159233</v>
      </c>
      <c r="P36" s="2">
        <v>0</v>
      </c>
      <c r="Q36" s="2">
        <v>4.4585987261146496</v>
      </c>
      <c r="R36" s="2">
        <v>0</v>
      </c>
      <c r="S36" s="2">
        <v>0.95541401273885351</v>
      </c>
      <c r="T36" s="2">
        <v>0.63694267515923564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1.5923566878980893</v>
      </c>
      <c r="AB36" s="2">
        <v>0</v>
      </c>
      <c r="AC36" s="2">
        <v>1.5923566878980893</v>
      </c>
      <c r="AD36" s="2">
        <v>6.6878980891719744</v>
      </c>
      <c r="AE36" s="2">
        <v>6.0509554140127388</v>
      </c>
      <c r="AF36" s="2">
        <v>0</v>
      </c>
      <c r="AG36" s="2">
        <v>9.2356687898089174</v>
      </c>
      <c r="AH36" s="2">
        <v>0</v>
      </c>
      <c r="AI36" s="2">
        <v>0.31847133757961782</v>
      </c>
      <c r="AJ36" s="2">
        <v>0.31847133757961782</v>
      </c>
      <c r="AK36" s="2">
        <v>0.63694267515923564</v>
      </c>
      <c r="AL36" s="2">
        <f t="shared" si="0"/>
        <v>103.92156862745098</v>
      </c>
      <c r="AM36">
        <v>314</v>
      </c>
      <c r="AN36" s="2"/>
      <c r="AO36">
        <v>314</v>
      </c>
      <c r="AP36" s="2">
        <v>12.24</v>
      </c>
      <c r="AQ36" s="5">
        <v>8</v>
      </c>
      <c r="AR36" s="5">
        <f t="shared" si="1"/>
        <v>205.22875816993465</v>
      </c>
      <c r="AS36" t="s">
        <v>86</v>
      </c>
      <c r="AT36">
        <v>74.8</v>
      </c>
      <c r="AU36">
        <v>75.099999999999994</v>
      </c>
      <c r="AV36">
        <v>72.900000000000006</v>
      </c>
      <c r="AW36" s="5">
        <v>0</v>
      </c>
      <c r="AX36" s="5">
        <v>0</v>
      </c>
      <c r="AY36" s="5">
        <v>13.694267515923567</v>
      </c>
      <c r="AZ36" s="5">
        <v>58.82352941176471</v>
      </c>
      <c r="BA36" s="2">
        <f t="shared" si="2"/>
        <v>0</v>
      </c>
      <c r="BB36" s="2">
        <f t="shared" si="3"/>
        <v>0.95541401273885351</v>
      </c>
      <c r="BD36" s="5">
        <v>13090.372880000001</v>
      </c>
      <c r="BF36" s="13">
        <v>3.5031847133757963</v>
      </c>
      <c r="BG36" s="13">
        <v>9.2356687898089174</v>
      </c>
      <c r="BH36" s="13">
        <v>0</v>
      </c>
      <c r="BI36" s="13">
        <v>0</v>
      </c>
      <c r="BJ36" s="12">
        <f t="shared" si="6"/>
        <v>57.324840764331206</v>
      </c>
      <c r="BK36" s="12">
        <f t="shared" si="7"/>
        <v>59.872611464968152</v>
      </c>
      <c r="BL36" s="12">
        <f t="shared" si="8"/>
        <v>9.2356687898089174</v>
      </c>
      <c r="BM36" s="12">
        <f t="shared" si="9"/>
        <v>59.872611464968152</v>
      </c>
      <c r="BN36" s="12">
        <f t="shared" si="10"/>
        <v>9.8726114649681538</v>
      </c>
      <c r="BO36" s="11">
        <f t="shared" si="11"/>
        <v>14.331210191082803</v>
      </c>
      <c r="BP36" s="2">
        <f t="shared" si="12"/>
        <v>22.929936305732483</v>
      </c>
      <c r="BQ36"/>
      <c r="BR36"/>
    </row>
    <row r="37" spans="1:72" s="123" customFormat="1" ht="15.75">
      <c r="A37" s="123" t="s">
        <v>87</v>
      </c>
      <c r="B37" s="123">
        <v>482</v>
      </c>
      <c r="C37" s="137">
        <v>13172</v>
      </c>
      <c r="D37" s="138">
        <f t="shared" si="4"/>
        <v>13.172000000000001</v>
      </c>
      <c r="E37" s="139">
        <v>13411.5</v>
      </c>
      <c r="F37" s="138">
        <f t="shared" si="5"/>
        <v>13.4115</v>
      </c>
      <c r="G37" s="138">
        <v>4.6228710462287106</v>
      </c>
      <c r="H37" s="138">
        <v>6.8126520681265204</v>
      </c>
      <c r="I37" s="138">
        <v>0</v>
      </c>
      <c r="J37" s="138">
        <v>3.4063260340632602</v>
      </c>
      <c r="K37" s="138">
        <v>0</v>
      </c>
      <c r="L37" s="138">
        <v>2.4330900243309004</v>
      </c>
      <c r="M37" s="138">
        <v>0</v>
      </c>
      <c r="N37" s="138">
        <v>0.24330900243309003</v>
      </c>
      <c r="O37" s="138">
        <v>48.661800486618006</v>
      </c>
      <c r="P37" s="138">
        <v>0</v>
      </c>
      <c r="Q37" s="138">
        <v>3.4063260340632602</v>
      </c>
      <c r="R37" s="138">
        <v>0</v>
      </c>
      <c r="S37" s="138">
        <v>0</v>
      </c>
      <c r="T37" s="138">
        <v>2.1897810218978102</v>
      </c>
      <c r="U37" s="138">
        <v>0</v>
      </c>
      <c r="V37" s="138">
        <v>0</v>
      </c>
      <c r="W37" s="138">
        <v>0</v>
      </c>
      <c r="X37" s="138">
        <v>0</v>
      </c>
      <c r="Y37" s="138">
        <v>0</v>
      </c>
      <c r="Z37" s="138">
        <v>0</v>
      </c>
      <c r="AA37" s="138">
        <v>0.72992700729927007</v>
      </c>
      <c r="AB37" s="138">
        <v>0</v>
      </c>
      <c r="AC37" s="138">
        <v>0.72992700729927007</v>
      </c>
      <c r="AD37" s="138">
        <v>5.3527980535279802</v>
      </c>
      <c r="AE37" s="138">
        <v>9.7323600973236015</v>
      </c>
      <c r="AF37" s="138">
        <v>0</v>
      </c>
      <c r="AG37" s="138">
        <v>9.7323600973236015</v>
      </c>
      <c r="AH37" s="138">
        <v>0</v>
      </c>
      <c r="AI37" s="138">
        <v>1.2165450121654502</v>
      </c>
      <c r="AJ37" s="138">
        <v>0</v>
      </c>
      <c r="AK37" s="138">
        <v>0.48661800486618007</v>
      </c>
      <c r="AL37" s="138">
        <f t="shared" si="0"/>
        <v>116.78832116788323</v>
      </c>
      <c r="AM37" s="123">
        <v>411</v>
      </c>
      <c r="AN37" s="138"/>
      <c r="AO37" s="123">
        <v>411</v>
      </c>
      <c r="AP37" s="138">
        <v>13.7</v>
      </c>
      <c r="AQ37" s="137">
        <v>8</v>
      </c>
      <c r="AR37" s="137">
        <f t="shared" si="1"/>
        <v>240</v>
      </c>
      <c r="AS37" s="123" t="s">
        <v>87</v>
      </c>
      <c r="AT37" s="123">
        <v>84.2</v>
      </c>
      <c r="AU37" s="123">
        <v>84.3</v>
      </c>
      <c r="AV37" s="123">
        <v>84.1</v>
      </c>
      <c r="AW37" s="137">
        <v>0</v>
      </c>
      <c r="AX37" s="137">
        <v>2.5</v>
      </c>
      <c r="AY37" s="137">
        <v>18.004866180048662</v>
      </c>
      <c r="AZ37" s="137">
        <v>59.574468085106382</v>
      </c>
      <c r="BA37" s="138">
        <f t="shared" si="2"/>
        <v>0</v>
      </c>
      <c r="BB37" s="138">
        <f t="shared" si="3"/>
        <v>2.4330900243309004</v>
      </c>
      <c r="BC37" s="137"/>
      <c r="BD37" s="137">
        <v>13171.5</v>
      </c>
      <c r="BE37" s="142"/>
      <c r="BF37" s="142">
        <v>7.2992700729927007</v>
      </c>
      <c r="BG37" s="142">
        <v>8.2725060827250605</v>
      </c>
      <c r="BH37" s="142">
        <v>0</v>
      </c>
      <c r="BI37" s="142">
        <v>0</v>
      </c>
      <c r="BJ37" s="144">
        <f t="shared" si="6"/>
        <v>54.014598540145982</v>
      </c>
      <c r="BK37" s="144">
        <f t="shared" si="7"/>
        <v>56.934306569343065</v>
      </c>
      <c r="BL37" s="144">
        <f t="shared" si="8"/>
        <v>8.2725060827250605</v>
      </c>
      <c r="BM37" s="144">
        <f t="shared" si="9"/>
        <v>56.934306569343065</v>
      </c>
      <c r="BN37" s="144">
        <f t="shared" si="10"/>
        <v>14.111922141119221</v>
      </c>
      <c r="BO37" s="145">
        <f t="shared" si="11"/>
        <v>18.734793187347933</v>
      </c>
      <c r="BP37" s="138">
        <f t="shared" si="12"/>
        <v>21.167883211678834</v>
      </c>
    </row>
    <row r="38" spans="1:72" ht="15.75">
      <c r="A38" s="105" t="s">
        <v>88</v>
      </c>
      <c r="B38">
        <v>502</v>
      </c>
      <c r="C38" s="5">
        <v>13542</v>
      </c>
      <c r="D38" s="2">
        <f t="shared" si="4"/>
        <v>13.542</v>
      </c>
      <c r="E38" s="39">
        <v>13821.5</v>
      </c>
      <c r="F38" s="2">
        <f t="shared" si="5"/>
        <v>13.8215</v>
      </c>
      <c r="G38" s="2">
        <v>7.2340425531914896</v>
      </c>
      <c r="H38" s="2">
        <v>7.6595744680851068</v>
      </c>
      <c r="I38" s="2">
        <v>0</v>
      </c>
      <c r="J38" s="2">
        <v>5.5319148936170217</v>
      </c>
      <c r="K38" s="2">
        <v>0</v>
      </c>
      <c r="L38" s="2">
        <v>2.1276595744680851</v>
      </c>
      <c r="M38" s="2">
        <v>1.2765957446808511</v>
      </c>
      <c r="N38" s="2">
        <v>0</v>
      </c>
      <c r="O38" s="2">
        <v>42.553191489361701</v>
      </c>
      <c r="P38" s="2">
        <v>0</v>
      </c>
      <c r="Q38" s="2">
        <v>3.4042553191489362</v>
      </c>
      <c r="R38" s="2">
        <v>0</v>
      </c>
      <c r="S38" s="2">
        <v>0.85106382978723405</v>
      </c>
      <c r="T38" s="2">
        <v>1.2765957446808511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0.42553191489361702</v>
      </c>
      <c r="AB38" s="2">
        <v>0</v>
      </c>
      <c r="AC38" s="2">
        <v>3.4042553191489362</v>
      </c>
      <c r="AD38" s="2">
        <v>1.7021276595744681</v>
      </c>
      <c r="AE38" s="2">
        <v>8.9361702127659566</v>
      </c>
      <c r="AF38" s="2">
        <v>0</v>
      </c>
      <c r="AG38" s="2">
        <v>8.9361702127659566</v>
      </c>
      <c r="AH38" s="2">
        <v>2.1276595744680851</v>
      </c>
      <c r="AI38" s="2">
        <v>0.85106382978723405</v>
      </c>
      <c r="AJ38" s="2">
        <v>0</v>
      </c>
      <c r="AK38" s="2">
        <v>1.7021276595744681</v>
      </c>
      <c r="AL38" s="2">
        <f t="shared" ref="AL38:AL69" si="13">AR38*O38/100</f>
        <v>93.731693028705337</v>
      </c>
      <c r="AM38">
        <v>235</v>
      </c>
      <c r="AN38" s="2"/>
      <c r="AO38">
        <v>235</v>
      </c>
      <c r="AP38" s="2">
        <v>17.07</v>
      </c>
      <c r="AQ38" s="5">
        <v>16</v>
      </c>
      <c r="AR38" s="5">
        <f t="shared" ref="AR38:AR69" si="14">AO38*AQ38/AP38</f>
        <v>220.26947861745754</v>
      </c>
      <c r="AS38" t="s">
        <v>88</v>
      </c>
      <c r="AT38">
        <v>75.599999999999994</v>
      </c>
      <c r="AU38">
        <v>72.900000000000006</v>
      </c>
      <c r="AV38">
        <v>88.7</v>
      </c>
      <c r="AW38" s="5">
        <v>0</v>
      </c>
      <c r="AX38" s="5">
        <v>0</v>
      </c>
      <c r="AY38" s="5">
        <v>20</v>
      </c>
      <c r="AZ38" s="5">
        <v>51.428571428571423</v>
      </c>
      <c r="BA38" s="2">
        <f t="shared" ref="BA38:BA69" si="15">W38+X38</f>
        <v>0</v>
      </c>
      <c r="BB38" s="2">
        <f t="shared" ref="BB38:BB69" si="16">L38+M38</f>
        <v>3.4042553191489362</v>
      </c>
      <c r="BD38" s="5">
        <v>13541.5</v>
      </c>
      <c r="BF38" s="13">
        <v>6.3829787234042552</v>
      </c>
      <c r="BG38" s="13">
        <v>4.2553191489361701</v>
      </c>
      <c r="BH38" s="13">
        <v>0</v>
      </c>
      <c r="BI38" s="13">
        <v>0</v>
      </c>
      <c r="BJ38" s="12">
        <f t="shared" si="6"/>
        <v>44.255319148936167</v>
      </c>
      <c r="BK38" s="12">
        <f t="shared" si="7"/>
        <v>46.808510638297875</v>
      </c>
      <c r="BL38" s="12">
        <f t="shared" si="8"/>
        <v>4.2553191489361701</v>
      </c>
      <c r="BM38" s="12">
        <f t="shared" si="9"/>
        <v>46.808510638297875</v>
      </c>
      <c r="BN38" s="12">
        <f t="shared" si="10"/>
        <v>14.042553191489361</v>
      </c>
      <c r="BO38" s="11">
        <f t="shared" si="11"/>
        <v>21.276595744680854</v>
      </c>
      <c r="BP38" s="2">
        <f t="shared" si="12"/>
        <v>25.106382978723403</v>
      </c>
      <c r="BQ38"/>
      <c r="BR38"/>
      <c r="BT38">
        <v>0</v>
      </c>
    </row>
    <row r="39" spans="1:72" s="123" customFormat="1" ht="15.75">
      <c r="A39" s="123" t="s">
        <v>89</v>
      </c>
      <c r="B39" s="123">
        <v>542</v>
      </c>
      <c r="C39" s="137">
        <v>14908</v>
      </c>
      <c r="D39" s="138">
        <f t="shared" si="4"/>
        <v>14.907999999999999</v>
      </c>
      <c r="E39" s="139">
        <v>15297.74545</v>
      </c>
      <c r="F39" s="138">
        <f t="shared" si="5"/>
        <v>15.297745450000001</v>
      </c>
      <c r="G39" s="138">
        <v>12.280701754385966</v>
      </c>
      <c r="H39" s="138">
        <v>5.2631578947368425</v>
      </c>
      <c r="I39" s="138">
        <v>0</v>
      </c>
      <c r="J39" s="138">
        <v>6.3596491228070171</v>
      </c>
      <c r="K39" s="138">
        <v>0</v>
      </c>
      <c r="L39" s="138">
        <v>1.0964912280701755</v>
      </c>
      <c r="M39" s="138">
        <v>0</v>
      </c>
      <c r="N39" s="138">
        <v>1.5350877192982457</v>
      </c>
      <c r="O39" s="138">
        <v>53.508771929824562</v>
      </c>
      <c r="P39" s="138">
        <v>0</v>
      </c>
      <c r="Q39" s="138">
        <v>1.3157894736842106</v>
      </c>
      <c r="R39" s="138">
        <v>0</v>
      </c>
      <c r="S39" s="138">
        <v>0.21929824561403508</v>
      </c>
      <c r="T39" s="138">
        <v>2.192982456140351</v>
      </c>
      <c r="U39" s="138">
        <v>0</v>
      </c>
      <c r="V39" s="138">
        <v>0</v>
      </c>
      <c r="W39" s="138">
        <v>0</v>
      </c>
      <c r="X39" s="138">
        <v>0</v>
      </c>
      <c r="Y39" s="138">
        <v>0</v>
      </c>
      <c r="Z39" s="138">
        <v>0</v>
      </c>
      <c r="AA39" s="138">
        <v>0.8771929824561403</v>
      </c>
      <c r="AB39" s="138">
        <v>0</v>
      </c>
      <c r="AC39" s="138">
        <v>1.0964912280701755</v>
      </c>
      <c r="AD39" s="138">
        <v>2.192982456140351</v>
      </c>
      <c r="AE39" s="138">
        <v>2.4122807017543861</v>
      </c>
      <c r="AF39" s="138">
        <v>0</v>
      </c>
      <c r="AG39" s="138">
        <v>4.8245614035087723</v>
      </c>
      <c r="AH39" s="138">
        <v>0.8771929824561403</v>
      </c>
      <c r="AI39" s="138">
        <v>2.8508771929824563</v>
      </c>
      <c r="AJ39" s="138">
        <v>0</v>
      </c>
      <c r="AK39" s="138">
        <v>1.0964912280701755</v>
      </c>
      <c r="AL39" s="138">
        <f t="shared" si="13"/>
        <v>285.79795021961934</v>
      </c>
      <c r="AM39" s="123">
        <v>456</v>
      </c>
      <c r="AN39" s="138"/>
      <c r="AO39" s="123">
        <v>456</v>
      </c>
      <c r="AP39" s="138">
        <v>13.66</v>
      </c>
      <c r="AQ39" s="137">
        <v>16</v>
      </c>
      <c r="AR39" s="137">
        <f t="shared" si="14"/>
        <v>534.11420204978037</v>
      </c>
      <c r="AS39" s="123" t="s">
        <v>89</v>
      </c>
      <c r="AT39" s="123">
        <v>84.1</v>
      </c>
      <c r="AU39" s="123">
        <v>84.7</v>
      </c>
      <c r="AV39" s="123">
        <v>78.900000000000006</v>
      </c>
      <c r="AW39" s="137">
        <v>0</v>
      </c>
      <c r="AX39" s="137">
        <v>0</v>
      </c>
      <c r="AY39" s="137">
        <v>9.8684210526315788</v>
      </c>
      <c r="AZ39" s="137">
        <v>30</v>
      </c>
      <c r="BA39" s="138">
        <f t="shared" si="15"/>
        <v>0</v>
      </c>
      <c r="BB39" s="138">
        <f t="shared" si="16"/>
        <v>1.0964912280701755</v>
      </c>
      <c r="BC39" s="137"/>
      <c r="BD39" s="137">
        <v>14908.14545</v>
      </c>
      <c r="BE39" s="142"/>
      <c r="BF39" s="142">
        <v>1.3157894736842106</v>
      </c>
      <c r="BG39" s="142">
        <v>3.2894736842105261</v>
      </c>
      <c r="BH39" s="142">
        <v>0</v>
      </c>
      <c r="BI39" s="142">
        <v>0</v>
      </c>
      <c r="BJ39" s="144">
        <f t="shared" si="6"/>
        <v>55.701754385964911</v>
      </c>
      <c r="BK39" s="144">
        <f t="shared" si="7"/>
        <v>56.798245614035089</v>
      </c>
      <c r="BL39" s="144">
        <f t="shared" si="8"/>
        <v>3.2894736842105261</v>
      </c>
      <c r="BM39" s="144">
        <f t="shared" si="9"/>
        <v>56.798245614035089</v>
      </c>
      <c r="BN39" s="144">
        <f>H39+BF39</f>
        <v>6.5789473684210531</v>
      </c>
      <c r="BO39" s="145">
        <f t="shared" si="11"/>
        <v>18.859649122807021</v>
      </c>
      <c r="BP39" s="138">
        <f t="shared" si="12"/>
        <v>24.780701754385966</v>
      </c>
      <c r="BQ39" s="123">
        <v>7</v>
      </c>
      <c r="BT39" s="123">
        <v>4.0816326530612246</v>
      </c>
    </row>
    <row r="40" spans="1:72" ht="15.75">
      <c r="A40" t="s">
        <v>90</v>
      </c>
      <c r="B40">
        <v>560</v>
      </c>
      <c r="C40" s="5">
        <v>15546</v>
      </c>
      <c r="D40" s="2">
        <f t="shared" si="4"/>
        <v>15.545999999999999</v>
      </c>
      <c r="E40" s="39">
        <v>15986</v>
      </c>
      <c r="F40" s="2">
        <f t="shared" si="5"/>
        <v>15.986000000000001</v>
      </c>
      <c r="G40" s="2">
        <v>6.1420345489443378</v>
      </c>
      <c r="H40" s="2">
        <v>8.2533589251439547</v>
      </c>
      <c r="I40" s="2">
        <v>0</v>
      </c>
      <c r="J40" s="2">
        <v>4.4145873320537428</v>
      </c>
      <c r="K40" s="2">
        <v>0.76775431861804222</v>
      </c>
      <c r="L40" s="2">
        <v>1.3435700575815739</v>
      </c>
      <c r="M40" s="2">
        <v>0</v>
      </c>
      <c r="N40" s="2">
        <v>0.76775431861804222</v>
      </c>
      <c r="O40" s="2">
        <v>57.197696737044147</v>
      </c>
      <c r="P40" s="2">
        <v>0</v>
      </c>
      <c r="Q40" s="2">
        <v>1.3435700575815739</v>
      </c>
      <c r="R40" s="2">
        <v>0</v>
      </c>
      <c r="S40" s="2">
        <v>0.57581573896353166</v>
      </c>
      <c r="T40" s="2">
        <v>2.3032629558541267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0.57581573896353166</v>
      </c>
      <c r="AB40" s="2">
        <v>0</v>
      </c>
      <c r="AC40" s="2">
        <v>0.76775431861804222</v>
      </c>
      <c r="AD40" s="2">
        <v>2.3032629558541267</v>
      </c>
      <c r="AE40" s="2">
        <v>3.2629558541266794</v>
      </c>
      <c r="AF40" s="2">
        <v>0</v>
      </c>
      <c r="AG40" s="2">
        <v>6.5259117082533589</v>
      </c>
      <c r="AH40" s="2">
        <v>0.57581573896353166</v>
      </c>
      <c r="AI40" s="2">
        <v>1.9193857965451055</v>
      </c>
      <c r="AJ40" s="2">
        <v>0</v>
      </c>
      <c r="AK40" s="2">
        <v>0.76775431861804222</v>
      </c>
      <c r="AL40" s="2">
        <f t="shared" si="13"/>
        <v>336.96113074204948</v>
      </c>
      <c r="AM40">
        <v>521</v>
      </c>
      <c r="AN40" s="2"/>
      <c r="AO40">
        <v>521</v>
      </c>
      <c r="AP40" s="2">
        <v>14.15</v>
      </c>
      <c r="AQ40" s="5">
        <v>16</v>
      </c>
      <c r="AR40" s="5">
        <f t="shared" si="14"/>
        <v>589.11660777385157</v>
      </c>
      <c r="AS40" t="s">
        <v>90</v>
      </c>
      <c r="AT40">
        <v>80.7</v>
      </c>
      <c r="AU40">
        <v>80.900000000000006</v>
      </c>
      <c r="AV40">
        <v>78.8</v>
      </c>
      <c r="AW40" s="5">
        <v>8.3333333333333321</v>
      </c>
      <c r="AX40" s="5">
        <v>0</v>
      </c>
      <c r="AY40" s="5">
        <v>12.092130518234164</v>
      </c>
      <c r="AZ40" s="5">
        <v>57.333333333333336</v>
      </c>
      <c r="BA40" s="2">
        <f t="shared" si="15"/>
        <v>0</v>
      </c>
      <c r="BB40" s="2">
        <f t="shared" si="16"/>
        <v>1.3435700575815739</v>
      </c>
      <c r="BD40" s="5">
        <v>15546</v>
      </c>
      <c r="BF40" s="13">
        <v>1.3435700575815739</v>
      </c>
      <c r="BG40" s="13">
        <v>4.0307101727447217</v>
      </c>
      <c r="BH40" s="13">
        <v>0.19193857965451055</v>
      </c>
      <c r="BI40" s="13">
        <v>4.5454545454545459</v>
      </c>
      <c r="BJ40" s="12">
        <f t="shared" si="6"/>
        <v>59.500959692898277</v>
      </c>
      <c r="BK40" s="12">
        <f t="shared" si="7"/>
        <v>61.228406909788866</v>
      </c>
      <c r="BL40" s="12">
        <f t="shared" si="8"/>
        <v>4.2226487523992322</v>
      </c>
      <c r="BM40" s="12">
        <f t="shared" si="9"/>
        <v>61.420345489443378</v>
      </c>
      <c r="BN40" s="12">
        <f t="shared" si="10"/>
        <v>9.5969289827255295</v>
      </c>
      <c r="BO40" s="11">
        <f t="shared" si="11"/>
        <v>15.738963531669867</v>
      </c>
      <c r="BP40" s="2">
        <f t="shared" si="12"/>
        <v>18.426103646833013</v>
      </c>
      <c r="BQ40"/>
      <c r="BR40"/>
      <c r="BT40">
        <v>19.057815845824411</v>
      </c>
    </row>
    <row r="41" spans="1:72" ht="15.75">
      <c r="A41" t="s">
        <v>91</v>
      </c>
      <c r="B41">
        <v>577</v>
      </c>
      <c r="C41" s="5">
        <v>16362</v>
      </c>
      <c r="D41" s="2">
        <f t="shared" si="4"/>
        <v>16.361999999999998</v>
      </c>
      <c r="E41" s="39">
        <v>16846.77778</v>
      </c>
      <c r="F41" s="2">
        <f t="shared" si="5"/>
        <v>16.84677778</v>
      </c>
      <c r="G41" s="2">
        <v>7.1038251366120218</v>
      </c>
      <c r="H41" s="2">
        <v>8.4699453551912569</v>
      </c>
      <c r="I41" s="2">
        <v>0</v>
      </c>
      <c r="J41" s="2">
        <v>5.7377049180327866</v>
      </c>
      <c r="K41" s="2">
        <v>0</v>
      </c>
      <c r="L41" s="2">
        <v>1.639344262295082</v>
      </c>
      <c r="M41" s="2">
        <v>0</v>
      </c>
      <c r="N41" s="2">
        <v>0.54644808743169404</v>
      </c>
      <c r="O41" s="2">
        <v>53.825136612021858</v>
      </c>
      <c r="P41" s="2">
        <v>0</v>
      </c>
      <c r="Q41" s="2">
        <v>2.7322404371584699</v>
      </c>
      <c r="R41" s="2">
        <v>0</v>
      </c>
      <c r="S41" s="2">
        <v>0</v>
      </c>
      <c r="T41" s="2">
        <v>1.3661202185792349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1.3661202185792349</v>
      </c>
      <c r="AB41" s="2">
        <v>0</v>
      </c>
      <c r="AC41" s="2">
        <v>1.0928961748633881</v>
      </c>
      <c r="AD41" s="2">
        <v>5.1912568306010929</v>
      </c>
      <c r="AE41" s="2">
        <v>3.5519125683060109</v>
      </c>
      <c r="AF41" s="2">
        <v>0</v>
      </c>
      <c r="AG41" s="2">
        <v>5.7377049180327866</v>
      </c>
      <c r="AH41" s="2">
        <v>0</v>
      </c>
      <c r="AI41" s="2">
        <v>1.0928961748633881</v>
      </c>
      <c r="AJ41" s="2">
        <v>0</v>
      </c>
      <c r="AK41" s="2">
        <v>0.54644808743169404</v>
      </c>
      <c r="AL41" s="2">
        <f t="shared" si="13"/>
        <v>237.88679245283021</v>
      </c>
      <c r="AM41">
        <v>366</v>
      </c>
      <c r="AN41" s="2"/>
      <c r="AO41">
        <v>366</v>
      </c>
      <c r="AP41" s="2">
        <v>13.25</v>
      </c>
      <c r="AQ41" s="5">
        <v>16</v>
      </c>
      <c r="AR41" s="5">
        <f t="shared" si="14"/>
        <v>441.96226415094338</v>
      </c>
      <c r="AS41" t="s">
        <v>91</v>
      </c>
      <c r="AT41">
        <v>82.6</v>
      </c>
      <c r="AU41">
        <v>81.900000000000006</v>
      </c>
      <c r="AV41">
        <v>87.5</v>
      </c>
      <c r="AW41" s="5">
        <v>0</v>
      </c>
      <c r="AX41" s="5">
        <v>0</v>
      </c>
      <c r="AY41" s="5">
        <v>13.387978142076504</v>
      </c>
      <c r="AZ41" s="5">
        <v>54.385964912280706</v>
      </c>
      <c r="BA41" s="2">
        <f t="shared" si="15"/>
        <v>0</v>
      </c>
      <c r="BB41" s="2">
        <f t="shared" si="16"/>
        <v>1.639344262295082</v>
      </c>
      <c r="BD41" s="5">
        <v>16361.666670000001</v>
      </c>
      <c r="BF41" s="13">
        <v>1.3661202185792349</v>
      </c>
      <c r="BG41" s="13">
        <v>7.3770491803278686</v>
      </c>
      <c r="BH41" s="13">
        <v>0</v>
      </c>
      <c r="BI41" s="13">
        <v>0</v>
      </c>
      <c r="BJ41" s="12">
        <f t="shared" si="6"/>
        <v>59.016393442622949</v>
      </c>
      <c r="BK41" s="12">
        <f t="shared" si="7"/>
        <v>61.202185792349724</v>
      </c>
      <c r="BL41" s="12">
        <f t="shared" si="8"/>
        <v>7.3770491803278686</v>
      </c>
      <c r="BM41" s="12">
        <f t="shared" si="9"/>
        <v>61.202185792349724</v>
      </c>
      <c r="BN41" s="12">
        <f t="shared" si="10"/>
        <v>9.8360655737704921</v>
      </c>
      <c r="BO41" s="11">
        <f t="shared" si="11"/>
        <v>16.939890710382514</v>
      </c>
      <c r="BP41" s="2">
        <f t="shared" si="12"/>
        <v>21.311475409836063</v>
      </c>
      <c r="BQ41"/>
      <c r="BR41"/>
      <c r="BT41">
        <v>55.555555555555557</v>
      </c>
    </row>
    <row r="42" spans="1:72" ht="15.75">
      <c r="A42" s="105" t="s">
        <v>92</v>
      </c>
      <c r="B42">
        <v>592</v>
      </c>
      <c r="C42" s="5">
        <v>16949</v>
      </c>
      <c r="D42" s="2">
        <f t="shared" si="4"/>
        <v>16.949000000000002</v>
      </c>
      <c r="E42" s="39">
        <v>17287.833330000001</v>
      </c>
      <c r="F42" s="2">
        <f t="shared" si="5"/>
        <v>17.287833330000002</v>
      </c>
      <c r="G42" s="2">
        <v>10.48158640226629</v>
      </c>
      <c r="H42" s="2">
        <v>10.76487252124646</v>
      </c>
      <c r="I42" s="2">
        <v>0</v>
      </c>
      <c r="J42" s="2">
        <v>7.0821529745042495</v>
      </c>
      <c r="K42" s="2">
        <v>0</v>
      </c>
      <c r="L42" s="2">
        <v>1.6997167138810199</v>
      </c>
      <c r="M42" s="2">
        <v>0.28328611898016998</v>
      </c>
      <c r="N42" s="2">
        <v>0.28328611898016998</v>
      </c>
      <c r="O42" s="2">
        <v>28.328611898016998</v>
      </c>
      <c r="P42" s="2">
        <v>0</v>
      </c>
      <c r="Q42" s="2">
        <v>2.2662889518413598</v>
      </c>
      <c r="R42" s="2">
        <v>0</v>
      </c>
      <c r="S42" s="2">
        <v>1.1331444759206799</v>
      </c>
      <c r="T42" s="2">
        <v>1.4164305949008498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3.9660056657223794</v>
      </c>
      <c r="AB42" s="2">
        <v>0.56657223796033995</v>
      </c>
      <c r="AC42" s="2">
        <v>0</v>
      </c>
      <c r="AD42" s="2">
        <v>16.14730878186969</v>
      </c>
      <c r="AE42" s="2">
        <v>7.0821529745042495</v>
      </c>
      <c r="AF42" s="2">
        <v>0</v>
      </c>
      <c r="AG42" s="2">
        <v>4.8158640226628897</v>
      </c>
      <c r="AH42" s="2">
        <v>0.28328611898016998</v>
      </c>
      <c r="AI42" s="2">
        <v>1.9830028328611897</v>
      </c>
      <c r="AJ42" s="2">
        <v>0</v>
      </c>
      <c r="AK42" s="2">
        <v>1.4164305949008498</v>
      </c>
      <c r="AL42" s="2">
        <f t="shared" si="13"/>
        <v>29.739776951672866</v>
      </c>
      <c r="AM42">
        <v>353</v>
      </c>
      <c r="AN42" s="2"/>
      <c r="AO42">
        <v>353</v>
      </c>
      <c r="AP42" s="2">
        <v>13.45</v>
      </c>
      <c r="AQ42" s="5">
        <v>4</v>
      </c>
      <c r="AR42" s="5">
        <f t="shared" si="14"/>
        <v>104.98141263940521</v>
      </c>
      <c r="AS42" t="s">
        <v>92</v>
      </c>
      <c r="AT42">
        <v>38.700000000000003</v>
      </c>
      <c r="AU42">
        <v>35.9</v>
      </c>
      <c r="AV42">
        <v>70.7</v>
      </c>
      <c r="AW42" s="5">
        <v>0</v>
      </c>
      <c r="AX42" s="5">
        <v>4</v>
      </c>
      <c r="AY42" s="5">
        <v>15.014164305949009</v>
      </c>
      <c r="AZ42" s="5">
        <v>50.666666666666671</v>
      </c>
      <c r="BA42" s="2">
        <f t="shared" si="15"/>
        <v>0</v>
      </c>
      <c r="BB42" s="2">
        <f t="shared" si="16"/>
        <v>1.9830028328611897</v>
      </c>
      <c r="BD42" s="5">
        <v>16949.43333</v>
      </c>
      <c r="BF42" s="13">
        <v>1.9830028328611897</v>
      </c>
      <c r="BG42" s="13">
        <v>20.963172804532579</v>
      </c>
      <c r="BH42" s="13">
        <v>0</v>
      </c>
      <c r="BI42" s="13">
        <v>0</v>
      </c>
      <c r="BJ42" s="12">
        <f t="shared" si="6"/>
        <v>44.475920679886684</v>
      </c>
      <c r="BK42" s="12">
        <f t="shared" si="7"/>
        <v>49.291784702549577</v>
      </c>
      <c r="BL42" s="12">
        <f t="shared" si="8"/>
        <v>20.963172804532579</v>
      </c>
      <c r="BM42" s="12">
        <f t="shared" si="9"/>
        <v>49.291784702549577</v>
      </c>
      <c r="BN42" s="12">
        <f t="shared" si="10"/>
        <v>12.747875354107649</v>
      </c>
      <c r="BO42" s="11">
        <f t="shared" si="11"/>
        <v>23.229461756373937</v>
      </c>
      <c r="BP42" s="2">
        <f t="shared" si="12"/>
        <v>24.645892351274789</v>
      </c>
      <c r="BQ42"/>
      <c r="BR42"/>
    </row>
    <row r="43" spans="1:72" s="123" customFormat="1" ht="15.75">
      <c r="A43" s="123" t="s">
        <v>93</v>
      </c>
      <c r="B43" s="123">
        <v>607</v>
      </c>
      <c r="C43" s="137">
        <v>17490</v>
      </c>
      <c r="D43" s="138">
        <f t="shared" si="4"/>
        <v>17.489999999999998</v>
      </c>
      <c r="E43" s="139">
        <v>17630.333330000001</v>
      </c>
      <c r="F43" s="138">
        <f t="shared" si="5"/>
        <v>17.630333330000003</v>
      </c>
      <c r="G43" s="138">
        <v>6.6964285714285712</v>
      </c>
      <c r="H43" s="138">
        <v>8.0357142857142865</v>
      </c>
      <c r="I43" s="138">
        <v>0</v>
      </c>
      <c r="J43" s="138">
        <v>6.25</v>
      </c>
      <c r="K43" s="138">
        <v>0</v>
      </c>
      <c r="L43" s="138">
        <v>2.2321428571428572</v>
      </c>
      <c r="M43" s="138">
        <v>0</v>
      </c>
      <c r="N43" s="138">
        <v>0</v>
      </c>
      <c r="O43" s="138">
        <v>33.928571428571431</v>
      </c>
      <c r="P43" s="138">
        <v>0</v>
      </c>
      <c r="Q43" s="138">
        <v>0.8928571428571429</v>
      </c>
      <c r="R43" s="138">
        <v>0</v>
      </c>
      <c r="S43" s="138">
        <v>1.7857142857142858</v>
      </c>
      <c r="T43" s="138">
        <v>3.125</v>
      </c>
      <c r="U43" s="138">
        <v>0</v>
      </c>
      <c r="V43" s="138">
        <v>0</v>
      </c>
      <c r="W43" s="138">
        <v>0</v>
      </c>
      <c r="X43" s="138">
        <v>0</v>
      </c>
      <c r="Y43" s="138">
        <v>0</v>
      </c>
      <c r="Z43" s="138">
        <v>0</v>
      </c>
      <c r="AA43" s="138">
        <v>7.5892857142857144</v>
      </c>
      <c r="AB43" s="138">
        <v>0</v>
      </c>
      <c r="AC43" s="138">
        <v>1.3392857142857142</v>
      </c>
      <c r="AD43" s="138">
        <v>14.285714285714286</v>
      </c>
      <c r="AE43" s="138">
        <v>4.4642857142857144</v>
      </c>
      <c r="AF43" s="138">
        <v>0</v>
      </c>
      <c r="AG43" s="138">
        <v>5.8035714285714288</v>
      </c>
      <c r="AH43" s="138">
        <v>0</v>
      </c>
      <c r="AI43" s="138">
        <v>1.3392857142857142</v>
      </c>
      <c r="AJ43" s="138">
        <v>0</v>
      </c>
      <c r="AK43" s="138">
        <v>2.2321428571428572</v>
      </c>
      <c r="AL43" s="138">
        <f t="shared" si="13"/>
        <v>23.584173778122576</v>
      </c>
      <c r="AM43" s="123">
        <v>224</v>
      </c>
      <c r="AN43" s="138"/>
      <c r="AO43" s="123">
        <v>224</v>
      </c>
      <c r="AP43" s="138">
        <v>12.89</v>
      </c>
      <c r="AQ43" s="137">
        <v>4</v>
      </c>
      <c r="AR43" s="137">
        <f t="shared" si="14"/>
        <v>69.51124903025601</v>
      </c>
      <c r="AS43" s="123" t="s">
        <v>93</v>
      </c>
      <c r="AT43" s="123">
        <v>11</v>
      </c>
      <c r="AU43" s="123">
        <v>9.6999999999999993</v>
      </c>
      <c r="AV43" s="123">
        <v>44</v>
      </c>
      <c r="AW43" s="137">
        <v>3.125</v>
      </c>
      <c r="AX43" s="137">
        <v>0</v>
      </c>
      <c r="AY43" s="137">
        <v>14.732142857142858</v>
      </c>
      <c r="AZ43" s="137">
        <v>54.54545454545454</v>
      </c>
      <c r="BA43" s="138">
        <f t="shared" si="15"/>
        <v>0</v>
      </c>
      <c r="BB43" s="138">
        <f t="shared" si="16"/>
        <v>2.2321428571428572</v>
      </c>
      <c r="BC43" s="137"/>
      <c r="BD43" s="137">
        <v>17489.93333</v>
      </c>
      <c r="BE43" s="142"/>
      <c r="BF43" s="142">
        <v>0.8928571428571429</v>
      </c>
      <c r="BG43" s="142">
        <v>17.410714285714285</v>
      </c>
      <c r="BH43" s="142">
        <v>0.44642857142857145</v>
      </c>
      <c r="BI43" s="142">
        <v>2.5</v>
      </c>
      <c r="BJ43" s="144">
        <f t="shared" si="6"/>
        <v>48.214285714285715</v>
      </c>
      <c r="BK43" s="144">
        <f t="shared" si="7"/>
        <v>51.339285714285715</v>
      </c>
      <c r="BL43" s="144">
        <f t="shared" si="8"/>
        <v>17.857142857142858</v>
      </c>
      <c r="BM43" s="144">
        <f t="shared" si="9"/>
        <v>51.785714285714285</v>
      </c>
      <c r="BN43" s="144">
        <f t="shared" si="10"/>
        <v>8.9285714285714288</v>
      </c>
      <c r="BO43" s="145">
        <f t="shared" si="11"/>
        <v>15.625</v>
      </c>
      <c r="BP43" s="138">
        <f t="shared" si="12"/>
        <v>19.642857142857142</v>
      </c>
    </row>
    <row r="44" spans="1:72" s="23" customFormat="1" ht="15.75">
      <c r="A44" s="23" t="s">
        <v>94</v>
      </c>
      <c r="B44" s="23">
        <v>621</v>
      </c>
      <c r="C44" s="24">
        <v>18311</v>
      </c>
      <c r="D44" s="25">
        <f t="shared" si="4"/>
        <v>18.311</v>
      </c>
      <c r="E44" s="39">
        <v>18468.742269999999</v>
      </c>
      <c r="F44" s="2">
        <f t="shared" si="5"/>
        <v>18.46874227</v>
      </c>
      <c r="G44" s="25">
        <v>0</v>
      </c>
      <c r="H44" s="25">
        <v>3.4146341463414633</v>
      </c>
      <c r="I44" s="25">
        <v>0</v>
      </c>
      <c r="J44" s="25">
        <v>0.12195121951219512</v>
      </c>
      <c r="K44" s="25">
        <v>0.36585365853658536</v>
      </c>
      <c r="L44" s="25">
        <v>1.7073170731707317</v>
      </c>
      <c r="M44" s="25">
        <v>0.36585365853658536</v>
      </c>
      <c r="N44" s="25">
        <v>0</v>
      </c>
      <c r="O44" s="25">
        <v>55.731707317073173</v>
      </c>
      <c r="P44" s="25">
        <v>0</v>
      </c>
      <c r="Q44" s="25">
        <v>0.24390243902439024</v>
      </c>
      <c r="R44" s="25">
        <v>0</v>
      </c>
      <c r="S44" s="25">
        <v>16.707317073170731</v>
      </c>
      <c r="T44" s="25">
        <v>3.4146341463414633</v>
      </c>
      <c r="U44" s="25">
        <v>0</v>
      </c>
      <c r="V44" s="25">
        <v>0</v>
      </c>
      <c r="W44" s="25">
        <v>0</v>
      </c>
      <c r="X44" s="25">
        <v>0</v>
      </c>
      <c r="Y44" s="25">
        <v>0</v>
      </c>
      <c r="Z44" s="25">
        <v>0</v>
      </c>
      <c r="AA44" s="25">
        <v>2.3170731707317072</v>
      </c>
      <c r="AB44" s="25">
        <v>0</v>
      </c>
      <c r="AC44" s="25">
        <v>0.73170731707317072</v>
      </c>
      <c r="AD44" s="25">
        <v>1.2195121951219512</v>
      </c>
      <c r="AE44" s="25">
        <v>8.4146341463414629</v>
      </c>
      <c r="AF44" s="25">
        <v>0</v>
      </c>
      <c r="AG44" s="25">
        <v>1.2195121951219512</v>
      </c>
      <c r="AH44" s="25">
        <v>0.6097560975609756</v>
      </c>
      <c r="AI44" s="25">
        <v>2.1951219512195124</v>
      </c>
      <c r="AJ44" s="25">
        <v>0</v>
      </c>
      <c r="AK44" s="25">
        <v>1.2195121951219512</v>
      </c>
      <c r="AL44" s="25">
        <f t="shared" si="13"/>
        <v>512.04481792717093</v>
      </c>
      <c r="AM44" s="23">
        <v>820</v>
      </c>
      <c r="AN44" s="25"/>
      <c r="AO44" s="23">
        <v>820</v>
      </c>
      <c r="AP44" s="25">
        <v>14.28</v>
      </c>
      <c r="AQ44" s="24">
        <v>16</v>
      </c>
      <c r="AR44" s="24">
        <f t="shared" si="14"/>
        <v>918.76750700280115</v>
      </c>
      <c r="AS44" s="23" t="s">
        <v>94</v>
      </c>
      <c r="AT44" s="23">
        <v>43.8</v>
      </c>
      <c r="AU44" s="23">
        <v>41.4</v>
      </c>
      <c r="AV44" s="23">
        <v>75.2</v>
      </c>
      <c r="AW44" s="24">
        <v>0</v>
      </c>
      <c r="AX44" s="24">
        <v>23.809523809523807</v>
      </c>
      <c r="AY44" s="24">
        <v>12.195121951219512</v>
      </c>
      <c r="AZ44" s="24">
        <v>100</v>
      </c>
      <c r="BA44" s="25">
        <f t="shared" si="15"/>
        <v>0</v>
      </c>
      <c r="BB44" s="25">
        <f t="shared" si="16"/>
        <v>2.0731707317073171</v>
      </c>
      <c r="BC44" s="24"/>
      <c r="BD44" s="24">
        <v>18310.70103</v>
      </c>
      <c r="BE44" s="26"/>
      <c r="BF44" s="26">
        <v>0.48780487804878048</v>
      </c>
      <c r="BG44" s="26">
        <v>8.536585365853659</v>
      </c>
      <c r="BH44" s="26">
        <v>0.73170731707317072</v>
      </c>
      <c r="BI44" s="26">
        <v>7.8947368421052628</v>
      </c>
      <c r="BJ44" s="27">
        <f t="shared" si="6"/>
        <v>56.951219512195124</v>
      </c>
      <c r="BK44" s="27">
        <f t="shared" si="7"/>
        <v>64.268292682926827</v>
      </c>
      <c r="BL44" s="12">
        <f t="shared" si="8"/>
        <v>9.2682926829268304</v>
      </c>
      <c r="BM44" s="27">
        <f t="shared" si="9"/>
        <v>65</v>
      </c>
      <c r="BN44" s="27">
        <f t="shared" si="10"/>
        <v>3.9024390243902438</v>
      </c>
      <c r="BO44" s="28">
        <f t="shared" si="11"/>
        <v>3.9024390243902438</v>
      </c>
      <c r="BP44" s="2">
        <f t="shared" si="12"/>
        <v>1.5853658536585367</v>
      </c>
      <c r="BQ44" s="23">
        <v>4</v>
      </c>
    </row>
    <row r="45" spans="1:72" s="123" customFormat="1" ht="15.75">
      <c r="A45" s="123" t="s">
        <v>95</v>
      </c>
      <c r="B45" s="123">
        <v>641</v>
      </c>
      <c r="C45" s="137">
        <v>19559</v>
      </c>
      <c r="D45" s="138">
        <f t="shared" si="4"/>
        <v>19.559000000000001</v>
      </c>
      <c r="E45" s="139">
        <v>19789.979380000001</v>
      </c>
      <c r="F45" s="138">
        <f t="shared" si="5"/>
        <v>19.789979380000002</v>
      </c>
      <c r="G45" s="138">
        <v>0.95541401273885351</v>
      </c>
      <c r="H45" s="138">
        <v>3.1847133757961785</v>
      </c>
      <c r="I45" s="138">
        <v>0</v>
      </c>
      <c r="J45" s="138">
        <v>0</v>
      </c>
      <c r="K45" s="138">
        <v>0.63694267515923564</v>
      </c>
      <c r="L45" s="138">
        <v>0.63694267515923564</v>
      </c>
      <c r="M45" s="138">
        <v>1.2738853503184713</v>
      </c>
      <c r="N45" s="138">
        <v>0</v>
      </c>
      <c r="O45" s="138">
        <v>59.235668789808919</v>
      </c>
      <c r="P45" s="138">
        <v>0</v>
      </c>
      <c r="Q45" s="138">
        <v>1.2738853503184713</v>
      </c>
      <c r="R45" s="138">
        <v>0</v>
      </c>
      <c r="S45" s="138">
        <v>7.3248407643312099</v>
      </c>
      <c r="T45" s="138">
        <v>1.5923566878980893</v>
      </c>
      <c r="U45" s="138">
        <v>0</v>
      </c>
      <c r="V45" s="138">
        <v>0</v>
      </c>
      <c r="W45" s="138">
        <v>0</v>
      </c>
      <c r="X45" s="138">
        <v>0</v>
      </c>
      <c r="Y45" s="138">
        <v>0</v>
      </c>
      <c r="Z45" s="138">
        <v>0</v>
      </c>
      <c r="AA45" s="138">
        <v>7.3248407643312099</v>
      </c>
      <c r="AB45" s="138">
        <v>0</v>
      </c>
      <c r="AC45" s="138">
        <v>0.63694267515923564</v>
      </c>
      <c r="AD45" s="138">
        <v>3.1847133757961785</v>
      </c>
      <c r="AE45" s="138">
        <v>7.0063694267515926</v>
      </c>
      <c r="AF45" s="138">
        <v>0</v>
      </c>
      <c r="AG45" s="138">
        <v>1.5923566878980893</v>
      </c>
      <c r="AH45" s="138">
        <v>0.31847133757961782</v>
      </c>
      <c r="AI45" s="138">
        <v>1.910828025477707</v>
      </c>
      <c r="AJ45" s="138">
        <v>0.31847133757961782</v>
      </c>
      <c r="AK45" s="138">
        <v>1.5923566878980893</v>
      </c>
      <c r="AL45" s="138">
        <f t="shared" si="13"/>
        <v>464.27457098283935</v>
      </c>
      <c r="AM45" s="123">
        <v>314</v>
      </c>
      <c r="AN45" s="138"/>
      <c r="AO45" s="123">
        <v>314</v>
      </c>
      <c r="AP45" s="138">
        <v>12.82</v>
      </c>
      <c r="AQ45" s="137">
        <v>32</v>
      </c>
      <c r="AR45" s="137">
        <f t="shared" si="14"/>
        <v>783.77535101404055</v>
      </c>
      <c r="AS45" s="123" t="s">
        <v>95</v>
      </c>
      <c r="AT45" s="123">
        <v>64.099999999999994</v>
      </c>
      <c r="AU45" s="123">
        <v>61.6</v>
      </c>
      <c r="AV45" s="123">
        <v>86</v>
      </c>
      <c r="AW45" s="137">
        <v>0</v>
      </c>
      <c r="AX45" s="137">
        <v>1.4492753623188406</v>
      </c>
      <c r="AY45" s="137">
        <v>13.694267515923567</v>
      </c>
      <c r="AZ45" s="137">
        <v>76.923076923076934</v>
      </c>
      <c r="BA45" s="138">
        <f t="shared" si="15"/>
        <v>0</v>
      </c>
      <c r="BB45" s="138">
        <f t="shared" si="16"/>
        <v>1.910828025477707</v>
      </c>
      <c r="BC45" s="137"/>
      <c r="BD45" s="137">
        <v>19558.536080000002</v>
      </c>
      <c r="BE45" s="142"/>
      <c r="BF45" s="142">
        <v>0</v>
      </c>
      <c r="BG45" s="142">
        <v>9.872611464968152</v>
      </c>
      <c r="BH45" s="142">
        <v>0.31847133757961782</v>
      </c>
      <c r="BI45" s="142">
        <v>3.125</v>
      </c>
      <c r="BJ45" s="144">
        <f t="shared" si="6"/>
        <v>62.420382165605098</v>
      </c>
      <c r="BK45" s="144">
        <f t="shared" si="7"/>
        <v>69.108280254777071</v>
      </c>
      <c r="BL45" s="144">
        <f t="shared" si="8"/>
        <v>10.19108280254777</v>
      </c>
      <c r="BM45" s="144">
        <f t="shared" si="9"/>
        <v>69.426751592356695</v>
      </c>
      <c r="BN45" s="144">
        <f>H45+BF45</f>
        <v>3.1847133757961785</v>
      </c>
      <c r="BO45" s="145">
        <f t="shared" si="11"/>
        <v>4.1401273885350323</v>
      </c>
      <c r="BP45" s="138">
        <f t="shared" si="12"/>
        <v>3.8216560509554141</v>
      </c>
    </row>
    <row r="46" spans="1:72" ht="15.75">
      <c r="A46" s="105" t="s">
        <v>96</v>
      </c>
      <c r="B46">
        <v>656</v>
      </c>
      <c r="C46" s="5">
        <v>20494</v>
      </c>
      <c r="D46" s="2">
        <f t="shared" si="4"/>
        <v>20.494</v>
      </c>
      <c r="E46" s="39">
        <v>20780.907220000001</v>
      </c>
      <c r="F46" s="2">
        <f t="shared" si="5"/>
        <v>20.78090722</v>
      </c>
      <c r="G46" s="2">
        <v>3.5264483627204029</v>
      </c>
      <c r="H46" s="2">
        <v>3.5264483627204029</v>
      </c>
      <c r="I46" s="2">
        <v>0</v>
      </c>
      <c r="J46" s="2">
        <v>0.25188916876574308</v>
      </c>
      <c r="K46" s="2">
        <v>0.25188916876574308</v>
      </c>
      <c r="L46" s="2">
        <v>2.5188916876574305</v>
      </c>
      <c r="M46" s="2">
        <v>0.50377833753148615</v>
      </c>
      <c r="N46" s="2">
        <v>0</v>
      </c>
      <c r="O46" s="2">
        <v>46.851385390428213</v>
      </c>
      <c r="P46" s="2">
        <v>0</v>
      </c>
      <c r="Q46" s="2">
        <v>1.2594458438287153</v>
      </c>
      <c r="R46" s="2">
        <v>0</v>
      </c>
      <c r="S46" s="2">
        <v>10.831234256926953</v>
      </c>
      <c r="T46" s="2">
        <v>2.2670025188916876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6.2972292191435768</v>
      </c>
      <c r="AB46" s="2">
        <v>0</v>
      </c>
      <c r="AC46" s="2">
        <v>1.2594458438287153</v>
      </c>
      <c r="AD46" s="2">
        <v>6.0453400503778338</v>
      </c>
      <c r="AE46" s="2">
        <v>10.075566750629722</v>
      </c>
      <c r="AF46" s="2">
        <v>0</v>
      </c>
      <c r="AG46" s="2">
        <v>2.770780856423174</v>
      </c>
      <c r="AH46" s="2">
        <v>0.25188916876574308</v>
      </c>
      <c r="AI46" s="2">
        <v>1.0075566750629723</v>
      </c>
      <c r="AJ46" s="2">
        <v>0</v>
      </c>
      <c r="AK46" s="2">
        <v>0.50377833753148615</v>
      </c>
      <c r="AL46" s="2">
        <f t="shared" si="13"/>
        <v>367.18075262183834</v>
      </c>
      <c r="AM46">
        <v>397</v>
      </c>
      <c r="AN46" s="2"/>
      <c r="AO46">
        <v>397</v>
      </c>
      <c r="AP46" s="2">
        <v>16.21</v>
      </c>
      <c r="AQ46" s="5">
        <v>32</v>
      </c>
      <c r="AR46" s="5">
        <f t="shared" si="14"/>
        <v>783.71375694016035</v>
      </c>
      <c r="AS46" t="s">
        <v>96</v>
      </c>
      <c r="AT46">
        <v>37.700000000000003</v>
      </c>
      <c r="AU46">
        <v>35.4</v>
      </c>
      <c r="AV46">
        <v>71</v>
      </c>
      <c r="AW46" s="5">
        <v>0</v>
      </c>
      <c r="AX46" s="5">
        <v>0</v>
      </c>
      <c r="AY46" s="5">
        <v>12.342569269521411</v>
      </c>
      <c r="AZ46" s="5">
        <v>50</v>
      </c>
      <c r="BA46" s="2">
        <f t="shared" si="15"/>
        <v>0</v>
      </c>
      <c r="BB46" s="2">
        <f t="shared" si="16"/>
        <v>3.0226700251889165</v>
      </c>
      <c r="BD46" s="5">
        <v>20494.412369999998</v>
      </c>
      <c r="BF46" s="13">
        <v>1.2594458438287153</v>
      </c>
      <c r="BG46" s="13">
        <v>14.861460957178842</v>
      </c>
      <c r="BH46" s="13">
        <v>0</v>
      </c>
      <c r="BI46" s="13">
        <v>0</v>
      </c>
      <c r="BJ46" s="12">
        <f t="shared" si="6"/>
        <v>52.896725440806044</v>
      </c>
      <c r="BK46" s="12">
        <f t="shared" si="7"/>
        <v>61.712846347607055</v>
      </c>
      <c r="BL46" s="12">
        <f t="shared" si="8"/>
        <v>14.861460957178842</v>
      </c>
      <c r="BM46" s="12">
        <f t="shared" si="9"/>
        <v>61.712846347607055</v>
      </c>
      <c r="BN46" s="12">
        <f t="shared" si="10"/>
        <v>4.7858942065491181</v>
      </c>
      <c r="BO46" s="11">
        <f t="shared" si="11"/>
        <v>8.3123425692695214</v>
      </c>
      <c r="BP46" s="2">
        <f t="shared" si="12"/>
        <v>7.8085642317380355</v>
      </c>
    </row>
    <row r="47" spans="1:72" s="123" customFormat="1" ht="15.75">
      <c r="A47" s="123" t="s">
        <v>97</v>
      </c>
      <c r="B47" s="123">
        <v>676</v>
      </c>
      <c r="C47" s="137">
        <v>21742</v>
      </c>
      <c r="D47" s="138">
        <f t="shared" si="4"/>
        <v>21.742000000000001</v>
      </c>
      <c r="E47" s="139">
        <v>22102.144329999999</v>
      </c>
      <c r="F47" s="138">
        <f t="shared" si="5"/>
        <v>22.102144329999998</v>
      </c>
      <c r="G47" s="138">
        <v>1.2084592145015105</v>
      </c>
      <c r="H47" s="138">
        <v>2.1148036253776437</v>
      </c>
      <c r="I47" s="138">
        <v>0</v>
      </c>
      <c r="J47" s="138">
        <v>0</v>
      </c>
      <c r="K47" s="138">
        <v>0</v>
      </c>
      <c r="L47" s="138">
        <v>3.3232628398791539</v>
      </c>
      <c r="M47" s="138">
        <v>0.90634441087613293</v>
      </c>
      <c r="N47" s="138">
        <v>0</v>
      </c>
      <c r="O47" s="138">
        <v>49.546827794561935</v>
      </c>
      <c r="P47" s="138">
        <v>0</v>
      </c>
      <c r="Q47" s="138">
        <v>1.2084592145015105</v>
      </c>
      <c r="R47" s="138">
        <v>0</v>
      </c>
      <c r="S47" s="138">
        <v>16.61631419939577</v>
      </c>
      <c r="T47" s="138">
        <v>4.2296072507552873</v>
      </c>
      <c r="U47" s="138">
        <v>0</v>
      </c>
      <c r="V47" s="138">
        <v>0</v>
      </c>
      <c r="W47" s="138">
        <v>0</v>
      </c>
      <c r="X47" s="138">
        <v>0</v>
      </c>
      <c r="Y47" s="138">
        <v>0</v>
      </c>
      <c r="Z47" s="138">
        <v>0</v>
      </c>
      <c r="AA47" s="138">
        <v>3.9274924471299095</v>
      </c>
      <c r="AB47" s="138">
        <v>0</v>
      </c>
      <c r="AC47" s="138">
        <v>1.2084592145015105</v>
      </c>
      <c r="AD47" s="138">
        <v>7.8549848942598191</v>
      </c>
      <c r="AE47" s="138">
        <v>5.1359516616314203</v>
      </c>
      <c r="AF47" s="138">
        <v>0</v>
      </c>
      <c r="AG47" s="138">
        <v>1.8126888217522659</v>
      </c>
      <c r="AH47" s="138">
        <v>0</v>
      </c>
      <c r="AI47" s="138">
        <v>0.90634441087613293</v>
      </c>
      <c r="AJ47" s="138">
        <v>0</v>
      </c>
      <c r="AK47" s="138">
        <v>0</v>
      </c>
      <c r="AL47" s="138">
        <f t="shared" si="13"/>
        <v>652.73631840796031</v>
      </c>
      <c r="AM47" s="123">
        <v>331</v>
      </c>
      <c r="AN47" s="138"/>
      <c r="AO47" s="123">
        <v>331</v>
      </c>
      <c r="AP47" s="138">
        <v>16.079999999999998</v>
      </c>
      <c r="AQ47" s="137">
        <v>64</v>
      </c>
      <c r="AR47" s="137">
        <f t="shared" si="14"/>
        <v>1317.4129353233832</v>
      </c>
      <c r="AS47" s="123" t="s">
        <v>97</v>
      </c>
      <c r="AT47" s="123">
        <v>63.3</v>
      </c>
      <c r="AU47" s="123">
        <v>60.1</v>
      </c>
      <c r="AV47" s="123">
        <v>89.5</v>
      </c>
      <c r="AW47" s="137">
        <v>0</v>
      </c>
      <c r="AX47" s="137">
        <v>0</v>
      </c>
      <c r="AY47" s="137">
        <v>15.407854984894259</v>
      </c>
      <c r="AZ47" s="137">
        <v>63.636363636363633</v>
      </c>
      <c r="BA47" s="138">
        <f t="shared" si="15"/>
        <v>0</v>
      </c>
      <c r="BB47" s="138">
        <f t="shared" si="16"/>
        <v>4.2296072507552864</v>
      </c>
      <c r="BC47" s="137"/>
      <c r="BD47" s="137">
        <v>21742.24742</v>
      </c>
      <c r="BE47" s="142"/>
      <c r="BF47" s="142">
        <v>0.60422960725075525</v>
      </c>
      <c r="BG47" s="142">
        <v>12.386706948640484</v>
      </c>
      <c r="BH47" s="142">
        <v>0</v>
      </c>
      <c r="BI47" s="142">
        <v>0</v>
      </c>
      <c r="BJ47" s="144">
        <f t="shared" si="6"/>
        <v>57.401812688821757</v>
      </c>
      <c r="BK47" s="144">
        <f t="shared" si="7"/>
        <v>61.933534743202415</v>
      </c>
      <c r="BL47" s="144">
        <f t="shared" si="8"/>
        <v>12.386706948640484</v>
      </c>
      <c r="BM47" s="144">
        <f t="shared" si="9"/>
        <v>61.933534743202415</v>
      </c>
      <c r="BN47" s="144">
        <f t="shared" si="10"/>
        <v>2.7190332326283988</v>
      </c>
      <c r="BO47" s="145">
        <f t="shared" si="11"/>
        <v>3.9274924471299095</v>
      </c>
      <c r="BP47" s="138">
        <f t="shared" si="12"/>
        <v>4.2296072507552864</v>
      </c>
      <c r="BQ47" s="137"/>
      <c r="BR47" s="137"/>
    </row>
    <row r="48" spans="1:72" s="30" customFormat="1" ht="15.75">
      <c r="A48" s="30" t="s">
        <v>98</v>
      </c>
      <c r="B48" s="30">
        <v>696</v>
      </c>
      <c r="C48" s="31">
        <v>22990</v>
      </c>
      <c r="D48" s="32">
        <f t="shared" si="4"/>
        <v>22.99</v>
      </c>
      <c r="E48" s="39">
        <v>23423.381440000001</v>
      </c>
      <c r="F48" s="2">
        <f t="shared" si="5"/>
        <v>23.42338144</v>
      </c>
      <c r="G48" s="32">
        <v>2.0289855072463769</v>
      </c>
      <c r="H48" s="32">
        <v>1.4492753623188406</v>
      </c>
      <c r="I48" s="32">
        <v>0</v>
      </c>
      <c r="J48" s="32">
        <v>0</v>
      </c>
      <c r="K48" s="32">
        <v>0</v>
      </c>
      <c r="L48" s="32">
        <v>4.3478260869565215</v>
      </c>
      <c r="M48" s="32">
        <v>0.57971014492753625</v>
      </c>
      <c r="N48" s="32">
        <v>0.86956521739130432</v>
      </c>
      <c r="O48" s="32">
        <v>52.463768115942031</v>
      </c>
      <c r="P48" s="32">
        <v>0</v>
      </c>
      <c r="Q48" s="32">
        <v>1.1594202898550725</v>
      </c>
      <c r="R48" s="32">
        <v>0</v>
      </c>
      <c r="S48" s="32">
        <v>13.913043478260869</v>
      </c>
      <c r="T48" s="32">
        <v>2.6086956521739131</v>
      </c>
      <c r="U48" s="32">
        <v>0</v>
      </c>
      <c r="V48" s="32">
        <v>0</v>
      </c>
      <c r="W48" s="32">
        <v>0</v>
      </c>
      <c r="X48" s="32">
        <v>0</v>
      </c>
      <c r="Y48" s="32">
        <v>0</v>
      </c>
      <c r="Z48" s="32">
        <v>0</v>
      </c>
      <c r="AA48" s="32">
        <v>4.3478260869565215</v>
      </c>
      <c r="AB48" s="32">
        <v>0</v>
      </c>
      <c r="AC48" s="32">
        <v>0</v>
      </c>
      <c r="AD48" s="32">
        <v>6.9565217391304346</v>
      </c>
      <c r="AE48" s="32">
        <v>5.5072463768115938</v>
      </c>
      <c r="AF48" s="32">
        <v>0</v>
      </c>
      <c r="AG48" s="32">
        <v>2.318840579710145</v>
      </c>
      <c r="AH48" s="32">
        <v>0</v>
      </c>
      <c r="AI48" s="32">
        <v>0.28985507246376813</v>
      </c>
      <c r="AJ48" s="32">
        <v>0</v>
      </c>
      <c r="AK48" s="32">
        <v>1.1594202898550725</v>
      </c>
      <c r="AL48" s="32">
        <f t="shared" si="13"/>
        <v>698.25195901145275</v>
      </c>
      <c r="AM48" s="30">
        <v>345</v>
      </c>
      <c r="AN48" s="32"/>
      <c r="AO48" s="30">
        <v>345</v>
      </c>
      <c r="AP48" s="32">
        <v>16.59</v>
      </c>
      <c r="AQ48" s="31">
        <v>64</v>
      </c>
      <c r="AR48" s="31">
        <f t="shared" si="14"/>
        <v>1330.9222423146473</v>
      </c>
      <c r="AS48" s="30" t="s">
        <v>98</v>
      </c>
      <c r="AT48" s="30">
        <v>65.7</v>
      </c>
      <c r="AU48" s="30">
        <v>62.7</v>
      </c>
      <c r="AV48" s="30">
        <v>86.6</v>
      </c>
      <c r="AW48" s="31">
        <v>0</v>
      </c>
      <c r="AX48" s="31">
        <v>0</v>
      </c>
      <c r="AY48" s="31">
        <v>16.811594202898551</v>
      </c>
      <c r="AZ48" s="31">
        <v>41.666666666666671</v>
      </c>
      <c r="BA48" s="32">
        <f t="shared" si="15"/>
        <v>0</v>
      </c>
      <c r="BB48" s="32">
        <f t="shared" si="16"/>
        <v>4.9275362318840576</v>
      </c>
      <c r="BC48" s="31"/>
      <c r="BD48" s="31">
        <v>22990.082470000001</v>
      </c>
      <c r="BE48" s="35"/>
      <c r="BF48" s="35">
        <v>1.1594202898550725</v>
      </c>
      <c r="BG48" s="35">
        <v>11.304347826086957</v>
      </c>
      <c r="BH48" s="35">
        <v>0</v>
      </c>
      <c r="BI48" s="35">
        <v>0</v>
      </c>
      <c r="BJ48" s="36">
        <f t="shared" si="6"/>
        <v>59.420289855072468</v>
      </c>
      <c r="BK48" s="36">
        <f t="shared" si="7"/>
        <v>63.768115942028984</v>
      </c>
      <c r="BL48" s="12">
        <f t="shared" si="8"/>
        <v>11.304347826086957</v>
      </c>
      <c r="BM48" s="36">
        <f t="shared" si="9"/>
        <v>63.768115942028984</v>
      </c>
      <c r="BN48" s="36">
        <f t="shared" si="10"/>
        <v>2.6086956521739131</v>
      </c>
      <c r="BO48" s="37">
        <f t="shared" si="11"/>
        <v>4.63768115942029</v>
      </c>
      <c r="BP48" s="2">
        <f t="shared" si="12"/>
        <v>5.5072463768115938</v>
      </c>
      <c r="BQ48" s="31">
        <v>3</v>
      </c>
      <c r="BR48" s="31"/>
    </row>
    <row r="49" spans="1:70" ht="15.75">
      <c r="A49" t="s">
        <v>99</v>
      </c>
      <c r="B49">
        <v>717</v>
      </c>
      <c r="C49" s="5">
        <v>24200</v>
      </c>
      <c r="D49" s="2">
        <f t="shared" si="4"/>
        <v>24.2</v>
      </c>
      <c r="E49" s="39">
        <v>24650.07692</v>
      </c>
      <c r="F49" s="2">
        <f t="shared" si="5"/>
        <v>24.65007692</v>
      </c>
      <c r="G49" s="2">
        <v>0.29850746268656714</v>
      </c>
      <c r="H49" s="2">
        <v>1.1940298507462686</v>
      </c>
      <c r="I49" s="2">
        <v>0</v>
      </c>
      <c r="J49" s="2">
        <v>0</v>
      </c>
      <c r="K49" s="2">
        <v>0</v>
      </c>
      <c r="L49" s="2">
        <v>3.5820895522388061</v>
      </c>
      <c r="M49" s="2">
        <v>0.89552238805970152</v>
      </c>
      <c r="N49" s="2">
        <v>0</v>
      </c>
      <c r="O49" s="2">
        <v>47.761194029850749</v>
      </c>
      <c r="P49" s="2">
        <v>0</v>
      </c>
      <c r="Q49" s="2">
        <v>0.59701492537313428</v>
      </c>
      <c r="R49" s="2">
        <v>0</v>
      </c>
      <c r="S49" s="2">
        <v>20</v>
      </c>
      <c r="T49" s="2">
        <v>3.5820895522388061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5.3731343283582094</v>
      </c>
      <c r="AB49" s="2">
        <v>0</v>
      </c>
      <c r="AC49" s="2">
        <v>0.89552238805970152</v>
      </c>
      <c r="AD49" s="2">
        <v>5.0746268656716422</v>
      </c>
      <c r="AE49" s="2">
        <v>7.4626865671641793</v>
      </c>
      <c r="AF49" s="2">
        <v>0</v>
      </c>
      <c r="AG49" s="2">
        <v>0.59701492537313428</v>
      </c>
      <c r="AH49" s="2">
        <v>0</v>
      </c>
      <c r="AI49" s="2">
        <v>0.89552238805970152</v>
      </c>
      <c r="AJ49" s="2">
        <v>0</v>
      </c>
      <c r="AK49" s="2">
        <v>1.791044776119403</v>
      </c>
      <c r="AL49" s="2">
        <f t="shared" si="13"/>
        <v>578.20440429136079</v>
      </c>
      <c r="AM49">
        <v>335</v>
      </c>
      <c r="AN49" s="2"/>
      <c r="AO49">
        <v>335</v>
      </c>
      <c r="AP49" s="2">
        <v>17.71</v>
      </c>
      <c r="AQ49" s="5">
        <v>64</v>
      </c>
      <c r="AR49" s="5">
        <f t="shared" si="14"/>
        <v>1210.6154714850366</v>
      </c>
      <c r="AS49" t="s">
        <v>99</v>
      </c>
      <c r="AT49">
        <v>68</v>
      </c>
      <c r="AU49">
        <v>64.900000000000006</v>
      </c>
      <c r="AV49">
        <v>87</v>
      </c>
      <c r="AW49" s="5">
        <v>0</v>
      </c>
      <c r="AX49" s="5">
        <v>8</v>
      </c>
      <c r="AY49" s="5">
        <v>17.910447761194028</v>
      </c>
      <c r="AZ49" s="5">
        <v>80</v>
      </c>
      <c r="BA49" s="2">
        <f t="shared" si="15"/>
        <v>0</v>
      </c>
      <c r="BB49" s="2">
        <f t="shared" si="16"/>
        <v>4.477611940298508</v>
      </c>
      <c r="BD49" s="5">
        <v>24199.96154</v>
      </c>
      <c r="BF49" s="13">
        <v>0</v>
      </c>
      <c r="BG49" s="13">
        <v>11.940298507462687</v>
      </c>
      <c r="BH49" s="13">
        <v>0.59701492537313428</v>
      </c>
      <c r="BI49" s="13">
        <v>4.7619047619047619</v>
      </c>
      <c r="BJ49" s="12">
        <f t="shared" si="6"/>
        <v>52.835820895522389</v>
      </c>
      <c r="BK49" s="12">
        <f t="shared" si="7"/>
        <v>59.701492537313435</v>
      </c>
      <c r="BL49" s="12">
        <f t="shared" si="8"/>
        <v>12.537313432835822</v>
      </c>
      <c r="BM49" s="12">
        <f t="shared" si="9"/>
        <v>60.298507462686572</v>
      </c>
      <c r="BN49" s="12">
        <f t="shared" si="10"/>
        <v>1.1940298507462686</v>
      </c>
      <c r="BO49" s="11">
        <f t="shared" si="11"/>
        <v>1.4925373134328357</v>
      </c>
      <c r="BP49" s="2">
        <f t="shared" si="12"/>
        <v>1.4925373134328357</v>
      </c>
    </row>
    <row r="50" spans="1:70" ht="15.75">
      <c r="A50" s="105" t="s">
        <v>100</v>
      </c>
      <c r="B50">
        <v>736</v>
      </c>
      <c r="C50" s="5">
        <v>25212</v>
      </c>
      <c r="D50" s="2">
        <f t="shared" si="4"/>
        <v>25.212</v>
      </c>
      <c r="E50" s="39">
        <v>25627.846150000001</v>
      </c>
      <c r="F50" s="2">
        <f t="shared" si="5"/>
        <v>25.62784615</v>
      </c>
      <c r="G50" s="2">
        <v>2.7247956403269753</v>
      </c>
      <c r="H50" s="2">
        <v>3.2697547683923704</v>
      </c>
      <c r="I50" s="2">
        <v>0</v>
      </c>
      <c r="J50" s="2">
        <v>3.8147138964577656</v>
      </c>
      <c r="K50" s="2">
        <v>0.27247956403269757</v>
      </c>
      <c r="L50" s="2">
        <v>1.3623978201634876</v>
      </c>
      <c r="M50" s="2">
        <v>0.81743869209809261</v>
      </c>
      <c r="N50" s="2">
        <v>0.54495912806539515</v>
      </c>
      <c r="O50" s="2">
        <v>53.133514986376021</v>
      </c>
      <c r="P50" s="2">
        <v>0</v>
      </c>
      <c r="Q50" s="2">
        <v>1.6348773841961852</v>
      </c>
      <c r="R50" s="2">
        <v>0</v>
      </c>
      <c r="S50" s="2">
        <v>8.9918256130790191</v>
      </c>
      <c r="T50" s="2">
        <v>1.9073569482288828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3.8147138964577656</v>
      </c>
      <c r="AB50" s="2">
        <v>0</v>
      </c>
      <c r="AC50" s="2">
        <v>0</v>
      </c>
      <c r="AD50" s="2">
        <v>6.5395095367847409</v>
      </c>
      <c r="AE50" s="2">
        <v>7.6294277929155312</v>
      </c>
      <c r="AF50" s="2">
        <v>0</v>
      </c>
      <c r="AG50" s="2">
        <v>1.6348773841961852</v>
      </c>
      <c r="AH50" s="2">
        <v>0</v>
      </c>
      <c r="AI50" s="2">
        <v>0.81743869209809261</v>
      </c>
      <c r="AJ50" s="2">
        <v>0</v>
      </c>
      <c r="AK50" s="2">
        <v>1.0899182561307903</v>
      </c>
      <c r="AL50" s="2">
        <f t="shared" si="13"/>
        <v>185.38324420677364</v>
      </c>
      <c r="AM50">
        <v>367</v>
      </c>
      <c r="AN50" s="2"/>
      <c r="AO50">
        <v>367</v>
      </c>
      <c r="AP50" s="2">
        <v>16.829999999999998</v>
      </c>
      <c r="AQ50" s="5">
        <v>16</v>
      </c>
      <c r="AR50" s="5">
        <f t="shared" si="14"/>
        <v>348.90077243018425</v>
      </c>
      <c r="AS50" t="s">
        <v>100</v>
      </c>
      <c r="AT50">
        <v>72</v>
      </c>
      <c r="AU50">
        <v>70.900000000000006</v>
      </c>
      <c r="AV50">
        <v>81.099999999999994</v>
      </c>
      <c r="AW50" s="5">
        <v>0</v>
      </c>
      <c r="AX50" s="5">
        <v>0</v>
      </c>
      <c r="AY50" s="5">
        <v>11.716621253405995</v>
      </c>
      <c r="AZ50" s="5">
        <v>54.54545454545454</v>
      </c>
      <c r="BA50" s="2">
        <f t="shared" si="15"/>
        <v>0</v>
      </c>
      <c r="BB50" s="2">
        <f t="shared" si="16"/>
        <v>2.1798365122615802</v>
      </c>
      <c r="BD50" s="5">
        <v>25212.07692</v>
      </c>
      <c r="BF50" s="13">
        <v>0</v>
      </c>
      <c r="BG50" s="13">
        <v>14.168937329700272</v>
      </c>
      <c r="BH50" s="13">
        <v>0</v>
      </c>
      <c r="BI50" s="13">
        <v>0</v>
      </c>
      <c r="BJ50" s="12">
        <f t="shared" si="6"/>
        <v>59.673024523160763</v>
      </c>
      <c r="BK50" s="12">
        <f t="shared" si="7"/>
        <v>67.302452316076298</v>
      </c>
      <c r="BL50" s="12">
        <f t="shared" si="8"/>
        <v>14.168937329700272</v>
      </c>
      <c r="BM50" s="12">
        <f t="shared" si="9"/>
        <v>67.302452316076298</v>
      </c>
      <c r="BN50" s="12">
        <f t="shared" si="10"/>
        <v>3.2697547683923704</v>
      </c>
      <c r="BO50" s="11">
        <f t="shared" si="11"/>
        <v>5.9945504087193457</v>
      </c>
      <c r="BP50" s="2">
        <f t="shared" si="12"/>
        <v>9.8092643051771109</v>
      </c>
    </row>
    <row r="51" spans="1:70" s="123" customFormat="1" ht="15.75">
      <c r="A51" s="123" t="s">
        <v>101</v>
      </c>
      <c r="B51" s="123">
        <v>746</v>
      </c>
      <c r="C51" s="137">
        <v>25745</v>
      </c>
      <c r="D51" s="138">
        <f t="shared" si="4"/>
        <v>25.745000000000001</v>
      </c>
      <c r="E51" s="139">
        <v>26142.46154</v>
      </c>
      <c r="F51" s="138">
        <f t="shared" si="5"/>
        <v>26.142461539999999</v>
      </c>
      <c r="G51" s="138">
        <v>2.6905829596412558</v>
      </c>
      <c r="H51" s="138">
        <v>7.1748878923766819</v>
      </c>
      <c r="I51" s="138">
        <v>0</v>
      </c>
      <c r="J51" s="138">
        <v>8.071748878923767</v>
      </c>
      <c r="K51" s="138">
        <v>0</v>
      </c>
      <c r="L51" s="138">
        <v>1.7937219730941705</v>
      </c>
      <c r="M51" s="138">
        <v>0.89686098654708524</v>
      </c>
      <c r="N51" s="138">
        <v>0</v>
      </c>
      <c r="O51" s="138">
        <v>45.739910313901348</v>
      </c>
      <c r="P51" s="138">
        <v>0</v>
      </c>
      <c r="Q51" s="138">
        <v>1.3452914798206279</v>
      </c>
      <c r="R51" s="138">
        <v>0</v>
      </c>
      <c r="S51" s="138">
        <v>4.4843049327354256</v>
      </c>
      <c r="T51" s="138">
        <v>1.7937219730941705</v>
      </c>
      <c r="U51" s="138">
        <v>0</v>
      </c>
      <c r="V51" s="138">
        <v>0</v>
      </c>
      <c r="W51" s="138">
        <v>0</v>
      </c>
      <c r="X51" s="138">
        <v>0</v>
      </c>
      <c r="Y51" s="138">
        <v>0</v>
      </c>
      <c r="Z51" s="138">
        <v>0</v>
      </c>
      <c r="AA51" s="138">
        <v>4.0358744394618835</v>
      </c>
      <c r="AB51" s="138">
        <v>0</v>
      </c>
      <c r="AC51" s="138">
        <v>0.89686098654708524</v>
      </c>
      <c r="AD51" s="138">
        <v>8.9686098654708513</v>
      </c>
      <c r="AE51" s="138">
        <v>5.8295964125560538</v>
      </c>
      <c r="AF51" s="138">
        <v>0</v>
      </c>
      <c r="AG51" s="138">
        <v>2.6905829596412558</v>
      </c>
      <c r="AH51" s="138">
        <v>1.3452914798206279</v>
      </c>
      <c r="AI51" s="138">
        <v>0.89686098654708524</v>
      </c>
      <c r="AJ51" s="138">
        <v>0</v>
      </c>
      <c r="AK51" s="138">
        <v>1.3452914798206279</v>
      </c>
      <c r="AL51" s="138">
        <f t="shared" si="13"/>
        <v>168.16074188562598</v>
      </c>
      <c r="AM51" s="123">
        <v>223</v>
      </c>
      <c r="AN51" s="138"/>
      <c r="AO51" s="123">
        <v>223</v>
      </c>
      <c r="AP51" s="138">
        <v>19.41</v>
      </c>
      <c r="AQ51" s="137">
        <v>32</v>
      </c>
      <c r="AR51" s="137">
        <f t="shared" si="14"/>
        <v>367.6455435342607</v>
      </c>
      <c r="AS51" s="123" t="s">
        <v>101</v>
      </c>
      <c r="AT51" s="123">
        <v>65.599999999999994</v>
      </c>
      <c r="AU51" s="123">
        <v>63.1</v>
      </c>
      <c r="AV51" s="123">
        <v>83.3</v>
      </c>
      <c r="AW51" s="137">
        <v>5</v>
      </c>
      <c r="AX51" s="137">
        <v>7.6923076923076925</v>
      </c>
      <c r="AY51" s="137">
        <v>15.695067264573993</v>
      </c>
      <c r="AZ51" s="137">
        <v>72.727272727272734</v>
      </c>
      <c r="BA51" s="138">
        <f t="shared" si="15"/>
        <v>0</v>
      </c>
      <c r="BB51" s="138">
        <f t="shared" si="16"/>
        <v>2.6905829596412558</v>
      </c>
      <c r="BC51" s="137"/>
      <c r="BD51" s="137">
        <v>25744.769230000002</v>
      </c>
      <c r="BE51" s="142"/>
      <c r="BF51" s="142">
        <v>0.89686098654708524</v>
      </c>
      <c r="BG51" s="142">
        <v>13.004484304932735</v>
      </c>
      <c r="BH51" s="142">
        <v>0.89686098654708524</v>
      </c>
      <c r="BI51" s="142">
        <v>6.4516129032258061</v>
      </c>
      <c r="BJ51" s="144">
        <f t="shared" si="6"/>
        <v>54.708520179372201</v>
      </c>
      <c r="BK51" s="144">
        <f t="shared" si="7"/>
        <v>58.744394618834079</v>
      </c>
      <c r="BL51" s="144">
        <f t="shared" si="8"/>
        <v>13.901345291479821</v>
      </c>
      <c r="BM51" s="144">
        <f t="shared" si="9"/>
        <v>59.641255605381161</v>
      </c>
      <c r="BN51" s="144">
        <f>H51+BF51</f>
        <v>8.071748878923767</v>
      </c>
      <c r="BO51" s="145">
        <f t="shared" si="11"/>
        <v>10.762331838565023</v>
      </c>
      <c r="BP51" s="138">
        <f t="shared" si="12"/>
        <v>14.798206278026907</v>
      </c>
      <c r="BQ51" s="137"/>
      <c r="BR51" s="137"/>
    </row>
    <row r="52" spans="1:70" ht="15.75">
      <c r="A52" t="s">
        <v>102</v>
      </c>
      <c r="B52">
        <v>761</v>
      </c>
      <c r="C52" s="5">
        <v>26544</v>
      </c>
      <c r="D52" s="2">
        <f t="shared" si="4"/>
        <v>26.544</v>
      </c>
      <c r="E52" s="39">
        <v>26914.384620000001</v>
      </c>
      <c r="F52" s="2">
        <f t="shared" si="5"/>
        <v>26.91438462</v>
      </c>
      <c r="G52" s="2">
        <v>16.403785488958992</v>
      </c>
      <c r="H52" s="2">
        <v>10.725552050473187</v>
      </c>
      <c r="I52" s="2">
        <v>0</v>
      </c>
      <c r="J52" s="2">
        <v>10.725552050473187</v>
      </c>
      <c r="K52" s="2">
        <v>0</v>
      </c>
      <c r="L52" s="2">
        <v>3.1545741324921135</v>
      </c>
      <c r="M52" s="2">
        <v>0</v>
      </c>
      <c r="N52" s="2">
        <v>0.63091482649842268</v>
      </c>
      <c r="O52" s="2">
        <v>19.558359621451103</v>
      </c>
      <c r="P52" s="2">
        <v>0</v>
      </c>
      <c r="Q52" s="2">
        <v>1.2618296529968454</v>
      </c>
      <c r="R52" s="2">
        <v>0</v>
      </c>
      <c r="S52" s="2">
        <v>2.8391167192429023</v>
      </c>
      <c r="T52" s="2">
        <v>3.4700315457413251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5.0473186119873814</v>
      </c>
      <c r="AB52" s="2">
        <v>0</v>
      </c>
      <c r="AC52" s="2">
        <v>0.63091482649842268</v>
      </c>
      <c r="AD52" s="2">
        <v>5.0473186119873814</v>
      </c>
      <c r="AE52" s="2">
        <v>7.5709779179810726</v>
      </c>
      <c r="AF52" s="2">
        <v>0</v>
      </c>
      <c r="AG52" s="2">
        <v>8.517350157728707</v>
      </c>
      <c r="AH52" s="2">
        <v>1.2618296529968454</v>
      </c>
      <c r="AI52" s="2">
        <v>2.2082018927444795</v>
      </c>
      <c r="AJ52" s="2">
        <v>0</v>
      </c>
      <c r="AK52" s="2">
        <v>0.94637223974763407</v>
      </c>
      <c r="AL52" s="2">
        <f t="shared" si="13"/>
        <v>48.249027237354085</v>
      </c>
      <c r="AM52">
        <v>317</v>
      </c>
      <c r="AN52" s="2"/>
      <c r="AO52">
        <v>317</v>
      </c>
      <c r="AP52" s="2">
        <v>20.56</v>
      </c>
      <c r="AQ52" s="5">
        <v>16</v>
      </c>
      <c r="AR52" s="5">
        <f t="shared" si="14"/>
        <v>246.69260700389106</v>
      </c>
      <c r="AS52" t="s">
        <v>102</v>
      </c>
      <c r="AT52">
        <v>72.400000000000006</v>
      </c>
      <c r="AU52">
        <v>70.7</v>
      </c>
      <c r="AV52">
        <v>80.8</v>
      </c>
      <c r="AW52" s="5">
        <v>0</v>
      </c>
      <c r="AX52" s="5">
        <v>4.1666666666666661</v>
      </c>
      <c r="AY52" s="5">
        <v>18.611987381703472</v>
      </c>
      <c r="AZ52" s="5">
        <v>39.534883720930232</v>
      </c>
      <c r="BA52" s="2">
        <f t="shared" si="15"/>
        <v>0</v>
      </c>
      <c r="BB52" s="2">
        <f t="shared" si="16"/>
        <v>3.1545741324921135</v>
      </c>
      <c r="BD52" s="5">
        <v>26543.807690000001</v>
      </c>
      <c r="BF52" s="13">
        <v>2.8391167192429023</v>
      </c>
      <c r="BG52" s="13">
        <v>9.4637223974763405</v>
      </c>
      <c r="BH52" s="13">
        <v>0.31545741324921134</v>
      </c>
      <c r="BI52" s="13">
        <v>3.225806451612903</v>
      </c>
      <c r="BJ52" s="12">
        <f t="shared" si="6"/>
        <v>24.605678233438486</v>
      </c>
      <c r="BK52" s="12">
        <f t="shared" si="7"/>
        <v>29.022082018927442</v>
      </c>
      <c r="BL52" s="12">
        <f t="shared" si="8"/>
        <v>9.7791798107255516</v>
      </c>
      <c r="BM52" s="12">
        <f t="shared" si="9"/>
        <v>29.337539432176655</v>
      </c>
      <c r="BN52" s="12">
        <f t="shared" si="10"/>
        <v>13.564668769716089</v>
      </c>
      <c r="BO52" s="11">
        <f t="shared" si="11"/>
        <v>29.968454258675081</v>
      </c>
      <c r="BP52" s="2">
        <f t="shared" si="12"/>
        <v>36.90851735015773</v>
      </c>
    </row>
    <row r="53" spans="1:70" s="23" customFormat="1" ht="15.75">
      <c r="A53" s="23" t="s">
        <v>103</v>
      </c>
      <c r="B53" s="23">
        <v>779</v>
      </c>
      <c r="C53" s="24">
        <v>27503</v>
      </c>
      <c r="D53" s="25">
        <f t="shared" si="4"/>
        <v>27.503</v>
      </c>
      <c r="E53" s="39">
        <v>27840.692309999999</v>
      </c>
      <c r="F53" s="2">
        <f t="shared" si="5"/>
        <v>27.840692309999998</v>
      </c>
      <c r="G53" s="25">
        <v>1.3245033112582782</v>
      </c>
      <c r="H53" s="25">
        <v>4.9668874172185431</v>
      </c>
      <c r="I53" s="25">
        <v>0</v>
      </c>
      <c r="J53" s="25">
        <v>0.33112582781456956</v>
      </c>
      <c r="K53" s="25">
        <v>0</v>
      </c>
      <c r="L53" s="25">
        <v>1.9867549668874172</v>
      </c>
      <c r="M53" s="25">
        <v>0</v>
      </c>
      <c r="N53" s="25">
        <v>0.33112582781456956</v>
      </c>
      <c r="O53" s="25">
        <v>52.980132450331126</v>
      </c>
      <c r="P53" s="25">
        <v>0</v>
      </c>
      <c r="Q53" s="25">
        <v>0.99337748344370858</v>
      </c>
      <c r="R53" s="25">
        <v>0</v>
      </c>
      <c r="S53" s="25">
        <v>16.887417218543046</v>
      </c>
      <c r="T53" s="25">
        <v>0.99337748344370858</v>
      </c>
      <c r="U53" s="25">
        <v>0</v>
      </c>
      <c r="V53" s="25">
        <v>0</v>
      </c>
      <c r="W53" s="25">
        <v>0</v>
      </c>
      <c r="X53" s="25">
        <v>0</v>
      </c>
      <c r="Y53" s="25">
        <v>0</v>
      </c>
      <c r="Z53" s="25">
        <v>0</v>
      </c>
      <c r="AA53" s="25">
        <v>3.3112582781456954</v>
      </c>
      <c r="AB53" s="25">
        <v>0</v>
      </c>
      <c r="AC53" s="25">
        <v>0</v>
      </c>
      <c r="AD53" s="25">
        <v>4.3046357615894042</v>
      </c>
      <c r="AE53" s="25">
        <v>6.9536423841059607</v>
      </c>
      <c r="AF53" s="25">
        <v>0</v>
      </c>
      <c r="AG53" s="25">
        <v>1.9867549668874172</v>
      </c>
      <c r="AH53" s="25">
        <v>0.33112582781456956</v>
      </c>
      <c r="AI53" s="25">
        <v>1.6556291390728477</v>
      </c>
      <c r="AJ53" s="25">
        <v>0</v>
      </c>
      <c r="AK53" s="25">
        <v>0.66225165562913912</v>
      </c>
      <c r="AL53" s="25">
        <f t="shared" si="13"/>
        <v>176.79558011049724</v>
      </c>
      <c r="AM53" s="23">
        <v>302</v>
      </c>
      <c r="AN53" s="25"/>
      <c r="AO53" s="23">
        <v>302</v>
      </c>
      <c r="AP53" s="25">
        <v>14.48</v>
      </c>
      <c r="AQ53" s="24">
        <v>16</v>
      </c>
      <c r="AR53" s="24">
        <f t="shared" si="14"/>
        <v>333.70165745856355</v>
      </c>
      <c r="AS53" s="23" t="s">
        <v>103</v>
      </c>
      <c r="AT53" s="23">
        <v>64.5</v>
      </c>
      <c r="AU53" s="23">
        <v>62.2</v>
      </c>
      <c r="AV53" s="23">
        <v>86.7</v>
      </c>
      <c r="AW53" s="24">
        <v>0</v>
      </c>
      <c r="AX53" s="24">
        <v>0</v>
      </c>
      <c r="AY53" s="24">
        <v>12.913907284768211</v>
      </c>
      <c r="AZ53" s="24">
        <v>78.94736842105263</v>
      </c>
      <c r="BA53" s="25">
        <f t="shared" si="15"/>
        <v>0</v>
      </c>
      <c r="BB53" s="25">
        <f t="shared" si="16"/>
        <v>1.9867549668874172</v>
      </c>
      <c r="BC53" s="24"/>
      <c r="BD53" s="24">
        <v>27502.653849999999</v>
      </c>
      <c r="BE53" s="26"/>
      <c r="BF53" s="26">
        <v>0</v>
      </c>
      <c r="BG53" s="26">
        <v>11.258278145695364</v>
      </c>
      <c r="BH53" s="26">
        <v>0</v>
      </c>
      <c r="BI53" s="26">
        <v>0</v>
      </c>
      <c r="BJ53" s="27">
        <f t="shared" si="6"/>
        <v>57.284768211920529</v>
      </c>
      <c r="BK53" s="27">
        <f t="shared" si="7"/>
        <v>64.238410596026483</v>
      </c>
      <c r="BL53" s="12">
        <f t="shared" si="8"/>
        <v>11.258278145695364</v>
      </c>
      <c r="BM53" s="27">
        <f t="shared" si="9"/>
        <v>64.238410596026483</v>
      </c>
      <c r="BN53" s="27">
        <f t="shared" si="10"/>
        <v>4.9668874172185431</v>
      </c>
      <c r="BO53" s="28">
        <f t="shared" si="11"/>
        <v>6.2913907284768218</v>
      </c>
      <c r="BP53" s="2">
        <f t="shared" si="12"/>
        <v>4.6357615894039732</v>
      </c>
      <c r="BQ53" s="24">
        <v>5</v>
      </c>
      <c r="BR53" s="24"/>
    </row>
    <row r="54" spans="1:70" ht="15.75">
      <c r="A54" s="105" t="s">
        <v>104</v>
      </c>
      <c r="B54">
        <v>799</v>
      </c>
      <c r="C54" s="5">
        <v>28185</v>
      </c>
      <c r="D54" s="2">
        <f t="shared" si="4"/>
        <v>28.184999999999999</v>
      </c>
      <c r="E54" s="39">
        <v>28519.91489</v>
      </c>
      <c r="F54" s="2">
        <f t="shared" si="5"/>
        <v>28.519914889999999</v>
      </c>
      <c r="G54" s="2">
        <v>1.3550135501355014</v>
      </c>
      <c r="H54" s="2">
        <v>3.5230352303523036</v>
      </c>
      <c r="I54" s="2">
        <v>0</v>
      </c>
      <c r="J54" s="2">
        <v>0.54200542005420049</v>
      </c>
      <c r="K54" s="2">
        <v>0.27100271002710025</v>
      </c>
      <c r="L54" s="2">
        <v>3.5230352303523036</v>
      </c>
      <c r="M54" s="2">
        <v>0.81300813008130079</v>
      </c>
      <c r="N54" s="2">
        <v>0</v>
      </c>
      <c r="O54" s="2">
        <v>42.818428184281842</v>
      </c>
      <c r="P54" s="2">
        <v>0</v>
      </c>
      <c r="Q54" s="2">
        <v>0.81300813008130079</v>
      </c>
      <c r="R54" s="2">
        <v>0</v>
      </c>
      <c r="S54" s="2">
        <v>21.951219512195124</v>
      </c>
      <c r="T54" s="2">
        <v>1.084010840108401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2.168021680216802</v>
      </c>
      <c r="AB54" s="2">
        <v>0</v>
      </c>
      <c r="AC54" s="2">
        <v>0</v>
      </c>
      <c r="AD54" s="2">
        <v>3.2520325203252032</v>
      </c>
      <c r="AE54" s="2">
        <v>14.092140921409214</v>
      </c>
      <c r="AF54" s="2">
        <v>0</v>
      </c>
      <c r="AG54" s="2">
        <v>1.6260162601626016</v>
      </c>
      <c r="AH54" s="2">
        <v>0.27100271002710025</v>
      </c>
      <c r="AI54" s="2">
        <v>1.6260162601626016</v>
      </c>
      <c r="AJ54" s="2">
        <v>0</v>
      </c>
      <c r="AK54" s="2">
        <v>0.27100271002710025</v>
      </c>
      <c r="AL54" s="2">
        <f t="shared" si="13"/>
        <v>366.37681159420288</v>
      </c>
      <c r="AM54">
        <v>369</v>
      </c>
      <c r="AN54" s="2"/>
      <c r="AO54">
        <v>369</v>
      </c>
      <c r="AP54" s="2">
        <v>13.8</v>
      </c>
      <c r="AQ54" s="5">
        <v>32</v>
      </c>
      <c r="AR54" s="5">
        <f t="shared" si="14"/>
        <v>855.65217391304338</v>
      </c>
      <c r="AS54" t="s">
        <v>104</v>
      </c>
      <c r="AT54">
        <v>33.200000000000003</v>
      </c>
      <c r="AU54">
        <v>30.1</v>
      </c>
      <c r="AV54">
        <v>69.7</v>
      </c>
      <c r="AW54" s="5">
        <v>8.3333333333333321</v>
      </c>
      <c r="AX54" s="5">
        <v>1.9230769230769231</v>
      </c>
      <c r="AY54" s="5">
        <v>16.802168021680217</v>
      </c>
      <c r="AZ54" s="5">
        <v>72.222222222222214</v>
      </c>
      <c r="BA54" s="2">
        <f t="shared" si="15"/>
        <v>0</v>
      </c>
      <c r="BB54" s="2">
        <f t="shared" si="16"/>
        <v>4.3360433604336048</v>
      </c>
      <c r="BD54" s="5">
        <v>28184.531910000002</v>
      </c>
      <c r="BF54" s="13">
        <v>0.54200542005420049</v>
      </c>
      <c r="BG54" s="13">
        <v>16.260162601626018</v>
      </c>
      <c r="BH54" s="13">
        <v>0.54200542005420049</v>
      </c>
      <c r="BI54" s="13">
        <v>3.225806451612903</v>
      </c>
      <c r="BJ54" s="12">
        <f t="shared" si="6"/>
        <v>46.070460704607044</v>
      </c>
      <c r="BK54" s="12">
        <f t="shared" si="7"/>
        <v>59.078590785907863</v>
      </c>
      <c r="BL54" s="12">
        <f t="shared" si="8"/>
        <v>16.802168021680217</v>
      </c>
      <c r="BM54" s="12">
        <f t="shared" si="9"/>
        <v>59.620596205962066</v>
      </c>
      <c r="BN54" s="12">
        <f t="shared" si="10"/>
        <v>4.0650406504065044</v>
      </c>
      <c r="BO54" s="11">
        <f t="shared" si="11"/>
        <v>5.4200542005420056</v>
      </c>
      <c r="BP54" s="2">
        <f t="shared" si="12"/>
        <v>4.3360433604336048</v>
      </c>
    </row>
    <row r="55" spans="1:70" ht="15.75">
      <c r="A55" t="s">
        <v>105</v>
      </c>
      <c r="B55">
        <v>819</v>
      </c>
      <c r="C55" s="5">
        <v>28739</v>
      </c>
      <c r="D55" s="2">
        <f t="shared" si="4"/>
        <v>28.739000000000001</v>
      </c>
      <c r="E55" s="39">
        <v>29082.468089999998</v>
      </c>
      <c r="F55" s="2">
        <f t="shared" si="5"/>
        <v>29.082468089999999</v>
      </c>
      <c r="G55" s="2">
        <v>1.909307875894988</v>
      </c>
      <c r="H55" s="2">
        <v>3.3412887828162292</v>
      </c>
      <c r="I55" s="2">
        <v>0</v>
      </c>
      <c r="J55" s="2">
        <v>0.2386634844868735</v>
      </c>
      <c r="K55" s="2">
        <v>0</v>
      </c>
      <c r="L55" s="2">
        <v>1.6706443914081146</v>
      </c>
      <c r="M55" s="2">
        <v>0.71599045346062051</v>
      </c>
      <c r="N55" s="2">
        <v>0</v>
      </c>
      <c r="O55" s="2">
        <v>48.687350835322192</v>
      </c>
      <c r="P55" s="2">
        <v>0</v>
      </c>
      <c r="Q55" s="2">
        <v>0.95465393794749398</v>
      </c>
      <c r="R55" s="2">
        <v>0</v>
      </c>
      <c r="S55" s="2">
        <v>20.047732696897373</v>
      </c>
      <c r="T55" s="2">
        <v>2.3866348448687349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1.6706443914081146</v>
      </c>
      <c r="AB55" s="2">
        <v>0</v>
      </c>
      <c r="AC55" s="2">
        <v>0</v>
      </c>
      <c r="AD55" s="2">
        <v>1.431980906921241</v>
      </c>
      <c r="AE55" s="2">
        <v>14.081145584725537</v>
      </c>
      <c r="AF55" s="2">
        <v>0</v>
      </c>
      <c r="AG55" s="2">
        <v>1.6706443914081146</v>
      </c>
      <c r="AH55" s="2">
        <v>0</v>
      </c>
      <c r="AI55" s="2">
        <v>0.71599045346062051</v>
      </c>
      <c r="AJ55" s="2">
        <v>0</v>
      </c>
      <c r="AK55" s="2">
        <v>0.47732696897374699</v>
      </c>
      <c r="AL55" s="2">
        <f t="shared" si="13"/>
        <v>509.20436817472694</v>
      </c>
      <c r="AM55">
        <v>419</v>
      </c>
      <c r="AN55" s="2"/>
      <c r="AO55">
        <v>419</v>
      </c>
      <c r="AP55" s="2">
        <v>12.82</v>
      </c>
      <c r="AQ55" s="5">
        <v>32</v>
      </c>
      <c r="AR55" s="5">
        <f t="shared" si="14"/>
        <v>1045.8658346333852</v>
      </c>
      <c r="AS55" t="s">
        <v>105</v>
      </c>
      <c r="AT55">
        <v>33.299999999999997</v>
      </c>
      <c r="AU55">
        <v>31.5</v>
      </c>
      <c r="AV55">
        <v>61</v>
      </c>
      <c r="AW55" s="5">
        <v>0</v>
      </c>
      <c r="AX55" s="5">
        <v>6.7796610169491522</v>
      </c>
      <c r="AY55" s="5">
        <v>11.217183770883054</v>
      </c>
      <c r="AZ55" s="5">
        <v>63.636363636363633</v>
      </c>
      <c r="BA55" s="2">
        <f t="shared" si="15"/>
        <v>0</v>
      </c>
      <c r="BB55" s="2">
        <f t="shared" si="16"/>
        <v>2.3866348448687349</v>
      </c>
      <c r="BD55" s="5">
        <v>28738.57447</v>
      </c>
      <c r="BF55" s="13">
        <v>0.71599045346062051</v>
      </c>
      <c r="BG55" s="13">
        <v>14.081145584725537</v>
      </c>
      <c r="BH55" s="13">
        <v>0.95465393794749398</v>
      </c>
      <c r="BI55" s="13">
        <v>6.3492063492063489</v>
      </c>
      <c r="BJ55" s="12">
        <f t="shared" si="6"/>
        <v>50.119331742243432</v>
      </c>
      <c r="BK55" s="12">
        <f t="shared" si="7"/>
        <v>62.768496420047725</v>
      </c>
      <c r="BL55" s="12">
        <f t="shared" si="8"/>
        <v>15.035799522673031</v>
      </c>
      <c r="BM55" s="12">
        <f t="shared" si="9"/>
        <v>63.723150357995216</v>
      </c>
      <c r="BN55" s="12">
        <f t="shared" si="10"/>
        <v>4.0572792362768499</v>
      </c>
      <c r="BO55" s="11">
        <f t="shared" si="11"/>
        <v>5.9665871121718377</v>
      </c>
      <c r="BP55" s="2">
        <f t="shared" si="12"/>
        <v>4.7732696897374698</v>
      </c>
    </row>
    <row r="56" spans="1:70" s="123" customFormat="1" ht="15.75">
      <c r="A56" s="123" t="s">
        <v>106</v>
      </c>
      <c r="B56" s="123">
        <v>833</v>
      </c>
      <c r="C56" s="137">
        <v>29126</v>
      </c>
      <c r="D56" s="138">
        <f t="shared" si="4"/>
        <v>29.126000000000001</v>
      </c>
      <c r="E56" s="139">
        <v>29476.25532</v>
      </c>
      <c r="F56" s="138">
        <f t="shared" si="5"/>
        <v>29.47625532</v>
      </c>
      <c r="G56" s="138">
        <v>2.8708133971291865</v>
      </c>
      <c r="H56" s="138">
        <v>3.1100478468899522</v>
      </c>
      <c r="I56" s="138">
        <v>0</v>
      </c>
      <c r="J56" s="138">
        <v>0.71770334928229662</v>
      </c>
      <c r="K56" s="138">
        <v>0</v>
      </c>
      <c r="L56" s="138">
        <v>2.3923444976076556</v>
      </c>
      <c r="M56" s="138">
        <v>1.1961722488038278</v>
      </c>
      <c r="N56" s="138">
        <v>0</v>
      </c>
      <c r="O56" s="138">
        <v>45.215311004784688</v>
      </c>
      <c r="P56" s="138">
        <v>0</v>
      </c>
      <c r="Q56" s="138">
        <v>0.4784688995215311</v>
      </c>
      <c r="R56" s="138">
        <v>0</v>
      </c>
      <c r="S56" s="138">
        <v>16.507177033492823</v>
      </c>
      <c r="T56" s="138">
        <v>2.1531100478468899</v>
      </c>
      <c r="U56" s="138">
        <v>0</v>
      </c>
      <c r="V56" s="138">
        <v>0</v>
      </c>
      <c r="W56" s="138">
        <v>0</v>
      </c>
      <c r="X56" s="138">
        <v>0</v>
      </c>
      <c r="Y56" s="138">
        <v>0</v>
      </c>
      <c r="Z56" s="138">
        <v>0</v>
      </c>
      <c r="AA56" s="138">
        <v>2.6315789473684212</v>
      </c>
      <c r="AB56" s="138">
        <v>0</v>
      </c>
      <c r="AC56" s="138">
        <v>0.4784688995215311</v>
      </c>
      <c r="AD56" s="138">
        <v>2.1531100478468899</v>
      </c>
      <c r="AE56" s="138">
        <v>12.440191387559809</v>
      </c>
      <c r="AF56" s="138">
        <v>0</v>
      </c>
      <c r="AG56" s="138">
        <v>5.0239234449760763</v>
      </c>
      <c r="AH56" s="138">
        <v>0.4784688995215311</v>
      </c>
      <c r="AI56" s="138">
        <v>2.1531100478468899</v>
      </c>
      <c r="AJ56" s="138">
        <v>0</v>
      </c>
      <c r="AK56" s="138">
        <v>0</v>
      </c>
      <c r="AL56" s="138">
        <f t="shared" si="13"/>
        <v>205.71428571428572</v>
      </c>
      <c r="AM56" s="123">
        <v>418</v>
      </c>
      <c r="AN56" s="138"/>
      <c r="AO56" s="123">
        <v>418</v>
      </c>
      <c r="AP56" s="138">
        <v>14.7</v>
      </c>
      <c r="AQ56" s="137">
        <v>16</v>
      </c>
      <c r="AR56" s="137">
        <f t="shared" si="14"/>
        <v>454.96598639455783</v>
      </c>
      <c r="AS56" s="123" t="s">
        <v>106</v>
      </c>
      <c r="AT56" s="123">
        <v>30.4</v>
      </c>
      <c r="AU56" s="123">
        <v>28.5</v>
      </c>
      <c r="AV56" s="123">
        <v>46.2</v>
      </c>
      <c r="AW56" s="137">
        <v>0</v>
      </c>
      <c r="AX56" s="137">
        <v>3.8461538461538463</v>
      </c>
      <c r="AY56" s="137">
        <v>15.789473684210526</v>
      </c>
      <c r="AZ56" s="137">
        <v>52</v>
      </c>
      <c r="BA56" s="138">
        <f t="shared" si="15"/>
        <v>0</v>
      </c>
      <c r="BB56" s="138">
        <f t="shared" si="16"/>
        <v>3.5885167464114831</v>
      </c>
      <c r="BC56" s="137"/>
      <c r="BD56" s="137">
        <v>29126.404259999999</v>
      </c>
      <c r="BE56" s="142"/>
      <c r="BF56" s="142">
        <v>1.4354066985645932</v>
      </c>
      <c r="BG56" s="142">
        <v>12.679425837320574</v>
      </c>
      <c r="BH56" s="142">
        <v>0.4784688995215311</v>
      </c>
      <c r="BI56" s="142">
        <v>3.6363636363636362</v>
      </c>
      <c r="BJ56" s="144">
        <f t="shared" si="6"/>
        <v>47.368421052631575</v>
      </c>
      <c r="BK56" s="144">
        <f t="shared" si="7"/>
        <v>57.89473684210526</v>
      </c>
      <c r="BL56" s="144">
        <f t="shared" si="8"/>
        <v>13.157894736842104</v>
      </c>
      <c r="BM56" s="144">
        <f t="shared" si="9"/>
        <v>58.373205741626791</v>
      </c>
      <c r="BN56" s="144">
        <f t="shared" si="10"/>
        <v>4.545454545454545</v>
      </c>
      <c r="BO56" s="145">
        <f t="shared" si="11"/>
        <v>7.4162679425837315</v>
      </c>
      <c r="BP56" s="138">
        <f t="shared" si="12"/>
        <v>9.0909090909090899</v>
      </c>
      <c r="BQ56" s="137"/>
      <c r="BR56" s="137"/>
    </row>
    <row r="57" spans="1:70" ht="15.75">
      <c r="A57" t="s">
        <v>107</v>
      </c>
      <c r="B57">
        <v>853</v>
      </c>
      <c r="C57" s="5">
        <v>29680</v>
      </c>
      <c r="D57" s="2">
        <f t="shared" si="4"/>
        <v>29.68</v>
      </c>
      <c r="E57" s="39">
        <v>30038.808509999999</v>
      </c>
      <c r="F57" s="2">
        <f t="shared" si="5"/>
        <v>30.038808509999999</v>
      </c>
      <c r="G57" s="2">
        <v>1.4285714285714286</v>
      </c>
      <c r="H57" s="2">
        <v>7.1428571428571432</v>
      </c>
      <c r="I57" s="2">
        <v>0</v>
      </c>
      <c r="J57" s="2">
        <v>3.3333333333333335</v>
      </c>
      <c r="K57" s="2">
        <v>0</v>
      </c>
      <c r="L57" s="2">
        <v>5.7142857142857144</v>
      </c>
      <c r="M57" s="2">
        <v>0</v>
      </c>
      <c r="N57" s="2">
        <v>0</v>
      </c>
      <c r="O57" s="2">
        <v>45.238095238095241</v>
      </c>
      <c r="P57" s="2">
        <v>0</v>
      </c>
      <c r="Q57" s="2">
        <v>0.47619047619047616</v>
      </c>
      <c r="R57" s="2">
        <v>0</v>
      </c>
      <c r="S57" s="2">
        <v>9.5238095238095237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9.5238095238095237</v>
      </c>
      <c r="AB57" s="2">
        <v>0</v>
      </c>
      <c r="AC57" s="2">
        <v>0</v>
      </c>
      <c r="AD57" s="2">
        <v>6.666666666666667</v>
      </c>
      <c r="AE57" s="2">
        <v>3.3333333333333335</v>
      </c>
      <c r="AF57" s="2">
        <v>0</v>
      </c>
      <c r="AG57" s="2">
        <v>5.2380952380952381</v>
      </c>
      <c r="AH57" s="2">
        <v>0</v>
      </c>
      <c r="AI57" s="2">
        <v>1.9047619047619047</v>
      </c>
      <c r="AJ57" s="2">
        <v>0</v>
      </c>
      <c r="AK57" s="2">
        <v>0.47619047619047616</v>
      </c>
      <c r="AL57" s="2">
        <f t="shared" si="13"/>
        <v>113.43283582089552</v>
      </c>
      <c r="AM57">
        <v>210</v>
      </c>
      <c r="AN57" s="2"/>
      <c r="AO57">
        <v>210</v>
      </c>
      <c r="AP57" s="2">
        <v>13.4</v>
      </c>
      <c r="AQ57" s="5">
        <v>16</v>
      </c>
      <c r="AR57" s="5">
        <f t="shared" si="14"/>
        <v>250.74626865671641</v>
      </c>
      <c r="AS57" t="s">
        <v>107</v>
      </c>
      <c r="AT57">
        <v>63.1</v>
      </c>
      <c r="AU57">
        <v>60.4</v>
      </c>
      <c r="AV57">
        <v>8</v>
      </c>
      <c r="AW57" s="5">
        <v>0</v>
      </c>
      <c r="AX57" s="5">
        <v>0</v>
      </c>
      <c r="AY57" s="5">
        <v>17.142857142857142</v>
      </c>
      <c r="AZ57" s="5">
        <v>83.333333333333343</v>
      </c>
      <c r="BA57" s="2">
        <f t="shared" si="15"/>
        <v>0</v>
      </c>
      <c r="BB57" s="2">
        <f t="shared" si="16"/>
        <v>5.7142857142857144</v>
      </c>
      <c r="BD57" s="5">
        <v>29680.446810000001</v>
      </c>
      <c r="BF57" s="13">
        <v>0.49261083743842365</v>
      </c>
      <c r="BG57" s="13">
        <v>9.8522167487684733</v>
      </c>
      <c r="BH57" s="13">
        <v>0</v>
      </c>
      <c r="BI57" s="13">
        <v>0</v>
      </c>
      <c r="BJ57" s="12">
        <f t="shared" si="6"/>
        <v>51.904761904761905</v>
      </c>
      <c r="BK57" s="12">
        <f t="shared" si="7"/>
        <v>55.090311986863711</v>
      </c>
      <c r="BL57" s="12">
        <f t="shared" si="8"/>
        <v>9.8522167487684733</v>
      </c>
      <c r="BM57" s="12">
        <f t="shared" si="9"/>
        <v>55.090311986863711</v>
      </c>
      <c r="BN57" s="12">
        <f t="shared" si="10"/>
        <v>7.6354679802955667</v>
      </c>
      <c r="BO57" s="11">
        <f t="shared" si="11"/>
        <v>9.0640394088669947</v>
      </c>
      <c r="BP57" s="2">
        <f t="shared" si="12"/>
        <v>10.476190476190476</v>
      </c>
    </row>
    <row r="58" spans="1:70" s="23" customFormat="1" ht="15.75">
      <c r="A58" s="105" t="s">
        <v>108</v>
      </c>
      <c r="B58" s="23">
        <v>871</v>
      </c>
      <c r="C58" s="24">
        <v>30179</v>
      </c>
      <c r="D58" s="25">
        <f t="shared" si="4"/>
        <v>30.178999999999998</v>
      </c>
      <c r="E58" s="39">
        <v>30545.106380000001</v>
      </c>
      <c r="F58" s="2">
        <f t="shared" si="5"/>
        <v>30.54510638</v>
      </c>
      <c r="G58" s="25">
        <v>2.0161290322580645</v>
      </c>
      <c r="H58" s="25">
        <v>8.870967741935484</v>
      </c>
      <c r="I58" s="25">
        <v>0</v>
      </c>
      <c r="J58" s="25">
        <v>0.40322580645161288</v>
      </c>
      <c r="K58" s="25">
        <v>0</v>
      </c>
      <c r="L58" s="25">
        <v>6.4516129032258061</v>
      </c>
      <c r="M58" s="25">
        <v>1.6129032258064515</v>
      </c>
      <c r="N58" s="25">
        <v>0</v>
      </c>
      <c r="O58" s="25">
        <v>45.161290322580648</v>
      </c>
      <c r="P58" s="25">
        <v>0</v>
      </c>
      <c r="Q58" s="25">
        <v>1.2096774193548387</v>
      </c>
      <c r="R58" s="25">
        <v>0</v>
      </c>
      <c r="S58" s="25">
        <v>13.709677419354838</v>
      </c>
      <c r="T58" s="25">
        <v>0.40322580645161288</v>
      </c>
      <c r="U58" s="25">
        <v>0</v>
      </c>
      <c r="V58" s="25">
        <v>0</v>
      </c>
      <c r="W58" s="25">
        <v>0</v>
      </c>
      <c r="X58" s="25">
        <v>0</v>
      </c>
      <c r="Y58" s="25">
        <v>0</v>
      </c>
      <c r="Z58" s="25">
        <v>0</v>
      </c>
      <c r="AA58" s="25">
        <v>3.225806451612903</v>
      </c>
      <c r="AB58" s="25">
        <v>0</v>
      </c>
      <c r="AC58" s="25">
        <v>0.80645161290322576</v>
      </c>
      <c r="AD58" s="25">
        <v>4.435483870967742</v>
      </c>
      <c r="AE58" s="25">
        <v>4.032258064516129</v>
      </c>
      <c r="AF58" s="25">
        <v>0</v>
      </c>
      <c r="AG58" s="25">
        <v>2.8225806451612905</v>
      </c>
      <c r="AH58" s="25">
        <v>1.2096774193548387</v>
      </c>
      <c r="AI58" s="25">
        <v>2.0161290322580645</v>
      </c>
      <c r="AJ58" s="25">
        <v>0</v>
      </c>
      <c r="AK58" s="25">
        <v>1.6129032258064515</v>
      </c>
      <c r="AL58" s="25">
        <f t="shared" si="13"/>
        <v>119.3075898801598</v>
      </c>
      <c r="AM58" s="23">
        <v>248</v>
      </c>
      <c r="AN58" s="25"/>
      <c r="AO58" s="23">
        <v>248</v>
      </c>
      <c r="AP58" s="25">
        <v>15.02</v>
      </c>
      <c r="AQ58" s="24">
        <v>16</v>
      </c>
      <c r="AR58" s="24">
        <f t="shared" si="14"/>
        <v>264.18109187749667</v>
      </c>
      <c r="AS58" s="23" t="s">
        <v>108</v>
      </c>
      <c r="AT58" s="23">
        <v>65.3</v>
      </c>
      <c r="AU58" s="23">
        <v>61</v>
      </c>
      <c r="AV58" s="23">
        <v>87.1</v>
      </c>
      <c r="AW58" s="24">
        <v>0</v>
      </c>
      <c r="AX58" s="24">
        <v>0</v>
      </c>
      <c r="AY58" s="24">
        <v>21.774193548387096</v>
      </c>
      <c r="AZ58" s="24">
        <v>81.481481481481481</v>
      </c>
      <c r="BA58" s="25">
        <f t="shared" si="15"/>
        <v>0</v>
      </c>
      <c r="BB58" s="25">
        <f t="shared" si="16"/>
        <v>8.064516129032258</v>
      </c>
      <c r="BC58" s="24"/>
      <c r="BD58" s="24">
        <v>30179.08511</v>
      </c>
      <c r="BE58" s="26"/>
      <c r="BF58" s="26">
        <v>0.40322580645161288</v>
      </c>
      <c r="BG58" s="26">
        <v>8.064516129032258</v>
      </c>
      <c r="BH58" s="26">
        <v>0</v>
      </c>
      <c r="BI58" s="26">
        <v>0</v>
      </c>
      <c r="BJ58" s="27">
        <f t="shared" si="6"/>
        <v>49.596774193548391</v>
      </c>
      <c r="BK58" s="27">
        <f t="shared" si="7"/>
        <v>53.225806451612904</v>
      </c>
      <c r="BL58" s="12">
        <f t="shared" si="8"/>
        <v>8.064516129032258</v>
      </c>
      <c r="BM58" s="27">
        <f t="shared" si="9"/>
        <v>53.225806451612904</v>
      </c>
      <c r="BN58" s="27">
        <f t="shared" si="10"/>
        <v>9.2741935483870961</v>
      </c>
      <c r="BO58" s="28">
        <f t="shared" si="11"/>
        <v>11.29032258064516</v>
      </c>
      <c r="BP58" s="2">
        <f t="shared" si="12"/>
        <v>6.4516129032258061</v>
      </c>
      <c r="BQ58" s="24">
        <v>9</v>
      </c>
      <c r="BR58" s="24"/>
    </row>
    <row r="59" spans="1:70" s="123" customFormat="1" ht="15.75">
      <c r="A59" s="123" t="s">
        <v>109</v>
      </c>
      <c r="B59" s="123">
        <v>888</v>
      </c>
      <c r="C59" s="137">
        <v>30493</v>
      </c>
      <c r="D59" s="138">
        <f t="shared" si="4"/>
        <v>30.492999999999999</v>
      </c>
      <c r="E59" s="139">
        <v>30863.619050000001</v>
      </c>
      <c r="F59" s="138">
        <f t="shared" si="5"/>
        <v>30.86361905</v>
      </c>
      <c r="G59" s="138">
        <v>1.4124293785310735</v>
      </c>
      <c r="H59" s="138">
        <v>6.4971751412429377</v>
      </c>
      <c r="I59" s="138">
        <v>0</v>
      </c>
      <c r="J59" s="138">
        <v>0.56497175141242939</v>
      </c>
      <c r="K59" s="138">
        <v>0.2824858757062147</v>
      </c>
      <c r="L59" s="138">
        <v>4.2372881355932206</v>
      </c>
      <c r="M59" s="138">
        <v>1.4124293785310735</v>
      </c>
      <c r="N59" s="138">
        <v>0</v>
      </c>
      <c r="O59" s="138">
        <v>44.632768361581924</v>
      </c>
      <c r="P59" s="138">
        <v>0</v>
      </c>
      <c r="Q59" s="138">
        <v>0.2824858757062147</v>
      </c>
      <c r="R59" s="138">
        <v>0</v>
      </c>
      <c r="S59" s="138">
        <v>17.796610169491526</v>
      </c>
      <c r="T59" s="138">
        <v>1.6949152542372881</v>
      </c>
      <c r="U59" s="138">
        <v>0</v>
      </c>
      <c r="V59" s="138">
        <v>0</v>
      </c>
      <c r="W59" s="138">
        <v>0</v>
      </c>
      <c r="X59" s="138">
        <v>0</v>
      </c>
      <c r="Y59" s="138">
        <v>0</v>
      </c>
      <c r="Z59" s="138">
        <v>0</v>
      </c>
      <c r="AA59" s="138">
        <v>3.3898305084745761</v>
      </c>
      <c r="AB59" s="138">
        <v>0</v>
      </c>
      <c r="AC59" s="138">
        <v>0.2824858757062147</v>
      </c>
      <c r="AD59" s="138">
        <v>1.9774011299435028</v>
      </c>
      <c r="AE59" s="138">
        <v>10.169491525423728</v>
      </c>
      <c r="AF59" s="138">
        <v>0</v>
      </c>
      <c r="AG59" s="138">
        <v>3.3898305084745761</v>
      </c>
      <c r="AH59" s="138">
        <v>0.56497175141242939</v>
      </c>
      <c r="AI59" s="138">
        <v>1.4124293785310735</v>
      </c>
      <c r="AJ59" s="138">
        <v>0</v>
      </c>
      <c r="AK59" s="138">
        <v>0</v>
      </c>
      <c r="AL59" s="138">
        <f t="shared" si="13"/>
        <v>161.74024312220089</v>
      </c>
      <c r="AM59" s="123">
        <v>354</v>
      </c>
      <c r="AN59" s="138"/>
      <c r="AO59" s="123">
        <v>354</v>
      </c>
      <c r="AP59" s="138">
        <v>15.63</v>
      </c>
      <c r="AQ59" s="137">
        <v>16</v>
      </c>
      <c r="AR59" s="137">
        <f t="shared" si="14"/>
        <v>362.3800383877159</v>
      </c>
      <c r="AS59" s="123" t="s">
        <v>109</v>
      </c>
      <c r="AT59" s="123">
        <v>49.5</v>
      </c>
      <c r="AU59" s="123">
        <v>46</v>
      </c>
      <c r="AV59" s="123">
        <v>79.2</v>
      </c>
      <c r="AW59" s="137">
        <v>0</v>
      </c>
      <c r="AX59" s="137">
        <v>2.7777777777777777</v>
      </c>
      <c r="AY59" s="137">
        <v>16.944444444444446</v>
      </c>
      <c r="AZ59" s="137">
        <v>82.142857142857139</v>
      </c>
      <c r="BA59" s="138">
        <f t="shared" si="15"/>
        <v>0</v>
      </c>
      <c r="BB59" s="138">
        <f t="shared" si="16"/>
        <v>5.6497175141242941</v>
      </c>
      <c r="BC59" s="137"/>
      <c r="BD59" s="137">
        <v>30492.904760000001</v>
      </c>
      <c r="BE59" s="142"/>
      <c r="BF59" s="142">
        <v>1.6949152542372881</v>
      </c>
      <c r="BG59" s="142">
        <v>11.864406779661017</v>
      </c>
      <c r="BH59" s="142">
        <v>0.2824858757062147</v>
      </c>
      <c r="BI59" s="142">
        <v>2.3255813953488373</v>
      </c>
      <c r="BJ59" s="144">
        <f t="shared" si="6"/>
        <v>46.610169491525426</v>
      </c>
      <c r="BK59" s="144">
        <f t="shared" si="7"/>
        <v>56.497175141242941</v>
      </c>
      <c r="BL59" s="144">
        <f t="shared" si="8"/>
        <v>12.146892655367232</v>
      </c>
      <c r="BM59" s="144">
        <f t="shared" si="9"/>
        <v>56.779661016949156</v>
      </c>
      <c r="BN59" s="144">
        <f>H59+BF59</f>
        <v>8.1920903954802249</v>
      </c>
      <c r="BO59" s="145">
        <f t="shared" si="11"/>
        <v>9.6045197740112993</v>
      </c>
      <c r="BP59" s="138">
        <f t="shared" si="12"/>
        <v>5.6497175141242941</v>
      </c>
      <c r="BQ59" s="137"/>
      <c r="BR59" s="137"/>
    </row>
    <row r="60" spans="1:70" ht="15.75">
      <c r="A60" s="9" t="s">
        <v>110</v>
      </c>
      <c r="B60">
        <v>901</v>
      </c>
      <c r="C60" s="5">
        <v>30649</v>
      </c>
      <c r="D60" s="2">
        <f t="shared" si="4"/>
        <v>30.649000000000001</v>
      </c>
      <c r="E60" s="39">
        <v>31021.72381</v>
      </c>
      <c r="F60" s="2">
        <f t="shared" si="5"/>
        <v>31.021723810000001</v>
      </c>
      <c r="G60" s="2">
        <v>1.8656716417910448</v>
      </c>
      <c r="H60" s="2">
        <v>2.9850746268656718</v>
      </c>
      <c r="I60" s="2">
        <v>0</v>
      </c>
      <c r="J60" s="2">
        <v>0.37313432835820898</v>
      </c>
      <c r="K60" s="2">
        <v>0.37313432835820898</v>
      </c>
      <c r="L60" s="2">
        <v>1.8656716417910448</v>
      </c>
      <c r="M60" s="2">
        <v>0.37313432835820898</v>
      </c>
      <c r="N60" s="2">
        <v>0</v>
      </c>
      <c r="O60" s="2">
        <v>55.597014925373138</v>
      </c>
      <c r="P60" s="2">
        <v>0</v>
      </c>
      <c r="Q60" s="2">
        <v>0.74626865671641796</v>
      </c>
      <c r="R60" s="2">
        <v>0</v>
      </c>
      <c r="S60" s="2">
        <v>13.805970149253731</v>
      </c>
      <c r="T60" s="2">
        <v>1.1194029850746268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1.8656716417910448</v>
      </c>
      <c r="AB60" s="2">
        <v>0</v>
      </c>
      <c r="AC60" s="2">
        <v>1.4925373134328359</v>
      </c>
      <c r="AD60" s="2">
        <v>2.6119402985074629</v>
      </c>
      <c r="AE60" s="2">
        <v>8.2089552238805972</v>
      </c>
      <c r="AF60" s="2">
        <v>0</v>
      </c>
      <c r="AG60" s="2">
        <v>4.4776119402985071</v>
      </c>
      <c r="AH60" s="2">
        <v>0.74626865671641796</v>
      </c>
      <c r="AI60" s="2">
        <v>0.74626865671641796</v>
      </c>
      <c r="AJ60" s="2">
        <v>0</v>
      </c>
      <c r="AK60" s="2">
        <v>0.74626865671641796</v>
      </c>
      <c r="AL60" s="2">
        <f t="shared" si="13"/>
        <v>318.07871914609746</v>
      </c>
      <c r="AM60">
        <v>268</v>
      </c>
      <c r="AN60" s="2"/>
      <c r="AO60">
        <v>268</v>
      </c>
      <c r="AP60" s="2">
        <v>14.99</v>
      </c>
      <c r="AQ60" s="5">
        <v>32</v>
      </c>
      <c r="AR60" s="5">
        <f t="shared" si="14"/>
        <v>572.11474316210808</v>
      </c>
      <c r="AS60" s="9" t="s">
        <v>110</v>
      </c>
      <c r="AT60">
        <v>33.700000000000003</v>
      </c>
      <c r="AU60">
        <v>30.6</v>
      </c>
      <c r="AV60">
        <v>66.2</v>
      </c>
      <c r="AW60" s="5">
        <v>0</v>
      </c>
      <c r="AX60" s="5">
        <v>0</v>
      </c>
      <c r="AY60" s="5">
        <v>16.791044776119403</v>
      </c>
      <c r="AZ60" s="5">
        <v>61.53846153846154</v>
      </c>
      <c r="BA60" s="2">
        <f t="shared" si="15"/>
        <v>0</v>
      </c>
      <c r="BB60" s="2">
        <f t="shared" si="16"/>
        <v>2.238805970149254</v>
      </c>
      <c r="BD60" s="5">
        <v>30648.78095</v>
      </c>
      <c r="BF60" s="13">
        <v>1.1194029850746268</v>
      </c>
      <c r="BG60" s="13">
        <v>9.7014925373134329</v>
      </c>
      <c r="BH60" s="13">
        <v>0</v>
      </c>
      <c r="BI60" s="13">
        <v>0</v>
      </c>
      <c r="BJ60" s="12">
        <f t="shared" si="6"/>
        <v>58.208955223880601</v>
      </c>
      <c r="BK60" s="12">
        <f t="shared" si="7"/>
        <v>65.298507462686572</v>
      </c>
      <c r="BL60" s="12">
        <f t="shared" si="8"/>
        <v>9.7014925373134329</v>
      </c>
      <c r="BM60" s="12">
        <f t="shared" si="9"/>
        <v>65.298507462686572</v>
      </c>
      <c r="BN60" s="12">
        <f t="shared" si="10"/>
        <v>4.1044776119402986</v>
      </c>
      <c r="BO60" s="11">
        <f t="shared" si="11"/>
        <v>5.9701492537313428</v>
      </c>
      <c r="BP60" s="2">
        <f t="shared" si="12"/>
        <v>7.4626865671641784</v>
      </c>
    </row>
    <row r="61" spans="1:70" ht="15.75">
      <c r="A61" t="s">
        <v>111</v>
      </c>
      <c r="B61">
        <v>914</v>
      </c>
      <c r="C61" s="5">
        <v>30805</v>
      </c>
      <c r="D61" s="2">
        <f t="shared" si="4"/>
        <v>30.805</v>
      </c>
      <c r="E61" s="39">
        <v>31179.828570000001</v>
      </c>
      <c r="F61" s="2">
        <f t="shared" si="5"/>
        <v>31.179828570000002</v>
      </c>
      <c r="G61" s="2">
        <v>0.90361445783132532</v>
      </c>
      <c r="H61" s="2">
        <v>4.8192771084337354</v>
      </c>
      <c r="I61" s="2">
        <v>0</v>
      </c>
      <c r="J61" s="2">
        <v>0.30120481927710846</v>
      </c>
      <c r="K61" s="2">
        <v>0</v>
      </c>
      <c r="L61" s="2">
        <v>2.1084337349397591</v>
      </c>
      <c r="M61" s="2">
        <v>0.90361445783132532</v>
      </c>
      <c r="N61" s="2">
        <v>0</v>
      </c>
      <c r="O61" s="2">
        <v>59.036144578313255</v>
      </c>
      <c r="P61" s="2">
        <v>0</v>
      </c>
      <c r="Q61" s="2">
        <v>0</v>
      </c>
      <c r="R61" s="2">
        <v>0</v>
      </c>
      <c r="S61" s="2">
        <v>14.457831325301205</v>
      </c>
      <c r="T61" s="2">
        <v>0.90361445783132532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1.5060240963855422</v>
      </c>
      <c r="AB61" s="2">
        <v>0</v>
      </c>
      <c r="AC61" s="2">
        <v>0.60240963855421692</v>
      </c>
      <c r="AD61" s="2">
        <v>0.60240963855421692</v>
      </c>
      <c r="AE61" s="2">
        <v>8.7349397590361448</v>
      </c>
      <c r="AF61" s="2">
        <v>0</v>
      </c>
      <c r="AG61" s="2">
        <v>2.4096385542168677</v>
      </c>
      <c r="AH61" s="2">
        <v>0.30120481927710846</v>
      </c>
      <c r="AI61" s="2">
        <v>0.90361445783132532</v>
      </c>
      <c r="AJ61" s="2">
        <v>0</v>
      </c>
      <c r="AK61" s="2">
        <v>1.5060240963855422</v>
      </c>
      <c r="AL61" s="2">
        <f t="shared" si="13"/>
        <v>229.07231555880205</v>
      </c>
      <c r="AM61">
        <v>332</v>
      </c>
      <c r="AN61" s="2"/>
      <c r="AO61">
        <v>332</v>
      </c>
      <c r="AP61" s="2">
        <v>13.69</v>
      </c>
      <c r="AQ61" s="5">
        <v>16</v>
      </c>
      <c r="AR61" s="5">
        <f t="shared" si="14"/>
        <v>388.02045288531775</v>
      </c>
      <c r="AS61" t="s">
        <v>111</v>
      </c>
      <c r="AT61">
        <v>48</v>
      </c>
      <c r="AU61">
        <v>45.5</v>
      </c>
      <c r="AV61">
        <v>73.8</v>
      </c>
      <c r="AW61" s="5">
        <v>0</v>
      </c>
      <c r="AX61" s="5">
        <v>0</v>
      </c>
      <c r="AY61" s="5">
        <v>13.554216867469879</v>
      </c>
      <c r="AZ61" s="5">
        <v>84.210526315789465</v>
      </c>
      <c r="BA61" s="2">
        <f t="shared" si="15"/>
        <v>0</v>
      </c>
      <c r="BB61" s="2">
        <f t="shared" si="16"/>
        <v>3.0120481927710845</v>
      </c>
      <c r="BD61" s="5">
        <v>30804.657139999999</v>
      </c>
      <c r="BF61" s="13">
        <v>0.60240963855421692</v>
      </c>
      <c r="BG61" s="13">
        <v>8.7349397590361448</v>
      </c>
      <c r="BH61" s="13">
        <v>0</v>
      </c>
      <c r="BI61" s="13">
        <v>0</v>
      </c>
      <c r="BJ61" s="12">
        <f t="shared" si="6"/>
        <v>59.638554216867469</v>
      </c>
      <c r="BK61" s="12">
        <f t="shared" si="7"/>
        <v>67.771084337349407</v>
      </c>
      <c r="BL61" s="12">
        <f t="shared" si="8"/>
        <v>8.7349397590361448</v>
      </c>
      <c r="BM61" s="12">
        <f t="shared" si="9"/>
        <v>67.771084337349407</v>
      </c>
      <c r="BN61" s="12">
        <f t="shared" si="10"/>
        <v>5.4216867469879526</v>
      </c>
      <c r="BO61" s="11">
        <f t="shared" si="11"/>
        <v>6.3253012048192776</v>
      </c>
      <c r="BP61" s="2">
        <f t="shared" si="12"/>
        <v>3.6144578313253017</v>
      </c>
    </row>
    <row r="62" spans="1:70" ht="15.75">
      <c r="A62" s="105" t="s">
        <v>112</v>
      </c>
      <c r="B62">
        <v>931</v>
      </c>
      <c r="C62" s="5">
        <v>31008</v>
      </c>
      <c r="D62" s="2">
        <f t="shared" si="4"/>
        <v>31.007999999999999</v>
      </c>
      <c r="E62" s="39">
        <v>31386.58095</v>
      </c>
      <c r="F62" s="2">
        <f t="shared" si="5"/>
        <v>31.386580949999999</v>
      </c>
      <c r="G62" s="2">
        <v>1.1869436201780414</v>
      </c>
      <c r="H62" s="2">
        <v>2.9673590504451037</v>
      </c>
      <c r="I62" s="2">
        <v>0</v>
      </c>
      <c r="J62" s="2">
        <v>0.59347181008902072</v>
      </c>
      <c r="K62" s="2">
        <v>0</v>
      </c>
      <c r="L62" s="2">
        <v>3.5608308605341246</v>
      </c>
      <c r="M62" s="2">
        <v>2.0771513353115729</v>
      </c>
      <c r="N62" s="2">
        <v>0</v>
      </c>
      <c r="O62" s="2">
        <v>50.445103857566764</v>
      </c>
      <c r="P62" s="2">
        <v>0</v>
      </c>
      <c r="Q62" s="2">
        <v>0.29673590504451036</v>
      </c>
      <c r="R62" s="2">
        <v>0</v>
      </c>
      <c r="S62" s="2">
        <v>14.540059347181009</v>
      </c>
      <c r="T62" s="2">
        <v>0.29673590504451036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3.2640949554896141</v>
      </c>
      <c r="AB62" s="2">
        <v>0</v>
      </c>
      <c r="AC62" s="2">
        <v>0</v>
      </c>
      <c r="AD62" s="2">
        <v>0.89020771513353114</v>
      </c>
      <c r="AE62" s="2">
        <v>13.353115727002967</v>
      </c>
      <c r="AF62" s="2">
        <v>0</v>
      </c>
      <c r="AG62" s="2">
        <v>3.2640949554896141</v>
      </c>
      <c r="AH62" s="2">
        <v>0</v>
      </c>
      <c r="AI62" s="2">
        <v>2.0771513353115729</v>
      </c>
      <c r="AJ62" s="2">
        <v>0</v>
      </c>
      <c r="AK62" s="2">
        <v>1.1869436201780414</v>
      </c>
      <c r="AL62" s="2">
        <f t="shared" si="13"/>
        <v>90.909090909090907</v>
      </c>
      <c r="AM62">
        <v>337</v>
      </c>
      <c r="AN62" s="2"/>
      <c r="AO62">
        <v>337</v>
      </c>
      <c r="AP62" s="2">
        <v>14.96</v>
      </c>
      <c r="AQ62" s="5">
        <v>8</v>
      </c>
      <c r="AR62" s="5">
        <f t="shared" si="14"/>
        <v>180.21390374331548</v>
      </c>
      <c r="AS62" t="s">
        <v>112</v>
      </c>
      <c r="AT62">
        <v>30.3</v>
      </c>
      <c r="AU62">
        <v>28.3</v>
      </c>
      <c r="AV62">
        <v>57.1</v>
      </c>
      <c r="AW62" s="5">
        <v>0</v>
      </c>
      <c r="AX62" s="5">
        <v>2.2222222222222223</v>
      </c>
      <c r="AY62" s="5">
        <v>13.056379821958458</v>
      </c>
      <c r="AZ62" s="5">
        <v>71.428571428571431</v>
      </c>
      <c r="BA62" s="2">
        <f t="shared" si="15"/>
        <v>0</v>
      </c>
      <c r="BB62" s="2">
        <f t="shared" si="16"/>
        <v>5.6379821958456979</v>
      </c>
      <c r="BD62" s="5">
        <v>31008.49524</v>
      </c>
      <c r="BF62" s="13">
        <v>0.29673590504451036</v>
      </c>
      <c r="BG62" s="13">
        <v>13.649851632047477</v>
      </c>
      <c r="BH62" s="13">
        <v>0.29673590504451036</v>
      </c>
      <c r="BI62" s="13">
        <v>2.1276595744680851</v>
      </c>
      <c r="BJ62" s="12">
        <f t="shared" si="6"/>
        <v>51.335311572700292</v>
      </c>
      <c r="BK62" s="12">
        <f t="shared" si="7"/>
        <v>64.094955489614236</v>
      </c>
      <c r="BL62" s="12">
        <f t="shared" si="8"/>
        <v>13.946587537091988</v>
      </c>
      <c r="BM62" s="12">
        <f t="shared" si="9"/>
        <v>64.39169139465875</v>
      </c>
      <c r="BN62" s="12">
        <f t="shared" si="10"/>
        <v>3.2640949554896141</v>
      </c>
      <c r="BO62" s="11">
        <f t="shared" si="11"/>
        <v>4.4510385756676554</v>
      </c>
      <c r="BP62" s="2">
        <f t="shared" si="12"/>
        <v>5.3412462908011866</v>
      </c>
    </row>
    <row r="63" spans="1:70" s="123" customFormat="1" ht="15.75">
      <c r="A63" s="123" t="s">
        <v>113</v>
      </c>
      <c r="B63" s="123">
        <v>940</v>
      </c>
      <c r="C63" s="137">
        <v>31116</v>
      </c>
      <c r="D63" s="138">
        <f t="shared" si="4"/>
        <v>31.116</v>
      </c>
      <c r="E63" s="139">
        <v>31496.038100000002</v>
      </c>
      <c r="F63" s="138">
        <f t="shared" si="5"/>
        <v>31.4960381</v>
      </c>
      <c r="G63" s="138">
        <v>1.0452961672473868</v>
      </c>
      <c r="H63" s="138">
        <v>0.69686411149825789</v>
      </c>
      <c r="I63" s="138">
        <v>0</v>
      </c>
      <c r="J63" s="138">
        <v>0.34843205574912894</v>
      </c>
      <c r="K63" s="138">
        <v>0</v>
      </c>
      <c r="L63" s="138">
        <v>3.8327526132404182</v>
      </c>
      <c r="M63" s="138">
        <v>1.3937282229965158</v>
      </c>
      <c r="N63" s="138">
        <v>0</v>
      </c>
      <c r="O63" s="138">
        <v>62.020905923344948</v>
      </c>
      <c r="P63" s="138">
        <v>0</v>
      </c>
      <c r="Q63" s="138">
        <v>0.34843205574912894</v>
      </c>
      <c r="R63" s="138">
        <v>0</v>
      </c>
      <c r="S63" s="138">
        <v>13.588850174216027</v>
      </c>
      <c r="T63" s="138">
        <v>0.69686411149825789</v>
      </c>
      <c r="U63" s="138">
        <v>0</v>
      </c>
      <c r="V63" s="138">
        <v>0</v>
      </c>
      <c r="W63" s="138">
        <v>0</v>
      </c>
      <c r="X63" s="138">
        <v>0</v>
      </c>
      <c r="Y63" s="138">
        <v>0</v>
      </c>
      <c r="Z63" s="138">
        <v>0</v>
      </c>
      <c r="AA63" s="138">
        <v>0.34843205574912894</v>
      </c>
      <c r="AB63" s="138">
        <v>0</v>
      </c>
      <c r="AC63" s="138">
        <v>2.0905923344947737</v>
      </c>
      <c r="AD63" s="138">
        <v>1.3937282229965158</v>
      </c>
      <c r="AE63" s="138">
        <v>8.0139372822299659</v>
      </c>
      <c r="AF63" s="138">
        <v>0</v>
      </c>
      <c r="AG63" s="138">
        <v>2.0905923344947737</v>
      </c>
      <c r="AH63" s="138">
        <v>0</v>
      </c>
      <c r="AI63" s="138">
        <v>2.0905923344947737</v>
      </c>
      <c r="AJ63" s="138">
        <v>0</v>
      </c>
      <c r="AK63" s="138">
        <v>0</v>
      </c>
      <c r="AL63" s="138">
        <f t="shared" si="13"/>
        <v>369.87012987012992</v>
      </c>
      <c r="AM63" s="123">
        <v>287</v>
      </c>
      <c r="AN63" s="138"/>
      <c r="AO63" s="123">
        <v>287</v>
      </c>
      <c r="AP63" s="138">
        <v>15.4</v>
      </c>
      <c r="AQ63" s="137">
        <v>32</v>
      </c>
      <c r="AR63" s="137">
        <f t="shared" si="14"/>
        <v>596.36363636363637</v>
      </c>
      <c r="AS63" s="123" t="s">
        <v>113</v>
      </c>
      <c r="AT63" s="123">
        <v>48.4</v>
      </c>
      <c r="AU63" s="123">
        <v>45.5</v>
      </c>
      <c r="AV63" s="123">
        <v>75.400000000000006</v>
      </c>
      <c r="AW63" s="137">
        <v>0</v>
      </c>
      <c r="AX63" s="137">
        <v>4.3478260869565215</v>
      </c>
      <c r="AY63" s="137">
        <v>14.982578397212542</v>
      </c>
      <c r="AZ63" s="137">
        <v>40</v>
      </c>
      <c r="BA63" s="138">
        <f t="shared" si="15"/>
        <v>0</v>
      </c>
      <c r="BB63" s="138">
        <f t="shared" si="16"/>
        <v>5.2264808362369344</v>
      </c>
      <c r="BC63" s="137"/>
      <c r="BD63" s="137">
        <v>31116.409520000001</v>
      </c>
      <c r="BE63" s="142"/>
      <c r="BF63" s="142">
        <v>0.34843205574912894</v>
      </c>
      <c r="BG63" s="142">
        <v>8.7108013937282234</v>
      </c>
      <c r="BH63" s="142">
        <v>0.34843205574912894</v>
      </c>
      <c r="BI63" s="142">
        <v>3.8461538461538463</v>
      </c>
      <c r="BJ63" s="144">
        <f t="shared" si="6"/>
        <v>63.414634146341463</v>
      </c>
      <c r="BK63" s="144">
        <f t="shared" si="7"/>
        <v>70.731707317073173</v>
      </c>
      <c r="BL63" s="144">
        <f t="shared" si="8"/>
        <v>9.0592334494773521</v>
      </c>
      <c r="BM63" s="144">
        <f t="shared" si="9"/>
        <v>71.080139372822302</v>
      </c>
      <c r="BN63" s="144">
        <f t="shared" si="10"/>
        <v>1.0452961672473868</v>
      </c>
      <c r="BO63" s="145">
        <f t="shared" si="11"/>
        <v>2.0905923344947737</v>
      </c>
      <c r="BP63" s="138">
        <f t="shared" si="12"/>
        <v>3.8327526132404186</v>
      </c>
      <c r="BQ63" s="137"/>
      <c r="BR63" s="137"/>
    </row>
    <row r="64" spans="1:70" ht="15.75">
      <c r="A64" t="s">
        <v>114</v>
      </c>
      <c r="B64">
        <v>956</v>
      </c>
      <c r="C64" s="5">
        <v>31308</v>
      </c>
      <c r="D64" s="2">
        <f t="shared" si="4"/>
        <v>31.308</v>
      </c>
      <c r="E64" s="39">
        <v>31690.628570000001</v>
      </c>
      <c r="F64" s="2">
        <f t="shared" si="5"/>
        <v>31.690628570000001</v>
      </c>
      <c r="G64" s="2">
        <v>0.98039215686274506</v>
      </c>
      <c r="H64" s="2">
        <v>2.4509803921568629</v>
      </c>
      <c r="I64" s="2">
        <v>0</v>
      </c>
      <c r="J64" s="2">
        <v>1.9607843137254901</v>
      </c>
      <c r="K64" s="2">
        <v>0</v>
      </c>
      <c r="L64" s="2">
        <v>2.4509803921568629</v>
      </c>
      <c r="M64" s="2">
        <v>1.4705882352941178</v>
      </c>
      <c r="N64" s="2">
        <v>0</v>
      </c>
      <c r="O64" s="2">
        <v>62.254901960784316</v>
      </c>
      <c r="P64" s="2">
        <v>0</v>
      </c>
      <c r="Q64" s="2">
        <v>0</v>
      </c>
      <c r="R64" s="2">
        <v>0</v>
      </c>
      <c r="S64" s="2">
        <v>12.745098039215685</v>
      </c>
      <c r="T64" s="2">
        <v>0.49019607843137253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1.4705882352941178</v>
      </c>
      <c r="AB64" s="2">
        <v>0</v>
      </c>
      <c r="AC64" s="2">
        <v>1.4705882352941178</v>
      </c>
      <c r="AD64" s="2">
        <v>1.4705882352941178</v>
      </c>
      <c r="AE64" s="2">
        <v>4.4117647058823533</v>
      </c>
      <c r="AF64" s="2">
        <v>0</v>
      </c>
      <c r="AG64" s="2">
        <v>2.9411764705882355</v>
      </c>
      <c r="AH64" s="2">
        <v>0.49019607843137253</v>
      </c>
      <c r="AI64" s="2">
        <v>1.4705882352941178</v>
      </c>
      <c r="AJ64" s="2">
        <v>0</v>
      </c>
      <c r="AK64" s="2">
        <v>1.4705882352941178</v>
      </c>
      <c r="AL64" s="2">
        <f t="shared" si="13"/>
        <v>244.81927710843371</v>
      </c>
      <c r="AM64">
        <v>204</v>
      </c>
      <c r="AN64" s="2"/>
      <c r="AO64">
        <v>204</v>
      </c>
      <c r="AP64" s="2">
        <v>16.600000000000001</v>
      </c>
      <c r="AQ64" s="5">
        <v>32</v>
      </c>
      <c r="AR64" s="5">
        <f t="shared" si="14"/>
        <v>393.25301204819272</v>
      </c>
      <c r="AS64" t="s">
        <v>114</v>
      </c>
      <c r="AT64">
        <v>54.7</v>
      </c>
      <c r="AU64">
        <v>53.9</v>
      </c>
      <c r="AV64">
        <v>62.2</v>
      </c>
      <c r="AW64" s="5">
        <v>0</v>
      </c>
      <c r="AX64" s="5">
        <v>0</v>
      </c>
      <c r="AY64" s="5">
        <v>11.274509803921569</v>
      </c>
      <c r="AZ64" s="5">
        <v>71.428571428571431</v>
      </c>
      <c r="BA64" s="2">
        <f t="shared" si="15"/>
        <v>0</v>
      </c>
      <c r="BB64" s="2">
        <f t="shared" si="16"/>
        <v>3.9215686274509807</v>
      </c>
      <c r="BD64" s="5">
        <v>31308.257140000002</v>
      </c>
      <c r="BF64" s="13">
        <v>0.98039215686274506</v>
      </c>
      <c r="BG64" s="13">
        <v>4.9019607843137258</v>
      </c>
      <c r="BH64" s="13">
        <v>0</v>
      </c>
      <c r="BI64" s="13">
        <v>0</v>
      </c>
      <c r="BJ64" s="12">
        <f t="shared" si="6"/>
        <v>63.725490196078432</v>
      </c>
      <c r="BK64" s="12">
        <f t="shared" si="7"/>
        <v>67.156862745098039</v>
      </c>
      <c r="BL64" s="12">
        <f t="shared" si="8"/>
        <v>4.9019607843137258</v>
      </c>
      <c r="BM64" s="12">
        <f t="shared" si="9"/>
        <v>67.156862745098039</v>
      </c>
      <c r="BN64" s="12">
        <f t="shared" si="10"/>
        <v>3.4313725490196081</v>
      </c>
      <c r="BO64" s="11">
        <f t="shared" si="11"/>
        <v>4.4117647058823533</v>
      </c>
      <c r="BP64" s="2">
        <f t="shared" si="12"/>
        <v>5.882352941176471</v>
      </c>
    </row>
    <row r="65" spans="1:82" ht="15.75">
      <c r="A65" t="s">
        <v>115</v>
      </c>
      <c r="B65">
        <v>966</v>
      </c>
      <c r="C65" s="5">
        <v>31428</v>
      </c>
      <c r="D65" s="2">
        <f t="shared" si="4"/>
        <v>31.428000000000001</v>
      </c>
      <c r="E65" s="39">
        <v>31812.247619999998</v>
      </c>
      <c r="F65" s="2">
        <f t="shared" si="5"/>
        <v>31.812247619999997</v>
      </c>
      <c r="G65" s="2">
        <v>1.7543859649122806</v>
      </c>
      <c r="H65" s="2">
        <v>2.6315789473684212</v>
      </c>
      <c r="I65" s="2">
        <v>0</v>
      </c>
      <c r="J65" s="2">
        <v>0.43859649122807015</v>
      </c>
      <c r="K65" s="2">
        <v>0</v>
      </c>
      <c r="L65" s="2">
        <v>3.5087719298245612</v>
      </c>
      <c r="M65" s="2">
        <v>2.192982456140351</v>
      </c>
      <c r="N65" s="2">
        <v>0</v>
      </c>
      <c r="O65" s="2">
        <v>57.456140350877192</v>
      </c>
      <c r="P65" s="2">
        <v>0</v>
      </c>
      <c r="Q65" s="2">
        <v>0</v>
      </c>
      <c r="R65" s="2">
        <v>0</v>
      </c>
      <c r="S65" s="2">
        <v>11.842105263157896</v>
      </c>
      <c r="T65" s="2">
        <v>1.7543859649122806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2.192982456140351</v>
      </c>
      <c r="AB65" s="2">
        <v>0</v>
      </c>
      <c r="AC65" s="2">
        <v>0</v>
      </c>
      <c r="AD65" s="2">
        <v>0.8771929824561403</v>
      </c>
      <c r="AE65" s="2">
        <v>7.8947368421052628</v>
      </c>
      <c r="AF65" s="2">
        <v>0</v>
      </c>
      <c r="AG65" s="2">
        <v>3.5087719298245612</v>
      </c>
      <c r="AH65" s="2">
        <v>0.43859649122807015</v>
      </c>
      <c r="AI65" s="2">
        <v>1.7543859649122806</v>
      </c>
      <c r="AJ65" s="2">
        <v>0</v>
      </c>
      <c r="AK65" s="2">
        <v>1.7543859649122806</v>
      </c>
      <c r="AL65" s="2">
        <f t="shared" si="13"/>
        <v>245.86510263929617</v>
      </c>
      <c r="AM65">
        <v>228</v>
      </c>
      <c r="AN65" s="2"/>
      <c r="AO65">
        <v>228</v>
      </c>
      <c r="AP65" s="2">
        <v>17.05</v>
      </c>
      <c r="AQ65" s="5">
        <v>32</v>
      </c>
      <c r="AR65" s="5">
        <f t="shared" si="14"/>
        <v>427.91788856304981</v>
      </c>
      <c r="AS65" t="s">
        <v>115</v>
      </c>
      <c r="AT65">
        <v>41.6</v>
      </c>
      <c r="AU65">
        <v>38.799999999999997</v>
      </c>
      <c r="AV65">
        <v>67.900000000000006</v>
      </c>
      <c r="AW65" s="5">
        <v>0</v>
      </c>
      <c r="AX65" s="5">
        <v>0</v>
      </c>
      <c r="AY65" s="5">
        <v>15.789473684210526</v>
      </c>
      <c r="AZ65" s="5">
        <v>60</v>
      </c>
      <c r="BA65" s="2">
        <f t="shared" si="15"/>
        <v>0</v>
      </c>
      <c r="BB65" s="2">
        <f t="shared" si="16"/>
        <v>5.7017543859649127</v>
      </c>
      <c r="BD65" s="5">
        <v>31428.161899999999</v>
      </c>
      <c r="BF65" s="13">
        <v>0.8771929824561403</v>
      </c>
      <c r="BG65" s="13">
        <v>7.8947368421052628</v>
      </c>
      <c r="BH65" s="13">
        <v>0.43859649122807015</v>
      </c>
      <c r="BI65" s="13">
        <v>5.2631578947368416</v>
      </c>
      <c r="BJ65" s="12">
        <f t="shared" si="6"/>
        <v>58.333333333333329</v>
      </c>
      <c r="BK65" s="12">
        <f t="shared" si="7"/>
        <v>65.350877192982452</v>
      </c>
      <c r="BL65" s="12">
        <f t="shared" si="8"/>
        <v>8.3333333333333321</v>
      </c>
      <c r="BM65" s="12">
        <f t="shared" si="9"/>
        <v>65.78947368421052</v>
      </c>
      <c r="BN65" s="12">
        <f t="shared" si="10"/>
        <v>3.5087719298245617</v>
      </c>
      <c r="BO65" s="11">
        <f t="shared" si="11"/>
        <v>5.2631578947368425</v>
      </c>
      <c r="BP65" s="2">
        <f t="shared" si="12"/>
        <v>5.7017543859649118</v>
      </c>
    </row>
    <row r="66" spans="1:82" ht="15.75">
      <c r="A66" s="105" t="s">
        <v>116</v>
      </c>
      <c r="B66">
        <v>983</v>
      </c>
      <c r="C66" s="5">
        <v>31632</v>
      </c>
      <c r="D66" s="2">
        <f t="shared" si="4"/>
        <v>31.632000000000001</v>
      </c>
      <c r="E66" s="39">
        <v>32019</v>
      </c>
      <c r="F66" s="2">
        <f t="shared" si="5"/>
        <v>32.018999999999998</v>
      </c>
      <c r="G66" s="2">
        <v>0.98684210526315785</v>
      </c>
      <c r="H66" s="2">
        <v>2.6315789473684212</v>
      </c>
      <c r="I66" s="2">
        <v>0</v>
      </c>
      <c r="J66" s="2">
        <v>0.65789473684210531</v>
      </c>
      <c r="K66" s="2">
        <v>0</v>
      </c>
      <c r="L66" s="2">
        <v>2.6315789473684212</v>
      </c>
      <c r="M66" s="2">
        <v>1.6447368421052631</v>
      </c>
      <c r="N66" s="2">
        <v>0</v>
      </c>
      <c r="O66" s="2">
        <v>58.881578947368418</v>
      </c>
      <c r="P66" s="2">
        <v>0</v>
      </c>
      <c r="Q66" s="2">
        <v>0.32894736842105265</v>
      </c>
      <c r="R66" s="2">
        <v>0</v>
      </c>
      <c r="S66" s="2">
        <v>13.157894736842104</v>
      </c>
      <c r="T66" s="2">
        <v>0.65789473684210531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1.9736842105263157</v>
      </c>
      <c r="AB66" s="2">
        <v>0</v>
      </c>
      <c r="AC66" s="2">
        <v>0.65789473684210531</v>
      </c>
      <c r="AD66" s="2">
        <v>0.32894736842105265</v>
      </c>
      <c r="AE66" s="2">
        <v>11.513157894736842</v>
      </c>
      <c r="AF66" s="2">
        <v>0</v>
      </c>
      <c r="AG66" s="2">
        <v>1.9736842105263157</v>
      </c>
      <c r="AH66" s="2">
        <v>0</v>
      </c>
      <c r="AI66" s="2">
        <v>0.65789473684210531</v>
      </c>
      <c r="AJ66" s="2">
        <v>0</v>
      </c>
      <c r="AK66" s="2">
        <v>1.3157894736842106</v>
      </c>
      <c r="AL66" s="2">
        <f t="shared" si="13"/>
        <v>195.76213260423785</v>
      </c>
      <c r="AM66">
        <v>304</v>
      </c>
      <c r="AN66" s="2"/>
      <c r="AO66">
        <v>304</v>
      </c>
      <c r="AP66" s="2">
        <v>14.63</v>
      </c>
      <c r="AQ66" s="5">
        <v>16</v>
      </c>
      <c r="AR66" s="5">
        <f t="shared" si="14"/>
        <v>332.46753246753246</v>
      </c>
      <c r="AS66" t="s">
        <v>116</v>
      </c>
      <c r="AT66">
        <v>69.900000000000006</v>
      </c>
      <c r="AU66">
        <v>67.900000000000006</v>
      </c>
      <c r="AV66">
        <v>79.2</v>
      </c>
      <c r="AW66" s="5">
        <v>0</v>
      </c>
      <c r="AX66" s="5">
        <v>0</v>
      </c>
      <c r="AY66" s="5">
        <v>20.065789473684212</v>
      </c>
      <c r="AZ66" s="5">
        <v>72.727272727272734</v>
      </c>
      <c r="BA66" s="2">
        <f t="shared" si="15"/>
        <v>0</v>
      </c>
      <c r="BB66" s="2">
        <f t="shared" si="16"/>
        <v>4.2763157894736841</v>
      </c>
      <c r="BD66" s="5">
        <v>31632</v>
      </c>
      <c r="BF66" s="13">
        <v>7.2368421052631575</v>
      </c>
      <c r="BG66" s="13">
        <v>4.6052631578947372</v>
      </c>
      <c r="BH66" s="13">
        <v>0.32894736842105265</v>
      </c>
      <c r="BI66" s="13">
        <v>6.666666666666667</v>
      </c>
      <c r="BJ66" s="12">
        <f t="shared" si="6"/>
        <v>59.210526315789473</v>
      </c>
      <c r="BK66" s="12">
        <f t="shared" si="7"/>
        <v>63.486842105263158</v>
      </c>
      <c r="BL66" s="12">
        <f t="shared" si="8"/>
        <v>4.9342105263157894</v>
      </c>
      <c r="BM66" s="12">
        <f t="shared" si="9"/>
        <v>63.815789473684212</v>
      </c>
      <c r="BN66" s="12">
        <f t="shared" si="10"/>
        <v>9.8684210526315788</v>
      </c>
      <c r="BO66" s="11">
        <f t="shared" si="11"/>
        <v>10.855263157894736</v>
      </c>
      <c r="BP66" s="2">
        <f t="shared" si="12"/>
        <v>3.9473684210526319</v>
      </c>
    </row>
    <row r="67" spans="1:82" ht="15.75">
      <c r="A67" t="s">
        <v>117</v>
      </c>
      <c r="B67">
        <v>1001</v>
      </c>
      <c r="C67" s="5">
        <v>32142</v>
      </c>
      <c r="D67" s="2">
        <f t="shared" si="4"/>
        <v>32.142000000000003</v>
      </c>
      <c r="E67" s="39">
        <v>32541</v>
      </c>
      <c r="F67" s="2">
        <f t="shared" si="5"/>
        <v>32.540999999999997</v>
      </c>
      <c r="G67" s="2">
        <v>0.59701492537313428</v>
      </c>
      <c r="H67" s="2">
        <v>2.3880597014925371</v>
      </c>
      <c r="I67" s="2">
        <v>0</v>
      </c>
      <c r="J67" s="2">
        <v>1.4925373134328359</v>
      </c>
      <c r="K67" s="2">
        <v>0</v>
      </c>
      <c r="L67" s="2">
        <v>2.9850746268656718</v>
      </c>
      <c r="M67" s="2">
        <v>0.59701492537313428</v>
      </c>
      <c r="N67" s="2">
        <v>0</v>
      </c>
      <c r="O67" s="2">
        <v>59.104477611940297</v>
      </c>
      <c r="P67" s="2">
        <v>0</v>
      </c>
      <c r="Q67" s="2">
        <v>0.29850746268656714</v>
      </c>
      <c r="R67" s="2">
        <v>0</v>
      </c>
      <c r="S67" s="2">
        <v>15.522388059701493</v>
      </c>
      <c r="T67" s="2">
        <v>2.9850746268656718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1.4925373134328359</v>
      </c>
      <c r="AB67" s="2">
        <v>0</v>
      </c>
      <c r="AC67" s="2">
        <v>0.89552238805970152</v>
      </c>
      <c r="AD67" s="2">
        <v>0.59701492537313428</v>
      </c>
      <c r="AE67" s="2">
        <v>7.4626865671641793</v>
      </c>
      <c r="AF67" s="2">
        <v>0</v>
      </c>
      <c r="AG67" s="2">
        <v>1.4925373134328359</v>
      </c>
      <c r="AH67" s="2">
        <v>0.59701492537313428</v>
      </c>
      <c r="AI67" s="2">
        <v>1.1940298507462686</v>
      </c>
      <c r="AJ67" s="2">
        <v>0</v>
      </c>
      <c r="AK67" s="2">
        <v>0.29850746268656714</v>
      </c>
      <c r="AL67" s="2">
        <f t="shared" si="13"/>
        <v>200.76045627376425</v>
      </c>
      <c r="AM67">
        <v>335</v>
      </c>
      <c r="AN67" s="2"/>
      <c r="AO67">
        <v>335</v>
      </c>
      <c r="AP67" s="2">
        <v>15.78</v>
      </c>
      <c r="AQ67" s="5">
        <v>16</v>
      </c>
      <c r="AR67" s="5">
        <f t="shared" si="14"/>
        <v>339.67046894803548</v>
      </c>
      <c r="AS67" t="s">
        <v>117</v>
      </c>
      <c r="AT67">
        <v>65.900000000000006</v>
      </c>
      <c r="AU67">
        <v>64.099999999999994</v>
      </c>
      <c r="AV67">
        <v>84.4</v>
      </c>
      <c r="AW67" s="5">
        <v>0</v>
      </c>
      <c r="AX67" s="5">
        <v>4</v>
      </c>
      <c r="AY67" s="5">
        <v>11.343283582089553</v>
      </c>
      <c r="AZ67" s="5">
        <v>80</v>
      </c>
      <c r="BA67" s="2">
        <f t="shared" si="15"/>
        <v>0</v>
      </c>
      <c r="BB67" s="2">
        <f t="shared" si="16"/>
        <v>3.5820895522388061</v>
      </c>
      <c r="BD67" s="5">
        <v>32141.56364</v>
      </c>
      <c r="BF67" s="13">
        <v>0.89552238805970152</v>
      </c>
      <c r="BG67" s="13">
        <v>6.5671641791044779</v>
      </c>
      <c r="BH67" s="13">
        <v>0.59701492537313428</v>
      </c>
      <c r="BI67" s="13">
        <v>8.3333333333333321</v>
      </c>
      <c r="BJ67" s="12">
        <f t="shared" si="6"/>
        <v>59.701492537313428</v>
      </c>
      <c r="BK67" s="12">
        <f t="shared" si="7"/>
        <v>65.671641791044777</v>
      </c>
      <c r="BL67" s="12">
        <f t="shared" si="8"/>
        <v>7.1641791044776122</v>
      </c>
      <c r="BM67" s="12">
        <f t="shared" si="9"/>
        <v>66.268656716417908</v>
      </c>
      <c r="BN67" s="12">
        <f t="shared" si="10"/>
        <v>3.2835820895522385</v>
      </c>
      <c r="BO67" s="11">
        <f t="shared" si="11"/>
        <v>3.8805970149253728</v>
      </c>
      <c r="BP67" s="2">
        <f t="shared" si="12"/>
        <v>3.8805970149253728</v>
      </c>
      <c r="CD67" t="e">
        <f>'[1]data Ellen'!$E$3</f>
        <v>#REF!</v>
      </c>
    </row>
    <row r="68" spans="1:82" s="123" customFormat="1" ht="15.75">
      <c r="A68" s="123" t="s">
        <v>118</v>
      </c>
      <c r="B68" s="123">
        <v>1021</v>
      </c>
      <c r="C68" s="137">
        <v>32708</v>
      </c>
      <c r="D68" s="138">
        <f t="shared" si="4"/>
        <v>32.707999999999998</v>
      </c>
      <c r="E68" s="139">
        <v>33121</v>
      </c>
      <c r="F68" s="138">
        <f t="shared" si="5"/>
        <v>33.121000000000002</v>
      </c>
      <c r="G68" s="138">
        <v>0.25974025974025972</v>
      </c>
      <c r="H68" s="138">
        <v>2.0779220779220777</v>
      </c>
      <c r="I68" s="138">
        <v>0</v>
      </c>
      <c r="J68" s="138">
        <v>1.0389610389610389</v>
      </c>
      <c r="K68" s="138">
        <v>0</v>
      </c>
      <c r="L68" s="138">
        <v>2.5974025974025974</v>
      </c>
      <c r="M68" s="138">
        <v>1.0389610389610389</v>
      </c>
      <c r="N68" s="138">
        <v>0.25974025974025972</v>
      </c>
      <c r="O68" s="138">
        <v>65.194805194805198</v>
      </c>
      <c r="P68" s="138">
        <v>0</v>
      </c>
      <c r="Q68" s="138">
        <v>0.51948051948051943</v>
      </c>
      <c r="R68" s="138">
        <v>0</v>
      </c>
      <c r="S68" s="138">
        <v>10.909090909090908</v>
      </c>
      <c r="T68" s="138">
        <v>2.5974025974025974</v>
      </c>
      <c r="U68" s="138">
        <v>0</v>
      </c>
      <c r="V68" s="138">
        <v>0</v>
      </c>
      <c r="W68" s="138">
        <v>0</v>
      </c>
      <c r="X68" s="138">
        <v>0</v>
      </c>
      <c r="Y68" s="138">
        <v>0</v>
      </c>
      <c r="Z68" s="138">
        <v>0</v>
      </c>
      <c r="AA68" s="138">
        <v>0.77922077922077926</v>
      </c>
      <c r="AB68" s="138">
        <v>0</v>
      </c>
      <c r="AC68" s="138">
        <v>0.77922077922077926</v>
      </c>
      <c r="AD68" s="138">
        <v>1.8181818181818181</v>
      </c>
      <c r="AE68" s="138">
        <v>7.0129870129870131</v>
      </c>
      <c r="AF68" s="138">
        <v>0</v>
      </c>
      <c r="AG68" s="138">
        <v>0.77922077922077926</v>
      </c>
      <c r="AH68" s="138">
        <v>0.51948051948051943</v>
      </c>
      <c r="AI68" s="138">
        <v>0.51948051948051943</v>
      </c>
      <c r="AJ68" s="138">
        <v>0</v>
      </c>
      <c r="AK68" s="138">
        <v>1.2987012987012987</v>
      </c>
      <c r="AL68" s="138">
        <f t="shared" si="13"/>
        <v>251.62907268170429</v>
      </c>
      <c r="AM68" s="123">
        <v>385</v>
      </c>
      <c r="AN68" s="138"/>
      <c r="AO68" s="123">
        <v>385</v>
      </c>
      <c r="AP68" s="138">
        <v>15.96</v>
      </c>
      <c r="AQ68" s="137">
        <v>16</v>
      </c>
      <c r="AR68" s="137">
        <f t="shared" si="14"/>
        <v>385.96491228070175</v>
      </c>
      <c r="AS68" s="123" t="s">
        <v>118</v>
      </c>
      <c r="AT68" s="123">
        <v>67</v>
      </c>
      <c r="AU68" s="123">
        <v>66</v>
      </c>
      <c r="AV68" s="123">
        <v>76.5</v>
      </c>
      <c r="AW68" s="137">
        <v>0</v>
      </c>
      <c r="AX68" s="137">
        <v>0</v>
      </c>
      <c r="AY68" s="137">
        <v>10.129870129870131</v>
      </c>
      <c r="AZ68" s="137">
        <v>88.888888888888886</v>
      </c>
      <c r="BA68" s="138">
        <f t="shared" si="15"/>
        <v>0</v>
      </c>
      <c r="BB68" s="138">
        <f t="shared" si="16"/>
        <v>3.6363636363636362</v>
      </c>
      <c r="BC68" s="137"/>
      <c r="BD68" s="137">
        <v>32707.745449999999</v>
      </c>
      <c r="BE68" s="142"/>
      <c r="BF68" s="142">
        <v>1.0389610389610389</v>
      </c>
      <c r="BG68" s="142">
        <v>7.7922077922077921</v>
      </c>
      <c r="BH68" s="142">
        <v>0</v>
      </c>
      <c r="BI68" s="142">
        <v>0</v>
      </c>
      <c r="BJ68" s="144">
        <f t="shared" si="6"/>
        <v>67.012987012987011</v>
      </c>
      <c r="BK68" s="144">
        <f t="shared" si="7"/>
        <v>72.987012987012989</v>
      </c>
      <c r="BL68" s="144">
        <f t="shared" si="8"/>
        <v>7.7922077922077921</v>
      </c>
      <c r="BM68" s="144">
        <f t="shared" si="9"/>
        <v>72.987012987012989</v>
      </c>
      <c r="BN68" s="144">
        <f t="shared" si="10"/>
        <v>3.1168831168831166</v>
      </c>
      <c r="BO68" s="145">
        <f t="shared" si="11"/>
        <v>3.3766233766233764</v>
      </c>
      <c r="BP68" s="138">
        <f t="shared" si="12"/>
        <v>2.5974025974025974</v>
      </c>
      <c r="BQ68" s="137">
        <v>3</v>
      </c>
      <c r="BR68" s="137"/>
    </row>
    <row r="69" spans="1:82" ht="15.75">
      <c r="A69" s="105" t="s">
        <v>119</v>
      </c>
      <c r="B69">
        <v>1041</v>
      </c>
      <c r="C69" s="5">
        <v>33274</v>
      </c>
      <c r="D69" s="2">
        <f t="shared" si="4"/>
        <v>33.274000000000001</v>
      </c>
      <c r="E69" s="39">
        <v>33701</v>
      </c>
      <c r="F69" s="2">
        <f t="shared" si="5"/>
        <v>33.701000000000001</v>
      </c>
      <c r="G69" s="2">
        <v>2.4229074889867843</v>
      </c>
      <c r="H69" s="2">
        <v>2.4229074889867843</v>
      </c>
      <c r="I69" s="2">
        <v>0</v>
      </c>
      <c r="J69" s="2">
        <v>0.44052863436123346</v>
      </c>
      <c r="K69" s="2">
        <v>0</v>
      </c>
      <c r="L69" s="2">
        <v>4.1850220264317182</v>
      </c>
      <c r="M69" s="2">
        <v>0.66079295154185025</v>
      </c>
      <c r="N69" s="2">
        <v>0</v>
      </c>
      <c r="O69" s="2">
        <v>60.352422907488986</v>
      </c>
      <c r="P69" s="2">
        <v>0</v>
      </c>
      <c r="Q69" s="2">
        <v>0.88105726872246692</v>
      </c>
      <c r="R69" s="2">
        <v>0</v>
      </c>
      <c r="S69" s="2">
        <v>11.013215859030836</v>
      </c>
      <c r="T69" s="2">
        <v>0.22026431718061673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2.2026431718061672</v>
      </c>
      <c r="AB69" s="2">
        <v>0</v>
      </c>
      <c r="AC69" s="2">
        <v>0.22026431718061673</v>
      </c>
      <c r="AD69" s="2">
        <v>1.7621145374449338</v>
      </c>
      <c r="AE69" s="2">
        <v>7.7092511013215859</v>
      </c>
      <c r="AF69" s="2">
        <v>0</v>
      </c>
      <c r="AG69" s="2">
        <v>4.1850220264317182</v>
      </c>
      <c r="AH69" s="2">
        <v>0</v>
      </c>
      <c r="AI69" s="2">
        <v>1.3215859030837005</v>
      </c>
      <c r="AJ69" s="2">
        <v>0</v>
      </c>
      <c r="AK69" s="2">
        <v>0</v>
      </c>
      <c r="AL69" s="2">
        <f t="shared" si="13"/>
        <v>243.96215915414581</v>
      </c>
      <c r="AM69">
        <v>454</v>
      </c>
      <c r="AN69" s="2"/>
      <c r="AO69">
        <v>454</v>
      </c>
      <c r="AP69" s="2">
        <v>17.97</v>
      </c>
      <c r="AQ69" s="5">
        <v>16</v>
      </c>
      <c r="AR69" s="5">
        <f t="shared" si="14"/>
        <v>404.22927100723433</v>
      </c>
      <c r="AS69" t="s">
        <v>119</v>
      </c>
      <c r="AT69">
        <v>48.8</v>
      </c>
      <c r="AU69">
        <v>45.9</v>
      </c>
      <c r="AV69">
        <v>75.599999999999994</v>
      </c>
      <c r="AW69" s="5">
        <v>12.5</v>
      </c>
      <c r="AX69" s="5">
        <v>0</v>
      </c>
      <c r="AY69" s="5">
        <v>14.977973568281937</v>
      </c>
      <c r="AZ69" s="5">
        <v>50</v>
      </c>
      <c r="BA69" s="2">
        <f t="shared" si="15"/>
        <v>0</v>
      </c>
      <c r="BB69" s="2">
        <f t="shared" si="16"/>
        <v>4.8458149779735686</v>
      </c>
      <c r="BD69" s="5">
        <v>33273.92727</v>
      </c>
      <c r="BF69" s="13">
        <v>1.5418502202643172</v>
      </c>
      <c r="BG69" s="13">
        <v>7.929515418502203</v>
      </c>
      <c r="BH69" s="13">
        <v>0</v>
      </c>
      <c r="BI69" s="13">
        <v>0</v>
      </c>
      <c r="BJ69" s="12">
        <f t="shared" si="6"/>
        <v>62.114537444933923</v>
      </c>
      <c r="BK69" s="12">
        <f t="shared" si="7"/>
        <v>68.281938325991192</v>
      </c>
      <c r="BL69" s="12">
        <f t="shared" si="8"/>
        <v>7.929515418502203</v>
      </c>
      <c r="BM69" s="12">
        <f t="shared" si="9"/>
        <v>68.281938325991192</v>
      </c>
      <c r="BN69" s="12">
        <f t="shared" si="10"/>
        <v>3.9647577092511015</v>
      </c>
      <c r="BO69" s="11">
        <f t="shared" si="11"/>
        <v>6.3876651982378858</v>
      </c>
      <c r="BP69" s="2">
        <f t="shared" si="12"/>
        <v>7.929515418502203</v>
      </c>
    </row>
    <row r="70" spans="1:82">
      <c r="A70" s="5"/>
      <c r="G70" s="2"/>
      <c r="H70" s="2"/>
      <c r="I70" s="2"/>
      <c r="J70" s="2"/>
      <c r="K70" s="2"/>
      <c r="AN70" s="2"/>
      <c r="AP70" s="2"/>
      <c r="AR70" s="5"/>
      <c r="AS70" s="5"/>
      <c r="BA70" s="2">
        <f t="shared" ref="BA70:BA101" si="17">W70+X70</f>
        <v>0</v>
      </c>
      <c r="BB70" s="2">
        <f t="shared" ref="BB70:BB101" si="18">L70+M70</f>
        <v>0</v>
      </c>
    </row>
    <row r="71" spans="1:82">
      <c r="A71" s="5" t="s">
        <v>120</v>
      </c>
      <c r="G71" s="2">
        <f t="shared" ref="G71:AJ71" si="19">AVERAGE(G6:G69)</f>
        <v>4.1258716143233976</v>
      </c>
      <c r="H71" s="2">
        <f t="shared" si="19"/>
        <v>10.145368909944271</v>
      </c>
      <c r="I71" s="2">
        <f t="shared" si="19"/>
        <v>0</v>
      </c>
      <c r="J71" s="2">
        <f t="shared" si="19"/>
        <v>4.7972478047361298</v>
      </c>
      <c r="K71" s="2">
        <f t="shared" si="19"/>
        <v>8.6779586371460299E-2</v>
      </c>
      <c r="L71" s="2">
        <f t="shared" si="19"/>
        <v>2.1202092006294704</v>
      </c>
      <c r="M71" s="2">
        <f t="shared" si="19"/>
        <v>0.52556525342856752</v>
      </c>
      <c r="N71" s="2">
        <f t="shared" si="19"/>
        <v>0.14048498742386581</v>
      </c>
      <c r="O71" s="2">
        <f t="shared" si="19"/>
        <v>39.906565298195261</v>
      </c>
      <c r="P71" s="2">
        <f t="shared" si="19"/>
        <v>5.5604982206405697E-3</v>
      </c>
      <c r="Q71" s="2">
        <f t="shared" si="19"/>
        <v>1.6623922041951806</v>
      </c>
      <c r="R71" s="2">
        <f t="shared" si="19"/>
        <v>0</v>
      </c>
      <c r="S71" s="2">
        <f t="shared" si="19"/>
        <v>6.7833504452469562</v>
      </c>
      <c r="T71" s="2">
        <f t="shared" si="19"/>
        <v>1.3051574943309154</v>
      </c>
      <c r="U71" s="2">
        <f t="shared" si="19"/>
        <v>0</v>
      </c>
      <c r="V71" s="2">
        <f t="shared" si="19"/>
        <v>0</v>
      </c>
      <c r="W71" s="2">
        <f t="shared" si="19"/>
        <v>0.19208046954448132</v>
      </c>
      <c r="X71" s="2">
        <f t="shared" si="19"/>
        <v>6.6013443850812814E-2</v>
      </c>
      <c r="Y71" s="2">
        <f t="shared" si="19"/>
        <v>7.2407774633954716E-2</v>
      </c>
      <c r="Z71" s="2">
        <f t="shared" si="19"/>
        <v>1.4979021132639164E-2</v>
      </c>
      <c r="AA71" s="2">
        <f t="shared" si="19"/>
        <v>3.7218848707362135</v>
      </c>
      <c r="AB71" s="2">
        <f t="shared" si="19"/>
        <v>2.5504391698693302E-2</v>
      </c>
      <c r="AC71" s="2">
        <f t="shared" si="19"/>
        <v>0.62966835636240814</v>
      </c>
      <c r="AD71" s="2">
        <f t="shared" si="19"/>
        <v>4.9798804052667345</v>
      </c>
      <c r="AE71" s="2">
        <f t="shared" si="19"/>
        <v>10.514907783158046</v>
      </c>
      <c r="AF71" s="2">
        <f t="shared" si="19"/>
        <v>0</v>
      </c>
      <c r="AG71" s="2">
        <f t="shared" si="19"/>
        <v>5.4233735413438247</v>
      </c>
      <c r="AH71" s="2">
        <f t="shared" si="19"/>
        <v>0.53107019584286552</v>
      </c>
      <c r="AI71" s="2">
        <f t="shared" si="19"/>
        <v>1.2147329023432987</v>
      </c>
      <c r="AJ71" s="2">
        <f t="shared" si="19"/>
        <v>3.6748746349041697E-2</v>
      </c>
      <c r="AN71" s="2"/>
      <c r="AP71" s="2"/>
      <c r="AR71" s="5"/>
      <c r="AS71" s="5"/>
      <c r="BA71" s="2">
        <f t="shared" si="17"/>
        <v>0.25809391339529414</v>
      </c>
      <c r="BB71" s="2">
        <f t="shared" si="18"/>
        <v>2.6457744540580377</v>
      </c>
      <c r="BF71" s="2">
        <f>AVERAGE(BF6:BF69)</f>
        <v>4.9832691274842382</v>
      </c>
      <c r="BG71" s="2">
        <f>AVERAGE(BG6:BG69)</f>
        <v>10.07511643858996</v>
      </c>
      <c r="BH71" s="2">
        <f>AVERAGE(BH6:BH69)</f>
        <v>0.47602705000188372</v>
      </c>
      <c r="BI71" s="2">
        <f>AVERAGE(BI6:BI69)</f>
        <v>2.9631113197066696</v>
      </c>
      <c r="BJ71" s="2"/>
      <c r="BK71" s="2"/>
      <c r="BL71" s="2"/>
      <c r="BM71" s="2">
        <f>AVERAGE(BM6:BM69)</f>
        <v>50.457708786787087</v>
      </c>
      <c r="BN71" s="2">
        <f t="shared" ref="BN71:BO71" si="20">AVERAGE(BN6:BN69)</f>
        <v>15.128638037428507</v>
      </c>
      <c r="BO71" s="2">
        <f t="shared" si="20"/>
        <v>19.25450965175191</v>
      </c>
      <c r="BP71" s="2">
        <f t="shared" ref="BP71" si="21">AVERAGE(BP6:BP69)</f>
        <v>16.008885164598539</v>
      </c>
    </row>
    <row r="72" spans="1:82">
      <c r="A72" s="5" t="s">
        <v>121</v>
      </c>
      <c r="G72" s="2">
        <f t="shared" ref="G72:AJ72" si="22">MIN(G6:G69)</f>
        <v>0</v>
      </c>
      <c r="H72" s="2">
        <f t="shared" si="22"/>
        <v>0.69686411149825789</v>
      </c>
      <c r="I72" s="2">
        <f t="shared" si="22"/>
        <v>0</v>
      </c>
      <c r="J72" s="2">
        <f t="shared" si="22"/>
        <v>0</v>
      </c>
      <c r="K72" s="2">
        <f t="shared" si="22"/>
        <v>0</v>
      </c>
      <c r="L72" s="2">
        <f t="shared" si="22"/>
        <v>0</v>
      </c>
      <c r="M72" s="2">
        <f t="shared" si="22"/>
        <v>0</v>
      </c>
      <c r="N72" s="2">
        <f t="shared" si="22"/>
        <v>0</v>
      </c>
      <c r="O72" s="2">
        <f t="shared" si="22"/>
        <v>9.2233009708737868</v>
      </c>
      <c r="P72" s="2">
        <f t="shared" si="22"/>
        <v>0</v>
      </c>
      <c r="Q72" s="2">
        <f t="shared" si="22"/>
        <v>0</v>
      </c>
      <c r="R72" s="2">
        <f t="shared" si="22"/>
        <v>0</v>
      </c>
      <c r="S72" s="2">
        <f t="shared" si="22"/>
        <v>0</v>
      </c>
      <c r="T72" s="2">
        <f t="shared" si="22"/>
        <v>0</v>
      </c>
      <c r="U72" s="2">
        <f t="shared" si="22"/>
        <v>0</v>
      </c>
      <c r="V72" s="2">
        <f t="shared" si="22"/>
        <v>0</v>
      </c>
      <c r="W72" s="2">
        <f t="shared" si="22"/>
        <v>0</v>
      </c>
      <c r="X72" s="2">
        <f t="shared" si="22"/>
        <v>0</v>
      </c>
      <c r="Y72" s="2">
        <f t="shared" si="22"/>
        <v>0</v>
      </c>
      <c r="Z72" s="2">
        <f t="shared" si="22"/>
        <v>0</v>
      </c>
      <c r="AA72" s="2">
        <f t="shared" si="22"/>
        <v>0.2183406113537118</v>
      </c>
      <c r="AB72" s="2">
        <f t="shared" si="22"/>
        <v>0</v>
      </c>
      <c r="AC72" s="2">
        <f t="shared" si="22"/>
        <v>0</v>
      </c>
      <c r="AD72" s="2">
        <f t="shared" si="22"/>
        <v>0</v>
      </c>
      <c r="AE72" s="2">
        <f t="shared" si="22"/>
        <v>2.4122807017543861</v>
      </c>
      <c r="AF72" s="2">
        <f t="shared" si="22"/>
        <v>0</v>
      </c>
      <c r="AG72" s="2">
        <f t="shared" si="22"/>
        <v>0</v>
      </c>
      <c r="AH72" s="2">
        <f t="shared" si="22"/>
        <v>0</v>
      </c>
      <c r="AI72" s="2">
        <f t="shared" si="22"/>
        <v>0</v>
      </c>
      <c r="AJ72" s="2">
        <f t="shared" si="22"/>
        <v>0</v>
      </c>
      <c r="AN72" s="2"/>
      <c r="AP72" s="2"/>
      <c r="AR72" s="5"/>
      <c r="AS72" s="5"/>
      <c r="BA72" s="2">
        <f t="shared" si="17"/>
        <v>0</v>
      </c>
      <c r="BB72" s="2">
        <f t="shared" si="18"/>
        <v>0</v>
      </c>
      <c r="BF72" s="2">
        <f>MIN(BF6:BF69)</f>
        <v>0</v>
      </c>
      <c r="BG72" s="2">
        <f>MIN(BG6:BG69)</f>
        <v>3.0162412993039442</v>
      </c>
      <c r="BH72" s="2">
        <f>MIN(BH6:BH69)</f>
        <v>0</v>
      </c>
      <c r="BI72" s="2">
        <f>MIN(BI6:BI69)</f>
        <v>0</v>
      </c>
      <c r="BJ72" s="2"/>
      <c r="BK72" s="2"/>
      <c r="BL72" s="2"/>
      <c r="BM72" s="2">
        <f>MIN(BM6:BM69)</f>
        <v>22.279792746113987</v>
      </c>
      <c r="BN72" s="2">
        <f t="shared" ref="BN72:BO72" si="23">MIN(BN6:BN69)</f>
        <v>1.0452961672473868</v>
      </c>
      <c r="BO72" s="2">
        <f t="shared" si="23"/>
        <v>1.4925373134328357</v>
      </c>
      <c r="BP72" s="2">
        <f t="shared" ref="BP72" si="24">MIN(BP6:BP69)</f>
        <v>1.4925373134328357</v>
      </c>
    </row>
    <row r="73" spans="1:82">
      <c r="A73" s="5" t="s">
        <v>122</v>
      </c>
      <c r="G73" s="2">
        <f t="shared" ref="G73:AJ73" si="25">MAX(G6:G69)</f>
        <v>16.403785488958992</v>
      </c>
      <c r="H73" s="2">
        <f t="shared" si="25"/>
        <v>27.835051546391753</v>
      </c>
      <c r="I73" s="2">
        <f t="shared" si="25"/>
        <v>0</v>
      </c>
      <c r="J73" s="2">
        <f t="shared" si="25"/>
        <v>20.725388601036268</v>
      </c>
      <c r="K73" s="2">
        <f t="shared" si="25"/>
        <v>0.76775431861804222</v>
      </c>
      <c r="L73" s="2">
        <f t="shared" si="25"/>
        <v>6.4516129032258061</v>
      </c>
      <c r="M73" s="2">
        <f t="shared" si="25"/>
        <v>2.192982456140351</v>
      </c>
      <c r="N73" s="2">
        <f t="shared" si="25"/>
        <v>1.5350877192982457</v>
      </c>
      <c r="O73" s="2">
        <f t="shared" si="25"/>
        <v>65.194805194805198</v>
      </c>
      <c r="P73" s="2">
        <f t="shared" si="25"/>
        <v>0.35587188612099646</v>
      </c>
      <c r="Q73" s="2">
        <f t="shared" si="25"/>
        <v>9.2233009708737868</v>
      </c>
      <c r="R73" s="2">
        <f t="shared" si="25"/>
        <v>0</v>
      </c>
      <c r="S73" s="2">
        <f t="shared" si="25"/>
        <v>21.951219512195124</v>
      </c>
      <c r="T73" s="2">
        <f t="shared" si="25"/>
        <v>4.2296072507552873</v>
      </c>
      <c r="U73" s="2">
        <f t="shared" si="25"/>
        <v>0</v>
      </c>
      <c r="V73" s="2">
        <f t="shared" si="25"/>
        <v>0</v>
      </c>
      <c r="W73" s="2">
        <f t="shared" si="25"/>
        <v>6.0606060606060606</v>
      </c>
      <c r="X73" s="2">
        <f t="shared" si="25"/>
        <v>1.1952191235059761</v>
      </c>
      <c r="Y73" s="2">
        <f t="shared" si="25"/>
        <v>1.0362694300518134</v>
      </c>
      <c r="Z73" s="2">
        <f t="shared" si="25"/>
        <v>0.71174377224199292</v>
      </c>
      <c r="AA73" s="2">
        <f t="shared" si="25"/>
        <v>9.5238095238095237</v>
      </c>
      <c r="AB73" s="2">
        <f t="shared" si="25"/>
        <v>0.56657223796033995</v>
      </c>
      <c r="AC73" s="2">
        <f t="shared" si="25"/>
        <v>4.2440318302387272</v>
      </c>
      <c r="AD73" s="2">
        <f t="shared" si="25"/>
        <v>16.14730878186969</v>
      </c>
      <c r="AE73" s="2">
        <f t="shared" si="25"/>
        <v>36.363636363636367</v>
      </c>
      <c r="AF73" s="2">
        <f t="shared" si="25"/>
        <v>0</v>
      </c>
      <c r="AG73" s="2">
        <f t="shared" si="25"/>
        <v>14.173228346456693</v>
      </c>
      <c r="AH73" s="2">
        <f t="shared" si="25"/>
        <v>2.1276595744680851</v>
      </c>
      <c r="AI73" s="2">
        <f t="shared" si="25"/>
        <v>2.8508771929824563</v>
      </c>
      <c r="AJ73" s="2">
        <f t="shared" si="25"/>
        <v>0.5305039787798409</v>
      </c>
      <c r="AN73" s="2"/>
      <c r="AP73" s="2"/>
      <c r="AR73" s="5"/>
      <c r="AS73" s="5"/>
      <c r="BA73" s="2">
        <f t="shared" si="17"/>
        <v>7.2558251841120365</v>
      </c>
      <c r="BB73" s="2">
        <f t="shared" si="18"/>
        <v>8.6445953593661571</v>
      </c>
      <c r="BF73" s="2">
        <f>MAX(BF6:BF69)</f>
        <v>16.071428571428573</v>
      </c>
      <c r="BG73" s="2">
        <f>MAX(BG6:BG69)</f>
        <v>21.212121212121211</v>
      </c>
      <c r="BH73" s="2">
        <f>MAX(BH6:BH69)</f>
        <v>12.135922330097088</v>
      </c>
      <c r="BI73" s="2">
        <f>MAX(BI6:BI69)</f>
        <v>39.682539682539684</v>
      </c>
      <c r="BJ73" s="2"/>
      <c r="BK73" s="2"/>
      <c r="BL73" s="2"/>
      <c r="BM73" s="2">
        <f>MAX(BM6:BM69)</f>
        <v>72.987012987012989</v>
      </c>
      <c r="BN73" s="2">
        <f t="shared" ref="BN73:BO73" si="26">MAX(BN6:BN69)</f>
        <v>40.893470790378004</v>
      </c>
      <c r="BO73" s="2">
        <f t="shared" si="26"/>
        <v>47.766323024054984</v>
      </c>
      <c r="BP73" s="2">
        <f t="shared" ref="BP73" si="27">MAX(BP6:BP69)</f>
        <v>36.90851735015773</v>
      </c>
    </row>
    <row r="74" spans="1:82">
      <c r="A74" s="5"/>
      <c r="G74" s="2"/>
      <c r="H74" s="2"/>
      <c r="I74" s="2"/>
      <c r="J74" s="2"/>
      <c r="K74" s="2"/>
      <c r="AN74" s="2"/>
      <c r="AP74" s="2"/>
      <c r="AR74" s="5"/>
      <c r="AS74" s="5"/>
      <c r="BA74" s="2">
        <f t="shared" si="17"/>
        <v>0</v>
      </c>
      <c r="BB74" s="2">
        <f t="shared" si="18"/>
        <v>0</v>
      </c>
    </row>
    <row r="75" spans="1:82">
      <c r="A75" s="5" t="s">
        <v>223</v>
      </c>
      <c r="D75" s="55" t="s">
        <v>42</v>
      </c>
      <c r="G75" s="2"/>
      <c r="H75" s="2"/>
      <c r="I75" s="2"/>
      <c r="J75" s="2"/>
      <c r="K75" s="2"/>
      <c r="AN75" s="2"/>
      <c r="AP75" s="2"/>
      <c r="AR75" s="5"/>
      <c r="AS75" s="5"/>
      <c r="BA75" s="2">
        <f t="shared" si="17"/>
        <v>0</v>
      </c>
      <c r="BB75" s="2">
        <f t="shared" si="18"/>
        <v>0</v>
      </c>
    </row>
    <row r="76" spans="1:82">
      <c r="A76" s="121" t="s">
        <v>224</v>
      </c>
      <c r="B76">
        <v>201</v>
      </c>
      <c r="D76">
        <v>1</v>
      </c>
      <c r="F76">
        <v>11.954000000000001</v>
      </c>
      <c r="G76" s="2"/>
      <c r="H76" s="2"/>
      <c r="I76" s="2"/>
      <c r="J76" s="2"/>
      <c r="K76" s="2"/>
      <c r="AN76" s="2"/>
      <c r="AP76" s="2"/>
      <c r="AR76" s="5"/>
      <c r="BA76" s="2">
        <f t="shared" si="17"/>
        <v>0</v>
      </c>
      <c r="BB76" s="2">
        <f t="shared" si="18"/>
        <v>0</v>
      </c>
    </row>
    <row r="77" spans="1:82">
      <c r="A77" s="121" t="s">
        <v>225</v>
      </c>
      <c r="B77">
        <v>76</v>
      </c>
      <c r="D77">
        <v>1</v>
      </c>
      <c r="F77">
        <v>9.8989999999999991</v>
      </c>
      <c r="G77" s="2"/>
      <c r="H77" s="2"/>
      <c r="I77" s="2"/>
      <c r="J77" s="2"/>
      <c r="K77" s="2"/>
      <c r="AN77" s="2"/>
      <c r="AP77" s="2"/>
      <c r="AR77" s="5"/>
      <c r="AS77" s="5"/>
      <c r="BA77" s="2">
        <f t="shared" si="17"/>
        <v>0</v>
      </c>
      <c r="BB77" s="2">
        <f t="shared" si="18"/>
        <v>0</v>
      </c>
    </row>
    <row r="78" spans="1:82">
      <c r="A78" s="121" t="s">
        <v>226</v>
      </c>
      <c r="B78">
        <v>34</v>
      </c>
      <c r="D78">
        <v>1</v>
      </c>
      <c r="F78">
        <v>9.2289999999999992</v>
      </c>
      <c r="G78" s="2"/>
      <c r="H78" s="2"/>
      <c r="I78" s="2"/>
      <c r="J78" s="2"/>
      <c r="K78" s="2"/>
      <c r="AN78" s="2"/>
      <c r="AR78" s="5"/>
      <c r="AS78" s="5"/>
      <c r="BA78" s="2">
        <f t="shared" si="17"/>
        <v>0</v>
      </c>
      <c r="BB78" s="2">
        <f t="shared" si="18"/>
        <v>0</v>
      </c>
    </row>
    <row r="79" spans="1:82">
      <c r="A79" s="121" t="s">
        <v>227</v>
      </c>
      <c r="B79">
        <v>11</v>
      </c>
      <c r="D79">
        <v>1</v>
      </c>
      <c r="F79">
        <v>8.8620000000000001</v>
      </c>
      <c r="G79" s="2"/>
      <c r="H79" s="2"/>
      <c r="I79" s="2"/>
      <c r="J79" s="2"/>
      <c r="K79" s="2"/>
      <c r="AN79" s="2"/>
      <c r="AR79" s="5"/>
      <c r="AS79" s="5"/>
      <c r="BA79" s="2">
        <f t="shared" si="17"/>
        <v>0</v>
      </c>
      <c r="BB79" s="2">
        <f t="shared" si="18"/>
        <v>0</v>
      </c>
    </row>
    <row r="80" spans="1:82">
      <c r="A80" s="121" t="s">
        <v>612</v>
      </c>
      <c r="B80">
        <v>706</v>
      </c>
      <c r="C80" s="55" t="s">
        <v>611</v>
      </c>
      <c r="D80">
        <v>64</v>
      </c>
      <c r="G80" s="2"/>
      <c r="H80" s="2"/>
      <c r="I80" s="2"/>
      <c r="J80" s="2"/>
      <c r="K80" s="2"/>
      <c r="AN80" s="2"/>
      <c r="AR80" s="5"/>
      <c r="AS80" s="5"/>
      <c r="BA80" s="2">
        <f t="shared" si="17"/>
        <v>0</v>
      </c>
      <c r="BB80" s="2">
        <f t="shared" si="18"/>
        <v>0</v>
      </c>
    </row>
    <row r="81" spans="1:54">
      <c r="A81" s="121" t="s">
        <v>613</v>
      </c>
      <c r="B81" s="55" t="s">
        <v>439</v>
      </c>
      <c r="D81" s="55" t="s">
        <v>702</v>
      </c>
      <c r="G81" s="2"/>
      <c r="H81" s="2"/>
      <c r="I81" s="2"/>
      <c r="J81" s="2"/>
      <c r="K81" s="2"/>
      <c r="AN81" s="2"/>
      <c r="AR81" s="5"/>
      <c r="AS81" s="5"/>
      <c r="BA81" s="2">
        <f t="shared" si="17"/>
        <v>0</v>
      </c>
      <c r="BB81" s="2">
        <f t="shared" si="18"/>
        <v>0</v>
      </c>
    </row>
    <row r="82" spans="1:54">
      <c r="A82" s="121" t="s">
        <v>629</v>
      </c>
      <c r="B82" s="55">
        <v>572</v>
      </c>
      <c r="D82" s="55">
        <v>16</v>
      </c>
      <c r="G82" s="2"/>
      <c r="H82" s="2"/>
      <c r="I82" s="2"/>
      <c r="J82" s="2"/>
      <c r="K82" s="2"/>
      <c r="AN82" s="2"/>
      <c r="AR82" s="5"/>
      <c r="AS82" s="5"/>
      <c r="BA82" s="2">
        <f t="shared" si="17"/>
        <v>0</v>
      </c>
      <c r="BB82" s="2">
        <f t="shared" si="18"/>
        <v>0</v>
      </c>
    </row>
    <row r="83" spans="1:54">
      <c r="A83" s="5"/>
      <c r="G83" s="2"/>
      <c r="H83" s="2"/>
      <c r="I83" s="2"/>
      <c r="J83" s="2"/>
      <c r="K83" s="2"/>
      <c r="AN83" s="2"/>
      <c r="AP83" s="2"/>
      <c r="AR83" s="5"/>
      <c r="AS83" s="5"/>
      <c r="BA83" s="2">
        <f t="shared" si="17"/>
        <v>0</v>
      </c>
      <c r="BB83" s="2">
        <f t="shared" si="18"/>
        <v>0</v>
      </c>
    </row>
    <row r="84" spans="1:54">
      <c r="A84" s="5"/>
      <c r="G84" s="2"/>
      <c r="H84" s="2"/>
      <c r="I84" s="2"/>
      <c r="J84" s="2"/>
      <c r="K84" s="2"/>
      <c r="AN84" s="2"/>
      <c r="AP84" s="2"/>
      <c r="AR84" s="5"/>
      <c r="AS84" s="5"/>
      <c r="BA84" s="2">
        <f t="shared" si="17"/>
        <v>0</v>
      </c>
      <c r="BB84" s="2">
        <f t="shared" si="18"/>
        <v>0</v>
      </c>
    </row>
    <row r="85" spans="1:54">
      <c r="AN85" s="2"/>
      <c r="AP85" s="2"/>
      <c r="AR85" s="5"/>
      <c r="BA85" s="2">
        <f t="shared" si="17"/>
        <v>0</v>
      </c>
      <c r="BB85" s="2">
        <f t="shared" si="18"/>
        <v>0</v>
      </c>
    </row>
    <row r="86" spans="1:54">
      <c r="AN86" s="2"/>
      <c r="AP86" s="2"/>
      <c r="AR86" s="5"/>
      <c r="BA86" s="2">
        <f t="shared" si="17"/>
        <v>0</v>
      </c>
      <c r="BB86" s="2">
        <f t="shared" si="18"/>
        <v>0</v>
      </c>
    </row>
    <row r="87" spans="1:54">
      <c r="AN87" s="2"/>
      <c r="AP87" s="2"/>
      <c r="AR87" s="5"/>
      <c r="BA87" s="2">
        <f t="shared" si="17"/>
        <v>0</v>
      </c>
      <c r="BB87" s="2">
        <f t="shared" si="18"/>
        <v>0</v>
      </c>
    </row>
    <row r="88" spans="1:54">
      <c r="AN88" s="2"/>
      <c r="AP88" s="2"/>
      <c r="AR88" s="5"/>
      <c r="BA88" s="2">
        <f t="shared" si="17"/>
        <v>0</v>
      </c>
      <c r="BB88" s="2">
        <f t="shared" si="18"/>
        <v>0</v>
      </c>
    </row>
    <row r="89" spans="1:54">
      <c r="AN89" s="2"/>
      <c r="AP89" s="2"/>
      <c r="AR89" s="5"/>
      <c r="BA89" s="2">
        <f t="shared" si="17"/>
        <v>0</v>
      </c>
      <c r="BB89" s="2">
        <f t="shared" si="18"/>
        <v>0</v>
      </c>
    </row>
    <row r="90" spans="1:54">
      <c r="AN90" s="2"/>
      <c r="AP90" s="2"/>
      <c r="AR90" s="5"/>
      <c r="BA90" s="2">
        <f t="shared" si="17"/>
        <v>0</v>
      </c>
      <c r="BB90" s="2">
        <f t="shared" si="18"/>
        <v>0</v>
      </c>
    </row>
    <row r="91" spans="1:54">
      <c r="AN91" s="2"/>
      <c r="AP91" s="2"/>
      <c r="AR91" s="5"/>
      <c r="BA91" s="2">
        <f t="shared" si="17"/>
        <v>0</v>
      </c>
      <c r="BB91" s="2">
        <f t="shared" si="18"/>
        <v>0</v>
      </c>
    </row>
    <row r="92" spans="1:54">
      <c r="AN92" s="2"/>
      <c r="AP92" s="2"/>
      <c r="AR92" s="5"/>
      <c r="BA92" s="2">
        <f t="shared" si="17"/>
        <v>0</v>
      </c>
      <c r="BB92" s="2">
        <f t="shared" si="18"/>
        <v>0</v>
      </c>
    </row>
    <row r="93" spans="1:54">
      <c r="G93" s="2"/>
      <c r="H93" s="2"/>
      <c r="I93" s="2"/>
      <c r="J93" s="2"/>
      <c r="K93" s="2"/>
      <c r="AP93" s="2"/>
      <c r="AR93" s="5"/>
      <c r="BA93" s="2">
        <f t="shared" si="17"/>
        <v>0</v>
      </c>
      <c r="BB93" s="2">
        <f t="shared" si="18"/>
        <v>0</v>
      </c>
    </row>
    <row r="94" spans="1:54">
      <c r="G94" s="2"/>
      <c r="H94" s="2"/>
      <c r="I94" s="2"/>
      <c r="J94" s="2"/>
      <c r="K94" s="2"/>
      <c r="AP94" s="2"/>
      <c r="AR94" s="5"/>
      <c r="BA94" s="2">
        <f t="shared" si="17"/>
        <v>0</v>
      </c>
      <c r="BB94" s="2">
        <f t="shared" si="18"/>
        <v>0</v>
      </c>
    </row>
    <row r="95" spans="1:54">
      <c r="G95" s="2"/>
      <c r="H95" s="2"/>
      <c r="I95" s="2"/>
      <c r="J95" s="2"/>
      <c r="K95" s="2"/>
      <c r="AP95" s="2"/>
      <c r="AR95" s="5"/>
      <c r="BA95" s="2">
        <f t="shared" si="17"/>
        <v>0</v>
      </c>
      <c r="BB95" s="2">
        <f t="shared" si="18"/>
        <v>0</v>
      </c>
    </row>
    <row r="96" spans="1:54">
      <c r="G96" s="2"/>
      <c r="H96" s="2"/>
      <c r="I96" s="2"/>
      <c r="J96" s="2"/>
      <c r="K96" s="2"/>
      <c r="AP96" s="2"/>
      <c r="AR96" s="5"/>
      <c r="BA96" s="2">
        <f t="shared" si="17"/>
        <v>0</v>
      </c>
      <c r="BB96" s="2">
        <f t="shared" si="18"/>
        <v>0</v>
      </c>
    </row>
    <row r="97" spans="7:54">
      <c r="G97" s="2"/>
      <c r="H97" s="2"/>
      <c r="I97" s="2"/>
      <c r="J97" s="2"/>
      <c r="K97" s="2"/>
      <c r="AP97" s="2"/>
      <c r="AR97" s="5"/>
      <c r="BA97" s="2">
        <f t="shared" si="17"/>
        <v>0</v>
      </c>
      <c r="BB97" s="2">
        <f t="shared" si="18"/>
        <v>0</v>
      </c>
    </row>
    <row r="98" spans="7:54">
      <c r="G98" s="2"/>
      <c r="H98" s="2"/>
      <c r="I98" s="2"/>
      <c r="J98" s="2"/>
      <c r="K98" s="2"/>
      <c r="AP98" s="2"/>
      <c r="AR98" s="5"/>
      <c r="BA98" s="2">
        <f t="shared" si="17"/>
        <v>0</v>
      </c>
      <c r="BB98" s="2">
        <f t="shared" si="18"/>
        <v>0</v>
      </c>
    </row>
    <row r="99" spans="7:54">
      <c r="G99" s="2"/>
      <c r="H99" s="2"/>
      <c r="I99" s="2"/>
      <c r="J99" s="2"/>
      <c r="K99" s="2"/>
      <c r="AP99" s="2"/>
      <c r="AR99" s="5"/>
      <c r="BA99" s="2">
        <f t="shared" si="17"/>
        <v>0</v>
      </c>
      <c r="BB99" s="2">
        <f t="shared" si="18"/>
        <v>0</v>
      </c>
    </row>
    <row r="100" spans="7:54">
      <c r="G100" s="2"/>
      <c r="H100" s="2"/>
      <c r="I100" s="2"/>
      <c r="J100" s="2"/>
      <c r="K100" s="2"/>
      <c r="AP100" s="2"/>
      <c r="AR100" s="5"/>
      <c r="BA100" s="2">
        <f t="shared" si="17"/>
        <v>0</v>
      </c>
      <c r="BB100" s="2">
        <f t="shared" si="18"/>
        <v>0</v>
      </c>
    </row>
    <row r="101" spans="7:54">
      <c r="G101" s="2"/>
      <c r="H101" s="2"/>
      <c r="I101" s="2"/>
      <c r="J101" s="2"/>
      <c r="K101" s="2"/>
      <c r="AP101" s="2"/>
      <c r="AR101" s="5"/>
      <c r="BA101" s="2">
        <f t="shared" si="17"/>
        <v>0</v>
      </c>
      <c r="BB101" s="2">
        <f t="shared" si="18"/>
        <v>0</v>
      </c>
    </row>
    <row r="102" spans="7:54">
      <c r="G102" s="2"/>
      <c r="H102" s="2"/>
      <c r="I102" s="2"/>
      <c r="J102" s="2"/>
      <c r="K102" s="2"/>
      <c r="AP102" s="2"/>
      <c r="AR102" s="5"/>
      <c r="BA102" s="2">
        <f t="shared" ref="BA102:BA133" si="28">W102+X102</f>
        <v>0</v>
      </c>
      <c r="BB102" s="2">
        <f t="shared" ref="BB102:BB133" si="29">L102+M102</f>
        <v>0</v>
      </c>
    </row>
    <row r="103" spans="7:54">
      <c r="G103" s="2"/>
      <c r="H103" s="2"/>
      <c r="I103" s="2"/>
      <c r="J103" s="2"/>
      <c r="K103" s="2"/>
      <c r="AP103" s="2"/>
      <c r="AR103" s="5"/>
      <c r="BA103" s="2">
        <f t="shared" si="28"/>
        <v>0</v>
      </c>
      <c r="BB103" s="2">
        <f t="shared" si="29"/>
        <v>0</v>
      </c>
    </row>
    <row r="104" spans="7:54">
      <c r="G104" s="2"/>
      <c r="H104" s="2"/>
      <c r="I104" s="2"/>
      <c r="J104" s="2"/>
      <c r="K104" s="2"/>
      <c r="AP104" s="2"/>
      <c r="AR104" s="5"/>
      <c r="BA104" s="2">
        <f t="shared" si="28"/>
        <v>0</v>
      </c>
      <c r="BB104" s="2">
        <f t="shared" si="29"/>
        <v>0</v>
      </c>
    </row>
    <row r="105" spans="7:54">
      <c r="G105" s="2"/>
      <c r="H105" s="2"/>
      <c r="I105" s="2"/>
      <c r="J105" s="2"/>
      <c r="K105" s="2"/>
      <c r="AP105" s="2"/>
      <c r="AR105" s="5"/>
      <c r="BA105" s="2">
        <f t="shared" si="28"/>
        <v>0</v>
      </c>
      <c r="BB105" s="2">
        <f t="shared" si="29"/>
        <v>0</v>
      </c>
    </row>
    <row r="106" spans="7:54">
      <c r="G106" s="2"/>
      <c r="H106" s="2"/>
      <c r="I106" s="2"/>
      <c r="J106" s="2"/>
      <c r="K106" s="2"/>
      <c r="AP106" s="2"/>
      <c r="AR106" s="5"/>
      <c r="BA106" s="2">
        <f t="shared" si="28"/>
        <v>0</v>
      </c>
      <c r="BB106" s="2">
        <f t="shared" si="29"/>
        <v>0</v>
      </c>
    </row>
    <row r="107" spans="7:54">
      <c r="G107" s="2"/>
      <c r="H107" s="2"/>
      <c r="I107" s="2"/>
      <c r="J107" s="2"/>
      <c r="K107" s="2"/>
      <c r="AP107" s="2"/>
      <c r="AR107" s="5"/>
      <c r="BA107" s="2">
        <f t="shared" si="28"/>
        <v>0</v>
      </c>
      <c r="BB107" s="2">
        <f t="shared" si="29"/>
        <v>0</v>
      </c>
    </row>
    <row r="108" spans="7:54">
      <c r="G108" s="2"/>
      <c r="H108" s="2"/>
      <c r="I108" s="2"/>
      <c r="J108" s="2"/>
      <c r="K108" s="2"/>
      <c r="AP108" s="2"/>
      <c r="AR108" s="5"/>
      <c r="BA108" s="2">
        <f t="shared" si="28"/>
        <v>0</v>
      </c>
      <c r="BB108" s="2">
        <f t="shared" si="29"/>
        <v>0</v>
      </c>
    </row>
    <row r="109" spans="7:54">
      <c r="AP109" s="2"/>
      <c r="AR109" s="5"/>
      <c r="BA109" s="2">
        <f t="shared" si="28"/>
        <v>0</v>
      </c>
      <c r="BB109" s="2">
        <f t="shared" si="29"/>
        <v>0</v>
      </c>
    </row>
    <row r="110" spans="7:54">
      <c r="AP110" s="2"/>
      <c r="AR110" s="5"/>
      <c r="BA110" s="2">
        <f t="shared" si="28"/>
        <v>0</v>
      </c>
      <c r="BB110" s="2">
        <f t="shared" si="29"/>
        <v>0</v>
      </c>
    </row>
    <row r="111" spans="7:54">
      <c r="AP111" s="2"/>
      <c r="AR111" s="5"/>
      <c r="BA111" s="2">
        <f t="shared" si="28"/>
        <v>0</v>
      </c>
      <c r="BB111" s="2">
        <f t="shared" si="29"/>
        <v>0</v>
      </c>
    </row>
    <row r="112" spans="7:54">
      <c r="AP112" s="2"/>
      <c r="AR112" s="5"/>
      <c r="BA112" s="2">
        <f t="shared" si="28"/>
        <v>0</v>
      </c>
      <c r="BB112" s="2">
        <f t="shared" si="29"/>
        <v>0</v>
      </c>
    </row>
    <row r="113" spans="1:81">
      <c r="AP113" s="2"/>
      <c r="AR113" s="5"/>
      <c r="BA113" s="2">
        <f t="shared" si="28"/>
        <v>0</v>
      </c>
      <c r="BB113" s="2">
        <f t="shared" si="29"/>
        <v>0</v>
      </c>
    </row>
    <row r="114" spans="1:81">
      <c r="G114" s="2"/>
      <c r="H114" s="2"/>
      <c r="I114" s="2"/>
      <c r="J114" s="2"/>
      <c r="K114" s="2"/>
      <c r="AP114" s="2"/>
      <c r="AR114" s="5"/>
      <c r="BA114" s="2">
        <f t="shared" si="28"/>
        <v>0</v>
      </c>
      <c r="BB114" s="2">
        <f t="shared" si="29"/>
        <v>0</v>
      </c>
    </row>
    <row r="115" spans="1:81">
      <c r="G115" s="2"/>
      <c r="H115" s="2"/>
      <c r="I115" s="2"/>
      <c r="J115" s="2"/>
      <c r="K115" s="2"/>
      <c r="AP115" s="2"/>
      <c r="AR115" s="5"/>
      <c r="BA115" s="2">
        <f t="shared" si="28"/>
        <v>0</v>
      </c>
      <c r="BB115" s="2">
        <f t="shared" si="29"/>
        <v>0</v>
      </c>
    </row>
    <row r="116" spans="1:81">
      <c r="G116" s="2"/>
      <c r="H116" s="2"/>
      <c r="I116" s="2"/>
      <c r="J116" s="2"/>
      <c r="K116" s="2"/>
      <c r="AP116" s="2"/>
      <c r="AR116" s="5"/>
      <c r="BA116" s="2">
        <f t="shared" si="28"/>
        <v>0</v>
      </c>
      <c r="BB116" s="2">
        <f t="shared" si="29"/>
        <v>0</v>
      </c>
    </row>
    <row r="117" spans="1:81">
      <c r="G117" s="2"/>
      <c r="H117" s="2"/>
      <c r="I117" s="2"/>
      <c r="J117" s="2"/>
      <c r="K117" s="2"/>
      <c r="AP117" s="2"/>
      <c r="AR117" s="5"/>
      <c r="BA117" s="2">
        <f t="shared" si="28"/>
        <v>0</v>
      </c>
      <c r="BB117" s="2">
        <f t="shared" si="29"/>
        <v>0</v>
      </c>
      <c r="BQ117"/>
      <c r="BR117"/>
    </row>
    <row r="118" spans="1:81">
      <c r="G118" s="2"/>
      <c r="H118" s="2"/>
      <c r="I118" s="2"/>
      <c r="J118" s="2"/>
      <c r="K118" s="2"/>
      <c r="AP118" s="2"/>
      <c r="AR118" s="5"/>
      <c r="BA118" s="2">
        <f t="shared" si="28"/>
        <v>0</v>
      </c>
      <c r="BB118" s="2">
        <f t="shared" si="29"/>
        <v>0</v>
      </c>
      <c r="BQ118"/>
      <c r="BR118"/>
      <c r="CC118" s="4"/>
    </row>
    <row r="119" spans="1:81">
      <c r="G119" s="2"/>
      <c r="H119" s="2"/>
      <c r="I119" s="2"/>
      <c r="J119" s="2"/>
      <c r="K119" s="2"/>
      <c r="AP119" s="2"/>
      <c r="AR119" s="5"/>
      <c r="BA119" s="2">
        <f t="shared" si="28"/>
        <v>0</v>
      </c>
      <c r="BB119" s="2">
        <f t="shared" si="29"/>
        <v>0</v>
      </c>
      <c r="BQ119"/>
      <c r="BR119"/>
    </row>
    <row r="120" spans="1:81">
      <c r="G120" s="2"/>
      <c r="H120" s="2"/>
      <c r="I120" s="2"/>
      <c r="J120" s="2"/>
      <c r="K120" s="2"/>
      <c r="AP120" s="2"/>
      <c r="AR120" s="5"/>
      <c r="BA120" s="2">
        <f t="shared" si="28"/>
        <v>0</v>
      </c>
      <c r="BB120" s="2">
        <f t="shared" si="29"/>
        <v>0</v>
      </c>
    </row>
    <row r="121" spans="1:81">
      <c r="A121" s="2"/>
      <c r="G121" s="2"/>
      <c r="H121" s="2"/>
      <c r="I121" s="2"/>
      <c r="J121" s="2"/>
      <c r="K121" s="2"/>
      <c r="AP121" s="2"/>
      <c r="AR121" s="5"/>
      <c r="AS121" s="2"/>
      <c r="BA121" s="2">
        <f t="shared" si="28"/>
        <v>0</v>
      </c>
      <c r="BB121" s="2">
        <f t="shared" si="29"/>
        <v>0</v>
      </c>
    </row>
    <row r="122" spans="1:81">
      <c r="A122" s="2"/>
      <c r="G122" s="2"/>
      <c r="H122" s="2"/>
      <c r="I122" s="2"/>
      <c r="J122" s="2"/>
      <c r="K122" s="2"/>
      <c r="AP122" s="2"/>
      <c r="AR122" s="5"/>
      <c r="AS122" s="2"/>
      <c r="BA122" s="2">
        <f t="shared" si="28"/>
        <v>0</v>
      </c>
      <c r="BB122" s="2">
        <f t="shared" si="29"/>
        <v>0</v>
      </c>
    </row>
    <row r="123" spans="1:81">
      <c r="G123" s="2"/>
      <c r="H123" s="2"/>
      <c r="I123" s="2"/>
      <c r="J123" s="2"/>
      <c r="K123" s="2"/>
      <c r="AP123" s="2"/>
      <c r="AR123" s="5"/>
      <c r="BA123" s="2">
        <f t="shared" si="28"/>
        <v>0</v>
      </c>
      <c r="BB123" s="2">
        <f t="shared" si="29"/>
        <v>0</v>
      </c>
    </row>
    <row r="124" spans="1:81">
      <c r="G124" s="2"/>
      <c r="H124" s="2"/>
      <c r="I124" s="2"/>
      <c r="J124" s="2"/>
      <c r="K124" s="2"/>
      <c r="AP124" s="2"/>
      <c r="AR124" s="5"/>
      <c r="BA124" s="2">
        <f t="shared" si="28"/>
        <v>0</v>
      </c>
      <c r="BB124" s="2">
        <f t="shared" si="29"/>
        <v>0</v>
      </c>
    </row>
    <row r="125" spans="1:81">
      <c r="G125" s="2"/>
      <c r="H125" s="2"/>
      <c r="I125" s="2"/>
      <c r="J125" s="2"/>
      <c r="K125" s="2"/>
      <c r="AP125" s="2"/>
      <c r="AR125" s="5"/>
      <c r="BA125" s="2">
        <f t="shared" si="28"/>
        <v>0</v>
      </c>
      <c r="BB125" s="2">
        <f t="shared" si="29"/>
        <v>0</v>
      </c>
    </row>
    <row r="126" spans="1:81">
      <c r="G126" s="2"/>
      <c r="H126" s="2"/>
      <c r="I126" s="2"/>
      <c r="J126" s="2"/>
      <c r="K126" s="2"/>
      <c r="AP126" s="2"/>
      <c r="AR126" s="5"/>
      <c r="BA126" s="2">
        <f t="shared" si="28"/>
        <v>0</v>
      </c>
      <c r="BB126" s="2">
        <f t="shared" si="29"/>
        <v>0</v>
      </c>
    </row>
    <row r="127" spans="1:81">
      <c r="B127" s="5"/>
      <c r="C127" s="5"/>
      <c r="D127" s="5"/>
      <c r="E127" s="5"/>
      <c r="F127" s="5"/>
      <c r="G127" s="2"/>
      <c r="H127" s="2"/>
      <c r="I127" s="2"/>
      <c r="J127" s="2"/>
      <c r="K127" s="2"/>
      <c r="AP127" s="2"/>
      <c r="AR127" s="5"/>
      <c r="BA127" s="2">
        <f t="shared" si="28"/>
        <v>0</v>
      </c>
      <c r="BB127" s="2">
        <f t="shared" si="29"/>
        <v>0</v>
      </c>
    </row>
    <row r="128" spans="1:81">
      <c r="B128" s="5"/>
      <c r="C128" s="5"/>
      <c r="D128" s="5"/>
      <c r="E128" s="5"/>
      <c r="F128" s="5"/>
      <c r="AP128" s="2"/>
      <c r="AR128" s="5"/>
      <c r="BA128" s="2">
        <f t="shared" si="28"/>
        <v>0</v>
      </c>
      <c r="BB128" s="2">
        <f t="shared" si="29"/>
        <v>0</v>
      </c>
    </row>
    <row r="129" spans="2:54">
      <c r="B129" s="5"/>
      <c r="C129" s="5"/>
      <c r="D129" s="5"/>
      <c r="E129" s="5"/>
      <c r="F129" s="5"/>
      <c r="AP129" s="2"/>
      <c r="AR129" s="5"/>
      <c r="BA129" s="2">
        <f t="shared" si="28"/>
        <v>0</v>
      </c>
      <c r="BB129" s="2">
        <f t="shared" si="29"/>
        <v>0</v>
      </c>
    </row>
    <row r="130" spans="2:54">
      <c r="B130" s="5"/>
      <c r="C130" s="5"/>
      <c r="D130" s="5"/>
      <c r="E130" s="5"/>
      <c r="F130" s="5"/>
      <c r="AP130" s="2"/>
      <c r="AR130" s="5"/>
      <c r="BA130" s="2">
        <f t="shared" si="28"/>
        <v>0</v>
      </c>
      <c r="BB130" s="2">
        <f t="shared" si="29"/>
        <v>0</v>
      </c>
    </row>
    <row r="131" spans="2:54">
      <c r="B131" s="5"/>
      <c r="C131" s="5"/>
      <c r="D131" s="5"/>
      <c r="E131" s="5"/>
      <c r="F131" s="5"/>
      <c r="AP131" s="2"/>
      <c r="AR131" s="5"/>
      <c r="BA131" s="2">
        <f t="shared" si="28"/>
        <v>0</v>
      </c>
      <c r="BB131" s="2">
        <f t="shared" si="29"/>
        <v>0</v>
      </c>
    </row>
    <row r="132" spans="2:54">
      <c r="AP132" s="2"/>
      <c r="AR132" s="5"/>
      <c r="BA132" s="2">
        <f t="shared" si="28"/>
        <v>0</v>
      </c>
      <c r="BB132" s="2">
        <f t="shared" si="29"/>
        <v>0</v>
      </c>
    </row>
    <row r="133" spans="2:54">
      <c r="AP133" s="2"/>
      <c r="AR133" s="5"/>
      <c r="BA133" s="2">
        <f t="shared" si="28"/>
        <v>0</v>
      </c>
      <c r="BB133" s="2">
        <f t="shared" si="29"/>
        <v>0</v>
      </c>
    </row>
    <row r="134" spans="2:54">
      <c r="AP134" s="2"/>
      <c r="AR134" s="5"/>
      <c r="BA134" s="2">
        <f t="shared" ref="BA134:BA165" si="30">W134+X134</f>
        <v>0</v>
      </c>
      <c r="BB134" s="2">
        <f t="shared" ref="BB134:BB165" si="31">L134+M134</f>
        <v>0</v>
      </c>
    </row>
    <row r="135" spans="2:54">
      <c r="AP135" s="2"/>
      <c r="AR135" s="5"/>
      <c r="BA135" s="2">
        <f t="shared" si="30"/>
        <v>0</v>
      </c>
      <c r="BB135" s="2">
        <f t="shared" si="31"/>
        <v>0</v>
      </c>
    </row>
    <row r="136" spans="2:54">
      <c r="AP136" s="2"/>
      <c r="AR136" s="5"/>
      <c r="BA136" s="2">
        <f t="shared" si="30"/>
        <v>0</v>
      </c>
      <c r="BB136" s="2">
        <f t="shared" si="31"/>
        <v>0</v>
      </c>
    </row>
    <row r="137" spans="2:54">
      <c r="AP137" s="2"/>
      <c r="AR137" s="5"/>
      <c r="BA137" s="2">
        <f t="shared" si="30"/>
        <v>0</v>
      </c>
      <c r="BB137" s="2">
        <f t="shared" si="31"/>
        <v>0</v>
      </c>
    </row>
    <row r="138" spans="2:54">
      <c r="AP138" s="2"/>
      <c r="AR138" s="5"/>
      <c r="BA138" s="2">
        <f t="shared" si="30"/>
        <v>0</v>
      </c>
      <c r="BB138" s="2">
        <f t="shared" si="31"/>
        <v>0</v>
      </c>
    </row>
    <row r="139" spans="2:54">
      <c r="AP139" s="2"/>
      <c r="AR139" s="5"/>
      <c r="BA139" s="2">
        <f t="shared" si="30"/>
        <v>0</v>
      </c>
      <c r="BB139" s="2">
        <f t="shared" si="31"/>
        <v>0</v>
      </c>
    </row>
    <row r="140" spans="2:54">
      <c r="AP140" s="2"/>
      <c r="AR140" s="5"/>
      <c r="BA140" s="2">
        <f t="shared" si="30"/>
        <v>0</v>
      </c>
      <c r="BB140" s="2">
        <f t="shared" si="31"/>
        <v>0</v>
      </c>
    </row>
    <row r="141" spans="2:54">
      <c r="AP141" s="2"/>
      <c r="AR141" s="5"/>
      <c r="BA141" s="2">
        <f t="shared" si="30"/>
        <v>0</v>
      </c>
      <c r="BB141" s="2">
        <f t="shared" si="31"/>
        <v>0</v>
      </c>
    </row>
    <row r="142" spans="2:54">
      <c r="AP142" s="2"/>
      <c r="AR142" s="5"/>
      <c r="BA142" s="2">
        <f t="shared" si="30"/>
        <v>0</v>
      </c>
      <c r="BB142" s="2">
        <f t="shared" si="31"/>
        <v>0</v>
      </c>
    </row>
    <row r="143" spans="2:54">
      <c r="AP143" s="2"/>
      <c r="AR143" s="5"/>
      <c r="BA143" s="2">
        <f t="shared" si="30"/>
        <v>0</v>
      </c>
      <c r="BB143" s="2">
        <f t="shared" si="31"/>
        <v>0</v>
      </c>
    </row>
    <row r="144" spans="2:54">
      <c r="AP144" s="2"/>
      <c r="AR144" s="5"/>
      <c r="BA144" s="2">
        <f t="shared" si="30"/>
        <v>0</v>
      </c>
      <c r="BB144" s="2">
        <f t="shared" si="31"/>
        <v>0</v>
      </c>
    </row>
    <row r="145" spans="42:74">
      <c r="AP145" s="2"/>
      <c r="AR145" s="5"/>
      <c r="BA145" s="2">
        <f t="shared" si="30"/>
        <v>0</v>
      </c>
      <c r="BB145" s="2">
        <f t="shared" si="31"/>
        <v>0</v>
      </c>
    </row>
    <row r="146" spans="42:74">
      <c r="AP146" s="2"/>
      <c r="AR146" s="5"/>
      <c r="BA146" s="2">
        <f t="shared" si="30"/>
        <v>0</v>
      </c>
      <c r="BB146" s="2">
        <f t="shared" si="31"/>
        <v>0</v>
      </c>
      <c r="BS146" s="5"/>
      <c r="BV146" s="4"/>
    </row>
    <row r="147" spans="42:74">
      <c r="AP147" s="2"/>
      <c r="AR147" s="5"/>
      <c r="BA147" s="2">
        <f t="shared" si="30"/>
        <v>0</v>
      </c>
      <c r="BB147" s="2">
        <f t="shared" si="31"/>
        <v>0</v>
      </c>
      <c r="BS147" s="5"/>
    </row>
    <row r="148" spans="42:74">
      <c r="AP148" s="2"/>
      <c r="AR148" s="5"/>
      <c r="BA148" s="2">
        <f t="shared" si="30"/>
        <v>0</v>
      </c>
      <c r="BB148" s="2">
        <f t="shared" si="31"/>
        <v>0</v>
      </c>
      <c r="BS148" s="5"/>
    </row>
    <row r="149" spans="42:74">
      <c r="AP149" s="2"/>
      <c r="AR149" s="5"/>
      <c r="BA149" s="2">
        <f t="shared" si="30"/>
        <v>0</v>
      </c>
      <c r="BB149" s="2">
        <f t="shared" si="31"/>
        <v>0</v>
      </c>
    </row>
    <row r="150" spans="42:74">
      <c r="AP150" s="2"/>
      <c r="AR150" s="5"/>
      <c r="BA150" s="2">
        <f t="shared" si="30"/>
        <v>0</v>
      </c>
      <c r="BB150" s="2">
        <f t="shared" si="31"/>
        <v>0</v>
      </c>
    </row>
    <row r="151" spans="42:74">
      <c r="AP151" s="2"/>
      <c r="AR151" s="5"/>
      <c r="BA151" s="2">
        <f t="shared" si="30"/>
        <v>0</v>
      </c>
      <c r="BB151" s="2">
        <f t="shared" si="31"/>
        <v>0</v>
      </c>
    </row>
    <row r="152" spans="42:74">
      <c r="AP152" s="2"/>
      <c r="AR152" s="5"/>
      <c r="BA152" s="2">
        <f t="shared" si="30"/>
        <v>0</v>
      </c>
      <c r="BB152" s="2">
        <f t="shared" si="31"/>
        <v>0</v>
      </c>
    </row>
    <row r="153" spans="42:74">
      <c r="AP153" s="2"/>
      <c r="AR153" s="5"/>
      <c r="BA153" s="2">
        <f t="shared" si="30"/>
        <v>0</v>
      </c>
      <c r="BB153" s="2">
        <f t="shared" si="31"/>
        <v>0</v>
      </c>
    </row>
    <row r="154" spans="42:74">
      <c r="AP154" s="2"/>
      <c r="AR154" s="5"/>
      <c r="BA154" s="2">
        <f t="shared" si="30"/>
        <v>0</v>
      </c>
      <c r="BB154" s="2">
        <f t="shared" si="31"/>
        <v>0</v>
      </c>
    </row>
    <row r="155" spans="42:74">
      <c r="AP155" s="2"/>
      <c r="AR155" s="5"/>
      <c r="BA155" s="2">
        <f t="shared" si="30"/>
        <v>0</v>
      </c>
      <c r="BB155" s="2">
        <f t="shared" si="31"/>
        <v>0</v>
      </c>
    </row>
    <row r="156" spans="42:74">
      <c r="AP156" s="2"/>
      <c r="AR156" s="5"/>
      <c r="BA156" s="2">
        <f t="shared" si="30"/>
        <v>0</v>
      </c>
      <c r="BB156" s="2">
        <f t="shared" si="31"/>
        <v>0</v>
      </c>
    </row>
    <row r="157" spans="42:74">
      <c r="AP157" s="2"/>
      <c r="AR157" s="5"/>
      <c r="BA157" s="2">
        <f t="shared" si="30"/>
        <v>0</v>
      </c>
      <c r="BB157" s="2">
        <f t="shared" si="31"/>
        <v>0</v>
      </c>
    </row>
    <row r="158" spans="42:74">
      <c r="AP158" s="2"/>
      <c r="AR158" s="5"/>
      <c r="BA158" s="2">
        <f t="shared" si="30"/>
        <v>0</v>
      </c>
      <c r="BB158" s="2">
        <f t="shared" si="31"/>
        <v>0</v>
      </c>
    </row>
    <row r="159" spans="42:74">
      <c r="AP159" s="2"/>
      <c r="AR159" s="5"/>
      <c r="BA159" s="2">
        <f t="shared" si="30"/>
        <v>0</v>
      </c>
      <c r="BB159" s="2">
        <f t="shared" si="31"/>
        <v>0</v>
      </c>
    </row>
    <row r="160" spans="42:74">
      <c r="AP160" s="2"/>
      <c r="AR160" s="5"/>
      <c r="BA160" s="2">
        <f t="shared" si="30"/>
        <v>0</v>
      </c>
      <c r="BB160" s="2">
        <f t="shared" si="31"/>
        <v>0</v>
      </c>
    </row>
    <row r="161" spans="1:54">
      <c r="AP161" s="2"/>
      <c r="AR161" s="5"/>
      <c r="BA161" s="2">
        <f t="shared" si="30"/>
        <v>0</v>
      </c>
      <c r="BB161" s="2">
        <f t="shared" si="31"/>
        <v>0</v>
      </c>
    </row>
    <row r="162" spans="1:54">
      <c r="AP162" s="2"/>
      <c r="AR162" s="5"/>
      <c r="BA162" s="2">
        <f t="shared" si="30"/>
        <v>0</v>
      </c>
      <c r="BB162" s="2">
        <f t="shared" si="31"/>
        <v>0</v>
      </c>
    </row>
    <row r="163" spans="1:54">
      <c r="AP163" s="2"/>
      <c r="AR163" s="5"/>
      <c r="BA163" s="2">
        <f t="shared" si="30"/>
        <v>0</v>
      </c>
      <c r="BB163" s="2">
        <f t="shared" si="31"/>
        <v>0</v>
      </c>
    </row>
    <row r="164" spans="1:54">
      <c r="AP164" s="2"/>
      <c r="AR164" s="5"/>
      <c r="BA164" s="2">
        <f t="shared" si="30"/>
        <v>0</v>
      </c>
      <c r="BB164" s="2">
        <f t="shared" si="31"/>
        <v>0</v>
      </c>
    </row>
    <row r="165" spans="1:54">
      <c r="AP165" s="2"/>
      <c r="AR165" s="5"/>
      <c r="BA165" s="2">
        <f t="shared" si="30"/>
        <v>0</v>
      </c>
      <c r="BB165" s="2">
        <f t="shared" si="31"/>
        <v>0</v>
      </c>
    </row>
    <row r="166" spans="1:54">
      <c r="AP166" s="2"/>
      <c r="AR166" s="5"/>
      <c r="BA166" s="2">
        <f t="shared" ref="BA166:BA194" si="32">W166+X166</f>
        <v>0</v>
      </c>
      <c r="BB166" s="2">
        <f t="shared" ref="BB166:BB194" si="33">L166+M166</f>
        <v>0</v>
      </c>
    </row>
    <row r="167" spans="1:54">
      <c r="AP167" s="2"/>
      <c r="AR167" s="5"/>
      <c r="BA167" s="2">
        <f t="shared" si="32"/>
        <v>0</v>
      </c>
      <c r="BB167" s="2">
        <f t="shared" si="33"/>
        <v>0</v>
      </c>
    </row>
    <row r="168" spans="1:54">
      <c r="AP168" s="2"/>
      <c r="AR168" s="5"/>
      <c r="BA168" s="2">
        <f t="shared" si="32"/>
        <v>0</v>
      </c>
      <c r="BB168" s="2">
        <f t="shared" si="33"/>
        <v>0</v>
      </c>
    </row>
    <row r="169" spans="1:54">
      <c r="AP169" s="2"/>
      <c r="AR169" s="5"/>
      <c r="BA169" s="2">
        <f t="shared" si="32"/>
        <v>0</v>
      </c>
      <c r="BB169" s="2">
        <f t="shared" si="33"/>
        <v>0</v>
      </c>
    </row>
    <row r="170" spans="1:54">
      <c r="AP170" s="2"/>
      <c r="AR170" s="5"/>
      <c r="BA170" s="2">
        <f t="shared" si="32"/>
        <v>0</v>
      </c>
      <c r="BB170" s="2">
        <f t="shared" si="33"/>
        <v>0</v>
      </c>
    </row>
    <row r="171" spans="1:54">
      <c r="AP171" s="2"/>
      <c r="AR171" s="5"/>
      <c r="BA171" s="2">
        <f t="shared" si="32"/>
        <v>0</v>
      </c>
      <c r="BB171" s="2">
        <f t="shared" si="33"/>
        <v>0</v>
      </c>
    </row>
    <row r="172" spans="1:54">
      <c r="A172" s="9"/>
      <c r="AP172" s="2"/>
      <c r="AR172" s="5"/>
      <c r="AS172" s="9"/>
      <c r="BA172" s="2">
        <f t="shared" si="32"/>
        <v>0</v>
      </c>
      <c r="BB172" s="2">
        <f t="shared" si="33"/>
        <v>0</v>
      </c>
    </row>
    <row r="173" spans="1:54">
      <c r="AP173" s="2"/>
      <c r="AR173" s="5"/>
      <c r="BA173" s="2">
        <f t="shared" si="32"/>
        <v>0</v>
      </c>
      <c r="BB173" s="2">
        <f t="shared" si="33"/>
        <v>0</v>
      </c>
    </row>
    <row r="174" spans="1:54">
      <c r="AP174" s="2"/>
      <c r="AR174" s="5"/>
      <c r="BA174" s="2">
        <f t="shared" si="32"/>
        <v>0</v>
      </c>
      <c r="BB174" s="2">
        <f t="shared" si="33"/>
        <v>0</v>
      </c>
    </row>
    <row r="175" spans="1:54">
      <c r="AP175" s="2"/>
      <c r="AR175" s="5"/>
      <c r="BA175" s="2">
        <f t="shared" si="32"/>
        <v>0</v>
      </c>
      <c r="BB175" s="2">
        <f t="shared" si="33"/>
        <v>0</v>
      </c>
    </row>
    <row r="176" spans="1:54">
      <c r="AP176" s="2"/>
      <c r="AR176" s="5"/>
      <c r="BA176" s="2">
        <f t="shared" si="32"/>
        <v>0</v>
      </c>
      <c r="BB176" s="2">
        <f t="shared" si="33"/>
        <v>0</v>
      </c>
    </row>
    <row r="177" spans="42:54">
      <c r="AP177" s="2"/>
      <c r="AR177" s="5"/>
      <c r="BA177" s="2">
        <f t="shared" si="32"/>
        <v>0</v>
      </c>
      <c r="BB177" s="2">
        <f t="shared" si="33"/>
        <v>0</v>
      </c>
    </row>
    <row r="178" spans="42:54">
      <c r="AP178" s="2"/>
      <c r="AR178" s="5"/>
      <c r="BA178" s="2">
        <f t="shared" si="32"/>
        <v>0</v>
      </c>
      <c r="BB178" s="2">
        <f t="shared" si="33"/>
        <v>0</v>
      </c>
    </row>
    <row r="179" spans="42:54">
      <c r="AP179" s="2"/>
      <c r="AR179" s="5"/>
      <c r="BA179" s="2">
        <f t="shared" si="32"/>
        <v>0</v>
      </c>
      <c r="BB179" s="2">
        <f t="shared" si="33"/>
        <v>0</v>
      </c>
    </row>
    <row r="180" spans="42:54">
      <c r="AP180" s="2"/>
      <c r="AR180" s="5"/>
      <c r="BA180" s="2">
        <f t="shared" si="32"/>
        <v>0</v>
      </c>
      <c r="BB180" s="2">
        <f t="shared" si="33"/>
        <v>0</v>
      </c>
    </row>
    <row r="181" spans="42:54">
      <c r="AP181" s="2"/>
      <c r="AR181" s="5"/>
      <c r="BA181" s="2">
        <f t="shared" si="32"/>
        <v>0</v>
      </c>
      <c r="BB181" s="2">
        <f t="shared" si="33"/>
        <v>0</v>
      </c>
    </row>
    <row r="182" spans="42:54">
      <c r="AP182" s="2"/>
      <c r="AR182" s="5"/>
      <c r="BA182" s="2">
        <f t="shared" si="32"/>
        <v>0</v>
      </c>
      <c r="BB182" s="2">
        <f t="shared" si="33"/>
        <v>0</v>
      </c>
    </row>
    <row r="183" spans="42:54">
      <c r="AP183" s="2"/>
      <c r="AR183" s="5"/>
      <c r="BA183" s="2">
        <f t="shared" si="32"/>
        <v>0</v>
      </c>
      <c r="BB183" s="2">
        <f t="shared" si="33"/>
        <v>0</v>
      </c>
    </row>
    <row r="184" spans="42:54">
      <c r="AP184" s="2"/>
      <c r="AR184" s="5"/>
      <c r="BA184" s="2">
        <f t="shared" si="32"/>
        <v>0</v>
      </c>
      <c r="BB184" s="2">
        <f t="shared" si="33"/>
        <v>0</v>
      </c>
    </row>
    <row r="185" spans="42:54">
      <c r="AP185" s="2"/>
      <c r="AR185" s="5"/>
      <c r="BA185" s="2">
        <f t="shared" si="32"/>
        <v>0</v>
      </c>
      <c r="BB185" s="2">
        <f t="shared" si="33"/>
        <v>0</v>
      </c>
    </row>
    <row r="186" spans="42:54">
      <c r="AP186" s="2"/>
      <c r="AR186" s="5"/>
      <c r="BA186" s="2">
        <f t="shared" si="32"/>
        <v>0</v>
      </c>
      <c r="BB186" s="2">
        <f t="shared" si="33"/>
        <v>0</v>
      </c>
    </row>
    <row r="187" spans="42:54">
      <c r="AP187" s="2"/>
      <c r="AR187" s="5"/>
      <c r="BA187" s="2">
        <f t="shared" si="32"/>
        <v>0</v>
      </c>
      <c r="BB187" s="2">
        <f t="shared" si="33"/>
        <v>0</v>
      </c>
    </row>
    <row r="188" spans="42:54">
      <c r="AP188" s="2"/>
      <c r="AR188" s="5"/>
      <c r="BA188" s="2">
        <f t="shared" si="32"/>
        <v>0</v>
      </c>
      <c r="BB188" s="2">
        <f t="shared" si="33"/>
        <v>0</v>
      </c>
    </row>
    <row r="189" spans="42:54">
      <c r="AP189" s="2"/>
      <c r="AR189" s="5"/>
      <c r="BA189" s="2">
        <f t="shared" si="32"/>
        <v>0</v>
      </c>
      <c r="BB189" s="2">
        <f t="shared" si="33"/>
        <v>0</v>
      </c>
    </row>
    <row r="190" spans="42:54">
      <c r="AP190" s="2"/>
      <c r="AR190" s="5"/>
      <c r="BA190" s="2">
        <f t="shared" si="32"/>
        <v>0</v>
      </c>
      <c r="BB190" s="2">
        <f t="shared" si="33"/>
        <v>0</v>
      </c>
    </row>
    <row r="191" spans="42:54">
      <c r="AP191" s="2"/>
      <c r="AR191" s="5"/>
      <c r="BA191" s="2">
        <f t="shared" si="32"/>
        <v>0</v>
      </c>
      <c r="BB191" s="2">
        <f t="shared" si="33"/>
        <v>0</v>
      </c>
    </row>
    <row r="192" spans="42:54">
      <c r="AP192" s="2"/>
      <c r="AR192" s="5"/>
      <c r="BA192" s="2">
        <f t="shared" si="32"/>
        <v>0</v>
      </c>
      <c r="BB192" s="2">
        <f t="shared" si="33"/>
        <v>0</v>
      </c>
    </row>
    <row r="193" spans="42:54">
      <c r="AP193" s="2"/>
      <c r="AR193" s="5"/>
      <c r="BA193" s="2">
        <f t="shared" si="32"/>
        <v>0</v>
      </c>
      <c r="BB193" s="2">
        <f t="shared" si="33"/>
        <v>0</v>
      </c>
    </row>
    <row r="194" spans="42:54">
      <c r="AP194" s="2"/>
      <c r="AR194" s="5"/>
      <c r="BA194" s="2">
        <f t="shared" si="32"/>
        <v>0</v>
      </c>
      <c r="BB194" s="2">
        <f t="shared" si="33"/>
        <v>0</v>
      </c>
    </row>
    <row r="195" spans="42:54">
      <c r="AR195" s="5"/>
    </row>
  </sheetData>
  <phoneticPr fontId="8" type="noConversion"/>
  <pageMargins left="0.39000000000000007" right="0.39000000000000007" top="0.39000000000000007" bottom="0.39000000000000007" header="0.5" footer="0.5"/>
  <pageSetup orientation="portrait" horizontalDpi="4294967292" verticalDpi="4294967292" copies="256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F2162-FEFE-FF4E-BE66-1EF9E77CD98E}">
  <dimension ref="A1:M172"/>
  <sheetViews>
    <sheetView topLeftCell="A43" zoomScale="135" zoomScaleNormal="135" workbookViewId="0">
      <selection activeCell="A37" sqref="A37"/>
    </sheetView>
  </sheetViews>
  <sheetFormatPr defaultColWidth="11.42578125" defaultRowHeight="12.75"/>
  <cols>
    <col min="1" max="1" width="6.5703125" customWidth="1"/>
    <col min="2" max="2" width="5.5703125" customWidth="1"/>
    <col min="3" max="3" width="7.7109375" customWidth="1"/>
  </cols>
  <sheetData>
    <row r="1" spans="1:11">
      <c r="A1" t="s">
        <v>0</v>
      </c>
    </row>
    <row r="2" spans="1:11">
      <c r="D2" t="s">
        <v>230</v>
      </c>
    </row>
    <row r="3" spans="1:11">
      <c r="A3" s="1" t="s">
        <v>5</v>
      </c>
      <c r="B3" t="s">
        <v>6</v>
      </c>
      <c r="F3" s="55" t="s">
        <v>618</v>
      </c>
    </row>
    <row r="4" spans="1:11">
      <c r="A4" s="1"/>
      <c r="F4" s="55" t="s">
        <v>614</v>
      </c>
      <c r="J4" s="55" t="s">
        <v>623</v>
      </c>
    </row>
    <row r="5" spans="1:11">
      <c r="A5" s="1"/>
      <c r="B5" t="s">
        <v>6</v>
      </c>
      <c r="C5" s="46" t="s">
        <v>151</v>
      </c>
      <c r="D5" t="s">
        <v>231</v>
      </c>
      <c r="E5" t="s">
        <v>235</v>
      </c>
      <c r="F5" s="55" t="s">
        <v>43</v>
      </c>
      <c r="G5" s="55" t="s">
        <v>44</v>
      </c>
      <c r="H5" s="55" t="s">
        <v>615</v>
      </c>
      <c r="I5" s="55" t="s">
        <v>647</v>
      </c>
    </row>
    <row r="6" spans="1:11">
      <c r="A6" s="125" t="s">
        <v>56</v>
      </c>
      <c r="B6">
        <v>1</v>
      </c>
      <c r="C6" s="2">
        <v>8.7033157889999995</v>
      </c>
      <c r="D6" t="s">
        <v>232</v>
      </c>
      <c r="F6">
        <v>0</v>
      </c>
      <c r="G6">
        <v>0</v>
      </c>
      <c r="I6" s="55" t="s">
        <v>673</v>
      </c>
      <c r="J6" s="55" t="s">
        <v>624</v>
      </c>
      <c r="K6" s="55" t="s">
        <v>663</v>
      </c>
    </row>
    <row r="7" spans="1:11">
      <c r="A7" s="1" t="s">
        <v>57</v>
      </c>
      <c r="B7">
        <v>23</v>
      </c>
      <c r="C7" s="2">
        <v>9.0541578949999995</v>
      </c>
      <c r="D7" t="s">
        <v>232</v>
      </c>
      <c r="F7" s="55" t="s">
        <v>625</v>
      </c>
      <c r="G7">
        <v>0</v>
      </c>
      <c r="I7" s="55" t="s">
        <v>673</v>
      </c>
    </row>
    <row r="8" spans="1:11">
      <c r="A8" s="1" t="s">
        <v>58</v>
      </c>
      <c r="B8">
        <v>41</v>
      </c>
      <c r="C8" s="2">
        <v>9.3412105260000011</v>
      </c>
      <c r="D8" t="s">
        <v>233</v>
      </c>
      <c r="F8">
        <v>0</v>
      </c>
      <c r="G8">
        <v>0</v>
      </c>
      <c r="I8" s="55" t="s">
        <v>673</v>
      </c>
    </row>
    <row r="9" spans="1:11">
      <c r="A9" s="1" t="s">
        <v>59</v>
      </c>
      <c r="B9">
        <v>51</v>
      </c>
      <c r="C9" s="2">
        <v>9.5006842109999994</v>
      </c>
      <c r="D9" t="s">
        <v>233</v>
      </c>
      <c r="E9" s="55" t="s">
        <v>633</v>
      </c>
      <c r="F9" s="55" t="s">
        <v>631</v>
      </c>
      <c r="G9">
        <v>0</v>
      </c>
      <c r="I9" s="55" t="s">
        <v>673</v>
      </c>
      <c r="K9" s="55" t="s">
        <v>632</v>
      </c>
    </row>
    <row r="10" spans="1:11">
      <c r="A10" s="125" t="s">
        <v>60</v>
      </c>
      <c r="B10" s="30">
        <v>66</v>
      </c>
      <c r="C10" s="2">
        <v>9.7398947370000002</v>
      </c>
      <c r="D10" t="s">
        <v>233</v>
      </c>
      <c r="E10" t="s">
        <v>239</v>
      </c>
      <c r="F10">
        <v>0</v>
      </c>
      <c r="G10">
        <v>0</v>
      </c>
      <c r="I10" s="55" t="s">
        <v>673</v>
      </c>
      <c r="J10" s="55" t="s">
        <v>624</v>
      </c>
    </row>
    <row r="11" spans="1:11">
      <c r="A11" s="1" t="s">
        <v>61</v>
      </c>
      <c r="B11">
        <v>86</v>
      </c>
      <c r="C11" s="2">
        <v>10.058842109999999</v>
      </c>
      <c r="D11" t="s">
        <v>232</v>
      </c>
      <c r="E11" t="s">
        <v>239</v>
      </c>
      <c r="I11" s="55" t="s">
        <v>673</v>
      </c>
    </row>
    <row r="12" spans="1:11">
      <c r="A12" s="122" t="s">
        <v>62</v>
      </c>
      <c r="B12">
        <v>101</v>
      </c>
      <c r="C12" s="2">
        <v>10.298052630000001</v>
      </c>
      <c r="D12" t="s">
        <v>232</v>
      </c>
      <c r="I12" s="55" t="s">
        <v>673</v>
      </c>
    </row>
    <row r="13" spans="1:11">
      <c r="A13" s="1" t="s">
        <v>63</v>
      </c>
      <c r="B13">
        <v>116</v>
      </c>
      <c r="C13" s="2">
        <v>10.53726316</v>
      </c>
      <c r="D13" t="s">
        <v>233</v>
      </c>
      <c r="I13" s="55" t="s">
        <v>673</v>
      </c>
    </row>
    <row r="14" spans="1:11">
      <c r="A14" s="125" t="s">
        <v>64</v>
      </c>
      <c r="B14">
        <v>126</v>
      </c>
      <c r="C14" s="2">
        <v>10.69673684</v>
      </c>
      <c r="D14" t="s">
        <v>233</v>
      </c>
      <c r="E14" t="s">
        <v>239</v>
      </c>
      <c r="I14" s="55" t="s">
        <v>673</v>
      </c>
    </row>
    <row r="15" spans="1:11">
      <c r="A15" s="1" t="s">
        <v>65</v>
      </c>
      <c r="B15">
        <v>141</v>
      </c>
      <c r="C15" s="2">
        <v>10.935947369999999</v>
      </c>
      <c r="D15" t="s">
        <v>233</v>
      </c>
      <c r="E15" s="55" t="s">
        <v>633</v>
      </c>
      <c r="F15" s="55" t="s">
        <v>628</v>
      </c>
      <c r="G15" s="55" t="s">
        <v>617</v>
      </c>
      <c r="I15" s="55" t="s">
        <v>673</v>
      </c>
    </row>
    <row r="16" spans="1:11">
      <c r="A16" s="29" t="s">
        <v>66</v>
      </c>
      <c r="B16" s="30">
        <v>151</v>
      </c>
      <c r="C16" s="2">
        <v>11.095421050000001</v>
      </c>
      <c r="D16" t="s">
        <v>233</v>
      </c>
      <c r="F16">
        <v>0</v>
      </c>
      <c r="G16">
        <v>0</v>
      </c>
      <c r="I16" s="55" t="s">
        <v>673</v>
      </c>
      <c r="J16" s="55" t="s">
        <v>624</v>
      </c>
    </row>
    <row r="17" spans="1:12">
      <c r="A17" s="1" t="s">
        <v>67</v>
      </c>
      <c r="B17">
        <v>166</v>
      </c>
      <c r="C17" s="2">
        <v>11.33463158</v>
      </c>
      <c r="D17" t="s">
        <v>233</v>
      </c>
      <c r="E17" t="s">
        <v>239</v>
      </c>
      <c r="I17" s="55" t="s">
        <v>673</v>
      </c>
    </row>
    <row r="18" spans="1:12">
      <c r="A18" s="125" t="s">
        <v>68</v>
      </c>
      <c r="B18">
        <v>176</v>
      </c>
      <c r="C18" s="2">
        <v>11.49410526</v>
      </c>
      <c r="D18" t="s">
        <v>233</v>
      </c>
      <c r="E18" t="s">
        <v>239</v>
      </c>
      <c r="F18" s="55" t="s">
        <v>616</v>
      </c>
      <c r="G18" s="55" t="s">
        <v>617</v>
      </c>
      <c r="I18" s="55" t="s">
        <v>673</v>
      </c>
    </row>
    <row r="19" spans="1:12">
      <c r="A19" s="122" t="s">
        <v>69</v>
      </c>
      <c r="B19">
        <v>191</v>
      </c>
      <c r="C19" s="2">
        <v>11.76807767</v>
      </c>
      <c r="D19" t="s">
        <v>233</v>
      </c>
      <c r="E19" s="55" t="s">
        <v>239</v>
      </c>
      <c r="F19" s="55" t="s">
        <v>617</v>
      </c>
      <c r="G19" s="55" t="s">
        <v>616</v>
      </c>
      <c r="I19" s="55" t="s">
        <v>673</v>
      </c>
      <c r="K19" s="55" t="s">
        <v>626</v>
      </c>
      <c r="L19" s="55" t="s">
        <v>627</v>
      </c>
    </row>
    <row r="20" spans="1:12">
      <c r="A20" s="122" t="s">
        <v>70</v>
      </c>
      <c r="B20">
        <v>211</v>
      </c>
      <c r="C20" s="2">
        <v>12.140504849999999</v>
      </c>
      <c r="D20" t="s">
        <v>233</v>
      </c>
      <c r="E20" t="s">
        <v>239</v>
      </c>
      <c r="F20" s="55" t="s">
        <v>616</v>
      </c>
      <c r="G20">
        <v>0</v>
      </c>
      <c r="I20">
        <v>0</v>
      </c>
      <c r="K20" s="55" t="s">
        <v>652</v>
      </c>
    </row>
    <row r="21" spans="1:12">
      <c r="A21" t="s">
        <v>71</v>
      </c>
      <c r="B21">
        <v>226</v>
      </c>
      <c r="C21" s="2">
        <v>12.41982524</v>
      </c>
      <c r="D21" t="s">
        <v>233</v>
      </c>
      <c r="I21">
        <v>0</v>
      </c>
      <c r="K21" s="55" t="s">
        <v>651</v>
      </c>
    </row>
    <row r="22" spans="1:12">
      <c r="A22" s="124" t="s">
        <v>72</v>
      </c>
      <c r="B22">
        <v>246</v>
      </c>
      <c r="C22" s="2">
        <v>12.54809326</v>
      </c>
      <c r="D22" t="s">
        <v>233</v>
      </c>
      <c r="E22" t="s">
        <v>239</v>
      </c>
      <c r="I22" s="55" t="s">
        <v>648</v>
      </c>
      <c r="K22" s="55" t="s">
        <v>649</v>
      </c>
    </row>
    <row r="23" spans="1:12">
      <c r="A23" t="s">
        <v>73</v>
      </c>
      <c r="B23">
        <v>261</v>
      </c>
      <c r="C23" s="2">
        <v>12.60545078</v>
      </c>
      <c r="D23" t="s">
        <v>233</v>
      </c>
      <c r="E23" t="s">
        <v>239</v>
      </c>
      <c r="I23">
        <v>0</v>
      </c>
      <c r="K23" s="55" t="s">
        <v>653</v>
      </c>
    </row>
    <row r="24" spans="1:12">
      <c r="A24" s="123" t="s">
        <v>74</v>
      </c>
      <c r="B24">
        <v>281</v>
      </c>
      <c r="C24" s="2">
        <v>12.681927460000001</v>
      </c>
      <c r="D24" t="s">
        <v>233</v>
      </c>
      <c r="E24" t="s">
        <v>239</v>
      </c>
      <c r="I24">
        <v>0</v>
      </c>
    </row>
    <row r="25" spans="1:12">
      <c r="A25" s="2" t="s">
        <v>75</v>
      </c>
      <c r="B25">
        <v>296</v>
      </c>
      <c r="C25" s="2">
        <v>12.73928497</v>
      </c>
      <c r="D25" t="s">
        <v>233</v>
      </c>
      <c r="I25">
        <v>0</v>
      </c>
      <c r="K25" s="55" t="s">
        <v>655</v>
      </c>
      <c r="L25" s="55" t="s">
        <v>654</v>
      </c>
    </row>
    <row r="26" spans="1:12">
      <c r="A26" s="126" t="s">
        <v>76</v>
      </c>
      <c r="B26" s="30">
        <v>316</v>
      </c>
      <c r="C26" s="2">
        <v>12.81576166</v>
      </c>
      <c r="D26" t="s">
        <v>233</v>
      </c>
      <c r="I26">
        <v>0</v>
      </c>
      <c r="J26" s="55" t="s">
        <v>624</v>
      </c>
      <c r="K26" s="55" t="s">
        <v>650</v>
      </c>
    </row>
    <row r="27" spans="1:12">
      <c r="A27" s="128" t="s">
        <v>77</v>
      </c>
      <c r="B27">
        <v>336</v>
      </c>
      <c r="C27" s="2">
        <v>12.90434014</v>
      </c>
      <c r="D27" t="s">
        <v>233</v>
      </c>
      <c r="I27">
        <v>0</v>
      </c>
    </row>
    <row r="28" spans="1:12">
      <c r="A28" s="2" t="s">
        <v>78</v>
      </c>
      <c r="B28">
        <v>346</v>
      </c>
      <c r="C28" s="2">
        <v>12.954680270000001</v>
      </c>
      <c r="D28" t="s">
        <v>233</v>
      </c>
      <c r="F28">
        <v>0</v>
      </c>
      <c r="G28" s="55" t="s">
        <v>628</v>
      </c>
      <c r="H28" s="55" t="s">
        <v>628</v>
      </c>
      <c r="I28" s="55" t="s">
        <v>616</v>
      </c>
      <c r="K28" s="55" t="s">
        <v>656</v>
      </c>
    </row>
    <row r="29" spans="1:12">
      <c r="A29" s="2" t="s">
        <v>79</v>
      </c>
      <c r="B29">
        <v>362</v>
      </c>
      <c r="C29" s="2">
        <v>13.035224490000001</v>
      </c>
      <c r="D29" t="s">
        <v>234</v>
      </c>
      <c r="I29">
        <v>0</v>
      </c>
      <c r="K29" s="55" t="s">
        <v>675</v>
      </c>
    </row>
    <row r="30" spans="1:12">
      <c r="A30" s="127" t="s">
        <v>80</v>
      </c>
      <c r="B30">
        <v>382</v>
      </c>
      <c r="C30" s="2">
        <v>13.135904759999999</v>
      </c>
      <c r="D30" t="s">
        <v>232</v>
      </c>
      <c r="F30" s="55" t="s">
        <v>616</v>
      </c>
      <c r="H30" s="55" t="s">
        <v>617</v>
      </c>
      <c r="I30" s="55">
        <v>0</v>
      </c>
    </row>
    <row r="31" spans="1:12">
      <c r="A31" s="2" t="s">
        <v>81</v>
      </c>
      <c r="B31">
        <v>397</v>
      </c>
      <c r="C31" s="2">
        <v>13.21141497</v>
      </c>
      <c r="D31" t="s">
        <v>232</v>
      </c>
      <c r="I31" s="55">
        <v>0</v>
      </c>
    </row>
    <row r="32" spans="1:12">
      <c r="A32" t="s">
        <v>82</v>
      </c>
      <c r="B32">
        <v>407</v>
      </c>
      <c r="C32" s="2">
        <v>13.234950000000001</v>
      </c>
      <c r="D32" t="s">
        <v>232</v>
      </c>
      <c r="I32">
        <v>0</v>
      </c>
    </row>
    <row r="33" spans="1:11">
      <c r="A33" t="s">
        <v>83</v>
      </c>
      <c r="B33">
        <v>422</v>
      </c>
      <c r="C33" s="2">
        <v>13.25685</v>
      </c>
      <c r="D33" t="s">
        <v>232</v>
      </c>
      <c r="I33">
        <v>0</v>
      </c>
    </row>
    <row r="34" spans="1:11">
      <c r="A34" s="124" t="s">
        <v>84</v>
      </c>
      <c r="B34" s="23">
        <v>442</v>
      </c>
      <c r="C34" s="2">
        <v>13.286049999999999</v>
      </c>
      <c r="D34" t="s">
        <v>232</v>
      </c>
      <c r="I34">
        <v>0</v>
      </c>
    </row>
    <row r="35" spans="1:11">
      <c r="A35" t="s">
        <v>85</v>
      </c>
      <c r="B35">
        <v>457</v>
      </c>
      <c r="C35" s="2">
        <v>13.310474579999999</v>
      </c>
      <c r="D35" t="s">
        <v>233</v>
      </c>
      <c r="I35">
        <v>0</v>
      </c>
    </row>
    <row r="36" spans="1:11">
      <c r="A36" s="124" t="s">
        <v>86</v>
      </c>
      <c r="B36">
        <v>467</v>
      </c>
      <c r="C36" s="2">
        <v>13.32844068</v>
      </c>
      <c r="D36" t="s">
        <v>233</v>
      </c>
      <c r="I36">
        <v>0</v>
      </c>
    </row>
    <row r="37" spans="1:11">
      <c r="A37" s="123" t="s">
        <v>87</v>
      </c>
      <c r="B37">
        <v>482</v>
      </c>
      <c r="C37" s="2">
        <v>13.4115</v>
      </c>
      <c r="D37" t="s">
        <v>233</v>
      </c>
      <c r="I37">
        <v>0</v>
      </c>
      <c r="K37" s="55" t="s">
        <v>674</v>
      </c>
    </row>
    <row r="38" spans="1:11">
      <c r="A38" s="124" t="s">
        <v>88</v>
      </c>
      <c r="B38">
        <v>502</v>
      </c>
      <c r="C38" s="2">
        <v>13.8215</v>
      </c>
      <c r="D38" t="s">
        <v>233</v>
      </c>
      <c r="H38" s="55" t="s">
        <v>620</v>
      </c>
      <c r="I38" s="55">
        <v>0</v>
      </c>
    </row>
    <row r="39" spans="1:11">
      <c r="A39" s="123" t="s">
        <v>89</v>
      </c>
      <c r="B39" s="30">
        <v>542</v>
      </c>
      <c r="C39" s="2">
        <v>15.297745450000001</v>
      </c>
      <c r="D39" t="s">
        <v>233</v>
      </c>
      <c r="I39" s="55" t="s">
        <v>673</v>
      </c>
    </row>
    <row r="40" spans="1:11">
      <c r="A40" s="124" t="s">
        <v>90</v>
      </c>
      <c r="B40">
        <v>560</v>
      </c>
      <c r="C40" s="2">
        <v>15.986000000000001</v>
      </c>
      <c r="D40" t="s">
        <v>240</v>
      </c>
      <c r="E40" t="s">
        <v>236</v>
      </c>
      <c r="I40" s="55" t="s">
        <v>673</v>
      </c>
    </row>
    <row r="41" spans="1:11">
      <c r="A41" t="s">
        <v>91</v>
      </c>
      <c r="B41">
        <v>577</v>
      </c>
      <c r="C41" s="2">
        <v>16.84677778</v>
      </c>
      <c r="I41" s="55" t="s">
        <v>673</v>
      </c>
    </row>
    <row r="42" spans="1:11">
      <c r="A42" s="124" t="s">
        <v>92</v>
      </c>
      <c r="B42">
        <v>592</v>
      </c>
      <c r="C42" s="2">
        <v>17.287833330000002</v>
      </c>
      <c r="D42" t="s">
        <v>234</v>
      </c>
      <c r="H42" s="55" t="s">
        <v>621</v>
      </c>
      <c r="I42" s="55" t="s">
        <v>673</v>
      </c>
    </row>
    <row r="43" spans="1:11">
      <c r="A43" s="123" t="s">
        <v>93</v>
      </c>
      <c r="B43">
        <v>607</v>
      </c>
      <c r="C43" s="2">
        <v>17.630333330000003</v>
      </c>
      <c r="D43" t="s">
        <v>232</v>
      </c>
      <c r="E43" t="s">
        <v>237</v>
      </c>
      <c r="H43" s="55" t="s">
        <v>616</v>
      </c>
      <c r="I43" s="55" t="s">
        <v>673</v>
      </c>
      <c r="K43" s="55" t="s">
        <v>630</v>
      </c>
    </row>
    <row r="44" spans="1:11">
      <c r="A44" s="23" t="s">
        <v>94</v>
      </c>
      <c r="B44" s="23">
        <v>621</v>
      </c>
      <c r="C44" s="2">
        <v>18.46874227</v>
      </c>
      <c r="D44" t="s">
        <v>232</v>
      </c>
      <c r="E44" t="s">
        <v>237</v>
      </c>
      <c r="I44" s="55" t="s">
        <v>648</v>
      </c>
    </row>
    <row r="45" spans="1:11">
      <c r="A45" s="123" t="s">
        <v>95</v>
      </c>
      <c r="B45">
        <v>641</v>
      </c>
      <c r="C45" s="2">
        <v>19.789979380000002</v>
      </c>
      <c r="D45" t="s">
        <v>232</v>
      </c>
      <c r="F45">
        <v>0</v>
      </c>
      <c r="G45">
        <v>0</v>
      </c>
      <c r="H45" s="55" t="s">
        <v>646</v>
      </c>
      <c r="I45" s="55">
        <v>0</v>
      </c>
    </row>
    <row r="46" spans="1:11">
      <c r="A46" s="124" t="s">
        <v>96</v>
      </c>
      <c r="B46">
        <v>656</v>
      </c>
      <c r="C46" s="2">
        <v>20.78090722</v>
      </c>
      <c r="I46">
        <v>0</v>
      </c>
      <c r="K46" s="55" t="s">
        <v>671</v>
      </c>
    </row>
    <row r="47" spans="1:11">
      <c r="A47" s="123" t="s">
        <v>97</v>
      </c>
      <c r="B47">
        <v>676</v>
      </c>
      <c r="C47" s="2">
        <v>22.102144329999998</v>
      </c>
      <c r="I47">
        <v>0</v>
      </c>
      <c r="K47" s="55" t="s">
        <v>671</v>
      </c>
    </row>
    <row r="48" spans="1:11">
      <c r="A48" s="124" t="s">
        <v>98</v>
      </c>
      <c r="B48" s="30">
        <v>696</v>
      </c>
      <c r="C48" s="2">
        <v>23.42338144</v>
      </c>
      <c r="D48" t="s">
        <v>232</v>
      </c>
      <c r="I48">
        <v>0</v>
      </c>
      <c r="K48" s="55" t="s">
        <v>671</v>
      </c>
    </row>
    <row r="49" spans="1:12">
      <c r="A49" t="s">
        <v>99</v>
      </c>
      <c r="B49">
        <v>717</v>
      </c>
      <c r="C49" s="2">
        <v>24.65007692</v>
      </c>
      <c r="D49" t="s">
        <v>232</v>
      </c>
      <c r="I49">
        <v>0</v>
      </c>
      <c r="K49" s="55" t="s">
        <v>671</v>
      </c>
    </row>
    <row r="50" spans="1:12">
      <c r="A50" s="124" t="s">
        <v>100</v>
      </c>
      <c r="B50">
        <v>736</v>
      </c>
      <c r="C50" s="2">
        <v>25.62784615</v>
      </c>
      <c r="D50" t="s">
        <v>232</v>
      </c>
      <c r="I50">
        <v>0</v>
      </c>
      <c r="K50" s="55" t="s">
        <v>672</v>
      </c>
    </row>
    <row r="51" spans="1:12">
      <c r="A51" s="123" t="s">
        <v>101</v>
      </c>
      <c r="B51">
        <v>746</v>
      </c>
      <c r="C51" s="2">
        <v>26.142461539999999</v>
      </c>
      <c r="D51" t="s">
        <v>232</v>
      </c>
      <c r="I51">
        <v>0</v>
      </c>
      <c r="K51" s="55" t="s">
        <v>671</v>
      </c>
    </row>
    <row r="52" spans="1:12">
      <c r="A52" t="s">
        <v>102</v>
      </c>
      <c r="B52">
        <v>761</v>
      </c>
      <c r="C52" s="2">
        <v>26.91438462</v>
      </c>
      <c r="D52" t="s">
        <v>233</v>
      </c>
      <c r="I52">
        <v>0</v>
      </c>
      <c r="K52" s="55" t="s">
        <v>671</v>
      </c>
    </row>
    <row r="53" spans="1:12">
      <c r="A53" s="23" t="s">
        <v>103</v>
      </c>
      <c r="B53" s="23">
        <v>779</v>
      </c>
      <c r="C53" s="2">
        <v>27.840692309999998</v>
      </c>
      <c r="D53" t="s">
        <v>232</v>
      </c>
      <c r="I53">
        <v>0</v>
      </c>
      <c r="K53" s="55" t="s">
        <v>670</v>
      </c>
    </row>
    <row r="54" spans="1:12">
      <c r="A54" s="124" t="s">
        <v>104</v>
      </c>
      <c r="B54">
        <v>799</v>
      </c>
      <c r="C54" s="2">
        <v>28.519914889999999</v>
      </c>
      <c r="D54" t="s">
        <v>232</v>
      </c>
      <c r="E54" t="s">
        <v>238</v>
      </c>
      <c r="I54">
        <v>0</v>
      </c>
      <c r="K54" s="55" t="s">
        <v>657</v>
      </c>
      <c r="L54" s="55" t="s">
        <v>658</v>
      </c>
    </row>
    <row r="55" spans="1:12">
      <c r="A55" t="s">
        <v>105</v>
      </c>
      <c r="B55">
        <v>819</v>
      </c>
      <c r="C55" s="2">
        <v>29.082468089999999</v>
      </c>
      <c r="D55" t="s">
        <v>232</v>
      </c>
      <c r="E55" t="s">
        <v>237</v>
      </c>
      <c r="I55">
        <v>0</v>
      </c>
      <c r="K55" s="55" t="s">
        <v>657</v>
      </c>
      <c r="L55" s="55" t="s">
        <v>659</v>
      </c>
    </row>
    <row r="56" spans="1:12">
      <c r="A56" s="123" t="s">
        <v>106</v>
      </c>
      <c r="B56">
        <v>833</v>
      </c>
      <c r="C56" s="2">
        <v>29.47625532</v>
      </c>
      <c r="D56" t="s">
        <v>232</v>
      </c>
      <c r="E56" t="s">
        <v>237</v>
      </c>
      <c r="I56">
        <v>0</v>
      </c>
      <c r="K56" s="55" t="s">
        <v>657</v>
      </c>
    </row>
    <row r="57" spans="1:12">
      <c r="A57" t="s">
        <v>107</v>
      </c>
      <c r="B57">
        <v>853</v>
      </c>
      <c r="C57" s="2">
        <v>30.038808509999999</v>
      </c>
      <c r="D57" t="s">
        <v>234</v>
      </c>
      <c r="E57" t="s">
        <v>237</v>
      </c>
      <c r="I57">
        <v>0</v>
      </c>
      <c r="K57" s="55" t="s">
        <v>660</v>
      </c>
    </row>
    <row r="58" spans="1:12">
      <c r="A58" s="124" t="s">
        <v>108</v>
      </c>
      <c r="B58" s="23">
        <v>871</v>
      </c>
      <c r="C58" s="2">
        <v>30.54510638</v>
      </c>
      <c r="D58" t="s">
        <v>232</v>
      </c>
      <c r="E58" t="s">
        <v>237</v>
      </c>
      <c r="I58">
        <v>0</v>
      </c>
      <c r="K58" s="55" t="s">
        <v>661</v>
      </c>
    </row>
    <row r="59" spans="1:12">
      <c r="A59" s="123" t="s">
        <v>109</v>
      </c>
      <c r="B59">
        <v>888</v>
      </c>
      <c r="C59" s="2">
        <v>30.86361905</v>
      </c>
      <c r="D59" t="s">
        <v>232</v>
      </c>
      <c r="E59" t="s">
        <v>237</v>
      </c>
      <c r="I59">
        <v>0</v>
      </c>
      <c r="K59" s="55" t="s">
        <v>662</v>
      </c>
    </row>
    <row r="60" spans="1:12">
      <c r="A60" s="9" t="s">
        <v>110</v>
      </c>
      <c r="B60">
        <v>901</v>
      </c>
      <c r="C60" s="2">
        <v>31.021723810000001</v>
      </c>
      <c r="D60" t="s">
        <v>234</v>
      </c>
      <c r="E60" t="s">
        <v>237</v>
      </c>
      <c r="I60">
        <v>0</v>
      </c>
      <c r="K60" s="55" t="s">
        <v>665</v>
      </c>
      <c r="L60" s="55" t="s">
        <v>666</v>
      </c>
    </row>
    <row r="61" spans="1:12">
      <c r="A61" t="s">
        <v>111</v>
      </c>
      <c r="B61">
        <v>914</v>
      </c>
      <c r="C61" s="2">
        <v>31.179828570000002</v>
      </c>
      <c r="D61" t="s">
        <v>234</v>
      </c>
      <c r="E61" t="s">
        <v>237</v>
      </c>
      <c r="I61">
        <v>0</v>
      </c>
      <c r="K61" s="55" t="s">
        <v>665</v>
      </c>
    </row>
    <row r="62" spans="1:12">
      <c r="A62" s="124" t="s">
        <v>112</v>
      </c>
      <c r="B62">
        <v>931</v>
      </c>
      <c r="C62" s="2">
        <v>31.386580949999999</v>
      </c>
      <c r="D62" t="s">
        <v>234</v>
      </c>
      <c r="E62" t="s">
        <v>237</v>
      </c>
      <c r="I62">
        <v>0</v>
      </c>
      <c r="K62" s="55" t="s">
        <v>665</v>
      </c>
    </row>
    <row r="63" spans="1:12">
      <c r="A63" s="123" t="s">
        <v>113</v>
      </c>
      <c r="B63">
        <v>940</v>
      </c>
      <c r="C63" s="2">
        <v>31.4960381</v>
      </c>
      <c r="D63" t="s">
        <v>234</v>
      </c>
      <c r="E63" t="s">
        <v>237</v>
      </c>
      <c r="I63">
        <v>0</v>
      </c>
      <c r="K63" s="55" t="s">
        <v>657</v>
      </c>
      <c r="L63" s="55" t="s">
        <v>664</v>
      </c>
    </row>
    <row r="64" spans="1:12">
      <c r="A64" t="s">
        <v>114</v>
      </c>
      <c r="B64">
        <v>956</v>
      </c>
      <c r="C64" s="2">
        <v>31.690628570000001</v>
      </c>
      <c r="D64" t="s">
        <v>234</v>
      </c>
      <c r="E64" t="s">
        <v>237</v>
      </c>
      <c r="I64">
        <v>0</v>
      </c>
      <c r="K64" s="55" t="s">
        <v>660</v>
      </c>
    </row>
    <row r="65" spans="1:13">
      <c r="A65" t="s">
        <v>115</v>
      </c>
      <c r="B65">
        <v>966</v>
      </c>
      <c r="C65" s="2">
        <v>31.812247619999997</v>
      </c>
      <c r="I65">
        <v>0</v>
      </c>
      <c r="K65" s="55" t="s">
        <v>660</v>
      </c>
    </row>
    <row r="66" spans="1:13">
      <c r="A66" s="124" t="s">
        <v>116</v>
      </c>
      <c r="B66">
        <v>983</v>
      </c>
      <c r="C66" s="2">
        <v>32.018999999999998</v>
      </c>
      <c r="I66">
        <v>0</v>
      </c>
      <c r="K66" s="55" t="s">
        <v>668</v>
      </c>
      <c r="M66" s="55" t="s">
        <v>667</v>
      </c>
    </row>
    <row r="67" spans="1:13">
      <c r="A67" t="s">
        <v>117</v>
      </c>
      <c r="B67">
        <v>1001</v>
      </c>
      <c r="C67" s="2">
        <v>32.540999999999997</v>
      </c>
      <c r="I67">
        <v>0</v>
      </c>
      <c r="K67" s="55" t="s">
        <v>669</v>
      </c>
    </row>
    <row r="68" spans="1:13">
      <c r="A68" s="123" t="s">
        <v>118</v>
      </c>
      <c r="B68" s="30">
        <v>1021</v>
      </c>
      <c r="C68" s="2">
        <v>33.121000000000002</v>
      </c>
      <c r="I68">
        <v>0</v>
      </c>
      <c r="K68" s="55" t="s">
        <v>670</v>
      </c>
    </row>
    <row r="69" spans="1:13">
      <c r="A69" t="s">
        <v>119</v>
      </c>
      <c r="B69">
        <v>1041</v>
      </c>
      <c r="C69" s="2">
        <v>33.701000000000001</v>
      </c>
      <c r="E69" s="55" t="s">
        <v>622</v>
      </c>
      <c r="H69" s="55" t="s">
        <v>619</v>
      </c>
      <c r="I69" s="55">
        <v>0</v>
      </c>
      <c r="K69" s="55" t="s">
        <v>657</v>
      </c>
      <c r="M69" s="55" t="s">
        <v>667</v>
      </c>
    </row>
    <row r="70" spans="1:13">
      <c r="A70" s="5"/>
      <c r="F70" s="55" t="s">
        <v>43</v>
      </c>
      <c r="G70" s="55" t="s">
        <v>44</v>
      </c>
      <c r="H70" s="55" t="s">
        <v>615</v>
      </c>
      <c r="I70" s="55"/>
    </row>
    <row r="71" spans="1:13">
      <c r="A71" s="5" t="s">
        <v>120</v>
      </c>
    </row>
    <row r="72" spans="1:13">
      <c r="A72" s="5" t="s">
        <v>121</v>
      </c>
    </row>
    <row r="73" spans="1:13">
      <c r="A73" s="5" t="s">
        <v>122</v>
      </c>
    </row>
    <row r="74" spans="1:13">
      <c r="A74" s="5"/>
    </row>
    <row r="75" spans="1:13">
      <c r="A75" s="5" t="s">
        <v>223</v>
      </c>
    </row>
    <row r="76" spans="1:13">
      <c r="A76" s="5" t="s">
        <v>224</v>
      </c>
      <c r="B76">
        <v>201</v>
      </c>
      <c r="C76">
        <v>11.954000000000001</v>
      </c>
    </row>
    <row r="77" spans="1:13">
      <c r="A77" s="5" t="s">
        <v>225</v>
      </c>
      <c r="B77">
        <v>76</v>
      </c>
      <c r="C77">
        <v>9.8989999999999991</v>
      </c>
    </row>
    <row r="78" spans="1:13">
      <c r="A78" s="5" t="s">
        <v>226</v>
      </c>
      <c r="B78">
        <v>34</v>
      </c>
      <c r="C78">
        <v>9.2289999999999992</v>
      </c>
    </row>
    <row r="79" spans="1:13">
      <c r="A79" s="5" t="s">
        <v>227</v>
      </c>
      <c r="B79">
        <v>11</v>
      </c>
      <c r="C79">
        <v>8.8620000000000001</v>
      </c>
    </row>
    <row r="80" spans="1:13">
      <c r="A80" s="5"/>
    </row>
    <row r="81" spans="1:1">
      <c r="A81" s="5"/>
    </row>
    <row r="82" spans="1:1">
      <c r="A82" s="5"/>
    </row>
    <row r="83" spans="1:1">
      <c r="A83" s="5"/>
    </row>
    <row r="84" spans="1:1">
      <c r="A84" s="5"/>
    </row>
    <row r="121" spans="1:3">
      <c r="A121" s="2"/>
    </row>
    <row r="122" spans="1:3">
      <c r="A122" s="2"/>
    </row>
    <row r="127" spans="1:3">
      <c r="B127" s="5"/>
      <c r="C127" s="5"/>
    </row>
    <row r="128" spans="1:3">
      <c r="B128" s="5"/>
      <c r="C128" s="5"/>
    </row>
    <row r="129" spans="2:3">
      <c r="B129" s="5"/>
      <c r="C129" s="5"/>
    </row>
    <row r="130" spans="2:3">
      <c r="B130" s="5"/>
      <c r="C130" s="5"/>
    </row>
    <row r="131" spans="2:3">
      <c r="B131" s="5"/>
      <c r="C131" s="5"/>
    </row>
    <row r="172" spans="1:1">
      <c r="A172" s="9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BE564-6BD3-A747-A672-ABD4326BA86E}">
  <dimension ref="A4:P45"/>
  <sheetViews>
    <sheetView workbookViewId="0">
      <selection activeCell="F41" sqref="F41"/>
    </sheetView>
  </sheetViews>
  <sheetFormatPr defaultColWidth="11.42578125" defaultRowHeight="12.75"/>
  <sheetData>
    <row r="4" spans="1:16" ht="15">
      <c r="C4" s="59" t="s">
        <v>525</v>
      </c>
      <c r="I4" s="59" t="s">
        <v>526</v>
      </c>
      <c r="N4" s="59" t="s">
        <v>527</v>
      </c>
    </row>
    <row r="5" spans="1:16" ht="15">
      <c r="D5" s="60" t="s">
        <v>528</v>
      </c>
      <c r="E5" s="60" t="s">
        <v>529</v>
      </c>
      <c r="F5" s="59"/>
      <c r="G5" s="59"/>
      <c r="H5" s="59"/>
      <c r="J5" s="59"/>
      <c r="K5" s="59"/>
      <c r="L5" s="59"/>
      <c r="M5" s="59"/>
      <c r="N5" s="61" t="s">
        <v>530</v>
      </c>
      <c r="O5" s="62"/>
      <c r="P5" s="61" t="s">
        <v>531</v>
      </c>
    </row>
    <row r="6" spans="1:16" ht="15">
      <c r="A6" s="63" t="s">
        <v>6</v>
      </c>
      <c r="B6" s="63" t="s">
        <v>441</v>
      </c>
      <c r="C6" s="63" t="s">
        <v>532</v>
      </c>
      <c r="D6" s="64" t="s">
        <v>533</v>
      </c>
      <c r="E6" s="64" t="s">
        <v>533</v>
      </c>
      <c r="F6" s="64" t="s">
        <v>534</v>
      </c>
      <c r="G6" s="64" t="s">
        <v>535</v>
      </c>
      <c r="H6" s="64"/>
      <c r="I6" s="63" t="s">
        <v>532</v>
      </c>
      <c r="J6" s="64" t="s">
        <v>533</v>
      </c>
      <c r="K6" s="64" t="s">
        <v>534</v>
      </c>
      <c r="L6" s="64" t="s">
        <v>535</v>
      </c>
      <c r="M6" s="63"/>
      <c r="N6" s="63" t="s">
        <v>535</v>
      </c>
      <c r="O6" s="63"/>
      <c r="P6" s="63" t="s">
        <v>535</v>
      </c>
    </row>
    <row r="7" spans="1:16">
      <c r="A7" s="65">
        <v>3</v>
      </c>
      <c r="B7" s="65">
        <v>8.74</v>
      </c>
      <c r="C7" s="66">
        <v>12.57</v>
      </c>
      <c r="D7" s="67">
        <v>0.19554348289966583</v>
      </c>
      <c r="E7" s="68">
        <v>0.246988490223885</v>
      </c>
      <c r="F7" s="69">
        <v>2.5969851016998291</v>
      </c>
      <c r="G7" s="66">
        <f t="shared" ref="G7:G44" si="0">F7/D7</f>
        <v>13.280857347888976</v>
      </c>
      <c r="H7" s="70"/>
      <c r="I7" s="66">
        <v>13.876999999999999</v>
      </c>
      <c r="J7" s="71">
        <v>0.25266367942094803</v>
      </c>
      <c r="K7" s="69">
        <v>2.5167924165725708</v>
      </c>
      <c r="L7" s="65">
        <f>K7/J7</f>
        <v>9.9610376225840191</v>
      </c>
      <c r="M7" s="72"/>
      <c r="N7" s="72">
        <f t="shared" ref="N7:N44" si="1">K7/D7</f>
        <v>12.870755799434887</v>
      </c>
      <c r="O7" s="72"/>
      <c r="P7">
        <f t="shared" ref="P7:P44" si="2">K7/E7</f>
        <v>10.189917814758093</v>
      </c>
    </row>
    <row r="8" spans="1:16">
      <c r="A8" s="73">
        <v>39</v>
      </c>
      <c r="B8" s="74">
        <v>9.3093157889999993</v>
      </c>
      <c r="C8" s="75">
        <v>13.574999999999999</v>
      </c>
      <c r="D8" s="76">
        <v>5.6053526699542999E-2</v>
      </c>
      <c r="E8" s="76">
        <v>5.6053526699542999E-2</v>
      </c>
      <c r="F8" s="76">
        <v>2.3103179931640625</v>
      </c>
      <c r="G8" s="70">
        <f t="shared" si="0"/>
        <v>41.216282528444339</v>
      </c>
      <c r="H8" s="70"/>
      <c r="I8" s="75">
        <v>11.000999999999999</v>
      </c>
      <c r="J8" s="76">
        <v>0.19364412128925323</v>
      </c>
      <c r="K8" s="76">
        <v>2.334308385848999</v>
      </c>
      <c r="L8" s="72">
        <f t="shared" ref="L8:L44" si="3">K8/J8</f>
        <v>12.054630785109961</v>
      </c>
      <c r="M8" s="72"/>
      <c r="N8" s="77">
        <f t="shared" si="1"/>
        <v>41.644273309711849</v>
      </c>
      <c r="O8" s="72"/>
      <c r="P8" s="78">
        <f t="shared" si="2"/>
        <v>41.644273309711849</v>
      </c>
    </row>
    <row r="9" spans="1:16">
      <c r="A9" s="65">
        <v>66</v>
      </c>
      <c r="B9" s="65">
        <v>9.74</v>
      </c>
      <c r="C9" s="66">
        <v>11.206499999999998</v>
      </c>
      <c r="D9" s="67">
        <v>0.12330937385559082</v>
      </c>
      <c r="E9" s="68">
        <v>0.19852285087108612</v>
      </c>
      <c r="F9" s="69">
        <v>2.3097045421600342</v>
      </c>
      <c r="G9" s="66">
        <f t="shared" si="0"/>
        <v>18.730972917476318</v>
      </c>
      <c r="H9" s="70"/>
      <c r="I9" s="66">
        <v>12.129000000000001</v>
      </c>
      <c r="J9" s="71">
        <v>0.19649831205606461</v>
      </c>
      <c r="K9" s="69">
        <v>2.2602939605712891</v>
      </c>
      <c r="L9" s="65">
        <f t="shared" si="3"/>
        <v>11.502867057333223</v>
      </c>
      <c r="M9" s="79"/>
      <c r="N9" s="72">
        <f t="shared" si="1"/>
        <v>18.33026873705764</v>
      </c>
      <c r="O9" s="79"/>
      <c r="P9">
        <f t="shared" si="2"/>
        <v>11.385560657896486</v>
      </c>
    </row>
    <row r="10" spans="1:16">
      <c r="A10" s="73">
        <v>74</v>
      </c>
      <c r="B10" s="74">
        <v>9.8674736840000001</v>
      </c>
      <c r="C10" s="75">
        <v>12.226000000000001</v>
      </c>
      <c r="D10" s="76">
        <v>3.7334416061639786E-2</v>
      </c>
      <c r="E10" s="76">
        <v>3.7334416061639786E-2</v>
      </c>
      <c r="F10" s="76">
        <v>2.3185162544250488</v>
      </c>
      <c r="G10" s="70">
        <f t="shared" si="0"/>
        <v>62.10131291720586</v>
      </c>
      <c r="H10" s="70"/>
      <c r="I10" s="75">
        <v>10.382999999999999</v>
      </c>
      <c r="J10" s="76">
        <v>0.196999192237854</v>
      </c>
      <c r="K10" s="76">
        <v>2.5151910781860352</v>
      </c>
      <c r="L10" s="72">
        <f t="shared" si="3"/>
        <v>12.767519752818222</v>
      </c>
      <c r="M10" s="72"/>
      <c r="N10" s="77">
        <f t="shared" si="1"/>
        <v>67.369235775200281</v>
      </c>
      <c r="O10" s="72"/>
      <c r="P10" s="78">
        <f t="shared" si="2"/>
        <v>67.369235775200281</v>
      </c>
    </row>
    <row r="11" spans="1:16">
      <c r="A11" s="73">
        <v>94</v>
      </c>
      <c r="B11" s="74">
        <v>10.186421050000002</v>
      </c>
      <c r="C11" s="75">
        <v>11.236000000000001</v>
      </c>
      <c r="D11" s="76">
        <v>3.0158977955579758E-2</v>
      </c>
      <c r="E11" s="76">
        <v>3.0158977955579758E-2</v>
      </c>
      <c r="F11" s="76">
        <v>2.3633804321289063</v>
      </c>
      <c r="G11" s="70">
        <f t="shared" si="0"/>
        <v>78.364075719338288</v>
      </c>
      <c r="H11" s="70"/>
      <c r="I11" s="75">
        <v>10.765000000000001</v>
      </c>
      <c r="J11" s="76">
        <v>0.18278257548809052</v>
      </c>
      <c r="K11" s="76">
        <v>2.3233199119567871</v>
      </c>
      <c r="L11" s="72">
        <f t="shared" si="3"/>
        <v>12.71083912540759</v>
      </c>
      <c r="M11" s="72"/>
      <c r="N11" s="77">
        <f t="shared" si="1"/>
        <v>77.03576412233646</v>
      </c>
      <c r="O11" s="72"/>
      <c r="P11" s="78">
        <f t="shared" si="2"/>
        <v>77.03576412233646</v>
      </c>
    </row>
    <row r="12" spans="1:16">
      <c r="A12" s="80">
        <v>116</v>
      </c>
      <c r="B12" s="80">
        <v>10.54</v>
      </c>
      <c r="C12" s="81">
        <v>11.9495</v>
      </c>
      <c r="D12" s="82">
        <v>9.1482654213905334E-2</v>
      </c>
      <c r="E12" s="83">
        <v>0.19713948667049408</v>
      </c>
      <c r="F12" s="84">
        <v>2.24280846118927</v>
      </c>
      <c r="G12" s="66">
        <f t="shared" si="0"/>
        <v>24.516215455939012</v>
      </c>
      <c r="H12" s="70"/>
      <c r="I12" s="81">
        <v>13.077500000000001</v>
      </c>
      <c r="J12" s="85">
        <v>0.18977921456098557</v>
      </c>
      <c r="K12" s="84">
        <v>2.2912696599960327</v>
      </c>
      <c r="L12" s="65">
        <f t="shared" si="3"/>
        <v>12.073343570824681</v>
      </c>
      <c r="M12" s="79"/>
      <c r="N12" s="72">
        <f t="shared" si="1"/>
        <v>25.045946465857572</v>
      </c>
      <c r="O12" s="79"/>
      <c r="P12">
        <f t="shared" si="2"/>
        <v>11.622581039919933</v>
      </c>
    </row>
    <row r="13" spans="1:16">
      <c r="A13" s="86">
        <v>116</v>
      </c>
      <c r="B13" s="87">
        <v>10.53726316</v>
      </c>
      <c r="C13" s="88">
        <v>15.16</v>
      </c>
      <c r="D13" s="89">
        <v>5.3725257515907288E-2</v>
      </c>
      <c r="E13" s="89">
        <v>5.3725257515907288E-2</v>
      </c>
      <c r="F13" s="89">
        <v>2.2619893550872803</v>
      </c>
      <c r="G13" s="70">
        <f t="shared" si="0"/>
        <v>42.102903916608263</v>
      </c>
      <c r="H13" s="70"/>
      <c r="I13" s="88">
        <v>11.686999999999999</v>
      </c>
      <c r="J13" s="89">
        <v>0.17406250536441803</v>
      </c>
      <c r="K13" s="89">
        <v>2.3926694393157959</v>
      </c>
      <c r="L13" s="72">
        <f t="shared" si="3"/>
        <v>13.746035852503057</v>
      </c>
      <c r="M13" s="79"/>
      <c r="N13" s="77">
        <f t="shared" si="1"/>
        <v>44.535280982270962</v>
      </c>
      <c r="O13" s="79"/>
      <c r="P13" s="78">
        <f t="shared" si="2"/>
        <v>44.535280982270962</v>
      </c>
    </row>
    <row r="14" spans="1:16">
      <c r="A14" s="65">
        <v>193</v>
      </c>
      <c r="B14" s="65">
        <v>11.81</v>
      </c>
      <c r="C14" s="66">
        <v>11.01</v>
      </c>
      <c r="D14" s="67">
        <v>8.2323722541332245E-2</v>
      </c>
      <c r="E14" s="68">
        <v>0.17543236911296844</v>
      </c>
      <c r="F14" s="69">
        <v>2.1085802316665649</v>
      </c>
      <c r="G14" s="66">
        <f t="shared" si="0"/>
        <v>25.613276059132417</v>
      </c>
      <c r="H14" s="70"/>
      <c r="I14" s="66">
        <v>11.250499999999999</v>
      </c>
      <c r="J14" s="71">
        <v>0.18045524507761002</v>
      </c>
      <c r="K14" s="69">
        <v>2.1399059295654297</v>
      </c>
      <c r="L14" s="65">
        <f t="shared" si="3"/>
        <v>11.85837479340155</v>
      </c>
      <c r="M14" s="72"/>
      <c r="N14" s="72">
        <f t="shared" si="1"/>
        <v>25.993794540705419</v>
      </c>
      <c r="O14" s="72"/>
      <c r="P14">
        <f t="shared" si="2"/>
        <v>12.197896775750957</v>
      </c>
    </row>
    <row r="15" spans="1:16">
      <c r="A15" s="73">
        <v>203</v>
      </c>
      <c r="B15" s="74">
        <v>11.99153398</v>
      </c>
      <c r="C15" s="75">
        <v>13.265000000000001</v>
      </c>
      <c r="D15" s="76">
        <v>2.4177979677915573E-2</v>
      </c>
      <c r="E15" s="76">
        <v>2.4177979677915573E-2</v>
      </c>
      <c r="F15" s="76">
        <v>2.0565593242645264</v>
      </c>
      <c r="G15" s="70">
        <f t="shared" si="0"/>
        <v>85.059188222538282</v>
      </c>
      <c r="H15" s="70"/>
      <c r="I15" s="75">
        <v>13.662000000000001</v>
      </c>
      <c r="J15" s="76">
        <v>0.17201875150203705</v>
      </c>
      <c r="K15" s="76">
        <v>2.2683215141296387</v>
      </c>
      <c r="L15" s="72">
        <f t="shared" si="3"/>
        <v>13.186478185215623</v>
      </c>
      <c r="M15" s="72"/>
      <c r="N15" s="77">
        <f t="shared" si="1"/>
        <v>93.817661539419191</v>
      </c>
      <c r="O15" s="72"/>
      <c r="P15" s="78">
        <f t="shared" si="2"/>
        <v>93.817661539419191</v>
      </c>
    </row>
    <row r="16" spans="1:16">
      <c r="A16" s="65">
        <v>209</v>
      </c>
      <c r="B16" s="65">
        <v>12.1</v>
      </c>
      <c r="C16" s="66">
        <v>11.021000000000001</v>
      </c>
      <c r="D16" s="67">
        <v>7.9880237579345703E-2</v>
      </c>
      <c r="E16" s="68">
        <v>0.17360597848892212</v>
      </c>
      <c r="F16" s="69">
        <v>1.9577130675315857</v>
      </c>
      <c r="G16" s="66">
        <f t="shared" si="0"/>
        <v>24.508102715480447</v>
      </c>
      <c r="H16" s="70"/>
      <c r="I16" s="66">
        <v>11.1645</v>
      </c>
      <c r="J16" s="71">
        <v>0.17961825430393219</v>
      </c>
      <c r="K16" s="69">
        <v>2.1006883382797241</v>
      </c>
      <c r="L16" s="65">
        <f t="shared" si="3"/>
        <v>11.69529425848415</v>
      </c>
      <c r="M16" s="79"/>
      <c r="N16" s="72">
        <f t="shared" si="1"/>
        <v>26.297973089940964</v>
      </c>
      <c r="O16" s="79"/>
      <c r="P16">
        <f t="shared" si="2"/>
        <v>12.100322561263464</v>
      </c>
    </row>
    <row r="17" spans="1:16">
      <c r="A17" s="73">
        <v>255</v>
      </c>
      <c r="B17" s="74">
        <v>12.582507769999999</v>
      </c>
      <c r="C17" s="75">
        <v>14.776</v>
      </c>
      <c r="D17" s="76">
        <v>6.3755244016647339E-2</v>
      </c>
      <c r="E17" s="76">
        <v>6.3755244016647339E-2</v>
      </c>
      <c r="F17" s="76">
        <v>2.2415783405303955</v>
      </c>
      <c r="G17" s="70">
        <f t="shared" si="0"/>
        <v>35.159121027677187</v>
      </c>
      <c r="H17" s="70"/>
      <c r="I17" s="75">
        <v>15.763999999999999</v>
      </c>
      <c r="J17" s="76">
        <v>0.1918511688709259</v>
      </c>
      <c r="K17" s="76">
        <v>2.3957898616790771</v>
      </c>
      <c r="L17" s="72">
        <f t="shared" si="3"/>
        <v>12.487752228869256</v>
      </c>
      <c r="M17" s="72"/>
      <c r="N17" s="77">
        <f t="shared" si="1"/>
        <v>37.577926312281143</v>
      </c>
      <c r="O17" s="72"/>
      <c r="P17">
        <f t="shared" si="2"/>
        <v>37.577926312281143</v>
      </c>
    </row>
    <row r="18" spans="1:16">
      <c r="A18" s="73">
        <v>287</v>
      </c>
      <c r="B18" s="74">
        <v>12.704870469999999</v>
      </c>
      <c r="C18" s="75">
        <v>11.772</v>
      </c>
      <c r="D18" s="76">
        <v>3.5274285823106766E-2</v>
      </c>
      <c r="E18" s="76">
        <v>3.5274285823106766E-2</v>
      </c>
      <c r="F18" s="76">
        <v>2.3422904014587402</v>
      </c>
      <c r="G18" s="70">
        <f t="shared" si="0"/>
        <v>66.402206219137682</v>
      </c>
      <c r="H18" s="70"/>
      <c r="I18" s="75">
        <v>12.231</v>
      </c>
      <c r="J18" s="76">
        <v>0.19035020470619202</v>
      </c>
      <c r="K18" s="76">
        <v>2.3963217735290527</v>
      </c>
      <c r="L18" s="72">
        <f t="shared" si="3"/>
        <v>12.589016004620568</v>
      </c>
      <c r="M18" s="72"/>
      <c r="N18" s="77">
        <f t="shared" si="1"/>
        <v>67.933955787116702</v>
      </c>
      <c r="O18" s="72"/>
      <c r="P18" s="78">
        <f t="shared" si="2"/>
        <v>67.933955787116702</v>
      </c>
    </row>
    <row r="19" spans="1:16">
      <c r="A19" s="65">
        <v>292</v>
      </c>
      <c r="B19" s="65">
        <v>12.72</v>
      </c>
      <c r="C19" s="66">
        <v>11.792</v>
      </c>
      <c r="D19" s="67">
        <v>8.8473007082939148E-2</v>
      </c>
      <c r="E19" s="68">
        <v>0.18699686229228973</v>
      </c>
      <c r="F19" s="69">
        <v>2.2523088455200195</v>
      </c>
      <c r="G19" s="66">
        <f t="shared" si="0"/>
        <v>25.457582146027764</v>
      </c>
      <c r="H19" s="70"/>
      <c r="I19" s="66">
        <v>10.7995</v>
      </c>
      <c r="J19" s="71">
        <v>0.1908721923828125</v>
      </c>
      <c r="K19" s="69">
        <v>2.1938192844390869</v>
      </c>
      <c r="L19" s="65">
        <f t="shared" si="3"/>
        <v>11.493655817811176</v>
      </c>
      <c r="M19" s="72"/>
      <c r="N19" s="72">
        <f t="shared" si="1"/>
        <v>24.796481511954124</v>
      </c>
      <c r="O19" s="72"/>
      <c r="P19">
        <f t="shared" si="2"/>
        <v>11.731850778383583</v>
      </c>
    </row>
    <row r="20" spans="1:16">
      <c r="A20" s="65">
        <v>317</v>
      </c>
      <c r="B20" s="65">
        <v>12.82</v>
      </c>
      <c r="C20" s="66">
        <v>11.717499999999999</v>
      </c>
      <c r="D20" s="67">
        <v>0.15541116893291473</v>
      </c>
      <c r="E20" s="68">
        <v>0.22694450616836548</v>
      </c>
      <c r="F20" s="69">
        <v>2.8978995084762573</v>
      </c>
      <c r="G20" s="66">
        <f t="shared" si="0"/>
        <v>18.646661809275585</v>
      </c>
      <c r="H20" s="70"/>
      <c r="I20" s="66">
        <v>14.152999999999999</v>
      </c>
      <c r="J20" s="71">
        <v>0.24223000556230545</v>
      </c>
      <c r="K20" s="69">
        <v>2.7232403755187988</v>
      </c>
      <c r="L20" s="65">
        <f t="shared" si="3"/>
        <v>11.242374243426823</v>
      </c>
      <c r="M20" s="79"/>
      <c r="N20" s="72">
        <f t="shared" si="1"/>
        <v>17.522809938417755</v>
      </c>
      <c r="O20" s="79"/>
      <c r="P20">
        <f t="shared" si="2"/>
        <v>11.999587130337858</v>
      </c>
    </row>
    <row r="21" spans="1:16">
      <c r="A21" s="65">
        <v>390</v>
      </c>
      <c r="B21" s="65">
        <v>13.18</v>
      </c>
      <c r="C21" s="66">
        <v>11.388999999999999</v>
      </c>
      <c r="D21" s="67">
        <v>0.11189610511064529</v>
      </c>
      <c r="E21" s="68">
        <v>0.21195730566978455</v>
      </c>
      <c r="F21" s="69">
        <v>2.7648470401763916</v>
      </c>
      <c r="G21" s="66">
        <f t="shared" si="0"/>
        <v>24.709055220844828</v>
      </c>
      <c r="H21" s="70"/>
      <c r="I21" s="66">
        <v>11.5305</v>
      </c>
      <c r="J21" s="71">
        <v>0.21796416491270065</v>
      </c>
      <c r="K21" s="69">
        <v>2.5543464422225952</v>
      </c>
      <c r="L21" s="65">
        <f t="shared" si="3"/>
        <v>11.719111915693418</v>
      </c>
      <c r="M21" s="72"/>
      <c r="N21" s="72">
        <f t="shared" si="1"/>
        <v>22.827840519531954</v>
      </c>
      <c r="O21" s="72"/>
      <c r="P21">
        <f t="shared" si="2"/>
        <v>12.051230950265513</v>
      </c>
    </row>
    <row r="22" spans="1:16">
      <c r="A22" s="65">
        <v>447</v>
      </c>
      <c r="B22" s="65">
        <v>13.3</v>
      </c>
      <c r="C22" s="66">
        <v>11.148</v>
      </c>
      <c r="D22" s="67">
        <v>5.7481981813907623E-2</v>
      </c>
      <c r="E22" s="68">
        <v>0.17996519804000854</v>
      </c>
      <c r="F22" s="69">
        <v>2.2103627920150757</v>
      </c>
      <c r="G22" s="66">
        <f t="shared" si="0"/>
        <v>38.453141702227875</v>
      </c>
      <c r="H22" s="70"/>
      <c r="I22" s="66">
        <v>12.34</v>
      </c>
      <c r="J22" s="71">
        <v>0.19245942682027817</v>
      </c>
      <c r="K22" s="69">
        <v>2.3602950572967529</v>
      </c>
      <c r="L22" s="65">
        <f t="shared" si="3"/>
        <v>12.263857875357989</v>
      </c>
      <c r="M22" s="72"/>
      <c r="N22" s="77">
        <f t="shared" si="1"/>
        <v>41.061476706526591</v>
      </c>
      <c r="O22" s="72"/>
      <c r="P22">
        <f t="shared" si="2"/>
        <v>13.11528608310163</v>
      </c>
    </row>
    <row r="23" spans="1:16">
      <c r="A23" s="65">
        <v>489</v>
      </c>
      <c r="B23" s="65">
        <v>13.56</v>
      </c>
      <c r="C23" s="66">
        <v>15.091999999999999</v>
      </c>
      <c r="D23" s="67">
        <v>9.9276319146156311E-2</v>
      </c>
      <c r="E23" s="68">
        <v>0.17293193936347961</v>
      </c>
      <c r="F23" s="69">
        <v>2.1916919946670532</v>
      </c>
      <c r="G23" s="66">
        <f t="shared" si="0"/>
        <v>22.076684686913165</v>
      </c>
      <c r="H23" s="70"/>
      <c r="I23" s="66">
        <v>12.904</v>
      </c>
      <c r="J23" s="71">
        <v>0.18685304373502731</v>
      </c>
      <c r="K23" s="69">
        <v>2.3271173238754272</v>
      </c>
      <c r="L23" s="65">
        <f t="shared" si="3"/>
        <v>12.454265006116076</v>
      </c>
      <c r="M23" s="72"/>
      <c r="N23" s="72">
        <f t="shared" si="1"/>
        <v>23.440809891928055</v>
      </c>
      <c r="O23" s="72"/>
      <c r="P23">
        <f t="shared" si="2"/>
        <v>13.456839334832997</v>
      </c>
    </row>
    <row r="24" spans="1:16">
      <c r="A24" s="80">
        <v>542</v>
      </c>
      <c r="B24" s="80">
        <v>15.3</v>
      </c>
      <c r="C24" s="81">
        <v>12.493500000000001</v>
      </c>
      <c r="D24" s="82">
        <v>8.9807510375976563E-2</v>
      </c>
      <c r="E24" s="83">
        <v>0.18066486716270447</v>
      </c>
      <c r="F24" s="84">
        <v>2.3194447755813599</v>
      </c>
      <c r="G24" s="66">
        <f t="shared" si="0"/>
        <v>25.826846394817881</v>
      </c>
      <c r="H24" s="70"/>
      <c r="I24" s="81">
        <v>11.7745</v>
      </c>
      <c r="J24" s="85">
        <v>0.18582101166248322</v>
      </c>
      <c r="K24" s="84">
        <v>2.3454129695892334</v>
      </c>
      <c r="L24" s="65">
        <f t="shared" si="3"/>
        <v>12.6218932326627</v>
      </c>
      <c r="M24" s="79"/>
      <c r="N24" s="72">
        <f t="shared" si="1"/>
        <v>26.116000318572794</v>
      </c>
      <c r="O24" s="79"/>
      <c r="P24">
        <f t="shared" si="2"/>
        <v>12.982119913092923</v>
      </c>
    </row>
    <row r="25" spans="1:16">
      <c r="A25" s="86">
        <v>542</v>
      </c>
      <c r="B25" s="87">
        <v>15.297745450000001</v>
      </c>
      <c r="C25" s="88">
        <v>13.798</v>
      </c>
      <c r="D25" s="89">
        <v>5.463685467839241E-2</v>
      </c>
      <c r="E25" s="89">
        <v>5.463685467839241E-2</v>
      </c>
      <c r="F25" s="89">
        <v>2.4785010814666748</v>
      </c>
      <c r="G25" s="70">
        <f t="shared" si="0"/>
        <v>45.36317282639741</v>
      </c>
      <c r="H25" s="70"/>
      <c r="I25" s="88">
        <v>11.061999999999999</v>
      </c>
      <c r="J25" s="89">
        <v>0.1816047877073288</v>
      </c>
      <c r="K25" s="89">
        <v>2.424250602722168</v>
      </c>
      <c r="L25" s="72">
        <f t="shared" si="3"/>
        <v>13.349045657480403</v>
      </c>
      <c r="M25" s="79"/>
      <c r="N25" s="77">
        <f t="shared" si="1"/>
        <v>44.370244535341122</v>
      </c>
      <c r="O25" s="79"/>
      <c r="P25" s="78">
        <f t="shared" si="2"/>
        <v>44.370244535341122</v>
      </c>
    </row>
    <row r="26" spans="1:16">
      <c r="A26" s="73">
        <v>572</v>
      </c>
      <c r="B26" s="74">
        <v>16.486222219999998</v>
      </c>
      <c r="C26" s="75">
        <v>10.787000000000001</v>
      </c>
      <c r="D26" s="76">
        <v>5.6345671415328979E-2</v>
      </c>
      <c r="E26" s="76">
        <v>5.6345671415328979E-2</v>
      </c>
      <c r="F26" s="76">
        <v>3.0481564998626709</v>
      </c>
      <c r="G26" s="70">
        <f t="shared" si="0"/>
        <v>54.097438601706187</v>
      </c>
      <c r="H26" s="70"/>
      <c r="I26" s="75">
        <v>11.093</v>
      </c>
      <c r="J26" s="76">
        <v>0.22515250742435455</v>
      </c>
      <c r="K26" s="76">
        <v>2.9691562652587891</v>
      </c>
      <c r="L26" s="72">
        <f t="shared" si="3"/>
        <v>13.187311565945359</v>
      </c>
      <c r="M26" s="72"/>
      <c r="N26" s="77">
        <f t="shared" si="1"/>
        <v>52.695374652169335</v>
      </c>
      <c r="O26" s="72"/>
      <c r="P26" s="78">
        <f t="shared" si="2"/>
        <v>52.695374652169335</v>
      </c>
    </row>
    <row r="27" spans="1:16">
      <c r="A27" s="65">
        <v>580</v>
      </c>
      <c r="B27" s="65">
        <v>17.010000000000002</v>
      </c>
      <c r="C27" s="66">
        <v>12.355</v>
      </c>
      <c r="D27" s="67">
        <v>0.14444901049137115</v>
      </c>
      <c r="E27" s="68">
        <v>0.23535867035388947</v>
      </c>
      <c r="F27" s="69">
        <v>3.3208965063095093</v>
      </c>
      <c r="G27" s="66">
        <f t="shared" si="0"/>
        <v>22.990095224694443</v>
      </c>
      <c r="H27" s="70"/>
      <c r="I27" s="66">
        <v>12.379999999999999</v>
      </c>
      <c r="J27" s="71">
        <v>0.23725290596485138</v>
      </c>
      <c r="K27" s="69">
        <v>2.9928005933761597</v>
      </c>
      <c r="L27" s="65">
        <f t="shared" si="3"/>
        <v>12.614389616030827</v>
      </c>
      <c r="M27" s="72"/>
      <c r="N27" s="72">
        <f t="shared" si="1"/>
        <v>20.718733781530048</v>
      </c>
      <c r="O27" s="72"/>
      <c r="P27">
        <f t="shared" si="2"/>
        <v>12.715913923528424</v>
      </c>
    </row>
    <row r="28" spans="1:16">
      <c r="A28" s="65">
        <v>603</v>
      </c>
      <c r="B28" s="65">
        <v>17.54</v>
      </c>
      <c r="C28" s="66">
        <v>12.769500000000001</v>
      </c>
      <c r="D28" s="67">
        <v>0.16797758638858795</v>
      </c>
      <c r="E28" s="68">
        <v>0.24043883383274078</v>
      </c>
      <c r="F28" s="69">
        <v>3.7901896238327026</v>
      </c>
      <c r="G28" s="66">
        <f t="shared" si="0"/>
        <v>22.563662839307234</v>
      </c>
      <c r="H28" s="70"/>
      <c r="I28" s="66">
        <v>12.7325</v>
      </c>
      <c r="J28" s="71">
        <v>0.24884994328022003</v>
      </c>
      <c r="K28" s="69">
        <v>2.925258994102478</v>
      </c>
      <c r="L28" s="65">
        <f t="shared" si="3"/>
        <v>11.755112159332342</v>
      </c>
      <c r="M28" s="72"/>
      <c r="N28" s="72">
        <f t="shared" si="1"/>
        <v>17.41457927211421</v>
      </c>
      <c r="O28" s="72"/>
      <c r="P28">
        <f t="shared" si="2"/>
        <v>12.166333314265737</v>
      </c>
    </row>
    <row r="29" spans="1:16">
      <c r="A29" s="73">
        <v>619</v>
      </c>
      <c r="B29" s="74">
        <v>18.336618559999998</v>
      </c>
      <c r="C29" s="75">
        <v>10.404999999999999</v>
      </c>
      <c r="D29" s="76">
        <v>2.5413345545530319E-2</v>
      </c>
      <c r="E29" s="76">
        <v>2.5413345545530319E-2</v>
      </c>
      <c r="F29" s="76">
        <v>3.5945894718170166</v>
      </c>
      <c r="G29" s="70">
        <f t="shared" si="0"/>
        <v>141.44495321865367</v>
      </c>
      <c r="H29" s="70"/>
      <c r="I29" s="75">
        <v>14.577999999999999</v>
      </c>
      <c r="J29" s="76">
        <v>0.21730192005634308</v>
      </c>
      <c r="K29" s="76">
        <v>2.7902579307556152</v>
      </c>
      <c r="L29" s="72">
        <f t="shared" si="3"/>
        <v>12.840466066899657</v>
      </c>
      <c r="M29" s="79"/>
      <c r="N29" s="77">
        <f t="shared" si="1"/>
        <v>109.79498648678957</v>
      </c>
      <c r="O29" s="79"/>
      <c r="P29" s="78">
        <f t="shared" si="2"/>
        <v>109.79498648678957</v>
      </c>
    </row>
    <row r="30" spans="1:16">
      <c r="A30" s="65">
        <v>633</v>
      </c>
      <c r="B30" s="65">
        <v>19.260000000000002</v>
      </c>
      <c r="C30" s="66">
        <v>11.096499999999999</v>
      </c>
      <c r="D30" s="67">
        <v>0.12247418612241745</v>
      </c>
      <c r="E30" s="68">
        <v>0.23569533228874207</v>
      </c>
      <c r="F30" s="69">
        <v>4.0636391639709473</v>
      </c>
      <c r="G30" s="66">
        <f t="shared" si="0"/>
        <v>33.179556383491217</v>
      </c>
      <c r="H30" s="70"/>
      <c r="I30" s="66">
        <v>12.0405</v>
      </c>
      <c r="J30" s="71">
        <v>0.2463047131896019</v>
      </c>
      <c r="K30" s="69">
        <v>2.9166139364242554</v>
      </c>
      <c r="L30" s="65">
        <f t="shared" si="3"/>
        <v>11.841486501231046</v>
      </c>
      <c r="M30" s="72"/>
      <c r="N30" s="72">
        <f t="shared" si="1"/>
        <v>23.814111599884342</v>
      </c>
      <c r="O30" s="72"/>
      <c r="P30">
        <f t="shared" si="2"/>
        <v>12.374508685013813</v>
      </c>
    </row>
    <row r="31" spans="1:16">
      <c r="A31" s="65">
        <v>649</v>
      </c>
      <c r="B31" s="65">
        <v>20.32</v>
      </c>
      <c r="C31" s="66">
        <v>12.431000000000001</v>
      </c>
      <c r="D31" s="67">
        <v>0.16539943218231201</v>
      </c>
      <c r="E31" s="68">
        <v>0.24419695138931274</v>
      </c>
      <c r="F31" s="69">
        <v>4.0784204006195068</v>
      </c>
      <c r="G31" s="66">
        <f t="shared" si="0"/>
        <v>24.658007266458181</v>
      </c>
      <c r="H31" s="70"/>
      <c r="I31" s="66">
        <v>13.358000000000001</v>
      </c>
      <c r="J31" s="71">
        <v>0.25544960796833038</v>
      </c>
      <c r="K31" s="69">
        <v>3.0785192251205444</v>
      </c>
      <c r="L31" s="65">
        <f t="shared" si="3"/>
        <v>12.051375805995391</v>
      </c>
      <c r="M31" s="72"/>
      <c r="N31" s="72">
        <f t="shared" si="1"/>
        <v>18.612634786600946</v>
      </c>
      <c r="O31" s="72"/>
      <c r="P31">
        <f t="shared" si="2"/>
        <v>12.606706216461291</v>
      </c>
    </row>
    <row r="32" spans="1:16">
      <c r="A32" s="73">
        <v>669</v>
      </c>
      <c r="B32" s="74">
        <v>21.639711340000002</v>
      </c>
      <c r="C32" s="75">
        <v>11.975</v>
      </c>
      <c r="D32" s="76">
        <v>9.737008810043335E-2</v>
      </c>
      <c r="E32" s="76">
        <v>9.737008810043335E-2</v>
      </c>
      <c r="F32" s="76">
        <v>4.0926194190979004</v>
      </c>
      <c r="G32" s="70">
        <f t="shared" si="0"/>
        <v>42.031587923352056</v>
      </c>
      <c r="H32" s="70"/>
      <c r="I32" s="75">
        <v>12.471</v>
      </c>
      <c r="J32" s="76">
        <v>0.25091627240180969</v>
      </c>
      <c r="K32" s="76">
        <v>3.306412935256958</v>
      </c>
      <c r="L32" s="72">
        <f t="shared" si="3"/>
        <v>13.177355552142783</v>
      </c>
      <c r="M32" s="72"/>
      <c r="N32" s="77">
        <f t="shared" si="1"/>
        <v>33.95717308837726</v>
      </c>
      <c r="O32" s="72"/>
      <c r="P32" s="78">
        <f t="shared" si="2"/>
        <v>33.95717308837726</v>
      </c>
    </row>
    <row r="33" spans="1:16">
      <c r="A33" s="65">
        <v>708</v>
      </c>
      <c r="B33" s="65">
        <v>24.19</v>
      </c>
      <c r="C33" s="66">
        <v>10.891</v>
      </c>
      <c r="D33" s="67">
        <v>0.11979252845048904</v>
      </c>
      <c r="E33" s="68">
        <v>0.24186533689498901</v>
      </c>
      <c r="F33" s="69">
        <v>3.8470335006713867</v>
      </c>
      <c r="G33" s="66">
        <f t="shared" si="0"/>
        <v>32.114135584519268</v>
      </c>
      <c r="H33" s="70"/>
      <c r="I33" s="66">
        <v>11.0665</v>
      </c>
      <c r="J33" s="71">
        <v>0.25557152181863785</v>
      </c>
      <c r="K33" s="69">
        <v>2.9772354364395142</v>
      </c>
      <c r="L33" s="65">
        <f t="shared" si="3"/>
        <v>11.649323896706537</v>
      </c>
      <c r="M33" s="72"/>
      <c r="N33" s="72">
        <f t="shared" si="1"/>
        <v>24.853264848400148</v>
      </c>
      <c r="O33" s="72"/>
      <c r="P33">
        <f t="shared" si="2"/>
        <v>12.309475490206951</v>
      </c>
    </row>
    <row r="34" spans="1:16">
      <c r="A34" s="73">
        <v>769</v>
      </c>
      <c r="B34" s="74">
        <v>27.326076919999998</v>
      </c>
      <c r="C34" s="75">
        <v>16.475000000000001</v>
      </c>
      <c r="D34" s="76">
        <v>0.12270461767911911</v>
      </c>
      <c r="E34" s="76">
        <v>0.12270461767911911</v>
      </c>
      <c r="F34" s="76">
        <v>3.2984967231750488</v>
      </c>
      <c r="G34" s="70">
        <f t="shared" si="0"/>
        <v>26.881602221367423</v>
      </c>
      <c r="H34" s="70"/>
      <c r="I34" s="75">
        <v>11.698</v>
      </c>
      <c r="J34" s="76">
        <v>0.22862966358661652</v>
      </c>
      <c r="K34" s="76">
        <v>2.8983829021453857</v>
      </c>
      <c r="L34" s="72">
        <f t="shared" si="3"/>
        <v>12.677195323988792</v>
      </c>
      <c r="M34" s="72"/>
      <c r="N34" s="72">
        <f t="shared" si="1"/>
        <v>23.620813600714307</v>
      </c>
      <c r="O34" s="72"/>
      <c r="P34">
        <f t="shared" si="2"/>
        <v>23.620813600714307</v>
      </c>
    </row>
    <row r="35" spans="1:16">
      <c r="A35" s="73">
        <v>783</v>
      </c>
      <c r="B35" s="74">
        <v>28.046538460000001</v>
      </c>
      <c r="C35" s="75">
        <v>15.178000000000001</v>
      </c>
      <c r="D35" s="76">
        <v>8.6963854730129242E-2</v>
      </c>
      <c r="E35" s="76">
        <v>8.6963854730129242E-2</v>
      </c>
      <c r="F35" s="76">
        <v>3.0868988037109375</v>
      </c>
      <c r="G35" s="70">
        <f t="shared" si="0"/>
        <v>35.496342857505141</v>
      </c>
      <c r="H35" s="70"/>
      <c r="I35" s="75">
        <v>11.993</v>
      </c>
      <c r="J35" s="76">
        <v>0.22591093182563782</v>
      </c>
      <c r="K35" s="76">
        <v>2.9732108116149902</v>
      </c>
      <c r="L35" s="72">
        <f t="shared" si="3"/>
        <v>13.16098688800845</v>
      </c>
      <c r="M35" s="72"/>
      <c r="N35" s="77">
        <f t="shared" si="1"/>
        <v>34.18904119236219</v>
      </c>
      <c r="O35" s="72"/>
      <c r="P35" s="78">
        <f t="shared" si="2"/>
        <v>34.18904119236219</v>
      </c>
    </row>
    <row r="36" spans="1:16">
      <c r="A36" s="65">
        <v>827</v>
      </c>
      <c r="B36" s="65">
        <v>29.31</v>
      </c>
      <c r="C36" s="66">
        <v>11.656499999999999</v>
      </c>
      <c r="D36" s="67">
        <v>0.12467377632856369</v>
      </c>
      <c r="E36" s="68">
        <v>0.24172721803188324</v>
      </c>
      <c r="F36" s="69">
        <v>3.2982403039932251</v>
      </c>
      <c r="G36" s="66">
        <f t="shared" si="0"/>
        <v>26.454964316642535</v>
      </c>
      <c r="H36" s="70"/>
      <c r="I36" s="66">
        <v>11.404499999999999</v>
      </c>
      <c r="J36" s="71">
        <v>0.23491904139518738</v>
      </c>
      <c r="K36" s="69">
        <v>2.9339351654052734</v>
      </c>
      <c r="L36" s="65">
        <f t="shared" si="3"/>
        <v>12.48913305613965</v>
      </c>
      <c r="M36" s="72"/>
      <c r="N36" s="72">
        <f t="shared" si="1"/>
        <v>23.532897228309007</v>
      </c>
      <c r="O36" s="72"/>
      <c r="P36">
        <f t="shared" si="2"/>
        <v>12.137380263972981</v>
      </c>
    </row>
    <row r="37" spans="1:16">
      <c r="A37" s="73">
        <v>875</v>
      </c>
      <c r="B37" s="74">
        <v>30.65761702</v>
      </c>
      <c r="C37" s="75">
        <v>14.821</v>
      </c>
      <c r="D37" s="76">
        <v>9.4195418059825897E-2</v>
      </c>
      <c r="E37" s="76">
        <v>9.4195418059825897E-2</v>
      </c>
      <c r="F37" s="76">
        <v>3.1781070232391357</v>
      </c>
      <c r="G37" s="70">
        <f t="shared" si="0"/>
        <v>33.739507597074834</v>
      </c>
      <c r="H37" s="70"/>
      <c r="I37" s="75">
        <v>14.57</v>
      </c>
      <c r="J37" s="76">
        <v>0.21747826039791107</v>
      </c>
      <c r="K37" s="76">
        <v>2.7149722576141357</v>
      </c>
      <c r="L37" s="72">
        <f t="shared" si="3"/>
        <v>12.483878860565936</v>
      </c>
      <c r="M37" s="72"/>
      <c r="N37" s="72">
        <f t="shared" si="1"/>
        <v>28.822763500978233</v>
      </c>
      <c r="O37" s="72"/>
      <c r="P37">
        <f t="shared" si="2"/>
        <v>28.822763500978233</v>
      </c>
    </row>
    <row r="38" spans="1:16">
      <c r="A38" s="73">
        <v>909</v>
      </c>
      <c r="B38" s="74">
        <v>31.119019049999999</v>
      </c>
      <c r="C38" s="75">
        <v>12.432</v>
      </c>
      <c r="D38" s="76">
        <v>9.9533088505268097E-2</v>
      </c>
      <c r="E38" s="76">
        <v>9.9533088505268097E-2</v>
      </c>
      <c r="F38" s="76">
        <v>2.9839010238647461</v>
      </c>
      <c r="G38" s="70">
        <f t="shared" si="0"/>
        <v>29.978985568269731</v>
      </c>
      <c r="H38" s="70"/>
      <c r="I38" s="75">
        <v>14.108000000000001</v>
      </c>
      <c r="J38" s="76">
        <v>0.2202642410993576</v>
      </c>
      <c r="K38" s="76">
        <v>2.7959356307983398</v>
      </c>
      <c r="L38" s="72">
        <f t="shared" si="3"/>
        <v>12.693552148290557</v>
      </c>
      <c r="M38" s="72"/>
      <c r="N38" s="72">
        <f t="shared" si="1"/>
        <v>28.090514147467214</v>
      </c>
      <c r="O38" s="72"/>
      <c r="P38">
        <f t="shared" si="2"/>
        <v>28.090514147467214</v>
      </c>
    </row>
    <row r="39" spans="1:16">
      <c r="A39" s="73">
        <v>945</v>
      </c>
      <c r="B39" s="74">
        <v>31.556847619999999</v>
      </c>
      <c r="C39" s="75">
        <v>10.053000000000001</v>
      </c>
      <c r="D39" s="76">
        <v>6.7720919847488403E-2</v>
      </c>
      <c r="E39" s="76">
        <v>6.7720919847488403E-2</v>
      </c>
      <c r="F39" s="76">
        <v>2.8511996269226074</v>
      </c>
      <c r="G39" s="70">
        <f t="shared" si="0"/>
        <v>42.102198749569276</v>
      </c>
      <c r="H39" s="70"/>
      <c r="I39" s="75">
        <v>13.648</v>
      </c>
      <c r="J39" s="76">
        <v>0.21505874395370483</v>
      </c>
      <c r="K39" s="76">
        <v>2.8735153675079346</v>
      </c>
      <c r="L39" s="72">
        <f t="shared" si="3"/>
        <v>13.36153701393564</v>
      </c>
      <c r="M39" s="72"/>
      <c r="N39" s="77">
        <f t="shared" si="1"/>
        <v>42.431723815613616</v>
      </c>
      <c r="O39" s="72"/>
      <c r="P39" s="78">
        <f t="shared" si="2"/>
        <v>42.431723815613616</v>
      </c>
    </row>
    <row r="40" spans="1:16">
      <c r="A40" s="65">
        <v>968</v>
      </c>
      <c r="B40" s="65">
        <v>31.84</v>
      </c>
      <c r="C40" s="66">
        <v>12.542999999999999</v>
      </c>
      <c r="D40" s="67">
        <v>0.14498186111450195</v>
      </c>
      <c r="E40" s="68">
        <v>0.24691241979598999</v>
      </c>
      <c r="F40" s="69">
        <v>3.3366731405258179</v>
      </c>
      <c r="G40" s="66">
        <f t="shared" si="0"/>
        <v>23.014417906324308</v>
      </c>
      <c r="H40" s="70"/>
      <c r="I40" s="66">
        <v>11.085000000000001</v>
      </c>
      <c r="J40" s="71">
        <v>0.24349606037139893</v>
      </c>
      <c r="K40" s="69">
        <v>2.9825665950775146</v>
      </c>
      <c r="L40" s="65">
        <f t="shared" si="3"/>
        <v>12.248931627592967</v>
      </c>
      <c r="M40" s="72"/>
      <c r="N40" s="72">
        <f t="shared" si="1"/>
        <v>20.571998263437802</v>
      </c>
      <c r="O40" s="72"/>
      <c r="P40">
        <f t="shared" si="2"/>
        <v>12.079451481386977</v>
      </c>
    </row>
    <row r="41" spans="1:16">
      <c r="A41" s="73">
        <v>983</v>
      </c>
      <c r="B41" s="74">
        <v>32.018999999999998</v>
      </c>
      <c r="C41" s="75">
        <v>14.345000000000001</v>
      </c>
      <c r="D41" s="76">
        <v>0.13309873640537262</v>
      </c>
      <c r="E41" s="76">
        <v>0.13309873640537262</v>
      </c>
      <c r="F41" s="76">
        <v>3.1301054954528809</v>
      </c>
      <c r="G41" s="70">
        <f t="shared" si="0"/>
        <v>23.517169133143867</v>
      </c>
      <c r="H41" s="70"/>
      <c r="I41" s="75">
        <v>11.65</v>
      </c>
      <c r="J41" s="76">
        <v>0.23469692468643188</v>
      </c>
      <c r="K41" s="76">
        <v>3.0632109642028809</v>
      </c>
      <c r="L41" s="72">
        <f t="shared" si="3"/>
        <v>13.051772912216471</v>
      </c>
      <c r="M41" s="72"/>
      <c r="N41" s="72">
        <f t="shared" si="1"/>
        <v>23.014575847462609</v>
      </c>
      <c r="O41" s="72"/>
      <c r="P41">
        <f t="shared" si="2"/>
        <v>23.014575847462609</v>
      </c>
    </row>
    <row r="42" spans="1:16">
      <c r="A42" s="80">
        <v>993</v>
      </c>
      <c r="B42" s="80">
        <v>32.31</v>
      </c>
      <c r="C42" s="81">
        <v>10.96</v>
      </c>
      <c r="D42" s="82">
        <v>8.1197887659072876E-2</v>
      </c>
      <c r="E42" s="83">
        <v>0.20173041522502899</v>
      </c>
      <c r="F42" s="84">
        <v>2.463839054107666</v>
      </c>
      <c r="G42" s="66">
        <f t="shared" si="0"/>
        <v>30.34363485479615</v>
      </c>
      <c r="H42" s="70"/>
      <c r="I42" s="81">
        <v>15.227</v>
      </c>
      <c r="J42" s="85">
        <v>0.19498279690742493</v>
      </c>
      <c r="K42" s="84">
        <v>2.4513026475906372</v>
      </c>
      <c r="L42" s="65">
        <f t="shared" si="3"/>
        <v>12.571891912877222</v>
      </c>
      <c r="M42" s="79"/>
      <c r="N42" s="72">
        <f t="shared" si="1"/>
        <v>30.189241595581507</v>
      </c>
      <c r="O42" s="79"/>
      <c r="P42">
        <f t="shared" si="2"/>
        <v>12.151378585406791</v>
      </c>
    </row>
    <row r="43" spans="1:16">
      <c r="A43" s="86">
        <v>993</v>
      </c>
      <c r="B43" s="87">
        <v>32.308999999999997</v>
      </c>
      <c r="C43" s="88">
        <v>12.022</v>
      </c>
      <c r="D43" s="89">
        <v>8.9470379054546356E-2</v>
      </c>
      <c r="E43" s="89">
        <v>8.9470379054546356E-2</v>
      </c>
      <c r="F43" s="89">
        <v>2.8824446201324463</v>
      </c>
      <c r="G43" s="70">
        <f t="shared" si="0"/>
        <v>32.216747605094419</v>
      </c>
      <c r="H43" s="70"/>
      <c r="I43" s="88">
        <v>16.184000000000001</v>
      </c>
      <c r="J43" s="89">
        <v>0.19637022912502289</v>
      </c>
      <c r="K43" s="89">
        <v>2.568312406539917</v>
      </c>
      <c r="L43" s="72">
        <f t="shared" si="3"/>
        <v>13.078929621784733</v>
      </c>
      <c r="M43" s="79"/>
      <c r="N43" s="72">
        <f t="shared" si="1"/>
        <v>28.705728462088263</v>
      </c>
      <c r="O43" s="79"/>
      <c r="P43">
        <f t="shared" si="2"/>
        <v>28.705728462088263</v>
      </c>
    </row>
    <row r="44" spans="1:16">
      <c r="A44" s="65">
        <v>1018</v>
      </c>
      <c r="B44" s="65">
        <v>33.03</v>
      </c>
      <c r="C44" s="66">
        <v>13.003</v>
      </c>
      <c r="D44" s="67">
        <v>0.15244302153587341</v>
      </c>
      <c r="E44" s="68">
        <v>0.22332859039306641</v>
      </c>
      <c r="F44" s="69">
        <v>2.8450133800506592</v>
      </c>
      <c r="G44" s="66">
        <f t="shared" si="0"/>
        <v>18.662798410756775</v>
      </c>
      <c r="H44" s="70"/>
      <c r="I44" s="66">
        <v>13.193</v>
      </c>
      <c r="J44" s="71">
        <v>0.22709568589925766</v>
      </c>
      <c r="K44" s="69">
        <v>2.7675691843032837</v>
      </c>
      <c r="L44" s="65">
        <f t="shared" si="3"/>
        <v>12.18679770751352</v>
      </c>
      <c r="M44" s="72"/>
      <c r="N44" s="72">
        <f t="shared" si="1"/>
        <v>18.154777807602102</v>
      </c>
      <c r="O44" s="72"/>
      <c r="P44">
        <f t="shared" si="2"/>
        <v>12.392364002442596</v>
      </c>
    </row>
    <row r="45" spans="1:16">
      <c r="A45" s="73"/>
      <c r="B45" s="74"/>
      <c r="C45" s="72"/>
      <c r="D45" s="72"/>
      <c r="E45" s="72"/>
      <c r="F45" s="72"/>
      <c r="G45" s="70"/>
      <c r="H45" s="70"/>
      <c r="I45" s="72"/>
      <c r="J45" s="72"/>
      <c r="K45" s="72"/>
      <c r="L45" s="72"/>
      <c r="M45" s="72"/>
      <c r="N45" s="72"/>
      <c r="O45" s="72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E9751-AFF3-5446-B3E6-DC7EFECA66C7}">
  <dimension ref="A1:AH1067"/>
  <sheetViews>
    <sheetView zoomScale="70" zoomScaleNormal="70" workbookViewId="0">
      <selection activeCell="AB2" sqref="AB2"/>
    </sheetView>
  </sheetViews>
  <sheetFormatPr defaultColWidth="11.42578125" defaultRowHeight="12.75"/>
  <cols>
    <col min="5" max="10" width="10.7109375" style="10"/>
    <col min="12" max="14" width="10.7109375" style="10"/>
    <col min="20" max="20" width="11.42578125" style="124"/>
    <col min="25" max="25" width="11.42578125" style="124"/>
  </cols>
  <sheetData>
    <row r="1" spans="1:34" ht="15.75">
      <c r="A1" s="39" t="s">
        <v>536</v>
      </c>
      <c r="B1" s="39" t="s">
        <v>441</v>
      </c>
      <c r="C1" s="39" t="s">
        <v>537</v>
      </c>
      <c r="D1" t="s">
        <v>537</v>
      </c>
      <c r="E1" s="10" t="s">
        <v>538</v>
      </c>
      <c r="F1" s="10" t="s">
        <v>539</v>
      </c>
      <c r="G1" s="10" t="s">
        <v>540</v>
      </c>
      <c r="H1" s="10" t="s">
        <v>541</v>
      </c>
      <c r="I1" s="10" t="s">
        <v>542</v>
      </c>
      <c r="J1" s="10" t="s">
        <v>543</v>
      </c>
      <c r="K1" t="s">
        <v>544</v>
      </c>
      <c r="L1" s="10" t="s">
        <v>545</v>
      </c>
      <c r="M1" s="10" t="s">
        <v>546</v>
      </c>
      <c r="N1" s="10" t="s">
        <v>547</v>
      </c>
      <c r="O1" t="s">
        <v>548</v>
      </c>
      <c r="P1" t="s">
        <v>549</v>
      </c>
      <c r="Q1" t="s">
        <v>550</v>
      </c>
      <c r="R1" t="s">
        <v>551</v>
      </c>
      <c r="S1" s="55" t="s">
        <v>598</v>
      </c>
      <c r="T1" s="148" t="s">
        <v>599</v>
      </c>
      <c r="U1" s="55" t="s">
        <v>600</v>
      </c>
      <c r="V1" s="55" t="s">
        <v>601</v>
      </c>
      <c r="W1" s="55" t="s">
        <v>602</v>
      </c>
      <c r="X1" s="55" t="s">
        <v>603</v>
      </c>
      <c r="Y1" s="149" t="s">
        <v>441</v>
      </c>
      <c r="Z1" s="55" t="s">
        <v>597</v>
      </c>
      <c r="AA1" s="55" t="s">
        <v>610</v>
      </c>
      <c r="AB1" s="55" t="s">
        <v>604</v>
      </c>
      <c r="AC1" s="55" t="s">
        <v>605</v>
      </c>
      <c r="AD1" s="55"/>
      <c r="AE1" s="55"/>
      <c r="AF1" s="55"/>
      <c r="AG1" s="55"/>
      <c r="AH1" s="55"/>
    </row>
    <row r="2" spans="1:34" ht="15.75">
      <c r="A2" s="39">
        <v>8.4509298299999998</v>
      </c>
      <c r="B2" s="39">
        <v>8.6873684200000003</v>
      </c>
      <c r="C2" s="39">
        <v>0</v>
      </c>
      <c r="D2">
        <v>0</v>
      </c>
      <c r="E2" s="10">
        <v>1218610</v>
      </c>
      <c r="F2" s="10">
        <v>988420</v>
      </c>
      <c r="G2" s="10">
        <v>11935</v>
      </c>
      <c r="H2" s="10">
        <v>34182</v>
      </c>
      <c r="I2" s="10">
        <v>8711</v>
      </c>
      <c r="J2" s="10">
        <v>27826</v>
      </c>
      <c r="K2">
        <v>0</v>
      </c>
      <c r="L2" s="10">
        <v>1849</v>
      </c>
      <c r="M2" s="10">
        <v>351440</v>
      </c>
      <c r="N2" s="10">
        <v>5047</v>
      </c>
      <c r="O2">
        <v>-0.5043827670545652</v>
      </c>
      <c r="P2">
        <v>1.0120537204169404</v>
      </c>
      <c r="Q2">
        <v>-0.45697504649755022</v>
      </c>
      <c r="R2">
        <v>0.45697504649755027</v>
      </c>
      <c r="S2">
        <f>LN(J2/I2)</f>
        <v>1.16138424058293</v>
      </c>
      <c r="U2">
        <f>LN(M2/H2)</f>
        <v>2.3303398099412105</v>
      </c>
      <c r="W2">
        <f>LN(J2/G2)</f>
        <v>0.84649557562889166</v>
      </c>
      <c r="Y2" s="149">
        <v>8.6873684200000003</v>
      </c>
      <c r="Z2" s="55">
        <f>N2/F2</f>
        <v>5.1061289735132836E-3</v>
      </c>
      <c r="AA2" s="55"/>
      <c r="AB2" s="55">
        <f>LN(Z2)</f>
        <v>-5.2773137012743945</v>
      </c>
      <c r="AC2" s="55"/>
      <c r="AD2" s="55"/>
      <c r="AE2" s="55"/>
      <c r="AF2" s="55"/>
      <c r="AG2" s="55"/>
      <c r="AH2" s="55"/>
    </row>
    <row r="3" spans="1:34" ht="15.75">
      <c r="A3" s="39">
        <v>8.4663684200000002</v>
      </c>
      <c r="B3" s="39">
        <v>8.7033157899999996</v>
      </c>
      <c r="C3" s="39">
        <v>1</v>
      </c>
      <c r="D3">
        <v>1</v>
      </c>
      <c r="E3" s="10">
        <v>1364880</v>
      </c>
      <c r="F3" s="10">
        <v>1121130</v>
      </c>
      <c r="G3" s="10">
        <v>13480</v>
      </c>
      <c r="H3" s="10">
        <v>39584</v>
      </c>
      <c r="I3" s="10">
        <v>9268</v>
      </c>
      <c r="J3" s="10">
        <v>30653</v>
      </c>
      <c r="K3">
        <v>1</v>
      </c>
      <c r="L3" s="10">
        <v>1767</v>
      </c>
      <c r="M3" s="10">
        <v>404915</v>
      </c>
      <c r="N3" s="10">
        <v>5677</v>
      </c>
      <c r="O3">
        <v>-0.51948696008844442</v>
      </c>
      <c r="P3">
        <v>1.0098441874747692</v>
      </c>
      <c r="Q3">
        <v>-0.46782978574972561</v>
      </c>
      <c r="R3">
        <v>0.46782978574972561</v>
      </c>
      <c r="S3">
        <f t="shared" ref="S3:S16" si="0">LN(J3/I3)</f>
        <v>1.1961629303044448</v>
      </c>
      <c r="T3" s="148">
        <f>AVERAGE(S2:S4)</f>
        <v>1.2007184544674683</v>
      </c>
      <c r="U3">
        <f t="shared" ref="U3:U16" si="1">LN(M3/H3)</f>
        <v>2.3252521723260884</v>
      </c>
      <c r="V3" s="55">
        <f>AVERAGE(U2:U4)</f>
        <v>2.3335766305732855</v>
      </c>
      <c r="W3">
        <f t="shared" ref="W3:W16" si="2">LN(J3/G3)</f>
        <v>0.82152343139041362</v>
      </c>
      <c r="X3" s="55">
        <f>AVERAGE(W2:W4)</f>
        <v>0.91535304720406885</v>
      </c>
      <c r="Y3" s="149">
        <v>8.7033157899999996</v>
      </c>
      <c r="Z3" s="55">
        <f t="shared" ref="Z3:Z66" si="3">N3/F3</f>
        <v>5.0636411477705525E-3</v>
      </c>
      <c r="AA3" s="55">
        <f>AVERAGE(Z2:Z4)</f>
        <v>5.1241287500848011E-3</v>
      </c>
      <c r="AB3" s="55">
        <f t="shared" ref="AB3:AB66" si="4">LN(Z3)</f>
        <v>-5.2856694600456313</v>
      </c>
      <c r="AC3" s="55">
        <f>AVERAGE(AB2:AB4)</f>
        <v>-5.2738589465009715</v>
      </c>
      <c r="AD3" s="55"/>
      <c r="AE3" s="55"/>
      <c r="AF3" s="55"/>
      <c r="AG3" s="55"/>
      <c r="AH3" s="55"/>
    </row>
    <row r="4" spans="1:34" ht="15.75">
      <c r="A4" s="39">
        <v>8.4818070199999998</v>
      </c>
      <c r="B4" s="39">
        <v>8.7192631600000006</v>
      </c>
      <c r="C4" s="39">
        <v>2</v>
      </c>
      <c r="D4">
        <v>2</v>
      </c>
      <c r="E4" s="10">
        <v>1263510</v>
      </c>
      <c r="F4" s="10">
        <v>1045820</v>
      </c>
      <c r="G4" s="10">
        <v>9724</v>
      </c>
      <c r="H4" s="10">
        <v>35550</v>
      </c>
      <c r="I4" s="10">
        <v>8232</v>
      </c>
      <c r="J4" s="10">
        <v>28578</v>
      </c>
      <c r="K4">
        <v>2</v>
      </c>
      <c r="L4" s="10">
        <v>1809</v>
      </c>
      <c r="M4" s="10">
        <v>370954</v>
      </c>
      <c r="N4" s="10">
        <v>5441</v>
      </c>
      <c r="O4">
        <v>-0.54052647014085764</v>
      </c>
      <c r="P4">
        <v>1.0184804533773737</v>
      </c>
      <c r="Q4">
        <v>-0.56299465489448697</v>
      </c>
      <c r="R4">
        <v>0.56299465489448697</v>
      </c>
      <c r="S4">
        <f t="shared" si="0"/>
        <v>1.2446081925150299</v>
      </c>
      <c r="T4" s="148">
        <f t="shared" ref="T4:T67" si="5">AVERAGE(S3:S5)</f>
        <v>1.2249034793224851</v>
      </c>
      <c r="U4">
        <f t="shared" si="1"/>
        <v>2.345137909452558</v>
      </c>
      <c r="V4" s="55">
        <f t="shared" ref="V4:V67" si="6">AVERAGE(U3:U5)</f>
        <v>2.3354802684064313</v>
      </c>
      <c r="W4">
        <f t="shared" si="2"/>
        <v>1.0780401345929014</v>
      </c>
      <c r="X4" s="55">
        <f t="shared" ref="X4:X67" si="7">AVERAGE(W3:W5)</f>
        <v>1.0004504371571807</v>
      </c>
      <c r="Y4" s="149">
        <v>8.7192631600000006</v>
      </c>
      <c r="Z4" s="55">
        <f t="shared" si="3"/>
        <v>5.2026161289705688E-3</v>
      </c>
      <c r="AA4" s="55">
        <f t="shared" ref="AA4:AA67" si="8">AVERAGE(Z3:Z5)</f>
        <v>5.264360186216184E-3</v>
      </c>
      <c r="AB4" s="55">
        <f t="shared" si="4"/>
        <v>-5.2585936781828879</v>
      </c>
      <c r="AC4" s="55">
        <f t="shared" ref="AC4:AC67" si="9">AVERAGE(AB3:AB5)</f>
        <v>-5.2474684061572221</v>
      </c>
      <c r="AD4" s="55"/>
      <c r="AE4" s="55"/>
      <c r="AF4" s="55"/>
      <c r="AG4" s="55"/>
      <c r="AH4" s="55"/>
    </row>
    <row r="5" spans="1:34" ht="15.75">
      <c r="A5" s="39">
        <v>8.4972456100000002</v>
      </c>
      <c r="B5" s="39">
        <v>8.7352105299999998</v>
      </c>
      <c r="C5" s="39">
        <v>3</v>
      </c>
      <c r="D5">
        <v>3</v>
      </c>
      <c r="E5" s="10">
        <v>1105500</v>
      </c>
      <c r="F5" s="10">
        <v>912640</v>
      </c>
      <c r="G5" s="10">
        <v>8070</v>
      </c>
      <c r="H5" s="10">
        <v>30968</v>
      </c>
      <c r="I5" s="10">
        <v>7071</v>
      </c>
      <c r="J5" s="10">
        <v>24287</v>
      </c>
      <c r="K5">
        <v>3</v>
      </c>
      <c r="L5" s="10">
        <v>1435</v>
      </c>
      <c r="M5" s="10">
        <v>320219</v>
      </c>
      <c r="N5" s="10">
        <v>5044</v>
      </c>
      <c r="O5">
        <v>-0.53589303557224566</v>
      </c>
      <c r="P5">
        <v>1.0145339386363723</v>
      </c>
      <c r="Q5">
        <v>-0.58403962358882822</v>
      </c>
      <c r="R5">
        <v>0.58403962358882822</v>
      </c>
      <c r="S5">
        <f t="shared" si="0"/>
        <v>1.2339393151479807</v>
      </c>
      <c r="T5" s="148">
        <f t="shared" si="5"/>
        <v>1.2509364473548226</v>
      </c>
      <c r="U5">
        <f t="shared" si="1"/>
        <v>2.3360507234406467</v>
      </c>
      <c r="V5" s="55">
        <f t="shared" si="6"/>
        <v>2.3288907074217859</v>
      </c>
      <c r="W5">
        <f t="shared" si="2"/>
        <v>1.101787745488227</v>
      </c>
      <c r="X5" s="55">
        <f t="shared" si="7"/>
        <v>1.1021715301489969</v>
      </c>
      <c r="Y5" s="149">
        <v>8.7352105299999998</v>
      </c>
      <c r="Z5" s="55">
        <f t="shared" si="3"/>
        <v>5.5268232819074333E-3</v>
      </c>
      <c r="AA5" s="55">
        <f t="shared" si="8"/>
        <v>5.3238480514016659E-3</v>
      </c>
      <c r="AB5" s="55">
        <f t="shared" si="4"/>
        <v>-5.1981420802431488</v>
      </c>
      <c r="AC5" s="55">
        <f t="shared" si="9"/>
        <v>-5.2359226503828653</v>
      </c>
      <c r="AD5" s="55"/>
      <c r="AE5" s="55"/>
      <c r="AF5" s="55"/>
      <c r="AG5" s="55"/>
      <c r="AH5" s="55"/>
    </row>
    <row r="6" spans="1:34" ht="15.75">
      <c r="A6" s="39">
        <v>8.5126842099999998</v>
      </c>
      <c r="B6" s="39">
        <v>8.7511579000000008</v>
      </c>
      <c r="C6" s="39">
        <v>4</v>
      </c>
      <c r="D6">
        <v>4</v>
      </c>
      <c r="E6" s="10">
        <v>961690</v>
      </c>
      <c r="F6" s="10">
        <v>809980</v>
      </c>
      <c r="G6" s="10">
        <v>6720</v>
      </c>
      <c r="H6" s="10">
        <v>26838</v>
      </c>
      <c r="I6" s="10">
        <v>5798</v>
      </c>
      <c r="J6" s="10">
        <v>20734</v>
      </c>
      <c r="K6">
        <v>4</v>
      </c>
      <c r="L6" s="10">
        <v>1335</v>
      </c>
      <c r="M6" s="10">
        <v>269159</v>
      </c>
      <c r="N6" s="10">
        <v>4246</v>
      </c>
      <c r="O6">
        <v>-0.55340488318046788</v>
      </c>
      <c r="P6">
        <v>1.00125875755338</v>
      </c>
      <c r="Q6">
        <v>-0.60138087550247532</v>
      </c>
      <c r="R6">
        <v>0.60138087550247532</v>
      </c>
      <c r="S6">
        <f t="shared" si="0"/>
        <v>1.2742618344014567</v>
      </c>
      <c r="T6" s="148">
        <f t="shared" si="5"/>
        <v>1.2646114801454607</v>
      </c>
      <c r="U6">
        <f t="shared" si="1"/>
        <v>2.3054834893721523</v>
      </c>
      <c r="V6" s="55">
        <f t="shared" si="6"/>
        <v>2.327129439682166</v>
      </c>
      <c r="W6">
        <f t="shared" si="2"/>
        <v>1.1266867103658622</v>
      </c>
      <c r="X6" s="55">
        <f t="shared" si="7"/>
        <v>1.082653222483726</v>
      </c>
      <c r="Y6" s="149">
        <v>8.7511579000000008</v>
      </c>
      <c r="Z6" s="55">
        <f t="shared" si="3"/>
        <v>5.2421047433269955E-3</v>
      </c>
      <c r="AA6" s="55">
        <f t="shared" si="8"/>
        <v>5.2020451041519325E-3</v>
      </c>
      <c r="AB6" s="55">
        <f t="shared" si="4"/>
        <v>-5.2510321927225592</v>
      </c>
      <c r="AC6" s="55">
        <f t="shared" si="9"/>
        <v>-5.2601973348414068</v>
      </c>
      <c r="AD6" s="55"/>
      <c r="AE6" s="55"/>
      <c r="AF6" s="55"/>
      <c r="AG6" s="55"/>
      <c r="AH6" s="55"/>
    </row>
    <row r="7" spans="1:34" ht="15.75">
      <c r="A7" s="39">
        <v>8.5281228099999993</v>
      </c>
      <c r="B7" s="39">
        <v>8.7671052599999992</v>
      </c>
      <c r="C7" s="39">
        <v>5</v>
      </c>
      <c r="D7">
        <v>5</v>
      </c>
      <c r="E7" s="10">
        <v>1110450</v>
      </c>
      <c r="F7" s="10">
        <v>923260</v>
      </c>
      <c r="G7" s="10">
        <v>9188</v>
      </c>
      <c r="H7" s="10">
        <v>31236</v>
      </c>
      <c r="I7" s="10">
        <v>7041</v>
      </c>
      <c r="J7" s="10">
        <v>25467</v>
      </c>
      <c r="K7">
        <v>5</v>
      </c>
      <c r="L7" s="10">
        <v>1503</v>
      </c>
      <c r="M7" s="10">
        <v>324221</v>
      </c>
      <c r="N7" s="10">
        <v>4466</v>
      </c>
      <c r="O7">
        <v>-0.55834344398331814</v>
      </c>
      <c r="P7">
        <v>1.0161857267959611</v>
      </c>
      <c r="Q7">
        <v>-0.53143442763387205</v>
      </c>
      <c r="R7">
        <v>0.53143442763387205</v>
      </c>
      <c r="S7">
        <f t="shared" si="0"/>
        <v>1.2856332908869443</v>
      </c>
      <c r="T7" s="148">
        <f t="shared" si="5"/>
        <v>1.2962595263983177</v>
      </c>
      <c r="U7">
        <f t="shared" si="1"/>
        <v>2.3398541062336999</v>
      </c>
      <c r="V7" s="55">
        <f t="shared" si="6"/>
        <v>2.3283348288399131</v>
      </c>
      <c r="W7">
        <f t="shared" si="2"/>
        <v>1.0194852115970887</v>
      </c>
      <c r="X7" s="55">
        <f t="shared" si="7"/>
        <v>1.0271241896413248</v>
      </c>
      <c r="Y7" s="149">
        <v>8.7671052599999992</v>
      </c>
      <c r="Z7" s="55">
        <f t="shared" si="3"/>
        <v>4.8372072872213678E-3</v>
      </c>
      <c r="AA7" s="55">
        <f t="shared" si="8"/>
        <v>4.8684939189739124E-3</v>
      </c>
      <c r="AB7" s="55">
        <f t="shared" si="4"/>
        <v>-5.3314177315585125</v>
      </c>
      <c r="AC7" s="55">
        <f t="shared" si="9"/>
        <v>-5.3267763854838472</v>
      </c>
      <c r="AD7" s="55"/>
      <c r="AE7" s="55"/>
      <c r="AF7" s="55"/>
      <c r="AG7" s="55"/>
      <c r="AH7" s="55"/>
    </row>
    <row r="8" spans="1:34" ht="15.75">
      <c r="A8" s="39">
        <v>8.5435613999999998</v>
      </c>
      <c r="B8" s="39">
        <v>8.7830526300000002</v>
      </c>
      <c r="C8" s="39">
        <v>6</v>
      </c>
      <c r="D8">
        <v>6</v>
      </c>
      <c r="E8" s="10">
        <v>1206600</v>
      </c>
      <c r="F8" s="10">
        <v>1001730</v>
      </c>
      <c r="G8" s="10">
        <v>11053</v>
      </c>
      <c r="H8" s="10">
        <v>34814</v>
      </c>
      <c r="I8" s="10">
        <v>7456</v>
      </c>
      <c r="J8" s="10">
        <v>28160</v>
      </c>
      <c r="K8">
        <v>6</v>
      </c>
      <c r="L8" s="10">
        <v>1608</v>
      </c>
      <c r="M8" s="10">
        <v>361292</v>
      </c>
      <c r="N8" s="10">
        <v>4534</v>
      </c>
      <c r="O8">
        <v>-0.57712675112414968</v>
      </c>
      <c r="P8">
        <v>1.0161044202156386</v>
      </c>
      <c r="Q8">
        <v>-0.49827375496027587</v>
      </c>
      <c r="R8">
        <v>0.49827375496027587</v>
      </c>
      <c r="S8">
        <f t="shared" si="0"/>
        <v>1.3288834539065515</v>
      </c>
      <c r="T8" s="148">
        <f t="shared" si="5"/>
        <v>1.2947969661674348</v>
      </c>
      <c r="U8">
        <f t="shared" si="1"/>
        <v>2.3396668909138869</v>
      </c>
      <c r="V8" s="55">
        <f t="shared" si="6"/>
        <v>2.3453167001582571</v>
      </c>
      <c r="W8">
        <f t="shared" si="2"/>
        <v>0.93520064696102334</v>
      </c>
      <c r="X8" s="55">
        <f t="shared" si="7"/>
        <v>0.95256851658668651</v>
      </c>
      <c r="Y8" s="149">
        <v>8.7830526300000002</v>
      </c>
      <c r="Z8" s="55">
        <f t="shared" si="3"/>
        <v>4.5261697263733738E-3</v>
      </c>
      <c r="AA8" s="55">
        <f t="shared" si="8"/>
        <v>4.7280328534185E-3</v>
      </c>
      <c r="AB8" s="55">
        <f t="shared" si="4"/>
        <v>-5.3978792321704692</v>
      </c>
      <c r="AC8" s="55">
        <f t="shared" si="9"/>
        <v>-5.3547095424583242</v>
      </c>
      <c r="AD8" s="55"/>
      <c r="AE8" s="55"/>
      <c r="AF8" s="55"/>
      <c r="AG8" s="55"/>
      <c r="AH8" s="55"/>
    </row>
    <row r="9" spans="1:34" ht="15.75">
      <c r="A9" s="39">
        <v>8.5589999999999993</v>
      </c>
      <c r="B9" s="39">
        <v>8.7989999999999995</v>
      </c>
      <c r="C9" s="39">
        <v>7</v>
      </c>
      <c r="D9">
        <v>7</v>
      </c>
      <c r="E9" s="10">
        <v>1191010</v>
      </c>
      <c r="F9" s="10">
        <v>992590</v>
      </c>
      <c r="G9" s="10">
        <v>10847</v>
      </c>
      <c r="H9" s="10">
        <v>33675</v>
      </c>
      <c r="I9" s="10">
        <v>7516</v>
      </c>
      <c r="J9" s="10">
        <v>26760</v>
      </c>
      <c r="K9">
        <v>7</v>
      </c>
      <c r="L9" s="10">
        <v>1551</v>
      </c>
      <c r="M9" s="10">
        <v>355379</v>
      </c>
      <c r="N9" s="10">
        <v>4785</v>
      </c>
      <c r="O9">
        <v>-0.55149933766729742</v>
      </c>
      <c r="P9">
        <v>1.0233841565712236</v>
      </c>
      <c r="Q9">
        <v>-0.49199796423822184</v>
      </c>
      <c r="R9">
        <v>0.49199796423822184</v>
      </c>
      <c r="S9">
        <f t="shared" si="0"/>
        <v>1.2698741537088087</v>
      </c>
      <c r="T9" s="148">
        <f t="shared" si="5"/>
        <v>1.280639655366836</v>
      </c>
      <c r="U9">
        <f t="shared" si="1"/>
        <v>2.356429103327184</v>
      </c>
      <c r="V9" s="55">
        <f t="shared" si="6"/>
        <v>2.3329633329670205</v>
      </c>
      <c r="W9">
        <f t="shared" si="2"/>
        <v>0.90301969120194725</v>
      </c>
      <c r="X9" s="55">
        <f t="shared" si="7"/>
        <v>0.90363170160612116</v>
      </c>
      <c r="Y9" s="149">
        <v>8.7989999999999995</v>
      </c>
      <c r="Z9" s="55">
        <f t="shared" si="3"/>
        <v>4.8207215466607566E-3</v>
      </c>
      <c r="AA9" s="55">
        <f t="shared" si="8"/>
        <v>4.6807402073538269E-3</v>
      </c>
      <c r="AB9" s="55">
        <f t="shared" si="4"/>
        <v>-5.3348316636459918</v>
      </c>
      <c r="AC9" s="55">
        <f t="shared" si="9"/>
        <v>-5.3646326385703587</v>
      </c>
      <c r="AD9" s="55"/>
      <c r="AE9" s="55"/>
      <c r="AF9" s="55"/>
      <c r="AG9" s="55"/>
      <c r="AH9" s="55"/>
    </row>
    <row r="10" spans="1:34" ht="15.75">
      <c r="A10" s="39">
        <v>8.5744386000000006</v>
      </c>
      <c r="B10" s="39">
        <v>8.8149473700000005</v>
      </c>
      <c r="C10" s="39">
        <v>8</v>
      </c>
      <c r="D10">
        <v>8</v>
      </c>
      <c r="E10" s="10">
        <v>1097030</v>
      </c>
      <c r="F10" s="10">
        <v>931990</v>
      </c>
      <c r="G10" s="10">
        <v>10394</v>
      </c>
      <c r="H10" s="10">
        <v>31589</v>
      </c>
      <c r="I10" s="10">
        <v>7176</v>
      </c>
      <c r="J10" s="10">
        <v>24876</v>
      </c>
      <c r="K10">
        <v>8</v>
      </c>
      <c r="L10" s="10">
        <v>1496</v>
      </c>
      <c r="M10" s="10">
        <v>315956</v>
      </c>
      <c r="N10" s="10">
        <v>4376</v>
      </c>
      <c r="O10">
        <v>-0.53989811810544996</v>
      </c>
      <c r="P10">
        <v>1.0000907291837247</v>
      </c>
      <c r="Q10">
        <v>-0.48275316535385837</v>
      </c>
      <c r="R10">
        <v>0.48275316535385837</v>
      </c>
      <c r="S10">
        <f t="shared" si="0"/>
        <v>1.2431613584851477</v>
      </c>
      <c r="T10" s="148">
        <f t="shared" si="5"/>
        <v>1.2859090477511381</v>
      </c>
      <c r="U10">
        <f t="shared" si="1"/>
        <v>2.3027940046599897</v>
      </c>
      <c r="V10" s="55">
        <f t="shared" si="6"/>
        <v>2.322291645192351</v>
      </c>
      <c r="W10">
        <f t="shared" si="2"/>
        <v>0.87267476665539279</v>
      </c>
      <c r="X10" s="55">
        <f t="shared" si="7"/>
        <v>0.88302620676836385</v>
      </c>
      <c r="Y10" s="149">
        <v>8.8149473700000005</v>
      </c>
      <c r="Z10" s="55">
        <f t="shared" si="3"/>
        <v>4.6953293490273502E-3</v>
      </c>
      <c r="AA10" s="55">
        <f t="shared" si="8"/>
        <v>4.8403134372209909E-3</v>
      </c>
      <c r="AB10" s="55">
        <f t="shared" si="4"/>
        <v>-5.3611870198946141</v>
      </c>
      <c r="AC10" s="55">
        <f t="shared" si="9"/>
        <v>-5.3311195482366562</v>
      </c>
      <c r="AD10" s="55"/>
      <c r="AE10" s="55"/>
      <c r="AF10" s="55"/>
      <c r="AG10" s="55"/>
      <c r="AH10" s="55"/>
    </row>
    <row r="11" spans="1:34" ht="15.75">
      <c r="A11" s="39">
        <v>8.5898771899999993</v>
      </c>
      <c r="B11" s="39">
        <v>8.8308947399999997</v>
      </c>
      <c r="C11" s="39">
        <v>9</v>
      </c>
      <c r="D11">
        <v>9</v>
      </c>
      <c r="E11" s="10">
        <v>1150750</v>
      </c>
      <c r="F11" s="10">
        <v>961260</v>
      </c>
      <c r="G11" s="10">
        <v>11205</v>
      </c>
      <c r="H11" s="10">
        <v>33546</v>
      </c>
      <c r="I11" s="10">
        <v>6994</v>
      </c>
      <c r="J11" s="10">
        <v>26836</v>
      </c>
      <c r="K11">
        <v>9</v>
      </c>
      <c r="L11" s="10">
        <v>1266</v>
      </c>
      <c r="M11" s="10">
        <v>337164</v>
      </c>
      <c r="N11" s="10">
        <v>4811</v>
      </c>
      <c r="O11">
        <v>-0.58399215523060577</v>
      </c>
      <c r="P11">
        <v>1.0022004548762389</v>
      </c>
      <c r="Q11">
        <v>-0.47622888177123646</v>
      </c>
      <c r="R11">
        <v>0.47622888177123646</v>
      </c>
      <c r="S11">
        <f t="shared" si="0"/>
        <v>1.3446916310594574</v>
      </c>
      <c r="T11" s="148">
        <f t="shared" si="5"/>
        <v>1.2966406742574632</v>
      </c>
      <c r="U11">
        <f t="shared" si="1"/>
        <v>2.3076518275898792</v>
      </c>
      <c r="V11" s="55">
        <f t="shared" si="6"/>
        <v>2.3039383074280777</v>
      </c>
      <c r="W11">
        <f t="shared" si="2"/>
        <v>0.8733841624477513</v>
      </c>
      <c r="X11" s="55">
        <f t="shared" si="7"/>
        <v>0.84407230412619672</v>
      </c>
      <c r="Y11" s="149">
        <v>8.8308947399999997</v>
      </c>
      <c r="Z11" s="55">
        <f t="shared" si="3"/>
        <v>5.0048894159748667E-3</v>
      </c>
      <c r="AA11" s="55">
        <f t="shared" si="8"/>
        <v>4.9614382399309166E-3</v>
      </c>
      <c r="AB11" s="55">
        <f t="shared" si="4"/>
        <v>-5.297339961169361</v>
      </c>
      <c r="AC11" s="55">
        <f t="shared" si="9"/>
        <v>-5.3068955971232956</v>
      </c>
      <c r="AD11" s="55"/>
      <c r="AE11" s="55"/>
      <c r="AF11" s="55"/>
      <c r="AG11" s="55"/>
      <c r="AH11" s="55"/>
    </row>
    <row r="12" spans="1:34" ht="15.75">
      <c r="A12" s="39">
        <v>8.6053157900000006</v>
      </c>
      <c r="B12" s="39">
        <v>8.8468421100000008</v>
      </c>
      <c r="C12" s="39">
        <v>10</v>
      </c>
      <c r="D12">
        <v>10</v>
      </c>
      <c r="E12" s="10">
        <v>1262660</v>
      </c>
      <c r="F12" s="10">
        <v>1040490</v>
      </c>
      <c r="G12" s="10">
        <v>13537</v>
      </c>
      <c r="H12" s="10">
        <v>37605</v>
      </c>
      <c r="I12" s="10">
        <v>8081</v>
      </c>
      <c r="J12" s="10">
        <v>29713</v>
      </c>
      <c r="K12">
        <v>10</v>
      </c>
      <c r="L12" s="10">
        <v>1835</v>
      </c>
      <c r="M12" s="10">
        <v>375593</v>
      </c>
      <c r="N12" s="10">
        <v>5394</v>
      </c>
      <c r="O12">
        <v>-0.5654813961879287</v>
      </c>
      <c r="P12">
        <v>0.99947189662463176</v>
      </c>
      <c r="Q12">
        <v>-0.44372316410082802</v>
      </c>
      <c r="R12">
        <v>0.44372316410082802</v>
      </c>
      <c r="S12">
        <f t="shared" si="0"/>
        <v>1.3020690332277847</v>
      </c>
      <c r="T12" s="148">
        <f t="shared" si="5"/>
        <v>1.3101076946983812</v>
      </c>
      <c r="U12">
        <f t="shared" si="1"/>
        <v>2.3013690900343629</v>
      </c>
      <c r="V12" s="55">
        <f t="shared" si="6"/>
        <v>2.2965387284742147</v>
      </c>
      <c r="W12">
        <f t="shared" si="2"/>
        <v>0.78615798327544606</v>
      </c>
      <c r="X12" s="55">
        <f t="shared" si="7"/>
        <v>0.77921775993503617</v>
      </c>
      <c r="Y12" s="149">
        <v>8.8468421100000008</v>
      </c>
      <c r="Z12" s="55">
        <f t="shared" si="3"/>
        <v>5.184095954790531E-3</v>
      </c>
      <c r="AA12" s="55">
        <f t="shared" si="8"/>
        <v>5.0757711968842101E-3</v>
      </c>
      <c r="AB12" s="55">
        <f t="shared" si="4"/>
        <v>-5.2621598103059117</v>
      </c>
      <c r="AC12" s="55">
        <f t="shared" si="9"/>
        <v>-5.283393575267624</v>
      </c>
      <c r="AD12" s="55"/>
      <c r="AE12" s="55"/>
      <c r="AF12" s="55"/>
      <c r="AG12" s="55"/>
      <c r="AH12" s="55"/>
    </row>
    <row r="13" spans="1:34" ht="15.75">
      <c r="A13" s="39">
        <v>8.6207543900000001</v>
      </c>
      <c r="B13" s="39">
        <v>8.8627894699999992</v>
      </c>
      <c r="C13" s="39">
        <v>11</v>
      </c>
      <c r="D13">
        <v>11</v>
      </c>
      <c r="E13" s="10">
        <v>1354470</v>
      </c>
      <c r="F13" s="10">
        <v>1104930</v>
      </c>
      <c r="G13" s="10">
        <v>16551</v>
      </c>
      <c r="H13" s="10">
        <v>41113</v>
      </c>
      <c r="I13" s="10">
        <v>9034</v>
      </c>
      <c r="J13" s="10">
        <v>32608</v>
      </c>
      <c r="K13">
        <v>11</v>
      </c>
      <c r="L13" s="10">
        <v>1665</v>
      </c>
      <c r="M13" s="10">
        <v>402188</v>
      </c>
      <c r="N13" s="10">
        <v>5567</v>
      </c>
      <c r="O13">
        <v>-0.55744407610095703</v>
      </c>
      <c r="P13">
        <v>0.99044994025951494</v>
      </c>
      <c r="Q13">
        <v>-0.39515492956266762</v>
      </c>
      <c r="R13">
        <v>0.39515492956266768</v>
      </c>
      <c r="S13">
        <f t="shared" si="0"/>
        <v>1.2835624198079019</v>
      </c>
      <c r="T13" s="148">
        <f t="shared" si="5"/>
        <v>1.2730918757209455</v>
      </c>
      <c r="U13">
        <f t="shared" si="1"/>
        <v>2.280595267798402</v>
      </c>
      <c r="V13" s="55">
        <f t="shared" si="6"/>
        <v>2.2999238350145159</v>
      </c>
      <c r="W13">
        <f t="shared" si="2"/>
        <v>0.67811113408191093</v>
      </c>
      <c r="X13" s="55">
        <f t="shared" si="7"/>
        <v>0.70860847531171245</v>
      </c>
      <c r="Y13" s="149">
        <v>8.8627894699999992</v>
      </c>
      <c r="Z13" s="55">
        <f t="shared" si="3"/>
        <v>5.0383282198872325E-3</v>
      </c>
      <c r="AA13" s="55">
        <f t="shared" si="8"/>
        <v>5.1701492508072671E-3</v>
      </c>
      <c r="AB13" s="55">
        <f t="shared" si="4"/>
        <v>-5.2906809543275974</v>
      </c>
      <c r="AC13" s="55">
        <f t="shared" si="9"/>
        <v>-5.2650504941166734</v>
      </c>
      <c r="AD13" s="55"/>
      <c r="AE13" s="55"/>
      <c r="AF13" s="55"/>
      <c r="AG13" s="55"/>
      <c r="AH13" s="55"/>
    </row>
    <row r="14" spans="1:34" ht="15.75">
      <c r="A14" s="39">
        <v>8.6361929800000006</v>
      </c>
      <c r="B14" s="39">
        <v>8.8787368400000002</v>
      </c>
      <c r="C14" s="39">
        <v>12</v>
      </c>
      <c r="D14">
        <v>12</v>
      </c>
      <c r="E14" s="10">
        <v>1382750</v>
      </c>
      <c r="F14" s="10">
        <v>1119700</v>
      </c>
      <c r="G14" s="10">
        <v>16963</v>
      </c>
      <c r="H14" s="10">
        <v>41034</v>
      </c>
      <c r="I14" s="10">
        <v>9573</v>
      </c>
      <c r="J14" s="10">
        <v>32871</v>
      </c>
      <c r="K14">
        <v>12</v>
      </c>
      <c r="L14" s="10">
        <v>1861</v>
      </c>
      <c r="M14" s="10">
        <v>416634</v>
      </c>
      <c r="N14" s="10">
        <v>5921</v>
      </c>
      <c r="O14">
        <v>-0.5357648574555155</v>
      </c>
      <c r="P14">
        <v>1.0066108541495609</v>
      </c>
      <c r="Q14">
        <v>-0.38364119203160002</v>
      </c>
      <c r="R14">
        <v>0.38364119203160002</v>
      </c>
      <c r="S14">
        <f t="shared" si="0"/>
        <v>1.2336441741271498</v>
      </c>
      <c r="T14" s="148">
        <f t="shared" si="5"/>
        <v>1.2456044573789207</v>
      </c>
      <c r="U14">
        <f t="shared" si="1"/>
        <v>2.3178071472107824</v>
      </c>
      <c r="V14" s="55">
        <f t="shared" si="6"/>
        <v>2.3047226719841443</v>
      </c>
      <c r="W14">
        <f t="shared" si="2"/>
        <v>0.66155630857778014</v>
      </c>
      <c r="X14" s="55">
        <f t="shared" si="7"/>
        <v>0.67831814870840212</v>
      </c>
      <c r="Y14" s="149">
        <v>8.8787368400000002</v>
      </c>
      <c r="Z14" s="55">
        <f t="shared" si="3"/>
        <v>5.2880235777440386E-3</v>
      </c>
      <c r="AA14" s="55">
        <f t="shared" si="8"/>
        <v>5.2892663476488558E-3</v>
      </c>
      <c r="AB14" s="55">
        <f t="shared" si="4"/>
        <v>-5.2423107177165118</v>
      </c>
      <c r="AC14" s="55">
        <f t="shared" si="9"/>
        <v>-5.2428304162555515</v>
      </c>
      <c r="AD14" s="55"/>
      <c r="AE14" s="55"/>
      <c r="AF14" s="55"/>
      <c r="AG14" s="55"/>
      <c r="AH14" s="55"/>
    </row>
    <row r="15" spans="1:34" ht="15.75">
      <c r="A15" s="39">
        <v>8.6516315800000001</v>
      </c>
      <c r="B15" s="39">
        <v>8.8946842099999994</v>
      </c>
      <c r="C15" s="39">
        <v>13</v>
      </c>
      <c r="D15">
        <v>13</v>
      </c>
      <c r="E15" s="10">
        <v>1383930</v>
      </c>
      <c r="F15" s="10">
        <v>1122270</v>
      </c>
      <c r="G15" s="10">
        <v>16339</v>
      </c>
      <c r="H15" s="10">
        <v>41273</v>
      </c>
      <c r="I15" s="10">
        <v>9672</v>
      </c>
      <c r="J15" s="10">
        <v>32748</v>
      </c>
      <c r="K15">
        <v>13</v>
      </c>
      <c r="L15" s="10">
        <v>1783</v>
      </c>
      <c r="M15" s="10">
        <v>418206</v>
      </c>
      <c r="N15" s="10">
        <v>6219</v>
      </c>
      <c r="O15">
        <v>-0.52966849386480597</v>
      </c>
      <c r="P15">
        <v>1.0057242218710205</v>
      </c>
      <c r="Q15">
        <v>-0.40244056470332162</v>
      </c>
      <c r="R15">
        <v>0.40244056470332168</v>
      </c>
      <c r="S15">
        <f t="shared" si="0"/>
        <v>1.2196067782017102</v>
      </c>
      <c r="T15" s="148">
        <f t="shared" si="5"/>
        <v>1.2374661325834397</v>
      </c>
      <c r="U15">
        <f t="shared" si="1"/>
        <v>2.3157656009432479</v>
      </c>
      <c r="V15" s="55">
        <f t="shared" si="6"/>
        <v>2.3132658871977236</v>
      </c>
      <c r="W15">
        <f t="shared" si="2"/>
        <v>0.69528700346551531</v>
      </c>
      <c r="X15" s="55">
        <f t="shared" si="7"/>
        <v>0.6877870551107762</v>
      </c>
      <c r="Y15" s="149">
        <v>8.8946842099999994</v>
      </c>
      <c r="Z15" s="55">
        <f t="shared" si="3"/>
        <v>5.5414472453152981E-3</v>
      </c>
      <c r="AA15" s="55">
        <f t="shared" si="8"/>
        <v>5.3320231016028355E-3</v>
      </c>
      <c r="AB15" s="55">
        <f t="shared" si="4"/>
        <v>-5.1954995767225469</v>
      </c>
      <c r="AC15" s="55">
        <f t="shared" si="9"/>
        <v>-5.2344503451106634</v>
      </c>
      <c r="AD15" s="55"/>
      <c r="AE15" s="55"/>
      <c r="AF15" s="55"/>
      <c r="AG15" s="55"/>
      <c r="AH15" s="55"/>
    </row>
    <row r="16" spans="1:34" ht="15.75">
      <c r="A16" s="39">
        <v>8.6670701799999996</v>
      </c>
      <c r="B16" s="39">
        <v>8.9106315800000004</v>
      </c>
      <c r="C16" s="39">
        <v>14</v>
      </c>
      <c r="D16">
        <v>14</v>
      </c>
      <c r="E16" s="10">
        <v>1355870</v>
      </c>
      <c r="F16" s="10">
        <v>1099950</v>
      </c>
      <c r="G16" s="10">
        <v>16047</v>
      </c>
      <c r="H16" s="10">
        <v>40368</v>
      </c>
      <c r="I16" s="10">
        <v>9234</v>
      </c>
      <c r="J16" s="10">
        <v>32526</v>
      </c>
      <c r="K16">
        <v>14</v>
      </c>
      <c r="L16" s="10">
        <v>1993</v>
      </c>
      <c r="M16" s="10">
        <v>405152</v>
      </c>
      <c r="N16" s="10">
        <v>5683</v>
      </c>
      <c r="O16">
        <v>-0.54684078744911557</v>
      </c>
      <c r="P16">
        <v>1.0015807539344235</v>
      </c>
      <c r="Q16">
        <v>-0.40064338055881987</v>
      </c>
      <c r="R16">
        <v>0.40064338055881993</v>
      </c>
      <c r="S16">
        <f t="shared" si="0"/>
        <v>1.2591474454214591</v>
      </c>
      <c r="T16" s="148">
        <f t="shared" si="5"/>
        <v>1.2525252220920899</v>
      </c>
      <c r="U16">
        <f t="shared" si="1"/>
        <v>2.3062249134391406</v>
      </c>
      <c r="V16" s="55">
        <f t="shared" si="6"/>
        <v>2.2981451017503804</v>
      </c>
      <c r="W16">
        <f t="shared" si="2"/>
        <v>0.70651785328903349</v>
      </c>
      <c r="X16" s="55">
        <f t="shared" si="7"/>
        <v>0.69277818447216788</v>
      </c>
      <c r="Y16" s="149">
        <v>8.9106315800000004</v>
      </c>
      <c r="Z16" s="55">
        <f t="shared" si="3"/>
        <v>5.1665984817491706E-3</v>
      </c>
      <c r="AA16" s="55">
        <f t="shared" si="8"/>
        <v>5.2356435089620122E-3</v>
      </c>
      <c r="AB16" s="55">
        <f t="shared" si="4"/>
        <v>-5.2655407408929333</v>
      </c>
      <c r="AC16" s="55">
        <f t="shared" si="9"/>
        <v>-5.2531935830254435</v>
      </c>
      <c r="AD16" s="55"/>
      <c r="AE16" s="55"/>
      <c r="AF16" s="55"/>
      <c r="AG16" s="55"/>
      <c r="AH16" s="55"/>
    </row>
    <row r="17" spans="1:34" ht="15.75">
      <c r="A17" s="39">
        <v>8.6825087700000001</v>
      </c>
      <c r="B17" s="39">
        <v>8.9265789499999997</v>
      </c>
      <c r="C17" s="39">
        <v>15</v>
      </c>
      <c r="D17">
        <v>15</v>
      </c>
      <c r="E17" s="10">
        <v>1314800</v>
      </c>
      <c r="F17" s="10">
        <v>1076040</v>
      </c>
      <c r="G17" s="10">
        <v>16444</v>
      </c>
      <c r="H17" s="10">
        <v>39659</v>
      </c>
      <c r="I17" s="10">
        <v>9004</v>
      </c>
      <c r="J17" s="10">
        <v>32346</v>
      </c>
      <c r="K17">
        <v>15</v>
      </c>
      <c r="L17" s="10">
        <v>1528</v>
      </c>
      <c r="M17" s="10">
        <v>384815</v>
      </c>
      <c r="N17" s="10">
        <v>5379</v>
      </c>
      <c r="O17">
        <v>-0.55538509588379747</v>
      </c>
      <c r="P17">
        <v>0.98691023310408865</v>
      </c>
      <c r="Q17">
        <v>-0.38233429118212109</v>
      </c>
      <c r="R17">
        <v>0.38233429118212109</v>
      </c>
      <c r="S17">
        <f t="shared" ref="S17:S80" si="10">LN(J17/I17)</f>
        <v>1.2788214426531008</v>
      </c>
      <c r="T17" s="148">
        <f t="shared" si="5"/>
        <v>1.2581997511565011</v>
      </c>
      <c r="U17">
        <f t="shared" ref="U17:U80" si="11">LN(M17/H17)</f>
        <v>2.2724447908687533</v>
      </c>
      <c r="V17" s="55">
        <f t="shared" si="6"/>
        <v>2.3018613587743708</v>
      </c>
      <c r="W17">
        <f t="shared" ref="W17:W80" si="12">LN(J17/G17)</f>
        <v>0.67652969666195473</v>
      </c>
      <c r="X17" s="55">
        <f t="shared" si="7"/>
        <v>0.73403580926514478</v>
      </c>
      <c r="Y17" s="149">
        <v>8.9265789499999997</v>
      </c>
      <c r="Z17" s="55">
        <f t="shared" si="3"/>
        <v>4.9988847998215678E-3</v>
      </c>
      <c r="AA17" s="55">
        <f t="shared" si="8"/>
        <v>4.9109495986308215E-3</v>
      </c>
      <c r="AB17" s="55">
        <f t="shared" si="4"/>
        <v>-5.2985404314608511</v>
      </c>
      <c r="AC17" s="55">
        <f t="shared" si="9"/>
        <v>-5.3176332955149936</v>
      </c>
      <c r="AD17" s="55"/>
      <c r="AE17" s="55"/>
      <c r="AF17" s="55"/>
      <c r="AG17" s="55"/>
      <c r="AH17" s="55"/>
    </row>
    <row r="18" spans="1:34" ht="15.75">
      <c r="A18" s="39">
        <v>8.6979473699999996</v>
      </c>
      <c r="B18" s="39">
        <v>8.9425263200000007</v>
      </c>
      <c r="C18" s="39">
        <v>16</v>
      </c>
      <c r="D18">
        <v>16</v>
      </c>
      <c r="E18" s="10">
        <v>1239130</v>
      </c>
      <c r="F18" s="10">
        <v>1039330</v>
      </c>
      <c r="G18" s="10">
        <v>12591</v>
      </c>
      <c r="H18" s="10">
        <v>36122</v>
      </c>
      <c r="I18" s="10">
        <v>8293</v>
      </c>
      <c r="J18" s="10">
        <v>28561</v>
      </c>
      <c r="K18">
        <v>16</v>
      </c>
      <c r="L18" s="10">
        <v>1929</v>
      </c>
      <c r="M18" s="10">
        <v>370116</v>
      </c>
      <c r="N18" s="10">
        <v>4747</v>
      </c>
      <c r="O18">
        <v>-0.53706174384502581</v>
      </c>
      <c r="P18">
        <v>1.0105660716275804</v>
      </c>
      <c r="Q18">
        <v>-0.45771156435808374</v>
      </c>
      <c r="R18">
        <v>0.45771156435808369</v>
      </c>
      <c r="S18">
        <f t="shared" si="10"/>
        <v>1.2366303653949433</v>
      </c>
      <c r="T18" s="148">
        <f t="shared" si="5"/>
        <v>1.2817238137738338</v>
      </c>
      <c r="U18">
        <f t="shared" si="11"/>
        <v>2.3269143720152194</v>
      </c>
      <c r="V18" s="55">
        <f t="shared" si="6"/>
        <v>2.3050174906846732</v>
      </c>
      <c r="W18">
        <f t="shared" si="12"/>
        <v>0.81905987784444645</v>
      </c>
      <c r="X18" s="55">
        <f t="shared" si="7"/>
        <v>0.76970721362416095</v>
      </c>
      <c r="Y18" s="149">
        <v>8.9425263200000007</v>
      </c>
      <c r="Z18" s="55">
        <f t="shared" si="3"/>
        <v>4.5673655143217261E-3</v>
      </c>
      <c r="AA18" s="55">
        <f t="shared" si="8"/>
        <v>4.7503760289179476E-3</v>
      </c>
      <c r="AB18" s="55">
        <f t="shared" si="4"/>
        <v>-5.3888187141911956</v>
      </c>
      <c r="AC18" s="55">
        <f t="shared" si="9"/>
        <v>-5.3502581994582412</v>
      </c>
      <c r="AD18" s="55"/>
      <c r="AE18" s="55"/>
      <c r="AF18" s="55"/>
      <c r="AG18" s="55"/>
      <c r="AH18" s="55"/>
    </row>
    <row r="19" spans="1:34" ht="15.75">
      <c r="A19" s="39">
        <v>8.7133859699999991</v>
      </c>
      <c r="B19" s="39">
        <v>8.9584736800000009</v>
      </c>
      <c r="C19" s="39">
        <v>17</v>
      </c>
      <c r="D19">
        <v>17</v>
      </c>
      <c r="E19" s="10">
        <v>1175450</v>
      </c>
      <c r="F19" s="10">
        <v>989140</v>
      </c>
      <c r="G19" s="10">
        <v>12155</v>
      </c>
      <c r="H19" s="10">
        <v>34143</v>
      </c>
      <c r="I19" s="10">
        <v>7254</v>
      </c>
      <c r="J19" s="10">
        <v>27420</v>
      </c>
      <c r="K19">
        <v>17</v>
      </c>
      <c r="L19" s="10">
        <v>1397</v>
      </c>
      <c r="M19" s="10">
        <v>345935</v>
      </c>
      <c r="N19" s="10">
        <v>4634</v>
      </c>
      <c r="O19">
        <v>-0.57748989920907834</v>
      </c>
      <c r="P19">
        <v>1.0056928259528322</v>
      </c>
      <c r="Q19">
        <v>-0.44854671488244824</v>
      </c>
      <c r="R19">
        <v>0.44854671488244818</v>
      </c>
      <c r="S19">
        <f t="shared" si="10"/>
        <v>1.3297196332734578</v>
      </c>
      <c r="T19" s="148">
        <f t="shared" si="5"/>
        <v>1.3036013836419693</v>
      </c>
      <c r="U19">
        <f t="shared" si="11"/>
        <v>2.3156933091700465</v>
      </c>
      <c r="V19" s="55">
        <f t="shared" si="6"/>
        <v>2.3258544852429375</v>
      </c>
      <c r="W19">
        <f t="shared" si="12"/>
        <v>0.81353206636608166</v>
      </c>
      <c r="X19" s="55">
        <f t="shared" si="7"/>
        <v>0.80543223557603572</v>
      </c>
      <c r="Y19" s="149">
        <v>8.9584736800000009</v>
      </c>
      <c r="Z19" s="55">
        <f t="shared" si="3"/>
        <v>4.6848777726105507E-3</v>
      </c>
      <c r="AA19" s="55">
        <f t="shared" si="8"/>
        <v>4.6736112566028243E-3</v>
      </c>
      <c r="AB19" s="55">
        <f t="shared" si="4"/>
        <v>-5.3634154527226752</v>
      </c>
      <c r="AC19" s="55">
        <f t="shared" si="9"/>
        <v>-5.3659795603052487</v>
      </c>
      <c r="AD19" s="55"/>
      <c r="AE19" s="55"/>
      <c r="AF19" s="55"/>
      <c r="AG19" s="55"/>
      <c r="AH19" s="55"/>
    </row>
    <row r="20" spans="1:34" ht="15.75">
      <c r="A20" s="39">
        <v>8.7288245599999996</v>
      </c>
      <c r="B20" s="39">
        <v>8.9744210500000001</v>
      </c>
      <c r="C20" s="39">
        <v>18</v>
      </c>
      <c r="D20">
        <v>18</v>
      </c>
      <c r="E20" s="10">
        <v>1208570</v>
      </c>
      <c r="F20" s="10">
        <v>997150</v>
      </c>
      <c r="G20" s="10">
        <v>13019</v>
      </c>
      <c r="H20" s="10">
        <v>35641</v>
      </c>
      <c r="I20" s="10">
        <v>7431</v>
      </c>
      <c r="J20" s="10">
        <v>28506</v>
      </c>
      <c r="K20">
        <v>18</v>
      </c>
      <c r="L20" s="10">
        <v>1829</v>
      </c>
      <c r="M20" s="10">
        <v>368136</v>
      </c>
      <c r="N20" s="10">
        <v>4755</v>
      </c>
      <c r="O20">
        <v>-0.58388901949734973</v>
      </c>
      <c r="P20">
        <v>1.0140584083723954</v>
      </c>
      <c r="Q20">
        <v>-0.43737225378524414</v>
      </c>
      <c r="R20">
        <v>0.43737225378524414</v>
      </c>
      <c r="S20">
        <f t="shared" si="10"/>
        <v>1.3444541522575071</v>
      </c>
      <c r="T20" s="148">
        <f t="shared" si="5"/>
        <v>1.2797685626703414</v>
      </c>
      <c r="U20">
        <f t="shared" si="11"/>
        <v>2.3349557745435456</v>
      </c>
      <c r="V20" s="55">
        <f t="shared" si="6"/>
        <v>2.3252613068587862</v>
      </c>
      <c r="W20">
        <f t="shared" si="12"/>
        <v>0.78370476251757926</v>
      </c>
      <c r="X20" s="55">
        <f t="shared" si="7"/>
        <v>0.77741478426733834</v>
      </c>
      <c r="Y20" s="149">
        <v>8.9744210500000001</v>
      </c>
      <c r="Z20" s="55">
        <f t="shared" si="3"/>
        <v>4.768590482876197E-3</v>
      </c>
      <c r="AA20" s="55">
        <f t="shared" si="8"/>
        <v>4.6588307039236096E-3</v>
      </c>
      <c r="AB20" s="55">
        <f t="shared" si="4"/>
        <v>-5.3457045140018771</v>
      </c>
      <c r="AC20" s="55">
        <f t="shared" si="9"/>
        <v>-5.3692314935955565</v>
      </c>
      <c r="AD20" s="55"/>
      <c r="AE20" s="55"/>
      <c r="AF20" s="55"/>
      <c r="AG20" s="55"/>
      <c r="AH20" s="55"/>
    </row>
    <row r="21" spans="1:34" ht="15.75">
      <c r="A21" s="39">
        <v>8.7442631599999991</v>
      </c>
      <c r="B21" s="39">
        <v>8.9903684199999994</v>
      </c>
      <c r="C21" s="39">
        <v>19</v>
      </c>
      <c r="D21">
        <v>19</v>
      </c>
      <c r="E21" s="10">
        <v>1229060</v>
      </c>
      <c r="F21" s="10">
        <v>1003090</v>
      </c>
      <c r="G21" s="10">
        <v>14246</v>
      </c>
      <c r="H21" s="10">
        <v>36473</v>
      </c>
      <c r="I21" s="10">
        <v>9266</v>
      </c>
      <c r="J21" s="10">
        <v>29710</v>
      </c>
      <c r="K21">
        <v>19</v>
      </c>
      <c r="L21" s="10">
        <v>1959</v>
      </c>
      <c r="M21" s="10">
        <v>373048</v>
      </c>
      <c r="N21" s="10">
        <v>4537</v>
      </c>
      <c r="O21">
        <v>-0.50601035593652766</v>
      </c>
      <c r="P21">
        <v>1.0097932293305174</v>
      </c>
      <c r="Q21">
        <v>-0.40827854663567914</v>
      </c>
      <c r="R21">
        <v>0.40827854663567914</v>
      </c>
      <c r="S21">
        <f t="shared" si="10"/>
        <v>1.1651319024800597</v>
      </c>
      <c r="T21" s="148">
        <f t="shared" si="5"/>
        <v>1.3203791187740574</v>
      </c>
      <c r="U21">
        <f t="shared" si="11"/>
        <v>2.3251348368627669</v>
      </c>
      <c r="V21" s="55">
        <f t="shared" si="6"/>
        <v>2.3390816469712514</v>
      </c>
      <c r="W21">
        <f t="shared" si="12"/>
        <v>0.73500752391835411</v>
      </c>
      <c r="X21" s="55">
        <f t="shared" si="7"/>
        <v>0.7520275489467978</v>
      </c>
      <c r="Y21" s="149">
        <v>8.9903684199999994</v>
      </c>
      <c r="Z21" s="55">
        <f t="shared" si="3"/>
        <v>4.523023856284082E-3</v>
      </c>
      <c r="AA21" s="55">
        <f t="shared" si="8"/>
        <v>4.6163736559353451E-3</v>
      </c>
      <c r="AB21" s="55">
        <f t="shared" si="4"/>
        <v>-5.3985745140621182</v>
      </c>
      <c r="AC21" s="55">
        <f t="shared" si="9"/>
        <v>-5.3784195416762435</v>
      </c>
      <c r="AD21" s="55"/>
      <c r="AE21" s="55"/>
      <c r="AF21" s="55"/>
      <c r="AG21" s="55"/>
      <c r="AH21" s="55"/>
    </row>
    <row r="22" spans="1:34" ht="15.75">
      <c r="A22" s="39">
        <v>8.7597017499999996</v>
      </c>
      <c r="B22" s="39">
        <v>9.0063157900000004</v>
      </c>
      <c r="C22" s="39">
        <v>20</v>
      </c>
      <c r="D22">
        <v>20</v>
      </c>
      <c r="E22" s="10">
        <v>1235530</v>
      </c>
      <c r="F22" s="10">
        <v>999450</v>
      </c>
      <c r="G22" s="10">
        <v>14077</v>
      </c>
      <c r="H22" s="10">
        <v>36685</v>
      </c>
      <c r="I22" s="10">
        <v>6892</v>
      </c>
      <c r="J22" s="10">
        <v>29427</v>
      </c>
      <c r="K22">
        <v>20</v>
      </c>
      <c r="L22" s="10">
        <v>1867</v>
      </c>
      <c r="M22" s="10">
        <v>387425</v>
      </c>
      <c r="N22" s="10">
        <v>4555</v>
      </c>
      <c r="O22">
        <v>-0.63040072047767692</v>
      </c>
      <c r="P22">
        <v>1.023699118299441</v>
      </c>
      <c r="Q22">
        <v>-0.41597841279979408</v>
      </c>
      <c r="R22">
        <v>0.41597841279979403</v>
      </c>
      <c r="S22">
        <f t="shared" si="10"/>
        <v>1.4515513015846051</v>
      </c>
      <c r="T22" s="148">
        <f t="shared" si="5"/>
        <v>1.3257380339906317</v>
      </c>
      <c r="U22">
        <f t="shared" si="11"/>
        <v>2.3571543295074409</v>
      </c>
      <c r="V22" s="55">
        <f t="shared" si="6"/>
        <v>2.3443801897476129</v>
      </c>
      <c r="W22">
        <f t="shared" si="12"/>
        <v>0.73737036040445991</v>
      </c>
      <c r="X22" s="55">
        <f t="shared" si="7"/>
        <v>0.74862845439488279</v>
      </c>
      <c r="Y22" s="149">
        <v>9.0063157900000004</v>
      </c>
      <c r="Z22" s="55">
        <f t="shared" si="3"/>
        <v>4.5575066286457555E-3</v>
      </c>
      <c r="AA22" s="55">
        <f t="shared" si="8"/>
        <v>4.5299976658753271E-3</v>
      </c>
      <c r="AB22" s="55">
        <f t="shared" si="4"/>
        <v>-5.3909795969647343</v>
      </c>
      <c r="AC22" s="55">
        <f t="shared" si="9"/>
        <v>-5.3970438067940991</v>
      </c>
      <c r="AD22" s="55"/>
      <c r="AE22" s="55"/>
      <c r="AF22" s="55"/>
      <c r="AG22" s="55"/>
      <c r="AH22" s="55"/>
    </row>
    <row r="23" spans="1:34" ht="15.75">
      <c r="A23" s="39">
        <v>8.7751403499999991</v>
      </c>
      <c r="B23" s="39">
        <v>9.0222631599999996</v>
      </c>
      <c r="C23" s="39">
        <v>21</v>
      </c>
      <c r="D23">
        <v>21</v>
      </c>
      <c r="E23" s="10">
        <v>1176440</v>
      </c>
      <c r="F23" s="10">
        <v>964860</v>
      </c>
      <c r="G23" s="10">
        <v>12835</v>
      </c>
      <c r="H23" s="10">
        <v>34006</v>
      </c>
      <c r="I23" s="10">
        <v>7136</v>
      </c>
      <c r="J23" s="10">
        <v>27818</v>
      </c>
      <c r="K23">
        <v>21</v>
      </c>
      <c r="L23" s="10">
        <v>1865</v>
      </c>
      <c r="M23" s="10">
        <v>356876</v>
      </c>
      <c r="N23" s="10">
        <v>4351</v>
      </c>
      <c r="O23">
        <v>-0.59087106141998647</v>
      </c>
      <c r="P23">
        <v>1.0209617920421019</v>
      </c>
      <c r="Q23">
        <v>-0.42315967747590644</v>
      </c>
      <c r="R23">
        <v>0.42315967747590638</v>
      </c>
      <c r="S23">
        <f t="shared" si="10"/>
        <v>1.3605308979072301</v>
      </c>
      <c r="T23" s="148">
        <f t="shared" si="5"/>
        <v>1.4221732502260238</v>
      </c>
      <c r="U23">
        <f t="shared" si="11"/>
        <v>2.3508514028726308</v>
      </c>
      <c r="V23" s="55">
        <f t="shared" si="6"/>
        <v>2.3475389228203754</v>
      </c>
      <c r="W23">
        <f t="shared" si="12"/>
        <v>0.77350747886183469</v>
      </c>
      <c r="X23" s="55">
        <f t="shared" si="7"/>
        <v>0.75257816980752013</v>
      </c>
      <c r="Y23" s="149">
        <v>9.0222631599999996</v>
      </c>
      <c r="Z23" s="55">
        <f t="shared" si="3"/>
        <v>4.5094625126961422E-3</v>
      </c>
      <c r="AA23" s="55">
        <f t="shared" si="8"/>
        <v>4.5032889817811029E-3</v>
      </c>
      <c r="AB23" s="55">
        <f t="shared" si="4"/>
        <v>-5.4015773093554449</v>
      </c>
      <c r="AC23" s="55">
        <f t="shared" si="9"/>
        <v>-5.4030017877294263</v>
      </c>
      <c r="AD23" s="55"/>
      <c r="AE23" s="55"/>
      <c r="AF23" s="55"/>
      <c r="AG23" s="55"/>
      <c r="AH23" s="55"/>
    </row>
    <row r="24" spans="1:34" ht="15.75">
      <c r="A24" s="39">
        <v>8.7905789500000004</v>
      </c>
      <c r="B24" s="39">
        <v>9.0382105300000006</v>
      </c>
      <c r="C24" s="39">
        <v>22</v>
      </c>
      <c r="D24">
        <v>22</v>
      </c>
      <c r="E24" s="10">
        <v>1181390</v>
      </c>
      <c r="F24" s="10">
        <v>962660</v>
      </c>
      <c r="G24" s="10">
        <v>13538</v>
      </c>
      <c r="H24" s="10">
        <v>34261</v>
      </c>
      <c r="I24" s="10">
        <v>6672</v>
      </c>
      <c r="J24" s="10">
        <v>28570</v>
      </c>
      <c r="K24">
        <v>22</v>
      </c>
      <c r="L24" s="10">
        <v>1620</v>
      </c>
      <c r="M24" s="10">
        <v>353760</v>
      </c>
      <c r="N24" s="10">
        <v>4277</v>
      </c>
      <c r="O24">
        <v>-0.63165420275306072</v>
      </c>
      <c r="P24">
        <v>1.0139086903604357</v>
      </c>
      <c r="Q24">
        <v>-0.40324552511296335</v>
      </c>
      <c r="R24">
        <v>0.40324552511296335</v>
      </c>
      <c r="S24">
        <f t="shared" si="10"/>
        <v>1.4544375511862362</v>
      </c>
      <c r="T24" s="148">
        <f t="shared" si="5"/>
        <v>1.4114783195577358</v>
      </c>
      <c r="U24">
        <f t="shared" si="11"/>
        <v>2.3346110360810548</v>
      </c>
      <c r="V24" s="55">
        <f t="shared" si="6"/>
        <v>2.34761919812119</v>
      </c>
      <c r="W24">
        <f t="shared" si="12"/>
        <v>0.74685667015626589</v>
      </c>
      <c r="X24" s="55">
        <f t="shared" si="7"/>
        <v>0.7550905903212296</v>
      </c>
      <c r="Y24" s="149">
        <v>9.0382105300000006</v>
      </c>
      <c r="Z24" s="55">
        <f t="shared" si="3"/>
        <v>4.4428978040014127E-3</v>
      </c>
      <c r="AA24" s="55">
        <f t="shared" si="8"/>
        <v>4.4770234397390274E-3</v>
      </c>
      <c r="AB24" s="55">
        <f t="shared" si="4"/>
        <v>-5.4164484568680997</v>
      </c>
      <c r="AC24" s="55">
        <f t="shared" si="9"/>
        <v>-5.4088153287031124</v>
      </c>
      <c r="AD24" s="55"/>
      <c r="AE24" s="55"/>
      <c r="AF24" s="55"/>
      <c r="AG24" s="55"/>
      <c r="AH24" s="55"/>
    </row>
    <row r="25" spans="1:34" ht="15.75">
      <c r="A25" s="39">
        <v>8.8060175399999991</v>
      </c>
      <c r="B25" s="39">
        <v>9.0541578999999999</v>
      </c>
      <c r="C25" s="39">
        <v>23</v>
      </c>
      <c r="D25">
        <v>23</v>
      </c>
      <c r="E25" s="10">
        <v>1230210</v>
      </c>
      <c r="F25" s="10">
        <v>992250</v>
      </c>
      <c r="G25" s="10">
        <v>13911</v>
      </c>
      <c r="H25" s="10">
        <v>35781</v>
      </c>
      <c r="I25" s="10">
        <v>7086</v>
      </c>
      <c r="J25" s="10">
        <v>29300</v>
      </c>
      <c r="K25">
        <v>23</v>
      </c>
      <c r="L25" s="10">
        <v>1781</v>
      </c>
      <c r="M25" s="10">
        <v>377969</v>
      </c>
      <c r="N25" s="10">
        <v>4444</v>
      </c>
      <c r="O25">
        <v>-0.61646647235695107</v>
      </c>
      <c r="P25">
        <v>1.0238037076599713</v>
      </c>
      <c r="Q25">
        <v>-0.41029412335800752</v>
      </c>
      <c r="R25">
        <v>0.41029412335800752</v>
      </c>
      <c r="S25">
        <f t="shared" si="10"/>
        <v>1.4194665095797414</v>
      </c>
      <c r="T25" s="148">
        <f t="shared" si="5"/>
        <v>1.3887765395589506</v>
      </c>
      <c r="U25">
        <f t="shared" si="11"/>
        <v>2.357395155409884</v>
      </c>
      <c r="V25" s="55">
        <f t="shared" si="6"/>
        <v>2.3457538070791171</v>
      </c>
      <c r="W25">
        <f t="shared" si="12"/>
        <v>0.74490762194558802</v>
      </c>
      <c r="X25" s="55">
        <f t="shared" si="7"/>
        <v>0.76185525258285536</v>
      </c>
      <c r="Y25" s="149">
        <v>9.0541578999999999</v>
      </c>
      <c r="Z25" s="55">
        <f t="shared" si="3"/>
        <v>4.4787100025195266E-3</v>
      </c>
      <c r="AA25" s="55">
        <f t="shared" si="8"/>
        <v>4.4946266527492781E-3</v>
      </c>
      <c r="AB25" s="55">
        <f t="shared" si="4"/>
        <v>-5.4084202198857909</v>
      </c>
      <c r="AC25" s="55">
        <f t="shared" si="9"/>
        <v>-5.4049343924739857</v>
      </c>
      <c r="AD25" s="55"/>
      <c r="AE25" s="55"/>
      <c r="AF25" s="55"/>
      <c r="AG25" s="55"/>
      <c r="AH25" s="55"/>
    </row>
    <row r="26" spans="1:34" ht="15.75">
      <c r="A26" s="39">
        <v>8.8214561400000004</v>
      </c>
      <c r="B26" s="39">
        <v>9.0701052600000001</v>
      </c>
      <c r="C26" s="39">
        <v>24</v>
      </c>
      <c r="D26">
        <v>24</v>
      </c>
      <c r="E26" s="10">
        <v>1248478.75</v>
      </c>
      <c r="F26" s="10">
        <v>1012872.5</v>
      </c>
      <c r="G26" s="10">
        <v>13718.875</v>
      </c>
      <c r="H26" s="10">
        <v>36202.375</v>
      </c>
      <c r="I26" s="10">
        <v>8332.375</v>
      </c>
      <c r="J26" s="10">
        <v>30343.25</v>
      </c>
      <c r="K26">
        <v>24</v>
      </c>
      <c r="L26" s="10">
        <v>1563.666667</v>
      </c>
      <c r="M26" s="10">
        <v>377805.6667</v>
      </c>
      <c r="N26" s="10">
        <v>4621</v>
      </c>
      <c r="O26">
        <v>-0.56129328807142442</v>
      </c>
      <c r="P26">
        <v>1.0185314049336101</v>
      </c>
      <c r="Q26">
        <v>-0.42141856364641267</v>
      </c>
      <c r="R26">
        <v>0.42141856364641272</v>
      </c>
      <c r="S26">
        <f t="shared" si="10"/>
        <v>1.2924255579108743</v>
      </c>
      <c r="T26" s="148">
        <f t="shared" si="5"/>
        <v>1.3550099867996768</v>
      </c>
      <c r="U26">
        <f t="shared" si="11"/>
        <v>2.3452552297464124</v>
      </c>
      <c r="V26" s="55">
        <f t="shared" si="6"/>
        <v>2.3541065095752365</v>
      </c>
      <c r="W26">
        <f t="shared" si="12"/>
        <v>0.79380146564671217</v>
      </c>
      <c r="X26" s="55">
        <f t="shared" si="7"/>
        <v>0.78699112755398382</v>
      </c>
      <c r="Y26" s="149">
        <v>9.0701052600000001</v>
      </c>
      <c r="Z26" s="55">
        <f t="shared" si="3"/>
        <v>4.5622721517268958E-3</v>
      </c>
      <c r="AA26" s="55">
        <f t="shared" si="8"/>
        <v>4.4694806277673872E-3</v>
      </c>
      <c r="AB26" s="55">
        <f t="shared" si="4"/>
        <v>-5.3899345006680672</v>
      </c>
      <c r="AC26" s="55">
        <f t="shared" si="9"/>
        <v>-5.4106428190488076</v>
      </c>
      <c r="AD26" s="55"/>
      <c r="AE26" s="55"/>
      <c r="AF26" s="55"/>
      <c r="AG26" s="55"/>
      <c r="AH26" s="55"/>
    </row>
    <row r="27" spans="1:34" ht="15.75">
      <c r="A27" s="39">
        <v>8.83689474</v>
      </c>
      <c r="B27" s="39">
        <v>9.0860526299999993</v>
      </c>
      <c r="C27" s="39">
        <v>25</v>
      </c>
      <c r="D27">
        <v>25</v>
      </c>
      <c r="E27" s="10">
        <v>1279780</v>
      </c>
      <c r="F27" s="10">
        <v>1038590</v>
      </c>
      <c r="G27" s="10">
        <v>13452</v>
      </c>
      <c r="H27" s="10">
        <v>36982</v>
      </c>
      <c r="I27" s="10">
        <v>7911</v>
      </c>
      <c r="J27" s="10">
        <v>30612</v>
      </c>
      <c r="K27">
        <v>25</v>
      </c>
      <c r="L27" s="10">
        <v>1900</v>
      </c>
      <c r="M27" s="10">
        <v>391545</v>
      </c>
      <c r="N27" s="10">
        <v>4536</v>
      </c>
      <c r="O27">
        <v>-0.58766032014431813</v>
      </c>
      <c r="P27">
        <v>1.024791288169568</v>
      </c>
      <c r="Q27">
        <v>-0.43920353561907927</v>
      </c>
      <c r="R27">
        <v>0.43920353561907927</v>
      </c>
      <c r="S27">
        <f t="shared" si="10"/>
        <v>1.3531378929084152</v>
      </c>
      <c r="T27" s="148">
        <f t="shared" si="5"/>
        <v>1.3260592581285497</v>
      </c>
      <c r="U27">
        <f t="shared" si="11"/>
        <v>2.3596691435694126</v>
      </c>
      <c r="V27" s="55">
        <f t="shared" si="6"/>
        <v>2.3638771779021712</v>
      </c>
      <c r="W27">
        <f t="shared" si="12"/>
        <v>0.82226429506965137</v>
      </c>
      <c r="X27" s="55">
        <f t="shared" si="7"/>
        <v>0.81384611164743925</v>
      </c>
      <c r="Y27" s="149">
        <v>9.0860526299999993</v>
      </c>
      <c r="Z27" s="55">
        <f t="shared" si="3"/>
        <v>4.3674597290557391E-3</v>
      </c>
      <c r="AA27" s="55">
        <f t="shared" si="8"/>
        <v>4.4392816419958269E-3</v>
      </c>
      <c r="AB27" s="55">
        <f t="shared" si="4"/>
        <v>-5.4335737365925647</v>
      </c>
      <c r="AC27" s="55">
        <f t="shared" si="9"/>
        <v>-5.4174547372695523</v>
      </c>
      <c r="AD27" s="55"/>
      <c r="AE27" s="55"/>
      <c r="AF27" s="55"/>
      <c r="AG27" s="55"/>
      <c r="AH27" s="55"/>
    </row>
    <row r="28" spans="1:34" ht="15.75">
      <c r="A28" s="39">
        <v>8.8523333300000004</v>
      </c>
      <c r="B28" s="39">
        <v>9.1020000000000003</v>
      </c>
      <c r="C28" s="39">
        <v>26</v>
      </c>
      <c r="D28">
        <v>26</v>
      </c>
      <c r="E28" s="10">
        <v>1312460</v>
      </c>
      <c r="F28" s="10">
        <v>1057630</v>
      </c>
      <c r="G28" s="10">
        <v>13638</v>
      </c>
      <c r="H28" s="10">
        <v>36688</v>
      </c>
      <c r="I28" s="10">
        <v>8213</v>
      </c>
      <c r="J28" s="10">
        <v>31135</v>
      </c>
      <c r="K28">
        <v>26</v>
      </c>
      <c r="L28" s="10">
        <v>1800</v>
      </c>
      <c r="M28" s="10">
        <v>399078</v>
      </c>
      <c r="N28" s="10">
        <v>4641</v>
      </c>
      <c r="O28">
        <v>-0.57874704723010473</v>
      </c>
      <c r="P28">
        <v>1.0365337496766556</v>
      </c>
      <c r="Q28">
        <v>-0.42977335127724919</v>
      </c>
      <c r="R28">
        <v>0.42977335127724919</v>
      </c>
      <c r="S28">
        <f t="shared" si="10"/>
        <v>1.3326143235663601</v>
      </c>
      <c r="T28" s="148">
        <f t="shared" si="5"/>
        <v>1.3385788641800793</v>
      </c>
      <c r="U28">
        <f t="shared" si="11"/>
        <v>2.3867071603906891</v>
      </c>
      <c r="V28" s="55">
        <f t="shared" si="6"/>
        <v>2.3816059545709662</v>
      </c>
      <c r="W28">
        <f t="shared" si="12"/>
        <v>0.82547257422595421</v>
      </c>
      <c r="X28" s="55">
        <f t="shared" si="7"/>
        <v>0.82509634277791666</v>
      </c>
      <c r="Y28" s="149">
        <v>9.1020000000000003</v>
      </c>
      <c r="Z28" s="55">
        <f t="shared" si="3"/>
        <v>4.388113045204845E-3</v>
      </c>
      <c r="AA28" s="55">
        <f t="shared" si="8"/>
        <v>4.3684972581640039E-3</v>
      </c>
      <c r="AB28" s="55">
        <f t="shared" si="4"/>
        <v>-5.428855974548024</v>
      </c>
      <c r="AC28" s="55">
        <f t="shared" si="9"/>
        <v>-5.4333425886106506</v>
      </c>
      <c r="AD28" s="55"/>
      <c r="AE28" s="55"/>
      <c r="AF28" s="55"/>
      <c r="AG28" s="55"/>
      <c r="AH28" s="55"/>
    </row>
    <row r="29" spans="1:34" ht="15.75">
      <c r="A29" s="39">
        <v>8.86777193</v>
      </c>
      <c r="B29" s="39">
        <v>9.1179473699999996</v>
      </c>
      <c r="C29" s="39">
        <v>27</v>
      </c>
      <c r="D29">
        <v>27</v>
      </c>
      <c r="E29" s="10">
        <v>1339470</v>
      </c>
      <c r="F29" s="10">
        <v>1080250</v>
      </c>
      <c r="G29" s="10">
        <v>13802</v>
      </c>
      <c r="H29" s="10">
        <v>37599</v>
      </c>
      <c r="I29" s="10">
        <v>8351</v>
      </c>
      <c r="J29" s="10">
        <v>31575</v>
      </c>
      <c r="K29">
        <v>27</v>
      </c>
      <c r="L29" s="10">
        <v>1863</v>
      </c>
      <c r="M29" s="10">
        <v>413815</v>
      </c>
      <c r="N29" s="10">
        <v>4699</v>
      </c>
      <c r="O29">
        <v>-0.57760487554276962</v>
      </c>
      <c r="P29">
        <v>1.0416299345680684</v>
      </c>
      <c r="Q29">
        <v>-0.43523427131892595</v>
      </c>
      <c r="R29">
        <v>0.43523427131892595</v>
      </c>
      <c r="S29">
        <f t="shared" si="10"/>
        <v>1.3299843760654624</v>
      </c>
      <c r="T29" s="148">
        <f t="shared" si="5"/>
        <v>1.3557566384073587</v>
      </c>
      <c r="U29">
        <f t="shared" si="11"/>
        <v>2.3984415597527979</v>
      </c>
      <c r="V29" s="55">
        <f t="shared" si="6"/>
        <v>2.3923986106792317</v>
      </c>
      <c r="W29">
        <f t="shared" si="12"/>
        <v>0.82755215903814461</v>
      </c>
      <c r="X29" s="55">
        <f t="shared" si="7"/>
        <v>0.80726561872309954</v>
      </c>
      <c r="Y29" s="149">
        <v>9.1179473699999996</v>
      </c>
      <c r="Z29" s="55">
        <f t="shared" si="3"/>
        <v>4.3499190002314276E-3</v>
      </c>
      <c r="AA29" s="55">
        <f t="shared" si="8"/>
        <v>4.4663430867959925E-3</v>
      </c>
      <c r="AB29" s="55">
        <f t="shared" si="4"/>
        <v>-5.4375980546913638</v>
      </c>
      <c r="AC29" s="55">
        <f t="shared" si="9"/>
        <v>-5.4116599627842419</v>
      </c>
      <c r="AD29" s="55"/>
      <c r="AE29" s="55"/>
      <c r="AF29" s="55"/>
      <c r="AG29" s="55"/>
      <c r="AH29" s="55"/>
    </row>
    <row r="30" spans="1:34" ht="15.75">
      <c r="A30" s="39">
        <v>8.8832105299999995</v>
      </c>
      <c r="B30" s="39">
        <v>9.1338947400000006</v>
      </c>
      <c r="C30" s="39">
        <v>28</v>
      </c>
      <c r="D30">
        <v>28</v>
      </c>
      <c r="E30" s="10">
        <v>1342370</v>
      </c>
      <c r="F30" s="10">
        <v>1073590</v>
      </c>
      <c r="G30" s="10">
        <v>14868</v>
      </c>
      <c r="H30" s="10">
        <v>37682</v>
      </c>
      <c r="I30" s="10">
        <v>7872</v>
      </c>
      <c r="J30" s="10">
        <v>32072</v>
      </c>
      <c r="K30">
        <v>28</v>
      </c>
      <c r="L30" s="10">
        <v>2266</v>
      </c>
      <c r="M30" s="10">
        <v>412085</v>
      </c>
      <c r="N30" s="10">
        <v>5004</v>
      </c>
      <c r="O30">
        <v>-0.61004095781918011</v>
      </c>
      <c r="P30">
        <v>1.0388528611482648</v>
      </c>
      <c r="Q30">
        <v>-0.40388139280948954</v>
      </c>
      <c r="R30">
        <v>0.40388139280948954</v>
      </c>
      <c r="S30">
        <f t="shared" si="10"/>
        <v>1.4046712155902534</v>
      </c>
      <c r="T30" s="148">
        <f t="shared" si="5"/>
        <v>1.3704438304211433</v>
      </c>
      <c r="U30">
        <f t="shared" si="11"/>
        <v>2.3920471118942075</v>
      </c>
      <c r="V30" s="55">
        <f t="shared" si="6"/>
        <v>2.4020067434474317</v>
      </c>
      <c r="W30">
        <f t="shared" si="12"/>
        <v>0.76877212290520003</v>
      </c>
      <c r="X30" s="55">
        <f t="shared" si="7"/>
        <v>0.77935988082658103</v>
      </c>
      <c r="Y30" s="149">
        <v>9.1338947400000006</v>
      </c>
      <c r="Z30" s="55">
        <f t="shared" si="3"/>
        <v>4.6609972149517041E-3</v>
      </c>
      <c r="AA30" s="55">
        <f t="shared" si="8"/>
        <v>4.5642980662097309E-3</v>
      </c>
      <c r="AB30" s="55">
        <f t="shared" si="4"/>
        <v>-5.3685258591133369</v>
      </c>
      <c r="AC30" s="55">
        <f t="shared" si="9"/>
        <v>-5.3900528420371598</v>
      </c>
      <c r="AD30" s="55"/>
      <c r="AE30" s="55"/>
      <c r="AF30" s="55"/>
      <c r="AG30" s="55"/>
      <c r="AH30" s="55"/>
    </row>
    <row r="31" spans="1:34" ht="15.75">
      <c r="A31" s="39">
        <v>8.89864912</v>
      </c>
      <c r="B31" s="39">
        <v>9.1498421099999998</v>
      </c>
      <c r="C31" s="39">
        <v>29</v>
      </c>
      <c r="D31">
        <v>29</v>
      </c>
      <c r="E31" s="10">
        <v>1353910</v>
      </c>
      <c r="F31" s="10">
        <v>1083730</v>
      </c>
      <c r="G31" s="10">
        <v>15178</v>
      </c>
      <c r="H31" s="10">
        <v>37523</v>
      </c>
      <c r="I31" s="10">
        <v>8044</v>
      </c>
      <c r="J31" s="10">
        <v>31868</v>
      </c>
      <c r="K31">
        <v>29</v>
      </c>
      <c r="L31" s="10">
        <v>2024</v>
      </c>
      <c r="M31" s="10">
        <v>420097</v>
      </c>
      <c r="N31" s="10">
        <v>5074</v>
      </c>
      <c r="O31">
        <v>-0.59788274656882523</v>
      </c>
      <c r="P31">
        <v>1.0490520268045249</v>
      </c>
      <c r="Q31">
        <v>-0.3930830048669568</v>
      </c>
      <c r="R31">
        <v>0.3930830048669568</v>
      </c>
      <c r="S31">
        <f t="shared" si="10"/>
        <v>1.376675899607714</v>
      </c>
      <c r="T31" s="148">
        <f t="shared" si="5"/>
        <v>1.3678124757715697</v>
      </c>
      <c r="U31">
        <f t="shared" si="11"/>
        <v>2.4155315586952892</v>
      </c>
      <c r="V31" s="55">
        <f t="shared" si="6"/>
        <v>2.3955216763997895</v>
      </c>
      <c r="W31">
        <f t="shared" si="12"/>
        <v>0.74175536053639846</v>
      </c>
      <c r="X31" s="55">
        <f t="shared" si="7"/>
        <v>0.73874604215849971</v>
      </c>
      <c r="Y31" s="149">
        <v>9.1498421099999998</v>
      </c>
      <c r="Z31" s="55">
        <f t="shared" si="3"/>
        <v>4.6819779834460611E-3</v>
      </c>
      <c r="AA31" s="55">
        <f t="shared" si="8"/>
        <v>4.6606294909658681E-3</v>
      </c>
      <c r="AB31" s="55">
        <f t="shared" si="4"/>
        <v>-5.3640346123067761</v>
      </c>
      <c r="AC31" s="55">
        <f t="shared" si="9"/>
        <v>-5.3686118732256709</v>
      </c>
      <c r="AD31" s="55"/>
      <c r="AE31" s="55"/>
      <c r="AF31" s="55"/>
      <c r="AG31" s="55"/>
      <c r="AH31" s="55"/>
    </row>
    <row r="32" spans="1:34" ht="15.75">
      <c r="A32" s="39">
        <v>8.9140877199999995</v>
      </c>
      <c r="B32" s="39">
        <v>9.16578947</v>
      </c>
      <c r="C32" s="39">
        <v>30</v>
      </c>
      <c r="D32">
        <v>30</v>
      </c>
      <c r="E32" s="10">
        <v>1343670</v>
      </c>
      <c r="F32" s="10">
        <v>1082150</v>
      </c>
      <c r="G32" s="10">
        <v>15503</v>
      </c>
      <c r="H32" s="10">
        <v>38055</v>
      </c>
      <c r="I32" s="10">
        <v>8370</v>
      </c>
      <c r="J32" s="10">
        <v>31398</v>
      </c>
      <c r="K32">
        <v>30</v>
      </c>
      <c r="L32" s="10">
        <v>1698</v>
      </c>
      <c r="M32" s="10">
        <v>410764</v>
      </c>
      <c r="N32" s="10">
        <v>5020</v>
      </c>
      <c r="O32">
        <v>-0.57417652713004885</v>
      </c>
      <c r="P32">
        <v>1.0331806480673784</v>
      </c>
      <c r="Q32">
        <v>-0.38999597924412166</v>
      </c>
      <c r="R32">
        <v>0.3899959792441216</v>
      </c>
      <c r="S32">
        <f t="shared" si="10"/>
        <v>1.3220903121167418</v>
      </c>
      <c r="T32" s="148">
        <f t="shared" si="5"/>
        <v>1.3578600849307267</v>
      </c>
      <c r="U32">
        <f t="shared" si="11"/>
        <v>2.3789863586098727</v>
      </c>
      <c r="V32" s="55">
        <f t="shared" si="6"/>
        <v>2.3941308766123908</v>
      </c>
      <c r="W32">
        <f t="shared" si="12"/>
        <v>0.70571064303390063</v>
      </c>
      <c r="X32" s="55">
        <f t="shared" si="7"/>
        <v>0.697924957954557</v>
      </c>
      <c r="Y32" s="149">
        <v>9.16578947</v>
      </c>
      <c r="Z32" s="55">
        <f t="shared" si="3"/>
        <v>4.6389132744998384E-3</v>
      </c>
      <c r="AA32" s="55">
        <f t="shared" si="8"/>
        <v>4.5356051205214902E-3</v>
      </c>
      <c r="AB32" s="55">
        <f t="shared" si="4"/>
        <v>-5.3732751482569006</v>
      </c>
      <c r="AC32" s="55">
        <f t="shared" si="9"/>
        <v>-5.3965762835421174</v>
      </c>
      <c r="AD32" s="55"/>
      <c r="AE32" s="55"/>
      <c r="AF32" s="55"/>
      <c r="AG32" s="55"/>
      <c r="AH32" s="55"/>
    </row>
    <row r="33" spans="1:34" ht="15.75">
      <c r="A33" s="39">
        <v>8.9295263200000008</v>
      </c>
      <c r="B33" s="39">
        <v>9.1817368399999992</v>
      </c>
      <c r="C33" s="39">
        <v>31</v>
      </c>
      <c r="D33">
        <v>31</v>
      </c>
      <c r="E33" s="10">
        <v>1346450</v>
      </c>
      <c r="F33" s="10">
        <v>1089380</v>
      </c>
      <c r="G33" s="10">
        <v>16609</v>
      </c>
      <c r="H33" s="10">
        <v>38395</v>
      </c>
      <c r="I33" s="10">
        <v>8016</v>
      </c>
      <c r="J33" s="10">
        <v>31698</v>
      </c>
      <c r="K33">
        <v>31</v>
      </c>
      <c r="L33" s="10">
        <v>1819</v>
      </c>
      <c r="M33" s="10">
        <v>418134</v>
      </c>
      <c r="N33" s="10">
        <v>4669</v>
      </c>
      <c r="O33">
        <v>-0.59707415254741247</v>
      </c>
      <c r="P33">
        <v>1.037040811128966</v>
      </c>
      <c r="Q33">
        <v>-0.36393118682793979</v>
      </c>
      <c r="R33">
        <v>0.36393118682793979</v>
      </c>
      <c r="S33">
        <f t="shared" si="10"/>
        <v>1.3748140430677247</v>
      </c>
      <c r="T33" s="148">
        <f t="shared" si="5"/>
        <v>1.3575119394477355</v>
      </c>
      <c r="U33">
        <f t="shared" si="11"/>
        <v>2.3878747125320108</v>
      </c>
      <c r="V33" s="55">
        <f t="shared" si="6"/>
        <v>2.3957814119671084</v>
      </c>
      <c r="W33">
        <f t="shared" si="12"/>
        <v>0.64630887029337203</v>
      </c>
      <c r="X33" s="55">
        <f t="shared" si="7"/>
        <v>0.71937753864968912</v>
      </c>
      <c r="Y33" s="149">
        <v>9.1817368399999992</v>
      </c>
      <c r="Z33" s="55">
        <f t="shared" si="3"/>
        <v>4.285924103618572E-3</v>
      </c>
      <c r="AA33" s="55">
        <f t="shared" si="8"/>
        <v>4.4315835086981975E-3</v>
      </c>
      <c r="AB33" s="55">
        <f t="shared" si="4"/>
        <v>-5.4524190900626746</v>
      </c>
      <c r="AC33" s="55">
        <f t="shared" si="9"/>
        <v>-5.4195687943322355</v>
      </c>
      <c r="AD33" s="55"/>
      <c r="AE33" s="55"/>
      <c r="AF33" s="55"/>
      <c r="AG33" s="55"/>
      <c r="AH33" s="55"/>
    </row>
    <row r="34" spans="1:34" ht="15.75">
      <c r="A34" s="39">
        <v>8.9449649099999995</v>
      </c>
      <c r="B34" s="39">
        <v>9.1976842100000002</v>
      </c>
      <c r="C34" s="39">
        <v>32</v>
      </c>
      <c r="D34">
        <v>32</v>
      </c>
      <c r="E34" s="10">
        <v>1365300</v>
      </c>
      <c r="F34" s="10">
        <v>1098420</v>
      </c>
      <c r="G34" s="10">
        <v>14081</v>
      </c>
      <c r="H34" s="10">
        <v>37474</v>
      </c>
      <c r="I34" s="10">
        <v>7967</v>
      </c>
      <c r="J34" s="10">
        <v>31530</v>
      </c>
      <c r="K34">
        <v>32</v>
      </c>
      <c r="L34" s="10">
        <v>1756</v>
      </c>
      <c r="M34" s="10">
        <v>421631</v>
      </c>
      <c r="N34" s="10">
        <v>4800</v>
      </c>
      <c r="O34">
        <v>-0.59742915358233739</v>
      </c>
      <c r="P34">
        <v>1.0512024819947452</v>
      </c>
      <c r="Q34">
        <v>-0.42509655396421753</v>
      </c>
      <c r="R34">
        <v>0.42509655396421753</v>
      </c>
      <c r="S34">
        <f t="shared" si="10"/>
        <v>1.3756314631587405</v>
      </c>
      <c r="T34" s="148">
        <f t="shared" si="5"/>
        <v>1.3490087108445807</v>
      </c>
      <c r="U34">
        <f t="shared" si="11"/>
        <v>2.4204831647594416</v>
      </c>
      <c r="V34" s="55">
        <f t="shared" si="6"/>
        <v>2.3949224688741442</v>
      </c>
      <c r="W34">
        <f t="shared" si="12"/>
        <v>0.80611310262179481</v>
      </c>
      <c r="X34" s="55">
        <f t="shared" si="7"/>
        <v>0.70388788380801548</v>
      </c>
      <c r="Y34" s="149">
        <v>9.1976842100000002</v>
      </c>
      <c r="Z34" s="55">
        <f t="shared" si="3"/>
        <v>4.3699131479761838E-3</v>
      </c>
      <c r="AA34" s="55">
        <f t="shared" si="8"/>
        <v>4.3551287807476529E-3</v>
      </c>
      <c r="AB34" s="55">
        <f t="shared" si="4"/>
        <v>-5.4330121446771331</v>
      </c>
      <c r="AC34" s="55">
        <f t="shared" si="9"/>
        <v>-5.4364713588364397</v>
      </c>
      <c r="AD34" s="55"/>
      <c r="AE34" s="55"/>
      <c r="AF34" s="55"/>
      <c r="AG34" s="55"/>
      <c r="AH34" s="55"/>
    </row>
    <row r="35" spans="1:34" ht="15.75">
      <c r="A35" s="39">
        <v>8.9604035100000008</v>
      </c>
      <c r="B35" s="39">
        <v>9.2136315799999995</v>
      </c>
      <c r="C35" s="39">
        <v>33</v>
      </c>
      <c r="D35">
        <v>33</v>
      </c>
      <c r="E35" s="10">
        <v>1403700</v>
      </c>
      <c r="F35" s="10">
        <v>1115080</v>
      </c>
      <c r="G35" s="10">
        <v>17458</v>
      </c>
      <c r="H35" s="10">
        <v>40565</v>
      </c>
      <c r="I35" s="10">
        <v>9230</v>
      </c>
      <c r="J35" s="10">
        <v>33752</v>
      </c>
      <c r="K35">
        <v>33</v>
      </c>
      <c r="L35" s="10">
        <v>1810</v>
      </c>
      <c r="M35" s="10">
        <v>436730</v>
      </c>
      <c r="N35" s="10">
        <v>4917</v>
      </c>
      <c r="O35">
        <v>-0.56309781134791248</v>
      </c>
      <c r="P35">
        <v>1.0320615453307485</v>
      </c>
      <c r="Q35">
        <v>-0.36615699115709099</v>
      </c>
      <c r="R35">
        <v>0.36615699115709099</v>
      </c>
      <c r="S35">
        <f t="shared" si="10"/>
        <v>1.2965806263072768</v>
      </c>
      <c r="T35" s="148">
        <f t="shared" si="5"/>
        <v>1.2868948390364199</v>
      </c>
      <c r="U35">
        <f t="shared" si="11"/>
        <v>2.3764095293309802</v>
      </c>
      <c r="V35" s="55">
        <f t="shared" si="6"/>
        <v>2.3851852823636719</v>
      </c>
      <c r="W35">
        <f t="shared" si="12"/>
        <v>0.6592416785088796</v>
      </c>
      <c r="X35" s="55">
        <f t="shared" si="7"/>
        <v>0.70971052531105361</v>
      </c>
      <c r="Y35" s="149">
        <v>9.2136315799999995</v>
      </c>
      <c r="Z35" s="55">
        <f t="shared" si="3"/>
        <v>4.4095490906482047E-3</v>
      </c>
      <c r="AA35" s="55">
        <f t="shared" si="8"/>
        <v>4.4502677578204591E-3</v>
      </c>
      <c r="AB35" s="55">
        <f t="shared" si="4"/>
        <v>-5.4239828417695133</v>
      </c>
      <c r="AC35" s="55">
        <f t="shared" si="9"/>
        <v>-5.4149812201657062</v>
      </c>
      <c r="AD35" s="55"/>
      <c r="AE35" s="55"/>
      <c r="AF35" s="55"/>
      <c r="AG35" s="55"/>
      <c r="AH35" s="55"/>
    </row>
    <row r="36" spans="1:34" ht="15.75">
      <c r="A36" s="39">
        <v>8.9758421100000003</v>
      </c>
      <c r="B36" s="39">
        <v>9.2295789500000005</v>
      </c>
      <c r="C36" s="39">
        <v>34</v>
      </c>
      <c r="D36">
        <v>34</v>
      </c>
      <c r="E36" s="10">
        <v>1397290</v>
      </c>
      <c r="F36" s="10">
        <v>1109740</v>
      </c>
      <c r="G36" s="10">
        <v>17327</v>
      </c>
      <c r="H36" s="10">
        <v>40487</v>
      </c>
      <c r="I36" s="10">
        <v>10253</v>
      </c>
      <c r="J36" s="10">
        <v>33651</v>
      </c>
      <c r="K36">
        <v>34</v>
      </c>
      <c r="L36" s="10">
        <v>1980</v>
      </c>
      <c r="M36" s="10">
        <v>428223</v>
      </c>
      <c r="N36" s="10">
        <v>5073</v>
      </c>
      <c r="O36">
        <v>-0.51614701721962164</v>
      </c>
      <c r="P36">
        <v>1.0243543920166829</v>
      </c>
      <c r="Q36">
        <v>-0.36859222227410365</v>
      </c>
      <c r="R36">
        <v>0.36859222227410365</v>
      </c>
      <c r="S36">
        <f t="shared" si="10"/>
        <v>1.1884724276432419</v>
      </c>
      <c r="T36" s="148">
        <f t="shared" si="5"/>
        <v>1.2725593575084302</v>
      </c>
      <c r="U36">
        <f t="shared" si="11"/>
        <v>2.358663153000593</v>
      </c>
      <c r="V36" s="55">
        <f t="shared" si="6"/>
        <v>2.3675964998414489</v>
      </c>
      <c r="W36">
        <f t="shared" si="12"/>
        <v>0.66377679480248641</v>
      </c>
      <c r="X36" s="55">
        <f t="shared" si="7"/>
        <v>0.66225364444194135</v>
      </c>
      <c r="Y36" s="149">
        <v>9.2295789500000005</v>
      </c>
      <c r="Z36" s="55">
        <f t="shared" si="3"/>
        <v>4.5713410348369888E-3</v>
      </c>
      <c r="AA36" s="55">
        <f t="shared" si="8"/>
        <v>4.5264947823255401E-3</v>
      </c>
      <c r="AB36" s="55">
        <f t="shared" si="4"/>
        <v>-5.3879486740504703</v>
      </c>
      <c r="AC36" s="55">
        <f t="shared" si="9"/>
        <v>-5.3979787140123667</v>
      </c>
      <c r="AD36" s="55"/>
      <c r="AE36" s="55"/>
      <c r="AF36" s="55"/>
      <c r="AG36" s="55"/>
      <c r="AH36" s="55"/>
    </row>
    <row r="37" spans="1:34" ht="15.75">
      <c r="A37" s="39">
        <v>8.9912807000000008</v>
      </c>
      <c r="B37" s="39">
        <v>9.2455263199999997</v>
      </c>
      <c r="C37" s="39">
        <v>35</v>
      </c>
      <c r="D37">
        <v>35</v>
      </c>
      <c r="E37" s="10">
        <v>1391990</v>
      </c>
      <c r="F37" s="10">
        <v>1106860</v>
      </c>
      <c r="G37" s="10">
        <v>17100</v>
      </c>
      <c r="H37" s="10">
        <v>40183</v>
      </c>
      <c r="I37" s="10">
        <v>8760</v>
      </c>
      <c r="J37" s="10">
        <v>33209</v>
      </c>
      <c r="K37">
        <v>35</v>
      </c>
      <c r="L37" s="10">
        <v>1876</v>
      </c>
      <c r="M37" s="10">
        <v>428873</v>
      </c>
      <c r="N37" s="10">
        <v>5090</v>
      </c>
      <c r="O37">
        <v>-0.57875169201324206</v>
      </c>
      <c r="P37">
        <v>1.028286348416352</v>
      </c>
      <c r="Q37">
        <v>-0.37104624697798788</v>
      </c>
      <c r="R37">
        <v>0.37104624697798783</v>
      </c>
      <c r="S37">
        <f t="shared" si="10"/>
        <v>1.3326250185747723</v>
      </c>
      <c r="T37" s="148">
        <f t="shared" si="5"/>
        <v>1.2992983532668825</v>
      </c>
      <c r="U37">
        <f t="shared" si="11"/>
        <v>2.3677168171927732</v>
      </c>
      <c r="V37" s="55">
        <f t="shared" si="6"/>
        <v>2.3630549608778737</v>
      </c>
      <c r="W37">
        <f t="shared" si="12"/>
        <v>0.66374246001445814</v>
      </c>
      <c r="X37" s="55">
        <f t="shared" si="7"/>
        <v>0.68111511085964105</v>
      </c>
      <c r="Y37" s="149">
        <v>9.2455263199999997</v>
      </c>
      <c r="Z37" s="55">
        <f t="shared" si="3"/>
        <v>4.598594221491426E-3</v>
      </c>
      <c r="AA37" s="55">
        <f t="shared" si="8"/>
        <v>4.4816122687466329E-3</v>
      </c>
      <c r="AB37" s="55">
        <f t="shared" si="4"/>
        <v>-5.3820046262171166</v>
      </c>
      <c r="AC37" s="55">
        <f t="shared" si="9"/>
        <v>-5.4083158354622158</v>
      </c>
      <c r="AD37" s="55"/>
      <c r="AE37" s="55"/>
      <c r="AF37" s="55"/>
      <c r="AG37" s="55"/>
      <c r="AH37" s="55"/>
    </row>
    <row r="38" spans="1:34" ht="15.75">
      <c r="A38" s="39">
        <v>9.0067193000000003</v>
      </c>
      <c r="B38" s="39">
        <v>9.2614736799999999</v>
      </c>
      <c r="C38" s="39">
        <v>36</v>
      </c>
      <c r="D38">
        <v>36</v>
      </c>
      <c r="E38" s="10">
        <v>1376580</v>
      </c>
      <c r="F38" s="10">
        <v>1107160</v>
      </c>
      <c r="G38" s="10">
        <v>16392</v>
      </c>
      <c r="H38" s="10">
        <v>39390</v>
      </c>
      <c r="I38" s="10">
        <v>8464</v>
      </c>
      <c r="J38" s="10">
        <v>33536</v>
      </c>
      <c r="K38">
        <v>36</v>
      </c>
      <c r="L38" s="10">
        <v>2121</v>
      </c>
      <c r="M38" s="10">
        <v>418341</v>
      </c>
      <c r="N38" s="10">
        <v>4733</v>
      </c>
      <c r="O38">
        <v>-0.59793560627650333</v>
      </c>
      <c r="P38">
        <v>1.0261444493970608</v>
      </c>
      <c r="Q38">
        <v>-0.38075403541600322</v>
      </c>
      <c r="R38">
        <v>0.38075403541600322</v>
      </c>
      <c r="S38">
        <f t="shared" si="10"/>
        <v>1.3767976135826334</v>
      </c>
      <c r="T38" s="148">
        <f t="shared" si="5"/>
        <v>1.3662358756319026</v>
      </c>
      <c r="U38">
        <f t="shared" si="11"/>
        <v>2.3627849124402553</v>
      </c>
      <c r="V38" s="55">
        <f t="shared" si="6"/>
        <v>2.3646974372353231</v>
      </c>
      <c r="W38">
        <f t="shared" si="12"/>
        <v>0.71582607776197837</v>
      </c>
      <c r="X38" s="55">
        <f t="shared" si="7"/>
        <v>0.66575452311065619</v>
      </c>
      <c r="Y38" s="149">
        <v>9.2614736799999999</v>
      </c>
      <c r="Z38" s="55">
        <f t="shared" si="3"/>
        <v>4.2749015499114855E-3</v>
      </c>
      <c r="AA38" s="55">
        <f t="shared" si="8"/>
        <v>4.4444726337268649E-3</v>
      </c>
      <c r="AB38" s="55">
        <f t="shared" si="4"/>
        <v>-5.4549942061190624</v>
      </c>
      <c r="AC38" s="55">
        <f t="shared" si="9"/>
        <v>-5.4165409350432894</v>
      </c>
      <c r="AD38" s="55"/>
      <c r="AE38" s="55"/>
      <c r="AF38" s="55"/>
      <c r="AG38" s="55"/>
      <c r="AH38" s="55"/>
    </row>
    <row r="39" spans="1:34" ht="15.75">
      <c r="A39" s="39">
        <v>9.0221578999999998</v>
      </c>
      <c r="B39" s="39">
        <v>9.2774210499999992</v>
      </c>
      <c r="C39" s="39">
        <v>37</v>
      </c>
      <c r="D39">
        <v>37</v>
      </c>
      <c r="E39" s="10">
        <v>1376590</v>
      </c>
      <c r="F39" s="10">
        <v>1106970</v>
      </c>
      <c r="G39" s="10">
        <v>17695</v>
      </c>
      <c r="H39" s="10">
        <v>39191</v>
      </c>
      <c r="I39" s="10">
        <v>8180</v>
      </c>
      <c r="J39" s="10">
        <v>32818</v>
      </c>
      <c r="K39">
        <v>37</v>
      </c>
      <c r="L39" s="10">
        <v>1995</v>
      </c>
      <c r="M39" s="10">
        <v>416563</v>
      </c>
      <c r="N39" s="10">
        <v>4937</v>
      </c>
      <c r="O39">
        <v>-0.60335880700583322</v>
      </c>
      <c r="P39">
        <v>1.0264943472727732</v>
      </c>
      <c r="Q39">
        <v>-0.34533577813103261</v>
      </c>
      <c r="R39">
        <v>0.34533577813103267</v>
      </c>
      <c r="S39">
        <f t="shared" si="10"/>
        <v>1.3892849947383028</v>
      </c>
      <c r="T39" s="148">
        <f t="shared" si="5"/>
        <v>1.3607502575152364</v>
      </c>
      <c r="U39">
        <f t="shared" si="11"/>
        <v>2.3635905820729408</v>
      </c>
      <c r="V39" s="55">
        <f t="shared" si="6"/>
        <v>2.3638055646826315</v>
      </c>
      <c r="W39">
        <f t="shared" si="12"/>
        <v>0.61769503155553196</v>
      </c>
      <c r="X39" s="55">
        <f t="shared" si="7"/>
        <v>0.67602721027333557</v>
      </c>
      <c r="Y39" s="149">
        <v>9.2774210499999992</v>
      </c>
      <c r="Z39" s="55">
        <f t="shared" si="3"/>
        <v>4.4599221297776815E-3</v>
      </c>
      <c r="AA39" s="55">
        <f t="shared" si="8"/>
        <v>4.3945337830454401E-3</v>
      </c>
      <c r="AB39" s="55">
        <f t="shared" si="4"/>
        <v>-5.4126239727936891</v>
      </c>
      <c r="AC39" s="55">
        <f t="shared" si="9"/>
        <v>-5.4275813601571983</v>
      </c>
      <c r="AD39" s="55"/>
      <c r="AE39" s="55"/>
      <c r="AF39" s="55"/>
      <c r="AG39" s="55"/>
      <c r="AH39" s="55"/>
    </row>
    <row r="40" spans="1:34" ht="15.75">
      <c r="A40" s="39">
        <v>9.0375964900000003</v>
      </c>
      <c r="B40" s="39">
        <v>9.2933684200000002</v>
      </c>
      <c r="C40" s="39">
        <v>38</v>
      </c>
      <c r="D40">
        <v>38</v>
      </c>
      <c r="E40" s="10">
        <v>1361860</v>
      </c>
      <c r="F40" s="10">
        <v>1107720</v>
      </c>
      <c r="G40" s="10">
        <v>16262</v>
      </c>
      <c r="H40" s="10">
        <v>38487</v>
      </c>
      <c r="I40" s="10">
        <v>8734</v>
      </c>
      <c r="J40" s="10">
        <v>32570</v>
      </c>
      <c r="K40">
        <v>38</v>
      </c>
      <c r="L40" s="10">
        <v>1731</v>
      </c>
      <c r="M40" s="10">
        <v>409674</v>
      </c>
      <c r="N40" s="10">
        <v>4928</v>
      </c>
      <c r="O40">
        <v>-0.57160457097955186</v>
      </c>
      <c r="P40">
        <v>1.0271243424317673</v>
      </c>
      <c r="Q40">
        <v>-0.37414010312621043</v>
      </c>
      <c r="R40">
        <v>0.37414010312621038</v>
      </c>
      <c r="S40">
        <f t="shared" si="10"/>
        <v>1.3161681642247729</v>
      </c>
      <c r="T40" s="148">
        <f t="shared" si="5"/>
        <v>1.3282847204200066</v>
      </c>
      <c r="U40">
        <f t="shared" si="11"/>
        <v>2.3650411995346987</v>
      </c>
      <c r="V40" s="55">
        <f t="shared" si="6"/>
        <v>2.3653396403522464</v>
      </c>
      <c r="W40">
        <f t="shared" si="12"/>
        <v>0.69456052150249625</v>
      </c>
      <c r="X40" s="55">
        <f t="shared" si="7"/>
        <v>0.65983376647863179</v>
      </c>
      <c r="Y40" s="149">
        <v>9.2933684200000002</v>
      </c>
      <c r="Z40" s="55">
        <f t="shared" si="3"/>
        <v>4.4487776694471523E-3</v>
      </c>
      <c r="AA40" s="55">
        <f t="shared" si="8"/>
        <v>4.483228876132412E-3</v>
      </c>
      <c r="AB40" s="55">
        <f t="shared" si="4"/>
        <v>-5.4151259015588415</v>
      </c>
      <c r="AC40" s="55">
        <f t="shared" si="9"/>
        <v>-5.4074536005491822</v>
      </c>
      <c r="AD40" s="55"/>
      <c r="AE40" s="55"/>
      <c r="AF40" s="55"/>
      <c r="AG40" s="55"/>
      <c r="AH40" s="55"/>
    </row>
    <row r="41" spans="1:34" ht="15.75">
      <c r="A41" s="39">
        <v>9.0530350899999998</v>
      </c>
      <c r="B41" s="39">
        <v>9.3093157899999994</v>
      </c>
      <c r="C41" s="39">
        <v>39</v>
      </c>
      <c r="D41">
        <v>39</v>
      </c>
      <c r="E41" s="10">
        <v>1376900</v>
      </c>
      <c r="F41" s="10">
        <v>1119140</v>
      </c>
      <c r="G41" s="10">
        <v>16524</v>
      </c>
      <c r="H41" s="10">
        <v>38772</v>
      </c>
      <c r="I41" s="10">
        <v>8959</v>
      </c>
      <c r="J41" s="10">
        <v>32203</v>
      </c>
      <c r="K41">
        <v>39</v>
      </c>
      <c r="L41" s="10">
        <v>1967</v>
      </c>
      <c r="M41" s="10">
        <v>413677</v>
      </c>
      <c r="N41" s="10">
        <v>5082</v>
      </c>
      <c r="O41">
        <v>-0.55563679543905231</v>
      </c>
      <c r="P41">
        <v>1.0281431711914684</v>
      </c>
      <c r="Q41">
        <v>-0.37040301776072032</v>
      </c>
      <c r="R41">
        <v>0.37040301776072038</v>
      </c>
      <c r="S41">
        <f t="shared" si="10"/>
        <v>1.279401002296944</v>
      </c>
      <c r="T41" s="148">
        <f t="shared" si="5"/>
        <v>1.2724680274203228</v>
      </c>
      <c r="U41">
        <f t="shared" si="11"/>
        <v>2.3673871394491002</v>
      </c>
      <c r="V41" s="55">
        <f t="shared" si="6"/>
        <v>2.3752554949311864</v>
      </c>
      <c r="W41">
        <f t="shared" si="12"/>
        <v>0.66724574637786715</v>
      </c>
      <c r="X41" s="55">
        <f t="shared" si="7"/>
        <v>0.66611497386063168</v>
      </c>
      <c r="Y41" s="149">
        <v>9.3093157899999994</v>
      </c>
      <c r="Z41" s="55">
        <f t="shared" si="3"/>
        <v>4.5409868291724003E-3</v>
      </c>
      <c r="AA41" s="55">
        <f t="shared" si="8"/>
        <v>4.562718957689422E-3</v>
      </c>
      <c r="AB41" s="55">
        <f t="shared" si="4"/>
        <v>-5.3946109272950169</v>
      </c>
      <c r="AC41" s="55">
        <f t="shared" si="9"/>
        <v>-5.3900905685404581</v>
      </c>
      <c r="AD41" s="55"/>
      <c r="AE41" s="55"/>
      <c r="AF41" s="55"/>
      <c r="AG41" s="55"/>
      <c r="AH41" s="55"/>
    </row>
    <row r="42" spans="1:34" ht="15.75">
      <c r="A42" s="39">
        <v>9.0684736800000003</v>
      </c>
      <c r="B42" s="39">
        <v>9.3252631600000004</v>
      </c>
      <c r="C42" s="39">
        <v>40</v>
      </c>
      <c r="D42">
        <v>40</v>
      </c>
      <c r="E42" s="10">
        <v>1377300</v>
      </c>
      <c r="F42" s="10">
        <v>1124640</v>
      </c>
      <c r="G42" s="10">
        <v>17325</v>
      </c>
      <c r="H42" s="10">
        <v>38329</v>
      </c>
      <c r="I42" s="10">
        <v>9649</v>
      </c>
      <c r="J42" s="10">
        <v>32743</v>
      </c>
      <c r="K42">
        <v>40</v>
      </c>
      <c r="L42" s="10">
        <v>2006</v>
      </c>
      <c r="M42" s="10">
        <v>419702</v>
      </c>
      <c r="N42" s="10">
        <v>5284</v>
      </c>
      <c r="O42">
        <v>-0.53063616170228167</v>
      </c>
      <c r="P42">
        <v>1.0394135500537394</v>
      </c>
      <c r="Q42">
        <v>-0.34485424541618465</v>
      </c>
      <c r="R42">
        <v>0.34485424541618465</v>
      </c>
      <c r="S42">
        <f t="shared" si="10"/>
        <v>1.2218349157392518</v>
      </c>
      <c r="T42" s="148">
        <f t="shared" si="5"/>
        <v>1.2261044701174013</v>
      </c>
      <c r="U42">
        <f t="shared" si="11"/>
        <v>2.3933381458097607</v>
      </c>
      <c r="V42" s="55">
        <f t="shared" si="6"/>
        <v>2.3827609665966976</v>
      </c>
      <c r="W42">
        <f t="shared" si="12"/>
        <v>0.63653865370153162</v>
      </c>
      <c r="X42" s="55">
        <f t="shared" si="7"/>
        <v>0.67259638285207224</v>
      </c>
      <c r="Y42" s="149">
        <v>9.3252631600000004</v>
      </c>
      <c r="Z42" s="55">
        <f t="shared" si="3"/>
        <v>4.6983923744487125E-3</v>
      </c>
      <c r="AA42" s="55">
        <f t="shared" si="8"/>
        <v>4.6037290948701681E-3</v>
      </c>
      <c r="AB42" s="55">
        <f t="shared" si="4"/>
        <v>-5.3605348767675167</v>
      </c>
      <c r="AC42" s="55">
        <f t="shared" si="9"/>
        <v>-5.3809974383432033</v>
      </c>
      <c r="AD42" s="55"/>
      <c r="AE42" s="55"/>
      <c r="AF42" s="55"/>
      <c r="AG42" s="55"/>
      <c r="AH42" s="55"/>
    </row>
    <row r="43" spans="1:34" ht="15.75">
      <c r="A43" s="39">
        <v>9.0839122799999998</v>
      </c>
      <c r="B43" s="39">
        <v>9.3412105299999997</v>
      </c>
      <c r="C43" s="39">
        <v>41</v>
      </c>
      <c r="D43">
        <v>41</v>
      </c>
      <c r="E43" s="10">
        <v>1365070</v>
      </c>
      <c r="F43" s="10">
        <v>1114220</v>
      </c>
      <c r="G43" s="10">
        <v>15586</v>
      </c>
      <c r="H43" s="10">
        <v>37948</v>
      </c>
      <c r="I43" s="10">
        <v>9809</v>
      </c>
      <c r="J43" s="10">
        <v>31829</v>
      </c>
      <c r="K43">
        <v>41</v>
      </c>
      <c r="L43" s="10">
        <v>2172</v>
      </c>
      <c r="M43" s="10">
        <v>413135</v>
      </c>
      <c r="N43" s="10">
        <v>5094</v>
      </c>
      <c r="O43">
        <v>-0.5111982596853597</v>
      </c>
      <c r="P43">
        <v>1.036903097217005</v>
      </c>
      <c r="Q43">
        <v>-0.38645422000548074</v>
      </c>
      <c r="R43">
        <v>0.38645422000548074</v>
      </c>
      <c r="S43">
        <f t="shared" si="10"/>
        <v>1.1770774923160083</v>
      </c>
      <c r="T43" s="148">
        <f t="shared" si="5"/>
        <v>1.2056776273328287</v>
      </c>
      <c r="U43">
        <f t="shared" si="11"/>
        <v>2.3875576145312314</v>
      </c>
      <c r="V43" s="55">
        <f t="shared" si="6"/>
        <v>2.3839217966614323</v>
      </c>
      <c r="W43">
        <f t="shared" si="12"/>
        <v>0.71400474847681772</v>
      </c>
      <c r="X43" s="55">
        <f t="shared" si="7"/>
        <v>0.66666735822418899</v>
      </c>
      <c r="Y43" s="149">
        <v>9.3412105299999997</v>
      </c>
      <c r="Z43" s="55">
        <f t="shared" si="3"/>
        <v>4.5718080809893915E-3</v>
      </c>
      <c r="AA43" s="55">
        <f t="shared" si="8"/>
        <v>4.6121459310879435E-3</v>
      </c>
      <c r="AB43" s="55">
        <f t="shared" si="4"/>
        <v>-5.3878465109670746</v>
      </c>
      <c r="AC43" s="55">
        <f t="shared" si="9"/>
        <v>-5.3791490468617065</v>
      </c>
      <c r="AD43" s="55"/>
      <c r="AE43" s="55"/>
      <c r="AF43" s="55"/>
      <c r="AG43" s="55"/>
      <c r="AH43" s="55"/>
    </row>
    <row r="44" spans="1:34" ht="15.75">
      <c r="A44" s="39">
        <v>9.0993508799999994</v>
      </c>
      <c r="B44" s="39">
        <v>9.3571579000000007</v>
      </c>
      <c r="C44" s="39">
        <v>42</v>
      </c>
      <c r="D44">
        <v>42</v>
      </c>
      <c r="E44" s="10">
        <v>1372686.6669999999</v>
      </c>
      <c r="F44" s="10">
        <v>1115433.3330000001</v>
      </c>
      <c r="G44" s="10">
        <v>17045.666669999999</v>
      </c>
      <c r="H44" s="10">
        <v>38915.666669999999</v>
      </c>
      <c r="I44" s="10">
        <v>9652.6666669999995</v>
      </c>
      <c r="J44" s="10">
        <v>32634</v>
      </c>
      <c r="K44">
        <v>42</v>
      </c>
      <c r="L44" s="10">
        <v>2137.333333</v>
      </c>
      <c r="M44" s="10">
        <v>416658.3333</v>
      </c>
      <c r="N44" s="10">
        <v>5093.3333329999996</v>
      </c>
      <c r="O44">
        <v>-0.52902300012691683</v>
      </c>
      <c r="P44">
        <v>1.0296555974660933</v>
      </c>
      <c r="Q44">
        <v>-0.35851048330069352</v>
      </c>
      <c r="R44">
        <v>0.35851048330069357</v>
      </c>
      <c r="S44">
        <f t="shared" si="10"/>
        <v>1.2181204739432259</v>
      </c>
      <c r="T44" s="148">
        <f t="shared" si="5"/>
        <v>1.2180050301889622</v>
      </c>
      <c r="U44">
        <f t="shared" si="11"/>
        <v>2.3708696296433041</v>
      </c>
      <c r="V44" s="55">
        <f t="shared" si="6"/>
        <v>2.3710519586976009</v>
      </c>
      <c r="W44">
        <f t="shared" si="12"/>
        <v>0.64945867249421774</v>
      </c>
      <c r="X44" s="55">
        <f t="shared" si="7"/>
        <v>0.65170910859627273</v>
      </c>
      <c r="Y44" s="149">
        <v>9.3571579000000007</v>
      </c>
      <c r="Z44" s="55">
        <f t="shared" si="3"/>
        <v>4.5662373378257282E-3</v>
      </c>
      <c r="AA44" s="55">
        <f t="shared" si="8"/>
        <v>4.5662413721583913E-3</v>
      </c>
      <c r="AB44" s="55">
        <f t="shared" si="4"/>
        <v>-5.3890657528505281</v>
      </c>
      <c r="AC44" s="55">
        <f t="shared" si="9"/>
        <v>-5.3890653643808166</v>
      </c>
      <c r="AD44" s="55"/>
      <c r="AE44" s="55"/>
      <c r="AF44" s="55"/>
      <c r="AG44" s="55"/>
      <c r="AH44" s="55"/>
    </row>
    <row r="45" spans="1:34" ht="15.75">
      <c r="A45" s="39">
        <v>9.1147894699999998</v>
      </c>
      <c r="B45" s="39">
        <v>9.3731052600000009</v>
      </c>
      <c r="C45" s="39">
        <v>43</v>
      </c>
      <c r="D45">
        <v>43</v>
      </c>
      <c r="E45" s="10">
        <v>1380303.3330000001</v>
      </c>
      <c r="F45" s="10">
        <v>1116646.6669999999</v>
      </c>
      <c r="G45" s="10">
        <v>18505.333330000001</v>
      </c>
      <c r="H45" s="10">
        <v>39883.333330000001</v>
      </c>
      <c r="I45" s="10">
        <v>9496.3333330000005</v>
      </c>
      <c r="J45" s="10">
        <v>33439</v>
      </c>
      <c r="K45">
        <v>43</v>
      </c>
      <c r="L45" s="10">
        <v>2102.666667</v>
      </c>
      <c r="M45" s="10">
        <v>420181.6667</v>
      </c>
      <c r="N45" s="10">
        <v>5092.6666670000004</v>
      </c>
      <c r="O45">
        <v>-0.54669733081213345</v>
      </c>
      <c r="P45">
        <v>1.0226456512216964</v>
      </c>
      <c r="Q45">
        <v>-0.33349453589957978</v>
      </c>
      <c r="R45">
        <v>0.33349453589957978</v>
      </c>
      <c r="S45">
        <f t="shared" si="10"/>
        <v>1.2588171243076529</v>
      </c>
      <c r="T45" s="148">
        <f t="shared" si="5"/>
        <v>1.2587142376301221</v>
      </c>
      <c r="U45">
        <f t="shared" si="11"/>
        <v>2.3547286319182663</v>
      </c>
      <c r="V45" s="55">
        <f t="shared" si="6"/>
        <v>2.3549014730387872</v>
      </c>
      <c r="W45">
        <f t="shared" si="12"/>
        <v>0.59166390481778264</v>
      </c>
      <c r="X45" s="55">
        <f t="shared" si="7"/>
        <v>0.59355106789235157</v>
      </c>
      <c r="Y45" s="149">
        <v>9.3731052600000009</v>
      </c>
      <c r="Z45" s="55">
        <f t="shared" si="3"/>
        <v>4.560678697660055E-3</v>
      </c>
      <c r="AA45" s="55">
        <f t="shared" si="8"/>
        <v>4.5606827209812018E-3</v>
      </c>
      <c r="AB45" s="55">
        <f t="shared" si="4"/>
        <v>-5.3902838293248481</v>
      </c>
      <c r="AC45" s="55">
        <f t="shared" si="9"/>
        <v>-5.3902834412468446</v>
      </c>
      <c r="AD45" s="55"/>
      <c r="AE45" s="55"/>
      <c r="AF45" s="55"/>
      <c r="AG45" s="55"/>
      <c r="AH45" s="55"/>
    </row>
    <row r="46" spans="1:34" ht="15.75">
      <c r="A46" s="39">
        <v>9.1302280699999994</v>
      </c>
      <c r="B46" s="39">
        <v>9.3890526300000001</v>
      </c>
      <c r="C46" s="39">
        <v>44</v>
      </c>
      <c r="D46">
        <v>44</v>
      </c>
      <c r="E46" s="10">
        <v>1387920</v>
      </c>
      <c r="F46" s="10">
        <v>1117860</v>
      </c>
      <c r="G46" s="10">
        <v>19965</v>
      </c>
      <c r="H46" s="10">
        <v>40851</v>
      </c>
      <c r="I46" s="10">
        <v>9340</v>
      </c>
      <c r="J46" s="10">
        <v>34244</v>
      </c>
      <c r="K46">
        <v>44</v>
      </c>
      <c r="L46" s="10">
        <v>2068</v>
      </c>
      <c r="M46" s="10">
        <v>423705</v>
      </c>
      <c r="N46" s="10">
        <v>5092</v>
      </c>
      <c r="O46">
        <v>-0.56423761214841128</v>
      </c>
      <c r="P46">
        <v>1.0158608968119642</v>
      </c>
      <c r="Q46">
        <v>-0.31093337765181767</v>
      </c>
      <c r="R46">
        <v>0.31093337765181761</v>
      </c>
      <c r="S46">
        <f t="shared" si="10"/>
        <v>1.2992051146394881</v>
      </c>
      <c r="T46" s="148">
        <f t="shared" si="5"/>
        <v>1.1681406123765727</v>
      </c>
      <c r="U46">
        <f t="shared" si="11"/>
        <v>2.3391061575547911</v>
      </c>
      <c r="V46" s="55">
        <f t="shared" si="6"/>
        <v>2.3479004281937925</v>
      </c>
      <c r="W46">
        <f t="shared" si="12"/>
        <v>0.53953062636505456</v>
      </c>
      <c r="X46" s="55">
        <f t="shared" si="7"/>
        <v>0.55859591282393628</v>
      </c>
      <c r="Y46" s="149">
        <v>9.3890526300000001</v>
      </c>
      <c r="Z46" s="55">
        <f t="shared" si="3"/>
        <v>4.5551321274578211E-3</v>
      </c>
      <c r="AA46" s="55">
        <f t="shared" si="8"/>
        <v>4.6162483908052396E-3</v>
      </c>
      <c r="AB46" s="55">
        <f t="shared" si="4"/>
        <v>-5.3915007415651575</v>
      </c>
      <c r="AC46" s="55">
        <f t="shared" si="9"/>
        <v>-5.3783314901034247</v>
      </c>
      <c r="AD46" s="55"/>
      <c r="AE46" s="55"/>
      <c r="AF46" s="55"/>
      <c r="AG46" s="55"/>
      <c r="AH46" s="55"/>
    </row>
    <row r="47" spans="1:34" ht="15.75">
      <c r="A47" s="39">
        <v>9.1456666700000007</v>
      </c>
      <c r="B47" s="39">
        <v>9.4049999999999994</v>
      </c>
      <c r="C47" s="39">
        <v>45</v>
      </c>
      <c r="D47">
        <v>45</v>
      </c>
      <c r="E47" s="10">
        <v>1363730</v>
      </c>
      <c r="F47" s="10">
        <v>1111150</v>
      </c>
      <c r="G47" s="10">
        <v>18961</v>
      </c>
      <c r="H47" s="10">
        <v>39166</v>
      </c>
      <c r="I47" s="10">
        <v>12687</v>
      </c>
      <c r="J47" s="10">
        <v>32687</v>
      </c>
      <c r="K47">
        <v>45</v>
      </c>
      <c r="L47" s="10">
        <v>1962</v>
      </c>
      <c r="M47" s="10">
        <v>410623</v>
      </c>
      <c r="N47" s="10">
        <v>5259</v>
      </c>
      <c r="O47">
        <v>-0.411016123166148</v>
      </c>
      <c r="P47">
        <v>1.020534052034878</v>
      </c>
      <c r="Q47">
        <v>-0.31504798135356205</v>
      </c>
      <c r="R47">
        <v>0.31504798135356199</v>
      </c>
      <c r="S47">
        <f t="shared" si="10"/>
        <v>0.94639959818257702</v>
      </c>
      <c r="T47" s="148">
        <f t="shared" si="5"/>
        <v>1.1898532147237717</v>
      </c>
      <c r="U47">
        <f t="shared" si="11"/>
        <v>2.3498664951083201</v>
      </c>
      <c r="V47" s="55">
        <f t="shared" si="6"/>
        <v>2.3559226804414894</v>
      </c>
      <c r="W47">
        <f t="shared" si="12"/>
        <v>0.54459320728897165</v>
      </c>
      <c r="X47" s="55">
        <f t="shared" si="7"/>
        <v>0.57532692713308098</v>
      </c>
      <c r="Y47" s="149">
        <v>9.4049999999999994</v>
      </c>
      <c r="Z47" s="55">
        <f t="shared" si="3"/>
        <v>4.7329343472978444E-3</v>
      </c>
      <c r="AA47" s="55">
        <f t="shared" si="8"/>
        <v>4.5690838640345989E-3</v>
      </c>
      <c r="AB47" s="55">
        <f t="shared" si="4"/>
        <v>-5.3532098994202704</v>
      </c>
      <c r="AC47" s="55">
        <f t="shared" si="9"/>
        <v>-5.3888368678219178</v>
      </c>
      <c r="AD47" s="55"/>
      <c r="AE47" s="55"/>
      <c r="AF47" s="55"/>
      <c r="AG47" s="55"/>
      <c r="AH47" s="55"/>
    </row>
    <row r="48" spans="1:34" ht="15.75">
      <c r="A48" s="39">
        <v>9.1611052599999994</v>
      </c>
      <c r="B48" s="39">
        <v>9.4209473700000004</v>
      </c>
      <c r="C48" s="39">
        <v>46</v>
      </c>
      <c r="D48">
        <v>46</v>
      </c>
      <c r="E48" s="10">
        <v>1372060</v>
      </c>
      <c r="F48" s="10">
        <v>1113780</v>
      </c>
      <c r="G48" s="10">
        <v>17191</v>
      </c>
      <c r="H48" s="10">
        <v>39235</v>
      </c>
      <c r="I48" s="10">
        <v>8691</v>
      </c>
      <c r="J48" s="10">
        <v>32663</v>
      </c>
      <c r="K48">
        <v>46</v>
      </c>
      <c r="L48" s="10">
        <v>2125</v>
      </c>
      <c r="M48" s="10">
        <v>423420</v>
      </c>
      <c r="N48" s="10">
        <v>4922</v>
      </c>
      <c r="O48">
        <v>-0.57498632097357782</v>
      </c>
      <c r="P48">
        <v>1.0330977108725288</v>
      </c>
      <c r="Q48">
        <v>-0.3583725166252581</v>
      </c>
      <c r="R48">
        <v>0.3583725166252581</v>
      </c>
      <c r="S48">
        <f t="shared" si="10"/>
        <v>1.32395493134925</v>
      </c>
      <c r="T48" s="148">
        <f t="shared" si="5"/>
        <v>1.1875606215040835</v>
      </c>
      <c r="U48">
        <f t="shared" si="11"/>
        <v>2.3787953886613575</v>
      </c>
      <c r="V48" s="55">
        <f t="shared" si="6"/>
        <v>2.3584291838287146</v>
      </c>
      <c r="W48">
        <f t="shared" si="12"/>
        <v>0.64185694774521662</v>
      </c>
      <c r="X48" s="55">
        <f t="shared" si="7"/>
        <v>0.61146143295181321</v>
      </c>
      <c r="Y48" s="149">
        <v>9.4209473700000004</v>
      </c>
      <c r="Z48" s="55">
        <f t="shared" si="3"/>
        <v>4.4191851173481294E-3</v>
      </c>
      <c r="AA48" s="55">
        <f t="shared" si="8"/>
        <v>4.5739157918007808E-3</v>
      </c>
      <c r="AB48" s="55">
        <f t="shared" si="4"/>
        <v>-5.421799962480323</v>
      </c>
      <c r="AC48" s="55">
        <f t="shared" si="9"/>
        <v>-5.3877777864190621</v>
      </c>
      <c r="AD48" s="55"/>
      <c r="AE48" s="55"/>
      <c r="AF48" s="55"/>
      <c r="AG48" s="55"/>
      <c r="AH48" s="55"/>
    </row>
    <row r="49" spans="1:34" ht="15.75">
      <c r="A49" s="39">
        <v>9.1765438600000007</v>
      </c>
      <c r="B49" s="39">
        <v>9.4368947399999996</v>
      </c>
      <c r="C49" s="39">
        <v>47</v>
      </c>
      <c r="D49">
        <v>47</v>
      </c>
      <c r="E49" s="10">
        <v>1363330</v>
      </c>
      <c r="F49" s="10">
        <v>1107530</v>
      </c>
      <c r="G49" s="10">
        <v>17113</v>
      </c>
      <c r="H49" s="10">
        <v>39385</v>
      </c>
      <c r="I49" s="10">
        <v>8984</v>
      </c>
      <c r="J49" s="10">
        <v>32713</v>
      </c>
      <c r="K49">
        <v>47</v>
      </c>
      <c r="L49" s="10">
        <v>2005</v>
      </c>
      <c r="M49" s="10">
        <v>411583</v>
      </c>
      <c r="N49" s="10">
        <v>5061</v>
      </c>
      <c r="O49">
        <v>-0.56125063039473333</v>
      </c>
      <c r="P49">
        <v>1.0191265785817951</v>
      </c>
      <c r="Q49">
        <v>-0.36200469945547781</v>
      </c>
      <c r="R49">
        <v>0.36200469945547781</v>
      </c>
      <c r="S49">
        <f t="shared" si="10"/>
        <v>1.2923273349804238</v>
      </c>
      <c r="T49" s="148">
        <f t="shared" si="5"/>
        <v>1.2527980170810042</v>
      </c>
      <c r="U49">
        <f t="shared" si="11"/>
        <v>2.3466256677164665</v>
      </c>
      <c r="V49" s="55">
        <f t="shared" si="6"/>
        <v>2.3572111790367498</v>
      </c>
      <c r="W49">
        <f t="shared" si="12"/>
        <v>0.64793414382125125</v>
      </c>
      <c r="X49" s="55">
        <f t="shared" si="7"/>
        <v>0.63068185516217523</v>
      </c>
      <c r="Y49" s="149">
        <v>9.4368947399999996</v>
      </c>
      <c r="Z49" s="55">
        <f t="shared" si="3"/>
        <v>4.5696279107563676E-3</v>
      </c>
      <c r="AA49" s="55">
        <f t="shared" si="8"/>
        <v>4.5996678530941084E-3</v>
      </c>
      <c r="AB49" s="55">
        <f t="shared" si="4"/>
        <v>-5.388323497356593</v>
      </c>
      <c r="AC49" s="55">
        <f t="shared" si="9"/>
        <v>-5.3823806813381383</v>
      </c>
      <c r="AD49" s="55"/>
      <c r="AE49" s="55"/>
      <c r="AF49" s="55"/>
      <c r="AG49" s="55"/>
      <c r="AH49" s="55"/>
    </row>
    <row r="50" spans="1:34" ht="15.75">
      <c r="A50" s="39">
        <v>9.1919824600000002</v>
      </c>
      <c r="B50" s="39">
        <v>9.4528421100000006</v>
      </c>
      <c r="C50" s="39">
        <v>48</v>
      </c>
      <c r="D50">
        <v>48</v>
      </c>
      <c r="E50" s="10">
        <v>1367570</v>
      </c>
      <c r="F50" s="10">
        <v>1108480</v>
      </c>
      <c r="G50" s="10">
        <v>17765</v>
      </c>
      <c r="H50" s="10">
        <v>39477</v>
      </c>
      <c r="I50" s="10">
        <v>10354</v>
      </c>
      <c r="J50" s="10">
        <v>32443</v>
      </c>
      <c r="K50">
        <v>48</v>
      </c>
      <c r="L50" s="10">
        <v>1595</v>
      </c>
      <c r="M50" s="10">
        <v>412374</v>
      </c>
      <c r="N50" s="10">
        <v>5332</v>
      </c>
      <c r="O50">
        <v>-0.49601284590453654</v>
      </c>
      <c r="P50">
        <v>1.0189471337546323</v>
      </c>
      <c r="Q50">
        <v>-0.3467789298178991</v>
      </c>
      <c r="R50">
        <v>0.3467789298178991</v>
      </c>
      <c r="S50">
        <f t="shared" si="10"/>
        <v>1.1421117849133386</v>
      </c>
      <c r="T50" s="148">
        <f t="shared" si="5"/>
        <v>1.1953902300004022</v>
      </c>
      <c r="U50">
        <f t="shared" si="11"/>
        <v>2.3462124807324263</v>
      </c>
      <c r="V50" s="55">
        <f t="shared" si="6"/>
        <v>2.3569024362248987</v>
      </c>
      <c r="W50">
        <f t="shared" si="12"/>
        <v>0.60225447392005771</v>
      </c>
      <c r="X50" s="55">
        <f t="shared" si="7"/>
        <v>0.63143121205756392</v>
      </c>
      <c r="Y50" s="149">
        <v>9.4528421100000006</v>
      </c>
      <c r="Z50" s="55">
        <f t="shared" si="3"/>
        <v>4.8101905311778289E-3</v>
      </c>
      <c r="AA50" s="55">
        <f t="shared" si="8"/>
        <v>4.7151138908343394E-3</v>
      </c>
      <c r="AB50" s="55">
        <f t="shared" si="4"/>
        <v>-5.3370185841774989</v>
      </c>
      <c r="AC50" s="55">
        <f t="shared" si="9"/>
        <v>-5.3572300074645129</v>
      </c>
      <c r="AD50" s="55"/>
      <c r="AE50" s="55"/>
      <c r="AF50" s="55"/>
      <c r="AG50" s="55"/>
      <c r="AH50" s="55"/>
    </row>
    <row r="51" spans="1:34" ht="15.75">
      <c r="A51" s="39">
        <v>9.2074210500000007</v>
      </c>
      <c r="B51" s="39">
        <v>9.4687894700000008</v>
      </c>
      <c r="C51" s="39">
        <v>49</v>
      </c>
      <c r="D51">
        <v>49</v>
      </c>
      <c r="E51" s="10">
        <v>1369670</v>
      </c>
      <c r="F51" s="10">
        <v>1105440</v>
      </c>
      <c r="G51" s="10">
        <v>17165</v>
      </c>
      <c r="H51" s="10">
        <v>39047</v>
      </c>
      <c r="I51" s="10">
        <v>10332</v>
      </c>
      <c r="J51" s="10">
        <v>32687</v>
      </c>
      <c r="K51">
        <v>49</v>
      </c>
      <c r="L51" s="10">
        <v>1961</v>
      </c>
      <c r="M51" s="10">
        <v>421001</v>
      </c>
      <c r="N51" s="10">
        <v>5268</v>
      </c>
      <c r="O51">
        <v>-0.50019066553143121</v>
      </c>
      <c r="P51">
        <v>1.032695454973986</v>
      </c>
      <c r="Q51">
        <v>-0.35694386467703004</v>
      </c>
      <c r="R51">
        <v>0.35694386467702999</v>
      </c>
      <c r="S51">
        <f t="shared" si="10"/>
        <v>1.1517315701074442</v>
      </c>
      <c r="T51" s="148">
        <f t="shared" si="5"/>
        <v>1.202762871635545</v>
      </c>
      <c r="U51">
        <f t="shared" si="11"/>
        <v>2.3778691602258037</v>
      </c>
      <c r="V51" s="55">
        <f t="shared" si="6"/>
        <v>2.3579083619233798</v>
      </c>
      <c r="W51">
        <f t="shared" si="12"/>
        <v>0.64410501843138279</v>
      </c>
      <c r="X51" s="55">
        <f t="shared" si="7"/>
        <v>0.62127839830142084</v>
      </c>
      <c r="Y51" s="149">
        <v>9.4687894700000008</v>
      </c>
      <c r="Z51" s="55">
        <f t="shared" si="3"/>
        <v>4.7655232305688234E-3</v>
      </c>
      <c r="AA51" s="55">
        <f t="shared" si="8"/>
        <v>4.8026096551505651E-3</v>
      </c>
      <c r="AB51" s="55">
        <f t="shared" si="4"/>
        <v>-5.3463479408594505</v>
      </c>
      <c r="AC51" s="55">
        <f t="shared" si="9"/>
        <v>-5.3386125006148033</v>
      </c>
      <c r="AD51" s="55"/>
      <c r="AE51" s="55"/>
      <c r="AF51" s="55"/>
      <c r="AG51" s="55"/>
      <c r="AH51" s="55"/>
    </row>
    <row r="52" spans="1:34" ht="15.75">
      <c r="A52" s="39">
        <v>9.2228596500000002</v>
      </c>
      <c r="B52" s="39">
        <v>9.4847368400000001</v>
      </c>
      <c r="C52" s="39">
        <v>50</v>
      </c>
      <c r="D52">
        <v>50</v>
      </c>
      <c r="E52" s="10">
        <v>1359520</v>
      </c>
      <c r="F52" s="10">
        <v>1105520</v>
      </c>
      <c r="G52" s="10">
        <v>17824</v>
      </c>
      <c r="H52" s="10">
        <v>39657</v>
      </c>
      <c r="I52" s="10">
        <v>8878</v>
      </c>
      <c r="J52" s="10">
        <v>33050</v>
      </c>
      <c r="K52">
        <v>50</v>
      </c>
      <c r="L52" s="10">
        <v>1912</v>
      </c>
      <c r="M52" s="10">
        <v>415678</v>
      </c>
      <c r="N52" s="10">
        <v>5342</v>
      </c>
      <c r="O52">
        <v>-0.57085632313231127</v>
      </c>
      <c r="P52">
        <v>1.0204371825219596</v>
      </c>
      <c r="Q52">
        <v>-0.34731468381071762</v>
      </c>
      <c r="R52">
        <v>0.34731468381071762</v>
      </c>
      <c r="S52">
        <f t="shared" si="10"/>
        <v>1.3144452598858518</v>
      </c>
      <c r="T52" s="148">
        <f t="shared" si="5"/>
        <v>1.2615816336793684</v>
      </c>
      <c r="U52">
        <f t="shared" si="11"/>
        <v>2.3496434448119081</v>
      </c>
      <c r="V52" s="55">
        <f t="shared" si="6"/>
        <v>2.3578579762141403</v>
      </c>
      <c r="W52">
        <f t="shared" si="12"/>
        <v>0.6174757025528218</v>
      </c>
      <c r="X52" s="55">
        <f t="shared" si="7"/>
        <v>0.61461938486915024</v>
      </c>
      <c r="Y52" s="149">
        <v>9.4847368400000001</v>
      </c>
      <c r="Z52" s="55">
        <f t="shared" si="3"/>
        <v>4.8321152037050438E-3</v>
      </c>
      <c r="AA52" s="55">
        <f t="shared" si="8"/>
        <v>4.8227605416917207E-3</v>
      </c>
      <c r="AB52" s="55">
        <f t="shared" si="4"/>
        <v>-5.3324709768074605</v>
      </c>
      <c r="AC52" s="55">
        <f t="shared" si="9"/>
        <v>-5.3344493987473909</v>
      </c>
      <c r="AD52" s="55"/>
      <c r="AE52" s="55"/>
      <c r="AF52" s="55"/>
      <c r="AG52" s="55"/>
      <c r="AH52" s="55"/>
    </row>
    <row r="53" spans="1:34" ht="15.75">
      <c r="A53" s="39">
        <v>9.2382982499999997</v>
      </c>
      <c r="B53" s="39">
        <v>9.5006842099999993</v>
      </c>
      <c r="C53" s="39">
        <v>51</v>
      </c>
      <c r="D53">
        <v>51</v>
      </c>
      <c r="E53" s="10">
        <v>1372521.25</v>
      </c>
      <c r="F53" s="10">
        <v>1113200</v>
      </c>
      <c r="G53" s="10">
        <v>18436.5</v>
      </c>
      <c r="H53" s="10">
        <v>40127.75</v>
      </c>
      <c r="I53" s="10">
        <v>8829</v>
      </c>
      <c r="J53" s="10">
        <v>33003.375</v>
      </c>
      <c r="K53">
        <v>51</v>
      </c>
      <c r="L53" s="10">
        <v>1808.666667</v>
      </c>
      <c r="M53" s="10">
        <v>419108.3333</v>
      </c>
      <c r="N53" s="10">
        <v>5422</v>
      </c>
      <c r="O53">
        <v>-0.57264683726857535</v>
      </c>
      <c r="P53">
        <v>1.0188814870481644</v>
      </c>
      <c r="Q53">
        <v>-0.33776633139536089</v>
      </c>
      <c r="R53">
        <v>0.33776633139536083</v>
      </c>
      <c r="S53">
        <f t="shared" si="10"/>
        <v>1.3185680710448087</v>
      </c>
      <c r="T53" s="148">
        <f t="shared" si="5"/>
        <v>1.3432009665318987</v>
      </c>
      <c r="U53">
        <f t="shared" si="11"/>
        <v>2.346061323604709</v>
      </c>
      <c r="V53" s="55">
        <f t="shared" si="6"/>
        <v>2.3466342506271514</v>
      </c>
      <c r="W53">
        <f t="shared" si="12"/>
        <v>0.58227743362324613</v>
      </c>
      <c r="X53" s="55">
        <f t="shared" si="7"/>
        <v>0.58339667394041905</v>
      </c>
      <c r="Y53" s="149">
        <v>9.5006842099999993</v>
      </c>
      <c r="Z53" s="55">
        <f t="shared" si="3"/>
        <v>4.8706431908012932E-3</v>
      </c>
      <c r="AA53" s="55">
        <f t="shared" si="8"/>
        <v>4.9188559897976056E-3</v>
      </c>
      <c r="AB53" s="55">
        <f t="shared" si="4"/>
        <v>-5.3245292785752616</v>
      </c>
      <c r="AC53" s="55">
        <f t="shared" si="9"/>
        <v>-5.3148710680693094</v>
      </c>
      <c r="AD53" s="55"/>
      <c r="AE53" s="55"/>
      <c r="AF53" s="55"/>
      <c r="AG53" s="55"/>
      <c r="AH53" s="55"/>
    </row>
    <row r="54" spans="1:34" ht="15.75">
      <c r="A54" s="39">
        <v>9.2537368400000002</v>
      </c>
      <c r="B54" s="39">
        <v>9.5166315800000003</v>
      </c>
      <c r="C54" s="39">
        <v>52</v>
      </c>
      <c r="D54">
        <v>52</v>
      </c>
      <c r="E54" s="10">
        <v>1375950</v>
      </c>
      <c r="F54" s="10">
        <v>1118760</v>
      </c>
      <c r="G54" s="10">
        <v>19200</v>
      </c>
      <c r="H54" s="10">
        <v>40131</v>
      </c>
      <c r="I54" s="10">
        <v>8238</v>
      </c>
      <c r="J54" s="10">
        <v>33293</v>
      </c>
      <c r="K54">
        <v>52</v>
      </c>
      <c r="L54" s="10">
        <v>1921</v>
      </c>
      <c r="M54" s="10">
        <v>418362</v>
      </c>
      <c r="N54" s="10">
        <v>5654</v>
      </c>
      <c r="O54">
        <v>-0.60653114315486778</v>
      </c>
      <c r="P54">
        <v>1.0180722487075096</v>
      </c>
      <c r="Q54">
        <v>-0.32017875308538257</v>
      </c>
      <c r="R54">
        <v>0.32017875308538257</v>
      </c>
      <c r="S54">
        <f t="shared" si="10"/>
        <v>1.3965895686650358</v>
      </c>
      <c r="T54" s="148">
        <f t="shared" si="5"/>
        <v>1.3130620664238013</v>
      </c>
      <c r="U54">
        <f t="shared" si="11"/>
        <v>2.3441979834648379</v>
      </c>
      <c r="V54" s="55">
        <f t="shared" si="6"/>
        <v>2.3484750696023284</v>
      </c>
      <c r="W54">
        <f t="shared" si="12"/>
        <v>0.55043688564518911</v>
      </c>
      <c r="X54" s="55">
        <f t="shared" si="7"/>
        <v>0.56706077793040299</v>
      </c>
      <c r="Y54" s="149">
        <v>9.5166315800000003</v>
      </c>
      <c r="Z54" s="55">
        <f t="shared" si="3"/>
        <v>5.0538095748864816E-3</v>
      </c>
      <c r="AA54" s="55">
        <f t="shared" si="8"/>
        <v>4.9714243573212588E-3</v>
      </c>
      <c r="AB54" s="55">
        <f t="shared" si="4"/>
        <v>-5.2876129488252044</v>
      </c>
      <c r="AC54" s="55">
        <f t="shared" si="9"/>
        <v>-5.3041658693446365</v>
      </c>
      <c r="AD54" s="55"/>
      <c r="AE54" s="55"/>
      <c r="AF54" s="55"/>
      <c r="AG54" s="55"/>
      <c r="AH54" s="55"/>
    </row>
    <row r="55" spans="1:34" ht="15.75">
      <c r="A55" s="39">
        <v>9.2691754399999997</v>
      </c>
      <c r="B55" s="39">
        <v>9.5325789499999996</v>
      </c>
      <c r="C55" s="39">
        <v>53</v>
      </c>
      <c r="D55">
        <v>53</v>
      </c>
      <c r="E55" s="10">
        <v>1397210</v>
      </c>
      <c r="F55" s="10">
        <v>1129700</v>
      </c>
      <c r="G55" s="10">
        <v>18798</v>
      </c>
      <c r="H55" s="10">
        <v>40424</v>
      </c>
      <c r="I55" s="10">
        <v>9759</v>
      </c>
      <c r="J55" s="10">
        <v>33189</v>
      </c>
      <c r="K55">
        <v>53</v>
      </c>
      <c r="L55" s="10">
        <v>1893</v>
      </c>
      <c r="M55" s="10">
        <v>426064</v>
      </c>
      <c r="N55" s="10">
        <v>5637</v>
      </c>
      <c r="O55">
        <v>-0.53158884910957105</v>
      </c>
      <c r="P55">
        <v>1.0228355550912658</v>
      </c>
      <c r="Q55">
        <v>-0.33252763996482532</v>
      </c>
      <c r="R55">
        <v>0.33252763996482526</v>
      </c>
      <c r="S55">
        <f t="shared" si="10"/>
        <v>1.2240285595615594</v>
      </c>
      <c r="T55" s="148">
        <f t="shared" si="5"/>
        <v>1.2967295748321013</v>
      </c>
      <c r="U55">
        <f t="shared" si="11"/>
        <v>2.3551659017374384</v>
      </c>
      <c r="V55" s="55">
        <f t="shared" si="6"/>
        <v>2.3481691598535339</v>
      </c>
      <c r="W55">
        <f t="shared" si="12"/>
        <v>0.56846801452277385</v>
      </c>
      <c r="X55" s="55">
        <f t="shared" si="7"/>
        <v>0.56129764447967856</v>
      </c>
      <c r="Y55" s="149">
        <v>9.5325789499999996</v>
      </c>
      <c r="Z55" s="55">
        <f t="shared" si="3"/>
        <v>4.9898203062760027E-3</v>
      </c>
      <c r="AA55" s="55">
        <f t="shared" si="8"/>
        <v>4.8145046982452705E-3</v>
      </c>
      <c r="AB55" s="55">
        <f t="shared" si="4"/>
        <v>-5.3003553806334454</v>
      </c>
      <c r="AC55" s="55">
        <f t="shared" si="9"/>
        <v>-5.3380484609865979</v>
      </c>
      <c r="AD55" s="55"/>
      <c r="AE55" s="55"/>
      <c r="AF55" s="55"/>
      <c r="AG55" s="55"/>
      <c r="AH55" s="55"/>
    </row>
    <row r="56" spans="1:34" ht="15.75">
      <c r="A56" s="39">
        <v>9.2846140399999992</v>
      </c>
      <c r="B56" s="39">
        <v>9.5485263200000006</v>
      </c>
      <c r="C56" s="39">
        <v>54</v>
      </c>
      <c r="D56">
        <v>54</v>
      </c>
      <c r="E56" s="10">
        <v>1398760</v>
      </c>
      <c r="F56" s="10">
        <v>1140030</v>
      </c>
      <c r="G56" s="10">
        <v>18909</v>
      </c>
      <c r="H56" s="10">
        <v>41178</v>
      </c>
      <c r="I56" s="10">
        <v>9347</v>
      </c>
      <c r="J56" s="10">
        <v>33269</v>
      </c>
      <c r="K56">
        <v>54</v>
      </c>
      <c r="L56" s="10">
        <v>1979</v>
      </c>
      <c r="M56" s="10">
        <v>429683</v>
      </c>
      <c r="N56" s="10">
        <v>5016</v>
      </c>
      <c r="O56">
        <v>-0.55136750434655568</v>
      </c>
      <c r="P56">
        <v>1.0184829223005789</v>
      </c>
      <c r="Q56">
        <v>-0.3379966874290376</v>
      </c>
      <c r="R56">
        <v>0.33799668742903755</v>
      </c>
      <c r="S56">
        <f t="shared" si="10"/>
        <v>1.2695705962697088</v>
      </c>
      <c r="T56" s="148">
        <f t="shared" si="5"/>
        <v>1.2826282330181416</v>
      </c>
      <c r="U56">
        <f t="shared" si="11"/>
        <v>2.3451435943583259</v>
      </c>
      <c r="V56" s="55">
        <f t="shared" si="6"/>
        <v>2.3448196665126186</v>
      </c>
      <c r="W56">
        <f t="shared" si="12"/>
        <v>0.5649880332710725</v>
      </c>
      <c r="X56" s="55">
        <f t="shared" si="7"/>
        <v>0.58912741114837097</v>
      </c>
      <c r="Y56" s="149">
        <v>9.5485263200000006</v>
      </c>
      <c r="Z56" s="55">
        <f t="shared" si="3"/>
        <v>4.3998842135733272E-3</v>
      </c>
      <c r="AA56" s="55">
        <f t="shared" si="8"/>
        <v>4.6428251912826457E-3</v>
      </c>
      <c r="AB56" s="55">
        <f t="shared" si="4"/>
        <v>-5.4261770535011413</v>
      </c>
      <c r="AC56" s="55">
        <f t="shared" si="9"/>
        <v>-5.3738771435530879</v>
      </c>
      <c r="AD56" s="55"/>
      <c r="AE56" s="55"/>
      <c r="AF56" s="55"/>
      <c r="AG56" s="55"/>
      <c r="AH56" s="55"/>
    </row>
    <row r="57" spans="1:34" ht="15.75">
      <c r="A57" s="39">
        <v>9.3000526299999997</v>
      </c>
      <c r="B57" s="39">
        <v>9.5644736800000008</v>
      </c>
      <c r="C57" s="39">
        <v>55</v>
      </c>
      <c r="D57">
        <v>55</v>
      </c>
      <c r="E57" s="10">
        <v>1380080</v>
      </c>
      <c r="F57" s="10">
        <v>1135770</v>
      </c>
      <c r="G57" s="10">
        <v>17843</v>
      </c>
      <c r="H57" s="10">
        <v>41091</v>
      </c>
      <c r="I57" s="10">
        <v>8682</v>
      </c>
      <c r="J57" s="10">
        <v>33634</v>
      </c>
      <c r="K57">
        <v>55</v>
      </c>
      <c r="L57" s="10">
        <v>1697</v>
      </c>
      <c r="M57" s="10">
        <v>424087</v>
      </c>
      <c r="N57" s="10">
        <v>5155</v>
      </c>
      <c r="O57">
        <v>-0.58815873834316468</v>
      </c>
      <c r="P57">
        <v>1.0137082492821157</v>
      </c>
      <c r="Q57">
        <v>-0.36227883499706964</v>
      </c>
      <c r="R57">
        <v>0.36227883499706964</v>
      </c>
      <c r="S57">
        <f t="shared" si="10"/>
        <v>1.3542855432231564</v>
      </c>
      <c r="T57" s="148">
        <f t="shared" si="5"/>
        <v>1.295182627201318</v>
      </c>
      <c r="U57">
        <f t="shared" si="11"/>
        <v>2.3341495034420912</v>
      </c>
      <c r="V57" s="55">
        <f t="shared" si="6"/>
        <v>2.3500567889824677</v>
      </c>
      <c r="W57">
        <f t="shared" si="12"/>
        <v>0.63392618565126646</v>
      </c>
      <c r="X57" s="55">
        <f t="shared" si="7"/>
        <v>0.64646447479965619</v>
      </c>
      <c r="Y57" s="149">
        <v>9.5644736800000008</v>
      </c>
      <c r="Z57" s="55">
        <f t="shared" si="3"/>
        <v>4.538771053998609E-3</v>
      </c>
      <c r="AA57" s="55">
        <f t="shared" si="8"/>
        <v>4.5602856021765619E-3</v>
      </c>
      <c r="AB57" s="55">
        <f t="shared" si="4"/>
        <v>-5.3950989965246787</v>
      </c>
      <c r="AC57" s="55">
        <f t="shared" si="9"/>
        <v>-5.3908432804777533</v>
      </c>
      <c r="AD57" s="55"/>
      <c r="AE57" s="55"/>
      <c r="AF57" s="55"/>
      <c r="AG57" s="55"/>
      <c r="AH57" s="55"/>
    </row>
    <row r="58" spans="1:34" ht="15.75">
      <c r="A58" s="39">
        <v>9.3154912299999992</v>
      </c>
      <c r="B58" s="39">
        <v>9.58042105</v>
      </c>
      <c r="C58" s="39">
        <v>56</v>
      </c>
      <c r="D58">
        <v>56</v>
      </c>
      <c r="E58" s="10">
        <v>1324790</v>
      </c>
      <c r="F58" s="10">
        <v>1085150</v>
      </c>
      <c r="G58" s="10">
        <v>14968</v>
      </c>
      <c r="H58" s="10">
        <v>37119</v>
      </c>
      <c r="I58" s="10">
        <v>8888</v>
      </c>
      <c r="J58" s="10">
        <v>31387</v>
      </c>
      <c r="K58">
        <v>56</v>
      </c>
      <c r="L58" s="10">
        <v>1526</v>
      </c>
      <c r="M58" s="10">
        <v>397425</v>
      </c>
      <c r="N58" s="10">
        <v>5146</v>
      </c>
      <c r="O58">
        <v>-0.54794576146174667</v>
      </c>
      <c r="P58">
        <v>1.0296589152603872</v>
      </c>
      <c r="Q58">
        <v>-0.39443249315368883</v>
      </c>
      <c r="R58">
        <v>0.39443249315368889</v>
      </c>
      <c r="S58">
        <f t="shared" si="10"/>
        <v>1.2616917421110891</v>
      </c>
      <c r="T58" s="148">
        <f t="shared" si="5"/>
        <v>1.2794444776384841</v>
      </c>
      <c r="U58">
        <f t="shared" si="11"/>
        <v>2.370877269146987</v>
      </c>
      <c r="V58" s="55">
        <f t="shared" si="6"/>
        <v>2.3551907958907008</v>
      </c>
      <c r="W58">
        <f t="shared" si="12"/>
        <v>0.7404792054766296</v>
      </c>
      <c r="X58" s="55">
        <f t="shared" si="7"/>
        <v>0.70334396142749889</v>
      </c>
      <c r="Y58" s="149">
        <v>9.58042105</v>
      </c>
      <c r="Z58" s="55">
        <f t="shared" si="3"/>
        <v>4.7422015389577479E-3</v>
      </c>
      <c r="AA58" s="55">
        <f t="shared" si="8"/>
        <v>4.5566703538625465E-3</v>
      </c>
      <c r="AB58" s="55">
        <f t="shared" si="4"/>
        <v>-5.3512537914074425</v>
      </c>
      <c r="AC58" s="55">
        <f t="shared" si="9"/>
        <v>-5.3916659638212892</v>
      </c>
      <c r="AD58" s="55"/>
      <c r="AE58" s="55"/>
      <c r="AF58" s="55"/>
      <c r="AG58" s="55"/>
      <c r="AH58" s="55"/>
    </row>
    <row r="59" spans="1:34" ht="15.75">
      <c r="A59" s="39">
        <v>9.3309298300000005</v>
      </c>
      <c r="B59" s="39">
        <v>9.5963684199999992</v>
      </c>
      <c r="C59" s="39">
        <v>57</v>
      </c>
      <c r="D59">
        <v>57</v>
      </c>
      <c r="E59" s="10">
        <v>1327470</v>
      </c>
      <c r="F59" s="10">
        <v>1084520</v>
      </c>
      <c r="G59" s="10">
        <v>15048</v>
      </c>
      <c r="H59" s="10">
        <v>37878</v>
      </c>
      <c r="I59" s="10">
        <v>9249</v>
      </c>
      <c r="J59" s="10">
        <v>31402</v>
      </c>
      <c r="K59">
        <v>57</v>
      </c>
      <c r="L59" s="10">
        <v>1576</v>
      </c>
      <c r="M59" s="10">
        <v>401383</v>
      </c>
      <c r="N59" s="10">
        <v>4760</v>
      </c>
      <c r="O59">
        <v>-0.53086252981503512</v>
      </c>
      <c r="P59">
        <v>1.0251719349114747</v>
      </c>
      <c r="Q59">
        <v>-0.40090825716867501</v>
      </c>
      <c r="R59">
        <v>0.40090825716867501</v>
      </c>
      <c r="S59">
        <f t="shared" si="10"/>
        <v>1.2223561475812068</v>
      </c>
      <c r="T59" s="148">
        <f t="shared" si="5"/>
        <v>1.2454278570225392</v>
      </c>
      <c r="U59">
        <f t="shared" si="11"/>
        <v>2.3605456150830237</v>
      </c>
      <c r="V59" s="55">
        <f t="shared" si="6"/>
        <v>2.3684246894390539</v>
      </c>
      <c r="W59">
        <f t="shared" si="12"/>
        <v>0.73562649315460049</v>
      </c>
      <c r="X59" s="55">
        <f t="shared" si="7"/>
        <v>0.75218399485573195</v>
      </c>
      <c r="Y59" s="149">
        <v>9.5963684199999992</v>
      </c>
      <c r="Z59" s="55">
        <f t="shared" si="3"/>
        <v>4.3890384686312836E-3</v>
      </c>
      <c r="AA59" s="55">
        <f t="shared" si="8"/>
        <v>4.5570698538892236E-3</v>
      </c>
      <c r="AB59" s="55">
        <f t="shared" si="4"/>
        <v>-5.428645103531748</v>
      </c>
      <c r="AC59" s="55">
        <f t="shared" si="9"/>
        <v>-5.3915779560135455</v>
      </c>
      <c r="AD59" s="55"/>
      <c r="AE59" s="55"/>
      <c r="AF59" s="55"/>
      <c r="AG59" s="55"/>
      <c r="AH59" s="55"/>
    </row>
    <row r="60" spans="1:34" ht="15.75">
      <c r="A60" s="39">
        <v>9.3463684199999992</v>
      </c>
      <c r="B60" s="39">
        <v>9.6123157900000002</v>
      </c>
      <c r="C60" s="39">
        <v>58</v>
      </c>
      <c r="D60">
        <v>58</v>
      </c>
      <c r="E60" s="10">
        <v>1318200</v>
      </c>
      <c r="F60" s="10">
        <v>1077320</v>
      </c>
      <c r="G60" s="10">
        <v>13900</v>
      </c>
      <c r="H60" s="10">
        <v>36869</v>
      </c>
      <c r="I60" s="10">
        <v>8672</v>
      </c>
      <c r="J60" s="10">
        <v>30336</v>
      </c>
      <c r="K60">
        <v>58</v>
      </c>
      <c r="L60" s="10">
        <v>1705</v>
      </c>
      <c r="M60" s="10">
        <v>395924</v>
      </c>
      <c r="N60" s="10">
        <v>4891</v>
      </c>
      <c r="O60">
        <v>-0.54383904646366055</v>
      </c>
      <c r="P60">
        <v>1.0309504701085501</v>
      </c>
      <c r="Q60">
        <v>-0.42364655811764262</v>
      </c>
      <c r="R60">
        <v>0.42364655811764262</v>
      </c>
      <c r="S60">
        <f t="shared" si="10"/>
        <v>1.252235681375321</v>
      </c>
      <c r="T60" s="148">
        <f t="shared" si="5"/>
        <v>1.2343264713568067</v>
      </c>
      <c r="U60">
        <f t="shared" si="11"/>
        <v>2.373851184087151</v>
      </c>
      <c r="V60" s="55">
        <f t="shared" si="6"/>
        <v>2.3858486167435924</v>
      </c>
      <c r="W60">
        <f t="shared" si="12"/>
        <v>0.78044628593596532</v>
      </c>
      <c r="X60" s="55">
        <f t="shared" si="7"/>
        <v>0.77008502171252069</v>
      </c>
      <c r="Y60" s="149">
        <v>9.6123157900000002</v>
      </c>
      <c r="Z60" s="55">
        <f t="shared" si="3"/>
        <v>4.5399695540786393E-3</v>
      </c>
      <c r="AA60" s="55">
        <f t="shared" si="8"/>
        <v>4.3879817769477405E-3</v>
      </c>
      <c r="AB60" s="55">
        <f t="shared" si="4"/>
        <v>-5.394834973101446</v>
      </c>
      <c r="AC60" s="55">
        <f t="shared" si="9"/>
        <v>-5.4292889436317315</v>
      </c>
      <c r="AD60" s="55"/>
      <c r="AE60" s="55"/>
      <c r="AF60" s="55"/>
      <c r="AG60" s="55"/>
      <c r="AH60" s="55"/>
    </row>
    <row r="61" spans="1:34" ht="15.75">
      <c r="A61" s="39">
        <v>9.3618070200000005</v>
      </c>
      <c r="B61" s="39">
        <v>9.6282631599999995</v>
      </c>
      <c r="C61" s="39">
        <v>59</v>
      </c>
      <c r="D61">
        <v>59</v>
      </c>
      <c r="E61" s="10">
        <v>1320810</v>
      </c>
      <c r="F61" s="10">
        <v>1081480</v>
      </c>
      <c r="G61" s="10">
        <v>13554</v>
      </c>
      <c r="H61" s="10">
        <v>35638</v>
      </c>
      <c r="I61" s="10">
        <v>8780</v>
      </c>
      <c r="J61" s="10">
        <v>29990</v>
      </c>
      <c r="K61">
        <v>59</v>
      </c>
      <c r="L61" s="10">
        <v>1662</v>
      </c>
      <c r="M61" s="10">
        <v>402044</v>
      </c>
      <c r="N61" s="10">
        <v>4580</v>
      </c>
      <c r="O61">
        <v>-0.53348194985342456</v>
      </c>
      <c r="P61">
        <v>1.0523602617047207</v>
      </c>
      <c r="Q61">
        <v>-0.41984584219394216</v>
      </c>
      <c r="R61">
        <v>0.41984584219394216</v>
      </c>
      <c r="S61">
        <f t="shared" si="10"/>
        <v>1.2283875851138926</v>
      </c>
      <c r="T61" s="148">
        <f t="shared" si="5"/>
        <v>1.237448487769103</v>
      </c>
      <c r="U61">
        <f t="shared" si="11"/>
        <v>2.4231490510606029</v>
      </c>
      <c r="V61" s="55">
        <f t="shared" si="6"/>
        <v>2.4001794985064384</v>
      </c>
      <c r="W61">
        <f t="shared" si="12"/>
        <v>0.79418228604699648</v>
      </c>
      <c r="X61" s="55">
        <f t="shared" si="7"/>
        <v>0.77773988693176366</v>
      </c>
      <c r="Y61" s="149">
        <v>9.6282631599999995</v>
      </c>
      <c r="Z61" s="55">
        <f t="shared" si="3"/>
        <v>4.2349373081332986E-3</v>
      </c>
      <c r="AA61" s="55">
        <f t="shared" si="8"/>
        <v>4.4834304453067941E-3</v>
      </c>
      <c r="AB61" s="55">
        <f t="shared" si="4"/>
        <v>-5.4643867542619988</v>
      </c>
      <c r="AC61" s="55">
        <f t="shared" si="9"/>
        <v>-5.4082218688736807</v>
      </c>
      <c r="AD61" s="55"/>
      <c r="AE61" s="55"/>
      <c r="AF61" s="55"/>
      <c r="AG61" s="55"/>
      <c r="AH61" s="55"/>
    </row>
    <row r="62" spans="1:34" ht="15.75">
      <c r="A62" s="39">
        <v>9.3772456099999992</v>
      </c>
      <c r="B62" s="39">
        <v>9.6442105300000005</v>
      </c>
      <c r="C62" s="39">
        <v>60</v>
      </c>
      <c r="D62">
        <v>60</v>
      </c>
      <c r="E62" s="10">
        <v>1321370</v>
      </c>
      <c r="F62" s="10">
        <v>1085900</v>
      </c>
      <c r="G62" s="10">
        <v>14283</v>
      </c>
      <c r="H62" s="10">
        <v>36258</v>
      </c>
      <c r="I62" s="10">
        <v>8899</v>
      </c>
      <c r="J62" s="10">
        <v>30498</v>
      </c>
      <c r="K62">
        <v>60</v>
      </c>
      <c r="L62" s="10">
        <v>1888</v>
      </c>
      <c r="M62" s="10">
        <v>401095</v>
      </c>
      <c r="N62" s="10">
        <v>5077</v>
      </c>
      <c r="O62">
        <v>-0.53493015331584992</v>
      </c>
      <c r="P62">
        <v>1.0438434035227102</v>
      </c>
      <c r="Q62">
        <v>-0.40458440843792698</v>
      </c>
      <c r="R62">
        <v>0.40458440843792698</v>
      </c>
      <c r="S62">
        <f t="shared" si="10"/>
        <v>1.2317221968180954</v>
      </c>
      <c r="T62" s="148">
        <f t="shared" si="5"/>
        <v>1.2373282145771987</v>
      </c>
      <c r="U62">
        <f t="shared" si="11"/>
        <v>2.4035382603715609</v>
      </c>
      <c r="V62" s="55">
        <f t="shared" si="6"/>
        <v>2.3987221127165692</v>
      </c>
      <c r="W62">
        <f t="shared" si="12"/>
        <v>0.75859108881232917</v>
      </c>
      <c r="X62" s="55">
        <f t="shared" si="7"/>
        <v>0.76593583125062159</v>
      </c>
      <c r="Y62" s="149">
        <v>9.6442105300000005</v>
      </c>
      <c r="Z62" s="55">
        <f t="shared" si="3"/>
        <v>4.6753844737084443E-3</v>
      </c>
      <c r="AA62" s="55">
        <f t="shared" si="8"/>
        <v>4.5655288262485211E-3</v>
      </c>
      <c r="AB62" s="55">
        <f t="shared" si="4"/>
        <v>-5.3654438792575974</v>
      </c>
      <c r="AC62" s="55">
        <f t="shared" si="9"/>
        <v>-5.390611872681994</v>
      </c>
      <c r="AD62" s="55"/>
      <c r="AE62" s="55"/>
      <c r="AF62" s="55"/>
      <c r="AG62" s="55"/>
      <c r="AH62" s="55"/>
    </row>
    <row r="63" spans="1:34" ht="15.75">
      <c r="A63" s="39">
        <v>9.3926842100000005</v>
      </c>
      <c r="B63" s="39">
        <v>9.6601578999999997</v>
      </c>
      <c r="C63" s="39">
        <v>61</v>
      </c>
      <c r="D63">
        <v>61</v>
      </c>
      <c r="E63" s="10">
        <v>1316680</v>
      </c>
      <c r="F63" s="10">
        <v>1081010</v>
      </c>
      <c r="G63" s="10">
        <v>14693</v>
      </c>
      <c r="H63" s="10">
        <v>37118</v>
      </c>
      <c r="I63" s="10">
        <v>8851</v>
      </c>
      <c r="J63" s="10">
        <v>30951</v>
      </c>
      <c r="K63">
        <v>61</v>
      </c>
      <c r="L63" s="10">
        <v>1638</v>
      </c>
      <c r="M63" s="10">
        <v>396859</v>
      </c>
      <c r="N63" s="10">
        <v>5174</v>
      </c>
      <c r="O63">
        <v>-0.54368234451296604</v>
      </c>
      <c r="P63">
        <v>1.0290516662889169</v>
      </c>
      <c r="Q63">
        <v>-0.40247408883259894</v>
      </c>
      <c r="R63">
        <v>0.40247408883259894</v>
      </c>
      <c r="S63">
        <f t="shared" si="10"/>
        <v>1.2518748617996087</v>
      </c>
      <c r="T63" s="148">
        <f t="shared" si="5"/>
        <v>1.2392097102549302</v>
      </c>
      <c r="U63">
        <f t="shared" si="11"/>
        <v>2.3694790267175434</v>
      </c>
      <c r="V63" s="55">
        <f t="shared" si="6"/>
        <v>2.3954221613397908</v>
      </c>
      <c r="W63">
        <f t="shared" si="12"/>
        <v>0.74503411889253934</v>
      </c>
      <c r="X63" s="55">
        <f t="shared" si="7"/>
        <v>0.7400399174206016</v>
      </c>
      <c r="Y63" s="149">
        <v>9.6601578999999997</v>
      </c>
      <c r="Z63" s="55">
        <f t="shared" si="3"/>
        <v>4.7862646969038213E-3</v>
      </c>
      <c r="AA63" s="55">
        <f t="shared" si="8"/>
        <v>4.5815262388999023E-3</v>
      </c>
      <c r="AB63" s="55">
        <f t="shared" si="4"/>
        <v>-5.3420049845263859</v>
      </c>
      <c r="AC63" s="55">
        <f t="shared" si="9"/>
        <v>-5.3868556313108558</v>
      </c>
      <c r="AD63" s="55"/>
      <c r="AE63" s="55"/>
      <c r="AF63" s="55"/>
      <c r="AG63" s="55"/>
      <c r="AH63" s="55"/>
    </row>
    <row r="64" spans="1:34" ht="15.75">
      <c r="A64" s="39">
        <v>9.4081228100000001</v>
      </c>
      <c r="B64" s="39">
        <v>9.6761052599999999</v>
      </c>
      <c r="C64" s="39">
        <v>62</v>
      </c>
      <c r="D64">
        <v>62</v>
      </c>
      <c r="E64" s="10">
        <v>1298090</v>
      </c>
      <c r="F64" s="10">
        <v>1077300</v>
      </c>
      <c r="G64" s="10">
        <v>14351</v>
      </c>
      <c r="H64" s="10">
        <v>35130</v>
      </c>
      <c r="I64" s="10">
        <v>8553</v>
      </c>
      <c r="J64" s="10">
        <v>29380</v>
      </c>
      <c r="K64">
        <v>62</v>
      </c>
      <c r="L64" s="10">
        <v>1878</v>
      </c>
      <c r="M64" s="10">
        <v>392409</v>
      </c>
      <c r="N64" s="10">
        <v>4614</v>
      </c>
      <c r="O64">
        <v>-0.53593331942511524</v>
      </c>
      <c r="P64">
        <v>1.0480608096842692</v>
      </c>
      <c r="Q64">
        <v>-0.38879598535264898</v>
      </c>
      <c r="R64">
        <v>0.38879598535264898</v>
      </c>
      <c r="S64">
        <f t="shared" si="10"/>
        <v>1.2340320721470865</v>
      </c>
      <c r="T64" s="148">
        <f t="shared" si="5"/>
        <v>1.2349800334854308</v>
      </c>
      <c r="U64">
        <f t="shared" si="11"/>
        <v>2.4132491969302676</v>
      </c>
      <c r="V64" s="55">
        <f t="shared" si="6"/>
        <v>2.4056928045174724</v>
      </c>
      <c r="W64">
        <f t="shared" si="12"/>
        <v>0.7164945445569364</v>
      </c>
      <c r="X64" s="55">
        <f t="shared" si="7"/>
        <v>0.74392827184029342</v>
      </c>
      <c r="Y64" s="149">
        <v>9.6761052599999999</v>
      </c>
      <c r="Z64" s="55">
        <f t="shared" si="3"/>
        <v>4.2829295460874404E-3</v>
      </c>
      <c r="AA64" s="55">
        <f t="shared" si="8"/>
        <v>4.4645198586652805E-3</v>
      </c>
      <c r="AB64" s="55">
        <f t="shared" si="4"/>
        <v>-5.4531180301485849</v>
      </c>
      <c r="AC64" s="55">
        <f t="shared" si="9"/>
        <v>-5.4128709692850547</v>
      </c>
      <c r="AD64" s="55"/>
      <c r="AE64" s="55"/>
      <c r="AF64" s="55"/>
      <c r="AG64" s="55"/>
      <c r="AH64" s="55"/>
    </row>
    <row r="65" spans="1:34" ht="15.75">
      <c r="A65" s="39">
        <v>9.4235614000000005</v>
      </c>
      <c r="B65" s="39">
        <v>9.6920526299999992</v>
      </c>
      <c r="C65" s="39">
        <v>63</v>
      </c>
      <c r="D65">
        <v>63</v>
      </c>
      <c r="E65" s="10">
        <v>1239350</v>
      </c>
      <c r="F65" s="10">
        <v>1054490</v>
      </c>
      <c r="G65" s="10">
        <v>12893</v>
      </c>
      <c r="H65" s="10">
        <v>33369</v>
      </c>
      <c r="I65" s="10">
        <v>8231</v>
      </c>
      <c r="J65" s="10">
        <v>27853</v>
      </c>
      <c r="K65">
        <v>63</v>
      </c>
      <c r="L65" s="10">
        <v>1752</v>
      </c>
      <c r="M65" s="10">
        <v>380687</v>
      </c>
      <c r="N65" s="10">
        <v>4560</v>
      </c>
      <c r="O65">
        <v>-0.52941937747216627</v>
      </c>
      <c r="P65">
        <v>1.0572248544957037</v>
      </c>
      <c r="Q65">
        <v>-0.4129892092772966</v>
      </c>
      <c r="R65">
        <v>0.4129892092772966</v>
      </c>
      <c r="S65">
        <f t="shared" si="10"/>
        <v>1.2190331665095979</v>
      </c>
      <c r="T65" s="148">
        <f t="shared" si="5"/>
        <v>1.2302811687880106</v>
      </c>
      <c r="U65">
        <f t="shared" si="11"/>
        <v>2.4343501899046061</v>
      </c>
      <c r="V65" s="55">
        <f t="shared" si="6"/>
        <v>2.4177458796679194</v>
      </c>
      <c r="W65">
        <f t="shared" si="12"/>
        <v>0.77025615207140441</v>
      </c>
      <c r="X65" s="55">
        <f t="shared" si="7"/>
        <v>0.73563042519515953</v>
      </c>
      <c r="Y65" s="149">
        <v>9.6920526299999992</v>
      </c>
      <c r="Z65" s="55">
        <f t="shared" si="3"/>
        <v>4.3243653330045807E-3</v>
      </c>
      <c r="AA65" s="55">
        <f t="shared" si="8"/>
        <v>4.3388708942508625E-3</v>
      </c>
      <c r="AB65" s="55">
        <f t="shared" si="4"/>
        <v>-5.4434898931801907</v>
      </c>
      <c r="AC65" s="55">
        <f t="shared" si="9"/>
        <v>-5.4402144059552846</v>
      </c>
      <c r="AD65" s="55"/>
      <c r="AE65" s="55"/>
      <c r="AF65" s="55"/>
      <c r="AG65" s="55"/>
      <c r="AH65" s="55"/>
    </row>
    <row r="66" spans="1:34" ht="15.75">
      <c r="A66" s="39">
        <v>9.4390000000000001</v>
      </c>
      <c r="B66" s="39">
        <v>9.7080000000000002</v>
      </c>
      <c r="C66" s="39">
        <v>64</v>
      </c>
      <c r="D66">
        <v>64</v>
      </c>
      <c r="E66" s="10">
        <v>1241100</v>
      </c>
      <c r="F66" s="10">
        <v>1057760</v>
      </c>
      <c r="G66" s="10">
        <v>13797</v>
      </c>
      <c r="H66" s="10">
        <v>34408</v>
      </c>
      <c r="I66" s="10">
        <v>8222</v>
      </c>
      <c r="J66" s="10">
        <v>28349</v>
      </c>
      <c r="K66">
        <v>64</v>
      </c>
      <c r="L66" s="10">
        <v>1614</v>
      </c>
      <c r="M66" s="10">
        <v>381430</v>
      </c>
      <c r="N66" s="10">
        <v>4664</v>
      </c>
      <c r="O66">
        <v>-0.53756027148506713</v>
      </c>
      <c r="P66">
        <v>1.0447554183723302</v>
      </c>
      <c r="Q66">
        <v>-0.39687476525233539</v>
      </c>
      <c r="R66">
        <v>0.39687476525233539</v>
      </c>
      <c r="S66">
        <f t="shared" si="10"/>
        <v>1.2377782677073479</v>
      </c>
      <c r="T66" s="148">
        <f t="shared" si="5"/>
        <v>1.2198671508297469</v>
      </c>
      <c r="U66">
        <f t="shared" si="11"/>
        <v>2.405638252168885</v>
      </c>
      <c r="V66" s="55">
        <f t="shared" si="6"/>
        <v>2.4166698405607505</v>
      </c>
      <c r="W66">
        <f t="shared" si="12"/>
        <v>0.72014057895713801</v>
      </c>
      <c r="X66" s="55">
        <f t="shared" si="7"/>
        <v>0.78552279541584291</v>
      </c>
      <c r="Y66" s="149">
        <v>9.7080000000000002</v>
      </c>
      <c r="Z66" s="55">
        <f t="shared" si="3"/>
        <v>4.4093178036605655E-3</v>
      </c>
      <c r="AA66" s="55">
        <f t="shared" si="8"/>
        <v>4.4307334802505356E-3</v>
      </c>
      <c r="AB66" s="55">
        <f t="shared" si="4"/>
        <v>-5.4240352945370764</v>
      </c>
      <c r="AC66" s="55">
        <f t="shared" si="9"/>
        <v>-5.4194276828864334</v>
      </c>
      <c r="AD66" s="55"/>
      <c r="AE66" s="55"/>
      <c r="AF66" s="55"/>
      <c r="AG66" s="55"/>
      <c r="AH66" s="55"/>
    </row>
    <row r="67" spans="1:34" ht="15.75">
      <c r="A67" s="39">
        <v>9.4544385999999996</v>
      </c>
      <c r="B67" s="39">
        <v>9.7239473699999994</v>
      </c>
      <c r="C67" s="39">
        <v>65</v>
      </c>
      <c r="D67">
        <v>65</v>
      </c>
      <c r="E67" s="10">
        <v>1283520</v>
      </c>
      <c r="F67" s="10">
        <v>1061310</v>
      </c>
      <c r="G67" s="10">
        <v>12319</v>
      </c>
      <c r="H67" s="10">
        <v>34241</v>
      </c>
      <c r="I67" s="10">
        <v>8798</v>
      </c>
      <c r="J67" s="10">
        <v>29292</v>
      </c>
      <c r="K67">
        <v>65</v>
      </c>
      <c r="L67" s="10">
        <v>1604</v>
      </c>
      <c r="M67" s="10">
        <v>381246</v>
      </c>
      <c r="N67" s="10">
        <v>4838</v>
      </c>
      <c r="O67">
        <v>-0.5223650678239693</v>
      </c>
      <c r="P67">
        <v>1.0466588561446024</v>
      </c>
      <c r="Q67">
        <v>-0.44397098443186567</v>
      </c>
      <c r="R67">
        <v>0.44397098443186567</v>
      </c>
      <c r="S67">
        <f t="shared" si="10"/>
        <v>1.2027900182722953</v>
      </c>
      <c r="T67" s="148">
        <f t="shared" si="5"/>
        <v>1.2053245286719441</v>
      </c>
      <c r="U67">
        <f t="shared" si="11"/>
        <v>2.4100210796087609</v>
      </c>
      <c r="V67" s="55">
        <f t="shared" si="6"/>
        <v>2.4092745091602046</v>
      </c>
      <c r="W67">
        <f t="shared" si="12"/>
        <v>0.86617165521898631</v>
      </c>
      <c r="X67" s="55">
        <f t="shared" si="7"/>
        <v>0.80456512389208923</v>
      </c>
      <c r="Y67" s="149">
        <v>9.7239473699999994</v>
      </c>
      <c r="Z67" s="55">
        <f t="shared" ref="Z67:Z130" si="13">N67/F67</f>
        <v>4.5585173040864589E-3</v>
      </c>
      <c r="AA67" s="55">
        <f t="shared" si="8"/>
        <v>4.4327695449295941E-3</v>
      </c>
      <c r="AB67" s="55">
        <f t="shared" ref="AB67:AB130" si="14">LN(Z67)</f>
        <v>-5.390757860942033</v>
      </c>
      <c r="AC67" s="55">
        <f t="shared" si="9"/>
        <v>-5.4189571796107439</v>
      </c>
      <c r="AD67" s="55"/>
      <c r="AE67" s="55"/>
      <c r="AF67" s="55"/>
      <c r="AG67" s="55"/>
      <c r="AH67" s="55"/>
    </row>
    <row r="68" spans="1:34" ht="15.75">
      <c r="A68" s="39">
        <v>9.4698771900000001</v>
      </c>
      <c r="B68" s="39">
        <v>9.7398947400000004</v>
      </c>
      <c r="C68" s="39">
        <v>66</v>
      </c>
      <c r="D68">
        <v>66</v>
      </c>
      <c r="E68" s="10">
        <v>1271080</v>
      </c>
      <c r="F68" s="10">
        <v>1054850</v>
      </c>
      <c r="G68" s="10">
        <v>12592</v>
      </c>
      <c r="H68" s="10">
        <v>34330</v>
      </c>
      <c r="I68" s="10">
        <v>8891</v>
      </c>
      <c r="J68" s="10">
        <v>28802</v>
      </c>
      <c r="K68">
        <v>66</v>
      </c>
      <c r="L68" s="10">
        <v>1546</v>
      </c>
      <c r="M68" s="10">
        <v>383057</v>
      </c>
      <c r="N68" s="10">
        <v>4568</v>
      </c>
      <c r="O68">
        <v>-0.510472035805553</v>
      </c>
      <c r="P68">
        <v>1.0475895996383946</v>
      </c>
      <c r="Q68">
        <v>-0.43557908841076082</v>
      </c>
      <c r="R68">
        <v>0.43557908841076082</v>
      </c>
      <c r="S68">
        <f t="shared" si="10"/>
        <v>1.1754053000361888</v>
      </c>
      <c r="T68" s="148">
        <f t="shared" ref="T68:T131" si="15">AVERAGE(S67:S69)</f>
        <v>1.1846978765678253</v>
      </c>
      <c r="U68">
        <f t="shared" si="11"/>
        <v>2.4121641957029683</v>
      </c>
      <c r="V68" s="55">
        <f t="shared" ref="V68:V131" si="16">AVERAGE(U67:U69)</f>
        <v>2.422819212052338</v>
      </c>
      <c r="W68">
        <f t="shared" si="12"/>
        <v>0.82738313750014358</v>
      </c>
      <c r="X68" s="55">
        <f t="shared" ref="X68:X131" si="17">AVERAGE(W67:W69)</f>
        <v>0.83619379051625875</v>
      </c>
      <c r="Y68" s="149">
        <v>9.7398947400000004</v>
      </c>
      <c r="Z68" s="55">
        <f t="shared" si="13"/>
        <v>4.3304735270417597E-3</v>
      </c>
      <c r="AA68" s="55">
        <f t="shared" ref="AA68:AA131" si="18">AVERAGE(Z67:Z69)</f>
        <v>4.402392286515208E-3</v>
      </c>
      <c r="AB68" s="55">
        <f t="shared" si="14"/>
        <v>-5.442078383353123</v>
      </c>
      <c r="AC68" s="55">
        <f t="shared" ref="AC68:AC131" si="19">AVERAGE(AB67:AB69)</f>
        <v>-5.4259187033445393</v>
      </c>
      <c r="AD68" s="55"/>
      <c r="AE68" s="55"/>
      <c r="AF68" s="55"/>
      <c r="AG68" s="55"/>
      <c r="AH68" s="55"/>
    </row>
    <row r="69" spans="1:34" ht="15.75">
      <c r="A69" s="39">
        <v>9.4853157899999996</v>
      </c>
      <c r="B69" s="39">
        <v>9.7558421099999997</v>
      </c>
      <c r="C69" s="39">
        <v>67</v>
      </c>
      <c r="D69">
        <v>67</v>
      </c>
      <c r="E69" s="10">
        <v>1300790</v>
      </c>
      <c r="F69" s="10">
        <v>1079620</v>
      </c>
      <c r="G69" s="10">
        <v>12587</v>
      </c>
      <c r="H69" s="10">
        <v>34811</v>
      </c>
      <c r="I69" s="10">
        <v>8774</v>
      </c>
      <c r="J69" s="10">
        <v>28437</v>
      </c>
      <c r="K69">
        <v>67</v>
      </c>
      <c r="L69" s="10">
        <v>1549</v>
      </c>
      <c r="M69" s="10">
        <v>401901</v>
      </c>
      <c r="N69" s="10">
        <v>4662</v>
      </c>
      <c r="O69">
        <v>-0.51068614791819678</v>
      </c>
      <c r="P69">
        <v>1.0624025875475476</v>
      </c>
      <c r="Q69">
        <v>-0.44179426704955982</v>
      </c>
      <c r="R69">
        <v>0.44179426704955976</v>
      </c>
      <c r="S69">
        <f t="shared" si="10"/>
        <v>1.1758983113949919</v>
      </c>
      <c r="T69" s="148">
        <f t="shared" si="15"/>
        <v>1.1504840257896571</v>
      </c>
      <c r="U69">
        <f t="shared" si="11"/>
        <v>2.4462723608452848</v>
      </c>
      <c r="V69" s="55">
        <f t="shared" si="16"/>
        <v>2.435875432430807</v>
      </c>
      <c r="W69">
        <f t="shared" si="12"/>
        <v>0.81502657882964635</v>
      </c>
      <c r="X69" s="55">
        <f t="shared" si="17"/>
        <v>0.8395658181828235</v>
      </c>
      <c r="Y69" s="149">
        <v>9.7558421099999997</v>
      </c>
      <c r="Z69" s="55">
        <f t="shared" si="13"/>
        <v>4.3181860284174063E-3</v>
      </c>
      <c r="AA69" s="55">
        <f t="shared" si="18"/>
        <v>4.3815262194979087E-3</v>
      </c>
      <c r="AB69" s="55">
        <f t="shared" si="14"/>
        <v>-5.4449198657384619</v>
      </c>
      <c r="AC69" s="55">
        <f t="shared" si="19"/>
        <v>-5.4305278029138355</v>
      </c>
      <c r="AD69" s="55"/>
      <c r="AE69" s="55"/>
      <c r="AF69" s="55"/>
      <c r="AG69" s="55"/>
      <c r="AH69" s="55"/>
    </row>
    <row r="70" spans="1:34" ht="15.75">
      <c r="A70" s="39">
        <v>9.5007543900000009</v>
      </c>
      <c r="B70" s="39">
        <v>9.7717894699999999</v>
      </c>
      <c r="C70" s="39">
        <v>68</v>
      </c>
      <c r="D70">
        <v>68</v>
      </c>
      <c r="E70" s="10">
        <v>1312220</v>
      </c>
      <c r="F70" s="10">
        <v>1081870</v>
      </c>
      <c r="G70" s="10">
        <v>12205</v>
      </c>
      <c r="H70" s="10">
        <v>34859</v>
      </c>
      <c r="I70" s="10">
        <v>9757</v>
      </c>
      <c r="J70" s="10">
        <v>29316</v>
      </c>
      <c r="K70">
        <v>68</v>
      </c>
      <c r="L70" s="10">
        <v>1428</v>
      </c>
      <c r="M70" s="10">
        <v>403631</v>
      </c>
      <c r="N70" s="10">
        <v>4864</v>
      </c>
      <c r="O70">
        <v>-0.47778840803111017</v>
      </c>
      <c r="P70">
        <v>1.0636695895392478</v>
      </c>
      <c r="Q70">
        <v>-0.45577714059531815</v>
      </c>
      <c r="R70">
        <v>0.45577714059531815</v>
      </c>
      <c r="S70">
        <f t="shared" si="10"/>
        <v>1.1001484659377907</v>
      </c>
      <c r="T70" s="148">
        <f t="shared" si="15"/>
        <v>1.1553580179108838</v>
      </c>
      <c r="U70">
        <f t="shared" si="11"/>
        <v>2.4491897407441674</v>
      </c>
      <c r="V70" s="55">
        <f t="shared" si="16"/>
        <v>2.4378383709452947</v>
      </c>
      <c r="W70">
        <f t="shared" si="12"/>
        <v>0.87628773821868033</v>
      </c>
      <c r="X70" s="55">
        <f t="shared" si="17"/>
        <v>0.82805490206671095</v>
      </c>
      <c r="Y70" s="149">
        <v>9.7717894699999999</v>
      </c>
      <c r="Z70" s="55">
        <f t="shared" si="13"/>
        <v>4.4959191030345602E-3</v>
      </c>
      <c r="AA70" s="55">
        <f t="shared" si="18"/>
        <v>4.4205509741584948E-3</v>
      </c>
      <c r="AB70" s="55">
        <f t="shared" si="14"/>
        <v>-5.4045851596499199</v>
      </c>
      <c r="AC70" s="55">
        <f t="shared" si="19"/>
        <v>-5.4216358060925671</v>
      </c>
      <c r="AD70" s="55"/>
      <c r="AE70" s="55"/>
      <c r="AF70" s="55"/>
      <c r="AG70" s="55"/>
      <c r="AH70" s="55"/>
    </row>
    <row r="71" spans="1:34" ht="15.75">
      <c r="A71" s="39">
        <v>9.5161929799999996</v>
      </c>
      <c r="B71" s="39">
        <v>9.7877368400000009</v>
      </c>
      <c r="C71" s="39">
        <v>69</v>
      </c>
      <c r="D71">
        <v>69</v>
      </c>
      <c r="E71" s="10">
        <v>1315380</v>
      </c>
      <c r="F71" s="10">
        <v>1081270</v>
      </c>
      <c r="G71" s="10">
        <v>13277</v>
      </c>
      <c r="H71" s="10">
        <v>35864</v>
      </c>
      <c r="I71" s="10">
        <v>8925</v>
      </c>
      <c r="J71" s="10">
        <v>29338</v>
      </c>
      <c r="K71">
        <v>69</v>
      </c>
      <c r="L71" s="10">
        <v>1818</v>
      </c>
      <c r="M71" s="10">
        <v>402537</v>
      </c>
      <c r="N71" s="10">
        <v>4809</v>
      </c>
      <c r="O71">
        <v>-0.51682227945481862</v>
      </c>
      <c r="P71">
        <v>1.050147079733867</v>
      </c>
      <c r="Q71">
        <v>-0.43155877060216119</v>
      </c>
      <c r="R71">
        <v>0.43155877060216119</v>
      </c>
      <c r="S71">
        <f t="shared" si="10"/>
        <v>1.1900272763998683</v>
      </c>
      <c r="T71" s="148">
        <f t="shared" si="15"/>
        <v>1.1696429503698198</v>
      </c>
      <c r="U71">
        <f t="shared" si="11"/>
        <v>2.4180530112464313</v>
      </c>
      <c r="V71" s="55">
        <f t="shared" si="16"/>
        <v>2.420293085423685</v>
      </c>
      <c r="W71">
        <f t="shared" si="12"/>
        <v>0.79285038915180606</v>
      </c>
      <c r="X71" s="55">
        <f t="shared" si="17"/>
        <v>0.80776248619298652</v>
      </c>
      <c r="Y71" s="149">
        <v>9.7877368400000009</v>
      </c>
      <c r="Z71" s="55">
        <f t="shared" si="13"/>
        <v>4.4475477910235189E-3</v>
      </c>
      <c r="AA71" s="55">
        <f t="shared" si="18"/>
        <v>4.4671009096399249E-3</v>
      </c>
      <c r="AB71" s="55">
        <f t="shared" si="14"/>
        <v>-5.4154023928893205</v>
      </c>
      <c r="AC71" s="55">
        <f t="shared" si="19"/>
        <v>-5.4110264740253688</v>
      </c>
      <c r="AD71" s="55"/>
      <c r="AE71" s="55"/>
      <c r="AF71" s="55"/>
      <c r="AG71" s="55"/>
      <c r="AH71" s="55"/>
    </row>
    <row r="72" spans="1:34" ht="15.75">
      <c r="A72" s="39">
        <v>9.5316315800000009</v>
      </c>
      <c r="B72" s="39">
        <v>9.8036842100000001</v>
      </c>
      <c r="C72" s="39">
        <v>70</v>
      </c>
      <c r="D72">
        <v>70</v>
      </c>
      <c r="E72" s="10">
        <v>1312190</v>
      </c>
      <c r="F72" s="10">
        <v>1068680</v>
      </c>
      <c r="G72" s="10">
        <v>14332</v>
      </c>
      <c r="H72" s="10">
        <v>36088</v>
      </c>
      <c r="I72" s="10">
        <v>9006</v>
      </c>
      <c r="J72" s="10">
        <v>30467</v>
      </c>
      <c r="K72">
        <v>70</v>
      </c>
      <c r="L72" s="10">
        <v>1857</v>
      </c>
      <c r="M72" s="10">
        <v>395281</v>
      </c>
      <c r="N72" s="10">
        <v>4764</v>
      </c>
      <c r="O72">
        <v>-0.52929774994202661</v>
      </c>
      <c r="P72">
        <v>1.0395431254911915</v>
      </c>
      <c r="Q72">
        <v>-0.4010560145955811</v>
      </c>
      <c r="R72">
        <v>0.4010560145955811</v>
      </c>
      <c r="S72">
        <f t="shared" si="10"/>
        <v>1.2187531087718004</v>
      </c>
      <c r="T72" s="148">
        <f t="shared" si="15"/>
        <v>1.208730438597134</v>
      </c>
      <c r="U72">
        <f t="shared" si="11"/>
        <v>2.3936365042804564</v>
      </c>
      <c r="V72" s="55">
        <f t="shared" si="16"/>
        <v>2.3895867337133043</v>
      </c>
      <c r="W72">
        <f t="shared" si="12"/>
        <v>0.75414933120847294</v>
      </c>
      <c r="X72" s="55">
        <f t="shared" si="17"/>
        <v>0.76530718416153343</v>
      </c>
      <c r="Y72" s="149">
        <v>9.8036842100000001</v>
      </c>
      <c r="Z72" s="55">
        <f t="shared" si="13"/>
        <v>4.4578358348616983E-3</v>
      </c>
      <c r="AA72" s="55">
        <f t="shared" si="18"/>
        <v>4.4261835018775094E-3</v>
      </c>
      <c r="AB72" s="55">
        <f t="shared" si="14"/>
        <v>-5.4130918695368662</v>
      </c>
      <c r="AC72" s="55">
        <f t="shared" si="19"/>
        <v>-5.4202540361060727</v>
      </c>
      <c r="AD72" s="55"/>
      <c r="AE72" s="55"/>
      <c r="AF72" s="55"/>
      <c r="AG72" s="55"/>
      <c r="AH72" s="55"/>
    </row>
    <row r="73" spans="1:34" ht="15.75">
      <c r="A73" s="39">
        <v>9.5470701800000004</v>
      </c>
      <c r="B73" s="39">
        <v>9.8196315799999994</v>
      </c>
      <c r="C73" s="39">
        <v>71</v>
      </c>
      <c r="D73">
        <v>71</v>
      </c>
      <c r="E73" s="10">
        <v>1298680</v>
      </c>
      <c r="F73" s="10">
        <v>1063760</v>
      </c>
      <c r="G73" s="10">
        <v>14383</v>
      </c>
      <c r="H73" s="10">
        <v>36525</v>
      </c>
      <c r="I73" s="10">
        <v>9003</v>
      </c>
      <c r="J73" s="10">
        <v>30416</v>
      </c>
      <c r="K73">
        <v>71</v>
      </c>
      <c r="L73" s="10">
        <v>1910</v>
      </c>
      <c r="M73" s="10">
        <v>385703</v>
      </c>
      <c r="N73" s="10">
        <v>4652</v>
      </c>
      <c r="O73">
        <v>-0.52871484937685287</v>
      </c>
      <c r="P73">
        <v>1.0236627922176509</v>
      </c>
      <c r="Q73">
        <v>-0.4047407441534327</v>
      </c>
      <c r="R73">
        <v>0.40474074415343264</v>
      </c>
      <c r="S73">
        <f t="shared" si="10"/>
        <v>1.2174109306197336</v>
      </c>
      <c r="T73" s="148">
        <f t="shared" si="15"/>
        <v>1.2282978671074003</v>
      </c>
      <c r="U73">
        <f t="shared" si="11"/>
        <v>2.3570706856130244</v>
      </c>
      <c r="V73" s="55">
        <f t="shared" si="16"/>
        <v>2.3721046858465513</v>
      </c>
      <c r="W73">
        <f t="shared" si="12"/>
        <v>0.74892183212432117</v>
      </c>
      <c r="X73" s="55">
        <f t="shared" si="17"/>
        <v>0.74272654675545224</v>
      </c>
      <c r="Y73" s="149">
        <v>9.8196315799999994</v>
      </c>
      <c r="Z73" s="55">
        <f t="shared" si="13"/>
        <v>4.3731668797473118E-3</v>
      </c>
      <c r="AA73" s="55">
        <f t="shared" si="18"/>
        <v>4.3211143106804016E-3</v>
      </c>
      <c r="AB73" s="55">
        <f t="shared" si="14"/>
        <v>-5.4322678458920324</v>
      </c>
      <c r="AC73" s="55">
        <f t="shared" si="19"/>
        <v>-5.4447570364378963</v>
      </c>
      <c r="AD73" s="55"/>
      <c r="AE73" s="55"/>
      <c r="AF73" s="55"/>
      <c r="AG73" s="55"/>
      <c r="AH73" s="55"/>
    </row>
    <row r="74" spans="1:34" ht="15.75">
      <c r="A74" s="39">
        <v>9.5625087700000009</v>
      </c>
      <c r="B74" s="39">
        <v>9.8355789500000004</v>
      </c>
      <c r="C74" s="39">
        <v>72</v>
      </c>
      <c r="D74">
        <v>72</v>
      </c>
      <c r="E74" s="10">
        <v>1294640</v>
      </c>
      <c r="F74" s="10">
        <v>1063320</v>
      </c>
      <c r="G74" s="10">
        <v>14918</v>
      </c>
      <c r="H74" s="10">
        <v>36578</v>
      </c>
      <c r="I74" s="10">
        <v>8837</v>
      </c>
      <c r="J74" s="10">
        <v>30805</v>
      </c>
      <c r="K74">
        <v>72</v>
      </c>
      <c r="L74" s="10">
        <v>1582</v>
      </c>
      <c r="M74" s="10">
        <v>389574</v>
      </c>
      <c r="N74" s="10">
        <v>4394</v>
      </c>
      <c r="O74">
        <v>-0.54231635813595347</v>
      </c>
      <c r="P74">
        <v>1.027370008971169</v>
      </c>
      <c r="Q74">
        <v>-0.3895093527610759</v>
      </c>
      <c r="R74">
        <v>0.3895093527610759</v>
      </c>
      <c r="S74">
        <f t="shared" si="10"/>
        <v>1.2487295619306666</v>
      </c>
      <c r="T74" s="148">
        <f t="shared" si="15"/>
        <v>1.2061391076775041</v>
      </c>
      <c r="U74">
        <f t="shared" si="11"/>
        <v>2.3656068676461728</v>
      </c>
      <c r="V74" s="55">
        <f t="shared" si="16"/>
        <v>2.3551091726839242</v>
      </c>
      <c r="W74">
        <f t="shared" si="12"/>
        <v>0.72510847693356262</v>
      </c>
      <c r="X74" s="55">
        <f t="shared" si="17"/>
        <v>0.71554028369357692</v>
      </c>
      <c r="Y74" s="149">
        <v>9.8355789500000004</v>
      </c>
      <c r="Z74" s="55">
        <f t="shared" si="13"/>
        <v>4.1323402174321937E-3</v>
      </c>
      <c r="AA74" s="55">
        <f t="shared" si="18"/>
        <v>4.2518593263162381E-3</v>
      </c>
      <c r="AB74" s="55">
        <f t="shared" si="14"/>
        <v>-5.4889113938847931</v>
      </c>
      <c r="AC74" s="55">
        <f t="shared" si="19"/>
        <v>-5.4606662859661244</v>
      </c>
      <c r="AD74" s="55"/>
      <c r="AE74" s="55"/>
      <c r="AF74" s="55"/>
      <c r="AG74" s="55"/>
      <c r="AH74" s="55"/>
    </row>
    <row r="75" spans="1:34" ht="15.75">
      <c r="A75" s="39">
        <v>9.5779473700000004</v>
      </c>
      <c r="B75" s="39">
        <v>9.8515263199999996</v>
      </c>
      <c r="C75" s="39">
        <v>73</v>
      </c>
      <c r="D75">
        <v>73</v>
      </c>
      <c r="E75" s="10">
        <v>1285790</v>
      </c>
      <c r="F75" s="10">
        <v>1058100</v>
      </c>
      <c r="G75" s="10">
        <v>15629</v>
      </c>
      <c r="H75" s="10">
        <v>36753</v>
      </c>
      <c r="I75" s="10">
        <v>9674</v>
      </c>
      <c r="J75" s="10">
        <v>30622</v>
      </c>
      <c r="K75">
        <v>73</v>
      </c>
      <c r="L75" s="10">
        <v>1570</v>
      </c>
      <c r="M75" s="10">
        <v>382554</v>
      </c>
      <c r="N75" s="10">
        <v>4497</v>
      </c>
      <c r="O75">
        <v>-0.50042746910335001</v>
      </c>
      <c r="P75">
        <v>1.0173999527402626</v>
      </c>
      <c r="Q75">
        <v>-0.37136160340906799</v>
      </c>
      <c r="R75">
        <v>0.37136160340906799</v>
      </c>
      <c r="S75">
        <f t="shared" si="10"/>
        <v>1.152276830482112</v>
      </c>
      <c r="T75" s="148">
        <f t="shared" si="15"/>
        <v>1.2038161414463375</v>
      </c>
      <c r="U75">
        <f t="shared" si="11"/>
        <v>2.3426499647925754</v>
      </c>
      <c r="V75" s="55">
        <f t="shared" si="16"/>
        <v>2.3368325565728125</v>
      </c>
      <c r="W75">
        <f t="shared" si="12"/>
        <v>0.67259054202284685</v>
      </c>
      <c r="X75" s="55">
        <f t="shared" si="17"/>
        <v>0.68718939969587822</v>
      </c>
      <c r="Y75" s="149">
        <v>9.8515263199999996</v>
      </c>
      <c r="Z75" s="55">
        <f t="shared" si="13"/>
        <v>4.2500708817692088E-3</v>
      </c>
      <c r="AA75" s="55">
        <f t="shared" si="18"/>
        <v>4.3929324005464853E-3</v>
      </c>
      <c r="AB75" s="55">
        <f t="shared" si="14"/>
        <v>-5.4608196181215458</v>
      </c>
      <c r="AC75" s="55">
        <f t="shared" si="19"/>
        <v>-5.4298745173226877</v>
      </c>
      <c r="AD75" s="55"/>
      <c r="AE75" s="55"/>
      <c r="AF75" s="55"/>
      <c r="AG75" s="55"/>
      <c r="AH75" s="55"/>
    </row>
    <row r="76" spans="1:34" ht="15.75">
      <c r="A76" s="39">
        <v>9.5933859699999999</v>
      </c>
      <c r="B76" s="39">
        <v>9.8674736799999998</v>
      </c>
      <c r="C76" s="39">
        <v>74</v>
      </c>
      <c r="D76">
        <v>74</v>
      </c>
      <c r="E76" s="10">
        <v>1268350</v>
      </c>
      <c r="F76" s="10">
        <v>1053710</v>
      </c>
      <c r="G76" s="10">
        <v>15596</v>
      </c>
      <c r="H76" s="10">
        <v>36607</v>
      </c>
      <c r="I76" s="10">
        <v>9029</v>
      </c>
      <c r="J76" s="10">
        <v>30292</v>
      </c>
      <c r="K76">
        <v>74</v>
      </c>
      <c r="L76" s="10">
        <v>1691</v>
      </c>
      <c r="M76" s="10">
        <v>365944</v>
      </c>
      <c r="N76" s="10">
        <v>5054</v>
      </c>
      <c r="O76">
        <v>-0.52568829512932325</v>
      </c>
      <c r="P76">
        <v>0.99985049164289141</v>
      </c>
      <c r="Q76">
        <v>-0.37055091272256452</v>
      </c>
      <c r="R76">
        <v>0.37055091272256452</v>
      </c>
      <c r="S76">
        <f t="shared" si="10"/>
        <v>1.2104420319262341</v>
      </c>
      <c r="T76" s="148">
        <f t="shared" si="15"/>
        <v>1.2091925640967596</v>
      </c>
      <c r="U76">
        <f t="shared" si="11"/>
        <v>2.3022408372796894</v>
      </c>
      <c r="V76" s="55">
        <f t="shared" si="16"/>
        <v>2.3172409019345275</v>
      </c>
      <c r="W76">
        <f t="shared" si="12"/>
        <v>0.66386918013122531</v>
      </c>
      <c r="X76" s="55">
        <f t="shared" si="17"/>
        <v>0.67751721398079023</v>
      </c>
      <c r="Y76" s="149">
        <v>9.8674736799999998</v>
      </c>
      <c r="Z76" s="55">
        <f t="shared" si="13"/>
        <v>4.7963861024380525E-3</v>
      </c>
      <c r="AA76" s="55">
        <f t="shared" si="18"/>
        <v>4.6082251164830043E-3</v>
      </c>
      <c r="AB76" s="55">
        <f t="shared" si="14"/>
        <v>-5.3398925399617232</v>
      </c>
      <c r="AC76" s="55">
        <f t="shared" si="19"/>
        <v>-5.3814665623262883</v>
      </c>
      <c r="AD76" s="55"/>
      <c r="AE76" s="55"/>
      <c r="AF76" s="55"/>
      <c r="AG76" s="55"/>
      <c r="AH76" s="55"/>
    </row>
    <row r="77" spans="1:34" ht="15.75">
      <c r="A77" s="39">
        <v>9.6088245600000004</v>
      </c>
      <c r="B77" s="39">
        <v>9.8834210500000008</v>
      </c>
      <c r="C77" s="39">
        <v>75</v>
      </c>
      <c r="D77">
        <v>75</v>
      </c>
      <c r="E77" s="10">
        <v>1274430</v>
      </c>
      <c r="F77" s="10">
        <v>1056670</v>
      </c>
      <c r="G77" s="10">
        <v>15259</v>
      </c>
      <c r="H77" s="10">
        <v>36679</v>
      </c>
      <c r="I77" s="10">
        <v>8640</v>
      </c>
      <c r="J77" s="10">
        <v>30608</v>
      </c>
      <c r="K77">
        <v>75</v>
      </c>
      <c r="L77" s="10">
        <v>1714</v>
      </c>
      <c r="M77" s="10">
        <v>368351</v>
      </c>
      <c r="N77" s="10">
        <v>5049</v>
      </c>
      <c r="O77">
        <v>-0.54932121020432734</v>
      </c>
      <c r="P77">
        <v>1.0018443664688848</v>
      </c>
      <c r="Q77">
        <v>-0.38089141372538798</v>
      </c>
      <c r="R77">
        <v>0.38089141372538793</v>
      </c>
      <c r="S77">
        <f t="shared" si="10"/>
        <v>1.2648588298819328</v>
      </c>
      <c r="T77" s="148">
        <f t="shared" si="15"/>
        <v>1.2469804196589667</v>
      </c>
      <c r="U77">
        <f t="shared" si="11"/>
        <v>2.3068319037313176</v>
      </c>
      <c r="V77" s="55">
        <f t="shared" si="16"/>
        <v>2.2984305502954245</v>
      </c>
      <c r="W77">
        <f t="shared" si="12"/>
        <v>0.69609191978829843</v>
      </c>
      <c r="X77" s="55">
        <f t="shared" si="17"/>
        <v>0.66907351984409325</v>
      </c>
      <c r="Y77" s="149">
        <v>9.8834210500000008</v>
      </c>
      <c r="Z77" s="55">
        <f t="shared" si="13"/>
        <v>4.7782183652417499E-3</v>
      </c>
      <c r="AA77" s="55">
        <f t="shared" si="18"/>
        <v>4.6657231536591714E-3</v>
      </c>
      <c r="AB77" s="55">
        <f t="shared" si="14"/>
        <v>-5.343687528895595</v>
      </c>
      <c r="AC77" s="55">
        <f t="shared" si="19"/>
        <v>-5.3682051682806291</v>
      </c>
      <c r="AD77" s="55"/>
      <c r="AE77" s="55"/>
      <c r="AF77" s="55"/>
      <c r="AG77" s="55"/>
      <c r="AH77" s="55"/>
    </row>
    <row r="78" spans="1:34" ht="15.75">
      <c r="A78" s="39">
        <v>9.6242631599999999</v>
      </c>
      <c r="B78" s="39">
        <v>9.8993684200000001</v>
      </c>
      <c r="C78" s="39">
        <v>76</v>
      </c>
      <c r="D78">
        <v>76</v>
      </c>
      <c r="E78" s="10">
        <v>1288520</v>
      </c>
      <c r="F78" s="10">
        <v>1059340</v>
      </c>
      <c r="G78" s="10">
        <v>16488</v>
      </c>
      <c r="H78" s="10">
        <v>37393</v>
      </c>
      <c r="I78" s="10">
        <v>8884</v>
      </c>
      <c r="J78" s="10">
        <v>31497</v>
      </c>
      <c r="K78">
        <v>76</v>
      </c>
      <c r="L78" s="10">
        <v>1636</v>
      </c>
      <c r="M78" s="10">
        <v>367860</v>
      </c>
      <c r="N78" s="10">
        <v>4685</v>
      </c>
      <c r="O78">
        <v>-0.5496606405642207</v>
      </c>
      <c r="P78">
        <v>0.99289225698169581</v>
      </c>
      <c r="Q78">
        <v>-0.35562233075802563</v>
      </c>
      <c r="R78">
        <v>0.35562233075802563</v>
      </c>
      <c r="S78">
        <f t="shared" si="10"/>
        <v>1.2656403971687329</v>
      </c>
      <c r="T78" s="148">
        <f t="shared" si="15"/>
        <v>1.2373695792899022</v>
      </c>
      <c r="U78">
        <f t="shared" si="11"/>
        <v>2.2862189098752661</v>
      </c>
      <c r="V78" s="55">
        <f t="shared" si="16"/>
        <v>2.2971831411902013</v>
      </c>
      <c r="W78">
        <f t="shared" si="12"/>
        <v>0.64725945961275599</v>
      </c>
      <c r="X78" s="55">
        <f t="shared" si="17"/>
        <v>0.67935773821657819</v>
      </c>
      <c r="Y78" s="149">
        <v>9.8993684200000001</v>
      </c>
      <c r="Z78" s="55">
        <f t="shared" si="13"/>
        <v>4.4225649932977135E-3</v>
      </c>
      <c r="AA78" s="55">
        <f t="shared" si="18"/>
        <v>4.5173684658362532E-3</v>
      </c>
      <c r="AB78" s="55">
        <f t="shared" si="14"/>
        <v>-5.4210354359845692</v>
      </c>
      <c r="AC78" s="55">
        <f t="shared" si="19"/>
        <v>-5.4006661759768972</v>
      </c>
      <c r="AD78" s="55"/>
      <c r="AE78" s="55"/>
      <c r="AF78" s="55"/>
      <c r="AG78" s="55"/>
      <c r="AH78" s="55"/>
    </row>
    <row r="79" spans="1:34" ht="15.75">
      <c r="A79" s="39">
        <v>9.6397017500000004</v>
      </c>
      <c r="B79" s="39">
        <v>9.9153157899999993</v>
      </c>
      <c r="C79" s="39">
        <v>77</v>
      </c>
      <c r="D79">
        <v>77</v>
      </c>
      <c r="E79" s="10">
        <v>1304740</v>
      </c>
      <c r="F79" s="10">
        <v>1069560</v>
      </c>
      <c r="G79" s="10">
        <v>15864</v>
      </c>
      <c r="H79" s="10">
        <v>38032</v>
      </c>
      <c r="I79" s="10">
        <v>9749</v>
      </c>
      <c r="J79" s="10">
        <v>31778</v>
      </c>
      <c r="K79">
        <v>77</v>
      </c>
      <c r="L79" s="10">
        <v>1688</v>
      </c>
      <c r="M79" s="10">
        <v>378769</v>
      </c>
      <c r="N79" s="10">
        <v>4654</v>
      </c>
      <c r="O79">
        <v>-0.51316649031311012</v>
      </c>
      <c r="P79">
        <v>0.99822526296966863</v>
      </c>
      <c r="Q79">
        <v>-0.37973646318685877</v>
      </c>
      <c r="R79">
        <v>0.37973646318685877</v>
      </c>
      <c r="S79">
        <f t="shared" si="10"/>
        <v>1.1816095108190408</v>
      </c>
      <c r="T79" s="148">
        <f t="shared" si="15"/>
        <v>1.246923996398307</v>
      </c>
      <c r="U79">
        <f t="shared" si="11"/>
        <v>2.2984986099640201</v>
      </c>
      <c r="V79" s="55">
        <f t="shared" si="16"/>
        <v>2.2918875225897746</v>
      </c>
      <c r="W79">
        <f t="shared" si="12"/>
        <v>0.69472183524868025</v>
      </c>
      <c r="X79" s="55">
        <f t="shared" si="17"/>
        <v>0.64946227398892176</v>
      </c>
      <c r="Y79" s="149">
        <v>9.9153157899999993</v>
      </c>
      <c r="Z79" s="55">
        <f t="shared" si="13"/>
        <v>4.351322038969296E-3</v>
      </c>
      <c r="AA79" s="55">
        <f t="shared" si="18"/>
        <v>4.3898612365339288E-3</v>
      </c>
      <c r="AB79" s="55">
        <f t="shared" si="14"/>
        <v>-5.4372755630505258</v>
      </c>
      <c r="AC79" s="55">
        <f t="shared" si="19"/>
        <v>-5.4284800811842695</v>
      </c>
      <c r="AD79" s="55"/>
      <c r="AE79" s="55"/>
      <c r="AF79" s="55"/>
      <c r="AG79" s="55"/>
      <c r="AH79" s="55"/>
    </row>
    <row r="80" spans="1:34" ht="15.75">
      <c r="A80" s="39">
        <v>9.6551403499999999</v>
      </c>
      <c r="B80" s="39">
        <v>9.9312631600000003</v>
      </c>
      <c r="C80" s="39">
        <v>78</v>
      </c>
      <c r="D80">
        <v>78</v>
      </c>
      <c r="E80" s="10">
        <v>1303500</v>
      </c>
      <c r="F80" s="10">
        <v>1071730</v>
      </c>
      <c r="G80" s="10">
        <v>17524</v>
      </c>
      <c r="H80" s="10">
        <v>38574</v>
      </c>
      <c r="I80" s="10">
        <v>8815</v>
      </c>
      <c r="J80" s="10">
        <v>32136</v>
      </c>
      <c r="K80">
        <v>78</v>
      </c>
      <c r="L80" s="10">
        <v>1506</v>
      </c>
      <c r="M80" s="10">
        <v>381276</v>
      </c>
      <c r="N80" s="10">
        <v>4711</v>
      </c>
      <c r="O80">
        <v>-0.56176950208827414</v>
      </c>
      <c r="P80">
        <v>0.99494479265959612</v>
      </c>
      <c r="Q80">
        <v>-0.34266143163899693</v>
      </c>
      <c r="R80">
        <v>0.34266143163899693</v>
      </c>
      <c r="S80">
        <f t="shared" si="10"/>
        <v>1.2935220812071475</v>
      </c>
      <c r="T80" s="148">
        <f t="shared" si="15"/>
        <v>1.2464491385299803</v>
      </c>
      <c r="U80">
        <f t="shared" si="11"/>
        <v>2.2909450479300375</v>
      </c>
      <c r="V80" s="55">
        <f t="shared" si="16"/>
        <v>2.3037946348587455</v>
      </c>
      <c r="W80">
        <f t="shared" si="12"/>
        <v>0.60640552710532902</v>
      </c>
      <c r="X80" s="55">
        <f t="shared" si="17"/>
        <v>0.64620070224794735</v>
      </c>
      <c r="Y80" s="149">
        <v>9.9312631600000003</v>
      </c>
      <c r="Z80" s="55">
        <f t="shared" si="13"/>
        <v>4.3956966773347761E-3</v>
      </c>
      <c r="AA80" s="55">
        <f t="shared" si="18"/>
        <v>4.4254488196708184E-3</v>
      </c>
      <c r="AB80" s="55">
        <f t="shared" si="14"/>
        <v>-5.4271292445177162</v>
      </c>
      <c r="AC80" s="55">
        <f t="shared" si="19"/>
        <v>-5.4205288530787028</v>
      </c>
      <c r="AD80" s="55"/>
      <c r="AE80" s="55"/>
      <c r="AF80" s="55"/>
      <c r="AG80" s="55"/>
      <c r="AH80" s="55"/>
    </row>
    <row r="81" spans="1:34" ht="15.75">
      <c r="A81" s="39">
        <v>9.6705789499999995</v>
      </c>
      <c r="B81" s="39">
        <v>9.9472105299999996</v>
      </c>
      <c r="C81" s="39">
        <v>79</v>
      </c>
      <c r="D81">
        <v>79</v>
      </c>
      <c r="E81" s="10">
        <v>1327100</v>
      </c>
      <c r="F81" s="10">
        <v>1085150</v>
      </c>
      <c r="G81" s="10">
        <v>16851</v>
      </c>
      <c r="H81" s="10">
        <v>38657</v>
      </c>
      <c r="I81" s="10">
        <v>9004</v>
      </c>
      <c r="J81" s="10">
        <v>31877</v>
      </c>
      <c r="K81">
        <v>79</v>
      </c>
      <c r="L81" s="10">
        <v>1561</v>
      </c>
      <c r="M81" s="10">
        <v>394125</v>
      </c>
      <c r="N81" s="10">
        <v>4915</v>
      </c>
      <c r="O81">
        <v>-0.54904195610851259</v>
      </c>
      <c r="P81">
        <v>1.0084058364431459</v>
      </c>
      <c r="Q81">
        <v>-0.36060246871701063</v>
      </c>
      <c r="R81">
        <v>0.36060246871701057</v>
      </c>
      <c r="S81">
        <f t="shared" ref="S81:S144" si="20">LN(J81/I81)</f>
        <v>1.2642158235637522</v>
      </c>
      <c r="T81" s="148">
        <f t="shared" si="15"/>
        <v>1.2817977818553135</v>
      </c>
      <c r="U81">
        <f t="shared" ref="U81:U144" si="21">LN(M81/H81)</f>
        <v>2.3219402466821792</v>
      </c>
      <c r="V81" s="55">
        <f t="shared" si="16"/>
        <v>2.3213765779899798</v>
      </c>
      <c r="W81">
        <f t="shared" ref="W81:W144" si="22">LN(J81/G81)</f>
        <v>0.63747474438983276</v>
      </c>
      <c r="X81" s="55">
        <f t="shared" si="17"/>
        <v>0.62213639253352204</v>
      </c>
      <c r="Y81" s="149">
        <v>9.9472105299999996</v>
      </c>
      <c r="Z81" s="55">
        <f t="shared" si="13"/>
        <v>4.5293277427083814E-3</v>
      </c>
      <c r="AA81" s="55">
        <f t="shared" si="18"/>
        <v>4.5295850384734953E-3</v>
      </c>
      <c r="AB81" s="55">
        <f t="shared" si="14"/>
        <v>-5.3971817516678646</v>
      </c>
      <c r="AC81" s="55">
        <f t="shared" si="19"/>
        <v>-5.3974168563049894</v>
      </c>
      <c r="AD81" s="55"/>
      <c r="AE81" s="55"/>
      <c r="AF81" s="55"/>
      <c r="AG81" s="55"/>
      <c r="AH81" s="55"/>
    </row>
    <row r="82" spans="1:34" ht="15.75">
      <c r="A82" s="39">
        <v>9.6860175399999999</v>
      </c>
      <c r="B82" s="39">
        <v>9.9631579000000006</v>
      </c>
      <c r="C82" s="39">
        <v>80</v>
      </c>
      <c r="D82">
        <v>80</v>
      </c>
      <c r="E82" s="10">
        <v>1340890</v>
      </c>
      <c r="F82" s="10">
        <v>1093902.5</v>
      </c>
      <c r="G82" s="10">
        <v>17243.25</v>
      </c>
      <c r="H82" s="10">
        <v>38709</v>
      </c>
      <c r="I82" s="10">
        <v>8866.625</v>
      </c>
      <c r="J82" s="10">
        <v>32135.125</v>
      </c>
      <c r="K82">
        <v>80</v>
      </c>
      <c r="L82" s="10">
        <v>1789.666667</v>
      </c>
      <c r="M82" s="10">
        <v>406391.3333</v>
      </c>
      <c r="N82" s="10">
        <v>5101.6666670000004</v>
      </c>
      <c r="O82">
        <v>-0.55922165252998557</v>
      </c>
      <c r="P82">
        <v>1.0211324856187638</v>
      </c>
      <c r="Q82">
        <v>-0.35119282716119421</v>
      </c>
      <c r="R82">
        <v>0.35119282716119421</v>
      </c>
      <c r="S82">
        <f t="shared" si="20"/>
        <v>1.2876554407950409</v>
      </c>
      <c r="T82" s="148">
        <f t="shared" si="15"/>
        <v>1.285499877583661</v>
      </c>
      <c r="U82">
        <f t="shared" si="21"/>
        <v>2.3512444393577225</v>
      </c>
      <c r="V82" s="55">
        <f t="shared" si="16"/>
        <v>2.3334743084817018</v>
      </c>
      <c r="W82">
        <f t="shared" si="22"/>
        <v>0.62252890610540434</v>
      </c>
      <c r="X82" s="55">
        <f t="shared" si="17"/>
        <v>0.62054399572530794</v>
      </c>
      <c r="Y82" s="149">
        <v>9.9631579000000006</v>
      </c>
      <c r="Z82" s="55">
        <f t="shared" si="13"/>
        <v>4.6637306953773308E-3</v>
      </c>
      <c r="AA82" s="55">
        <f t="shared" si="18"/>
        <v>4.619069565010789E-3</v>
      </c>
      <c r="AB82" s="55">
        <f t="shared" si="14"/>
        <v>-5.3679395727293882</v>
      </c>
      <c r="AC82" s="55">
        <f t="shared" si="19"/>
        <v>-5.3776569795078872</v>
      </c>
      <c r="AD82" s="55"/>
      <c r="AE82" s="55"/>
      <c r="AF82" s="55"/>
      <c r="AG82" s="55"/>
      <c r="AH82" s="55"/>
    </row>
    <row r="83" spans="1:34" ht="15.75">
      <c r="A83" s="39">
        <v>9.7014561399999995</v>
      </c>
      <c r="B83" s="39">
        <v>9.9791052600000008</v>
      </c>
      <c r="C83" s="39">
        <v>81</v>
      </c>
      <c r="D83">
        <v>81</v>
      </c>
      <c r="E83" s="10">
        <v>1338520</v>
      </c>
      <c r="F83" s="10">
        <v>1099450</v>
      </c>
      <c r="G83" s="10">
        <v>17849</v>
      </c>
      <c r="H83" s="10">
        <v>38935</v>
      </c>
      <c r="I83" s="10">
        <v>8837</v>
      </c>
      <c r="J83" s="10">
        <v>32576</v>
      </c>
      <c r="K83">
        <v>81</v>
      </c>
      <c r="L83" s="10">
        <v>1687</v>
      </c>
      <c r="M83" s="10">
        <v>399068</v>
      </c>
      <c r="N83" s="10">
        <v>5128</v>
      </c>
      <c r="O83">
        <v>-0.56659290132717099</v>
      </c>
      <c r="P83">
        <v>1.0107067254479194</v>
      </c>
      <c r="Q83">
        <v>-0.33872628948857508</v>
      </c>
      <c r="R83">
        <v>0.33872628948857508</v>
      </c>
      <c r="S83">
        <f t="shared" si="20"/>
        <v>1.3046283683921902</v>
      </c>
      <c r="T83" s="148">
        <f t="shared" si="15"/>
        <v>1.2925363733048227</v>
      </c>
      <c r="U83">
        <f t="shared" si="21"/>
        <v>2.3272382394052049</v>
      </c>
      <c r="V83" s="55">
        <f t="shared" si="16"/>
        <v>2.3445490130978395</v>
      </c>
      <c r="W83">
        <f t="shared" si="22"/>
        <v>0.60162833668068683</v>
      </c>
      <c r="X83" s="55">
        <f t="shared" si="17"/>
        <v>0.60907081154801956</v>
      </c>
      <c r="Y83" s="149">
        <v>9.9791052600000008</v>
      </c>
      <c r="Z83" s="55">
        <f t="shared" si="13"/>
        <v>4.6641502569466555E-3</v>
      </c>
      <c r="AA83" s="55">
        <f t="shared" si="18"/>
        <v>4.6987548908386393E-3</v>
      </c>
      <c r="AB83" s="55">
        <f t="shared" si="14"/>
        <v>-5.3678496141264107</v>
      </c>
      <c r="AC83" s="55">
        <f t="shared" si="19"/>
        <v>-5.360512353694971</v>
      </c>
      <c r="AD83" s="55"/>
      <c r="AE83" s="55"/>
      <c r="AF83" s="55"/>
      <c r="AG83" s="55"/>
      <c r="AH83" s="55"/>
    </row>
    <row r="84" spans="1:34" ht="15.75">
      <c r="A84" s="39">
        <v>9.7168947400000008</v>
      </c>
      <c r="B84" s="39">
        <v>9.99505263</v>
      </c>
      <c r="C84" s="39">
        <v>82</v>
      </c>
      <c r="D84">
        <v>82</v>
      </c>
      <c r="E84" s="10">
        <v>1342520</v>
      </c>
      <c r="F84" s="10">
        <v>1102470</v>
      </c>
      <c r="G84" s="10">
        <v>17556</v>
      </c>
      <c r="H84" s="10">
        <v>38145</v>
      </c>
      <c r="I84" s="10">
        <v>8874</v>
      </c>
      <c r="J84" s="10">
        <v>32087</v>
      </c>
      <c r="K84">
        <v>82</v>
      </c>
      <c r="L84" s="10">
        <v>1533</v>
      </c>
      <c r="M84" s="10">
        <v>402043</v>
      </c>
      <c r="N84" s="10">
        <v>5257</v>
      </c>
      <c r="O84">
        <v>-0.55820968989942166</v>
      </c>
      <c r="P84">
        <v>1.0228348857536367</v>
      </c>
      <c r="Q84">
        <v>-0.33701204705845444</v>
      </c>
      <c r="R84">
        <v>0.33701204705845444</v>
      </c>
      <c r="S84">
        <f t="shared" si="20"/>
        <v>1.2853253107272371</v>
      </c>
      <c r="T84" s="148">
        <f t="shared" si="15"/>
        <v>1.2782374579488731</v>
      </c>
      <c r="U84">
        <f t="shared" si="21"/>
        <v>2.3551643605305914</v>
      </c>
      <c r="V84" s="55">
        <f t="shared" si="16"/>
        <v>2.3488932962946856</v>
      </c>
      <c r="W84">
        <f t="shared" si="22"/>
        <v>0.60305519185796741</v>
      </c>
      <c r="X84" s="55">
        <f t="shared" si="17"/>
        <v>0.63349906934793132</v>
      </c>
      <c r="Y84" s="149">
        <v>9.99505263</v>
      </c>
      <c r="Z84" s="55">
        <f t="shared" si="13"/>
        <v>4.7683837201919323E-3</v>
      </c>
      <c r="AA84" s="55">
        <f t="shared" si="18"/>
        <v>4.8288053126135794E-3</v>
      </c>
      <c r="AB84" s="55">
        <f t="shared" si="14"/>
        <v>-5.3457478742291133</v>
      </c>
      <c r="AC84" s="55">
        <f t="shared" si="19"/>
        <v>-5.3337320380877644</v>
      </c>
      <c r="AD84" s="55"/>
      <c r="AE84" s="55"/>
      <c r="AF84" s="55"/>
      <c r="AG84" s="55"/>
      <c r="AH84" s="55"/>
    </row>
    <row r="85" spans="1:34" ht="15.75">
      <c r="A85" s="39">
        <v>9.7323333299999994</v>
      </c>
      <c r="B85" s="39">
        <v>10.010999999999999</v>
      </c>
      <c r="C85" s="39">
        <v>83</v>
      </c>
      <c r="D85">
        <v>83</v>
      </c>
      <c r="E85" s="10">
        <v>1340900</v>
      </c>
      <c r="F85" s="10">
        <v>1097770</v>
      </c>
      <c r="G85" s="10">
        <v>15730</v>
      </c>
      <c r="H85" s="10">
        <v>37349</v>
      </c>
      <c r="I85" s="10">
        <v>9085</v>
      </c>
      <c r="J85" s="10">
        <v>31544</v>
      </c>
      <c r="K85">
        <v>83</v>
      </c>
      <c r="L85" s="10">
        <v>1679</v>
      </c>
      <c r="M85" s="10">
        <v>397257</v>
      </c>
      <c r="N85" s="10">
        <v>5548</v>
      </c>
      <c r="O85">
        <v>-0.54059183242111364</v>
      </c>
      <c r="P85">
        <v>1.0267925802794093</v>
      </c>
      <c r="Q85">
        <v>-0.37555025567549738</v>
      </c>
      <c r="R85">
        <v>0.37555025567549732</v>
      </c>
      <c r="S85">
        <f t="shared" si="20"/>
        <v>1.2447586947271916</v>
      </c>
      <c r="T85" s="148">
        <f t="shared" si="15"/>
        <v>1.2643107174672874</v>
      </c>
      <c r="U85">
        <f t="shared" si="21"/>
        <v>2.3642772889482599</v>
      </c>
      <c r="V85" s="55">
        <f t="shared" si="16"/>
        <v>2.3538549433116942</v>
      </c>
      <c r="W85">
        <f t="shared" si="22"/>
        <v>0.69581367950513973</v>
      </c>
      <c r="X85" s="55">
        <f t="shared" si="17"/>
        <v>0.64592023386522968</v>
      </c>
      <c r="Y85" s="149">
        <v>10.010999999999999</v>
      </c>
      <c r="Z85" s="55">
        <f t="shared" si="13"/>
        <v>5.0538819607021503E-3</v>
      </c>
      <c r="AA85" s="55">
        <f t="shared" si="18"/>
        <v>4.8325952308777747E-3</v>
      </c>
      <c r="AB85" s="55">
        <f t="shared" si="14"/>
        <v>-5.2875986259077674</v>
      </c>
      <c r="AC85" s="55">
        <f t="shared" si="19"/>
        <v>-5.3329204633688825</v>
      </c>
      <c r="AD85" s="55"/>
      <c r="AE85" s="55"/>
      <c r="AF85" s="55"/>
      <c r="AG85" s="55"/>
      <c r="AH85" s="55"/>
    </row>
    <row r="86" spans="1:34" ht="15.75">
      <c r="A86" s="39">
        <v>9.7477719300000008</v>
      </c>
      <c r="B86" s="39">
        <v>10.026947399999999</v>
      </c>
      <c r="C86" s="39">
        <v>84</v>
      </c>
      <c r="D86">
        <v>84</v>
      </c>
      <c r="E86" s="10">
        <v>1349280</v>
      </c>
      <c r="F86" s="10">
        <v>1090360</v>
      </c>
      <c r="G86" s="10">
        <v>16834</v>
      </c>
      <c r="H86" s="10">
        <v>38713</v>
      </c>
      <c r="I86" s="10">
        <v>9020</v>
      </c>
      <c r="J86" s="10">
        <v>31890</v>
      </c>
      <c r="K86">
        <v>84</v>
      </c>
      <c r="L86" s="10">
        <v>1876</v>
      </c>
      <c r="M86" s="10">
        <v>402743</v>
      </c>
      <c r="N86" s="10">
        <v>5098</v>
      </c>
      <c r="O86">
        <v>-0.5484479817010175</v>
      </c>
      <c r="P86">
        <v>1.0171711732098354</v>
      </c>
      <c r="Q86">
        <v>-0.36166950471679188</v>
      </c>
      <c r="R86">
        <v>0.36166950471679188</v>
      </c>
      <c r="S86">
        <f t="shared" si="20"/>
        <v>1.262848146947434</v>
      </c>
      <c r="T86" s="148">
        <f t="shared" si="15"/>
        <v>1.2565333956414229</v>
      </c>
      <c r="U86">
        <f t="shared" si="21"/>
        <v>2.3421231804562312</v>
      </c>
      <c r="V86" s="55">
        <f t="shared" si="16"/>
        <v>2.3546850300356241</v>
      </c>
      <c r="W86">
        <f t="shared" si="22"/>
        <v>0.63889183023258189</v>
      </c>
      <c r="X86" s="55">
        <f t="shared" si="17"/>
        <v>0.65538589135226777</v>
      </c>
      <c r="Y86" s="149">
        <v>10.026947399999999</v>
      </c>
      <c r="Z86" s="55">
        <f t="shared" si="13"/>
        <v>4.6755200117392422E-3</v>
      </c>
      <c r="AA86" s="55">
        <f t="shared" si="18"/>
        <v>4.7785433240976121E-3</v>
      </c>
      <c r="AB86" s="55">
        <f t="shared" si="14"/>
        <v>-5.3654148899697658</v>
      </c>
      <c r="AC86" s="55">
        <f t="shared" si="19"/>
        <v>-5.3444531646890736</v>
      </c>
      <c r="AD86" s="55"/>
      <c r="AE86" s="55"/>
      <c r="AF86" s="55"/>
      <c r="AG86" s="55"/>
      <c r="AH86" s="55"/>
    </row>
    <row r="87" spans="1:34" ht="15.75">
      <c r="A87" s="39">
        <v>9.7632105300000003</v>
      </c>
      <c r="B87" s="39">
        <v>10.0428947</v>
      </c>
      <c r="C87" s="39">
        <v>85</v>
      </c>
      <c r="D87">
        <v>85</v>
      </c>
      <c r="E87" s="10">
        <v>1330943.3330000001</v>
      </c>
      <c r="F87" s="10">
        <v>1090986.6669999999</v>
      </c>
      <c r="G87" s="10">
        <v>16747.333330000001</v>
      </c>
      <c r="H87" s="10">
        <v>38093</v>
      </c>
      <c r="I87" s="10">
        <v>8914.6666669999995</v>
      </c>
      <c r="J87" s="10">
        <v>31490.666669999999</v>
      </c>
      <c r="K87">
        <v>85</v>
      </c>
      <c r="L87" s="10">
        <v>1808.333333</v>
      </c>
      <c r="M87" s="10">
        <v>402496</v>
      </c>
      <c r="N87" s="10">
        <v>5025.3333329999996</v>
      </c>
      <c r="O87">
        <v>-0.54807674604054524</v>
      </c>
      <c r="P87">
        <v>1.0239163920047489</v>
      </c>
      <c r="Q87">
        <v>-0.35689951233569461</v>
      </c>
      <c r="R87">
        <v>0.35689951233569461</v>
      </c>
      <c r="S87">
        <f t="shared" si="20"/>
        <v>1.2619933452496428</v>
      </c>
      <c r="T87" s="148">
        <f t="shared" si="15"/>
        <v>1.2619862786744953</v>
      </c>
      <c r="U87">
        <f t="shared" si="21"/>
        <v>2.3576546207023825</v>
      </c>
      <c r="V87" s="55">
        <f t="shared" si="16"/>
        <v>2.3577428091199919</v>
      </c>
      <c r="W87">
        <f t="shared" si="22"/>
        <v>0.6314521643190818</v>
      </c>
      <c r="X87" s="55">
        <f t="shared" si="17"/>
        <v>0.63140748389840384</v>
      </c>
      <c r="Y87" s="149">
        <v>10.0428947</v>
      </c>
      <c r="Z87" s="55">
        <f t="shared" si="13"/>
        <v>4.6062279998514413E-3</v>
      </c>
      <c r="AA87" s="55">
        <f t="shared" si="18"/>
        <v>4.6062545207108995E-3</v>
      </c>
      <c r="AB87" s="55">
        <f t="shared" si="14"/>
        <v>-5.3803459781896876</v>
      </c>
      <c r="AC87" s="55">
        <f t="shared" si="19"/>
        <v>-5.3804155729904188</v>
      </c>
      <c r="AD87" s="55"/>
      <c r="AE87" s="55"/>
      <c r="AF87" s="55"/>
      <c r="AG87" s="55"/>
      <c r="AH87" s="55"/>
    </row>
    <row r="88" spans="1:34" ht="15.75">
      <c r="A88" s="39">
        <v>9.7786491200000007</v>
      </c>
      <c r="B88" s="39">
        <v>10.0588421</v>
      </c>
      <c r="C88" s="39">
        <v>86</v>
      </c>
      <c r="D88">
        <v>86</v>
      </c>
      <c r="E88" s="10">
        <v>1312606.6669999999</v>
      </c>
      <c r="F88" s="10">
        <v>1091613.3330000001</v>
      </c>
      <c r="G88" s="10">
        <v>16660.666669999999</v>
      </c>
      <c r="H88" s="10">
        <v>37473</v>
      </c>
      <c r="I88" s="10">
        <v>8809.3333330000005</v>
      </c>
      <c r="J88" s="10">
        <v>31091.333330000001</v>
      </c>
      <c r="K88">
        <v>86</v>
      </c>
      <c r="L88" s="10">
        <v>1740.666667</v>
      </c>
      <c r="M88" s="10">
        <v>402249</v>
      </c>
      <c r="N88" s="10">
        <v>4952.6666670000004</v>
      </c>
      <c r="O88">
        <v>-0.54769630345629539</v>
      </c>
      <c r="P88">
        <v>1.0307765100290689</v>
      </c>
      <c r="Q88">
        <v>-0.35202608753683345</v>
      </c>
      <c r="R88">
        <v>0.35202608753683351</v>
      </c>
      <c r="S88">
        <f t="shared" si="20"/>
        <v>1.2611173438264089</v>
      </c>
      <c r="T88" s="148">
        <f t="shared" si="15"/>
        <v>1.2611100110926279</v>
      </c>
      <c r="U88">
        <f t="shared" si="21"/>
        <v>2.3734506262013615</v>
      </c>
      <c r="V88" s="55">
        <f t="shared" si="16"/>
        <v>2.3735417613956469</v>
      </c>
      <c r="W88">
        <f t="shared" si="22"/>
        <v>0.62387845714354784</v>
      </c>
      <c r="X88" s="55">
        <f t="shared" si="17"/>
        <v>0.62383248445039918</v>
      </c>
      <c r="Y88" s="149">
        <v>10.0588421</v>
      </c>
      <c r="Z88" s="55">
        <f t="shared" si="13"/>
        <v>4.5370155505420158E-3</v>
      </c>
      <c r="AA88" s="55">
        <f t="shared" si="18"/>
        <v>4.5370420223521538E-3</v>
      </c>
      <c r="AB88" s="55">
        <f t="shared" si="14"/>
        <v>-5.3954858508118013</v>
      </c>
      <c r="AC88" s="55">
        <f t="shared" si="19"/>
        <v>-5.3955575071709774</v>
      </c>
      <c r="AD88" s="55"/>
      <c r="AE88" s="55"/>
      <c r="AF88" s="55"/>
      <c r="AG88" s="55"/>
      <c r="AH88" s="55"/>
    </row>
    <row r="89" spans="1:34" ht="15.75">
      <c r="A89" s="39">
        <v>9.7940877200000003</v>
      </c>
      <c r="B89" s="39">
        <v>10.0747895</v>
      </c>
      <c r="C89" s="39">
        <v>87</v>
      </c>
      <c r="D89">
        <v>87</v>
      </c>
      <c r="E89" s="10">
        <v>1294270</v>
      </c>
      <c r="F89" s="10">
        <v>1092240</v>
      </c>
      <c r="G89" s="10">
        <v>16574</v>
      </c>
      <c r="H89" s="10">
        <v>36853</v>
      </c>
      <c r="I89" s="10">
        <v>8704</v>
      </c>
      <c r="J89" s="10">
        <v>30692</v>
      </c>
      <c r="K89">
        <v>87</v>
      </c>
      <c r="L89" s="10">
        <v>1673</v>
      </c>
      <c r="M89" s="10">
        <v>402002</v>
      </c>
      <c r="N89" s="10">
        <v>4880</v>
      </c>
      <c r="O89">
        <v>-0.54730630717459039</v>
      </c>
      <c r="P89">
        <v>1.0377553665893446</v>
      </c>
      <c r="Q89">
        <v>-0.34704551265113343</v>
      </c>
      <c r="R89">
        <v>0.34704551265113343</v>
      </c>
      <c r="S89">
        <f t="shared" si="20"/>
        <v>1.2602193442018321</v>
      </c>
      <c r="T89" s="148">
        <f t="shared" si="15"/>
        <v>1.2576533814017281</v>
      </c>
      <c r="U89">
        <f t="shared" si="21"/>
        <v>2.3895200372831962</v>
      </c>
      <c r="V89" s="55">
        <f t="shared" si="16"/>
        <v>2.3852215684998046</v>
      </c>
      <c r="W89">
        <f t="shared" si="22"/>
        <v>0.61616683188856813</v>
      </c>
      <c r="X89" s="55">
        <f t="shared" si="17"/>
        <v>0.64082441810381796</v>
      </c>
      <c r="Y89" s="149">
        <v>10.0747895</v>
      </c>
      <c r="Z89" s="55">
        <f t="shared" si="13"/>
        <v>4.4678825166630043E-3</v>
      </c>
      <c r="AA89" s="55">
        <f t="shared" si="18"/>
        <v>4.4770033251276412E-3</v>
      </c>
      <c r="AB89" s="55">
        <f t="shared" si="14"/>
        <v>-5.4108406925114405</v>
      </c>
      <c r="AC89" s="55">
        <f t="shared" si="19"/>
        <v>-5.4088534322421369</v>
      </c>
      <c r="AD89" s="55"/>
      <c r="AE89" s="55"/>
      <c r="AF89" s="55"/>
      <c r="AG89" s="55"/>
      <c r="AH89" s="55"/>
    </row>
    <row r="90" spans="1:34" ht="15.75">
      <c r="A90" s="39">
        <v>9.8095263199999998</v>
      </c>
      <c r="B90" s="39">
        <v>10.0907368</v>
      </c>
      <c r="C90" s="39">
        <v>88</v>
      </c>
      <c r="D90">
        <v>88</v>
      </c>
      <c r="E90" s="10">
        <v>1365810</v>
      </c>
      <c r="F90" s="10">
        <v>1115200</v>
      </c>
      <c r="G90" s="10">
        <v>16179</v>
      </c>
      <c r="H90" s="10">
        <v>38535</v>
      </c>
      <c r="I90" s="10">
        <v>9157</v>
      </c>
      <c r="J90" s="10">
        <v>32013</v>
      </c>
      <c r="K90">
        <v>88</v>
      </c>
      <c r="L90" s="10">
        <v>1610</v>
      </c>
      <c r="M90" s="10">
        <v>421686</v>
      </c>
      <c r="N90" s="10">
        <v>4936</v>
      </c>
      <c r="O90">
        <v>-0.5435731604383226</v>
      </c>
      <c r="P90">
        <v>1.0391338193298394</v>
      </c>
      <c r="Q90">
        <v>-0.37690368831420257</v>
      </c>
      <c r="R90">
        <v>0.37690368831420262</v>
      </c>
      <c r="S90">
        <f t="shared" si="20"/>
        <v>1.2516234561769426</v>
      </c>
      <c r="T90" s="148">
        <f t="shared" si="15"/>
        <v>1.25630265410938</v>
      </c>
      <c r="U90">
        <f t="shared" si="21"/>
        <v>2.3926940420148557</v>
      </c>
      <c r="V90" s="55">
        <f t="shared" si="16"/>
        <v>2.3786809089847627</v>
      </c>
      <c r="W90">
        <f t="shared" si="22"/>
        <v>0.6824279652793378</v>
      </c>
      <c r="X90" s="55">
        <f t="shared" si="17"/>
        <v>0.65029088522213896</v>
      </c>
      <c r="Y90" s="149">
        <v>10.0907368</v>
      </c>
      <c r="Z90" s="55">
        <f t="shared" si="13"/>
        <v>4.4261119081779052E-3</v>
      </c>
      <c r="AA90" s="55">
        <f t="shared" si="18"/>
        <v>4.5438349020947488E-3</v>
      </c>
      <c r="AB90" s="55">
        <f t="shared" si="14"/>
        <v>-5.4202337534031724</v>
      </c>
      <c r="AC90" s="55">
        <f t="shared" si="19"/>
        <v>-5.3944393280883505</v>
      </c>
      <c r="AD90" s="55"/>
      <c r="AE90" s="55"/>
      <c r="AF90" s="55"/>
      <c r="AG90" s="55"/>
      <c r="AH90" s="55"/>
    </row>
    <row r="91" spans="1:34" ht="15.75">
      <c r="A91" s="39">
        <v>9.8249649100000003</v>
      </c>
      <c r="B91" s="39">
        <v>10.1066842</v>
      </c>
      <c r="C91" s="39">
        <v>89</v>
      </c>
      <c r="D91">
        <v>89</v>
      </c>
      <c r="E91" s="10">
        <v>1370050</v>
      </c>
      <c r="F91" s="10">
        <v>1118520</v>
      </c>
      <c r="G91" s="10">
        <v>17168</v>
      </c>
      <c r="H91" s="10">
        <v>39004</v>
      </c>
      <c r="I91" s="10">
        <v>9377</v>
      </c>
      <c r="J91" s="10">
        <v>32961</v>
      </c>
      <c r="K91">
        <v>89</v>
      </c>
      <c r="L91" s="10">
        <v>1752</v>
      </c>
      <c r="M91" s="10">
        <v>410548</v>
      </c>
      <c r="N91" s="10">
        <v>5299</v>
      </c>
      <c r="O91">
        <v>-0.54593646322742706</v>
      </c>
      <c r="P91">
        <v>1.0222547930228971</v>
      </c>
      <c r="Q91">
        <v>-0.35638944314430687</v>
      </c>
      <c r="R91">
        <v>0.35638944314430687</v>
      </c>
      <c r="S91">
        <f t="shared" si="20"/>
        <v>1.2570651619493656</v>
      </c>
      <c r="T91" s="148">
        <f t="shared" si="15"/>
        <v>1.26928633199476</v>
      </c>
      <c r="U91">
        <f t="shared" si="21"/>
        <v>2.3538286476562367</v>
      </c>
      <c r="V91" s="55">
        <f t="shared" si="16"/>
        <v>2.3635171465277933</v>
      </c>
      <c r="W91">
        <f t="shared" si="22"/>
        <v>0.65227785849851094</v>
      </c>
      <c r="X91" s="55">
        <f t="shared" si="17"/>
        <v>0.65619596135136471</v>
      </c>
      <c r="Y91" s="149">
        <v>10.1066842</v>
      </c>
      <c r="Z91" s="55">
        <f t="shared" si="13"/>
        <v>4.737510281443336E-3</v>
      </c>
      <c r="AA91" s="55">
        <f t="shared" si="18"/>
        <v>4.6325652769222568E-3</v>
      </c>
      <c r="AB91" s="55">
        <f t="shared" si="14"/>
        <v>-5.3522435383504412</v>
      </c>
      <c r="AC91" s="55">
        <f t="shared" si="19"/>
        <v>-5.3751488346558043</v>
      </c>
      <c r="AD91" s="55"/>
      <c r="AE91" s="55"/>
      <c r="AF91" s="55"/>
      <c r="AG91" s="55"/>
      <c r="AH91" s="55"/>
    </row>
    <row r="92" spans="1:34" ht="15.75">
      <c r="A92" s="39">
        <v>9.8404035099999998</v>
      </c>
      <c r="B92" s="39">
        <v>10.1226316</v>
      </c>
      <c r="C92" s="39">
        <v>90</v>
      </c>
      <c r="D92">
        <v>90</v>
      </c>
      <c r="E92" s="10">
        <v>1355960</v>
      </c>
      <c r="F92" s="10">
        <v>1112150</v>
      </c>
      <c r="G92" s="10">
        <v>17274</v>
      </c>
      <c r="H92" s="10">
        <v>38800</v>
      </c>
      <c r="I92" s="10">
        <v>8881</v>
      </c>
      <c r="J92" s="10">
        <v>32560</v>
      </c>
      <c r="K92">
        <v>90</v>
      </c>
      <c r="L92" s="10">
        <v>1886</v>
      </c>
      <c r="M92" s="10">
        <v>404418</v>
      </c>
      <c r="N92" s="10">
        <v>5265</v>
      </c>
      <c r="O92">
        <v>-0.56422252615588009</v>
      </c>
      <c r="P92">
        <v>1.0179987515094839</v>
      </c>
      <c r="Q92">
        <v>-0.35143881033248159</v>
      </c>
      <c r="R92">
        <v>0.35143881033248159</v>
      </c>
      <c r="S92">
        <f t="shared" si="20"/>
        <v>1.2991703778579724</v>
      </c>
      <c r="T92" s="148">
        <f t="shared" si="15"/>
        <v>1.2816889362645096</v>
      </c>
      <c r="U92">
        <f t="shared" si="21"/>
        <v>2.3440287499122876</v>
      </c>
      <c r="V92" s="55">
        <f t="shared" si="16"/>
        <v>2.3387562670800883</v>
      </c>
      <c r="W92">
        <f t="shared" si="22"/>
        <v>0.63388206027624572</v>
      </c>
      <c r="X92" s="55">
        <f t="shared" si="17"/>
        <v>0.65162498204675234</v>
      </c>
      <c r="Y92" s="149">
        <v>10.1226316</v>
      </c>
      <c r="Z92" s="55">
        <f t="shared" si="13"/>
        <v>4.7340736411455291E-3</v>
      </c>
      <c r="AA92" s="55">
        <f t="shared" si="18"/>
        <v>4.6777508131744553E-3</v>
      </c>
      <c r="AB92" s="55">
        <f t="shared" si="14"/>
        <v>-5.3529692122138002</v>
      </c>
      <c r="AC92" s="55">
        <f t="shared" si="19"/>
        <v>-5.3650931900365633</v>
      </c>
      <c r="AD92" s="55"/>
      <c r="AE92" s="55"/>
      <c r="AF92" s="55"/>
      <c r="AG92" s="55"/>
      <c r="AH92" s="55"/>
    </row>
    <row r="93" spans="1:34" ht="15.75">
      <c r="A93" s="39">
        <v>9.8558421099999993</v>
      </c>
      <c r="B93" s="39">
        <v>10.138579</v>
      </c>
      <c r="C93" s="39">
        <v>91</v>
      </c>
      <c r="D93">
        <v>91</v>
      </c>
      <c r="E93" s="10">
        <v>1339420</v>
      </c>
      <c r="F93" s="10">
        <v>1098940</v>
      </c>
      <c r="G93" s="10">
        <v>16987</v>
      </c>
      <c r="H93" s="10">
        <v>39004</v>
      </c>
      <c r="I93" s="10">
        <v>9137</v>
      </c>
      <c r="J93" s="10">
        <v>33154</v>
      </c>
      <c r="K93">
        <v>91</v>
      </c>
      <c r="L93" s="10">
        <v>1762</v>
      </c>
      <c r="M93" s="10">
        <v>396262</v>
      </c>
      <c r="N93" s="10">
        <v>5013</v>
      </c>
      <c r="O93">
        <v>-0.55973230822506825</v>
      </c>
      <c r="P93">
        <v>1.0068732793962096</v>
      </c>
      <c r="Q93">
        <v>-0.36099246097996346</v>
      </c>
      <c r="R93">
        <v>0.36099246097996346</v>
      </c>
      <c r="S93">
        <f t="shared" si="20"/>
        <v>1.2888312689861907</v>
      </c>
      <c r="T93" s="148">
        <f t="shared" si="15"/>
        <v>1.2929053459733344</v>
      </c>
      <c r="U93">
        <f t="shared" si="21"/>
        <v>2.3184114036717411</v>
      </c>
      <c r="V93" s="55">
        <f t="shared" si="16"/>
        <v>2.3442376421166835</v>
      </c>
      <c r="W93">
        <f t="shared" si="22"/>
        <v>0.66871502736550015</v>
      </c>
      <c r="X93" s="55">
        <f t="shared" si="17"/>
        <v>0.65885824781884039</v>
      </c>
      <c r="Y93" s="149">
        <v>10.138579</v>
      </c>
      <c r="Z93" s="55">
        <f t="shared" si="13"/>
        <v>4.5616685169345009E-3</v>
      </c>
      <c r="AA93" s="55">
        <f t="shared" si="18"/>
        <v>4.7596239052734935E-3</v>
      </c>
      <c r="AB93" s="55">
        <f t="shared" si="14"/>
        <v>-5.3900668195454466</v>
      </c>
      <c r="AC93" s="55">
        <f t="shared" si="19"/>
        <v>-5.3482443972773979</v>
      </c>
      <c r="AD93" s="55"/>
      <c r="AE93" s="55"/>
      <c r="AF93" s="55"/>
      <c r="AG93" s="55"/>
      <c r="AH93" s="55"/>
    </row>
    <row r="94" spans="1:34" ht="15.75">
      <c r="A94" s="39">
        <v>9.8712806999999998</v>
      </c>
      <c r="B94" s="39">
        <v>10.154526300000001</v>
      </c>
      <c r="C94" s="39">
        <v>92</v>
      </c>
      <c r="D94">
        <v>92</v>
      </c>
      <c r="E94" s="10">
        <v>1358580</v>
      </c>
      <c r="F94" s="10">
        <v>1102520</v>
      </c>
      <c r="G94" s="10">
        <v>16485</v>
      </c>
      <c r="H94" s="10">
        <v>38630</v>
      </c>
      <c r="I94" s="10">
        <v>8897</v>
      </c>
      <c r="J94" s="10">
        <v>32344</v>
      </c>
      <c r="K94">
        <v>92</v>
      </c>
      <c r="L94" s="10">
        <v>1443</v>
      </c>
      <c r="M94" s="10">
        <v>413353</v>
      </c>
      <c r="N94" s="10">
        <v>5494</v>
      </c>
      <c r="O94">
        <v>-0.56055013775735285</v>
      </c>
      <c r="P94">
        <v>1.0293963858178035</v>
      </c>
      <c r="Q94">
        <v>-0.3698357566656485</v>
      </c>
      <c r="R94">
        <v>0.36983575666564855</v>
      </c>
      <c r="S94">
        <f t="shared" si="20"/>
        <v>1.2907143910758394</v>
      </c>
      <c r="T94" s="148">
        <f t="shared" si="15"/>
        <v>1.2883869078990837</v>
      </c>
      <c r="U94">
        <f t="shared" si="21"/>
        <v>2.3702727727660213</v>
      </c>
      <c r="V94" s="55">
        <f t="shared" si="16"/>
        <v>2.3560962627967466</v>
      </c>
      <c r="W94">
        <f t="shared" si="22"/>
        <v>0.67397765581477542</v>
      </c>
      <c r="X94" s="55">
        <f t="shared" si="17"/>
        <v>0.65871168955026238</v>
      </c>
      <c r="Y94" s="149">
        <v>10.154526300000001</v>
      </c>
      <c r="Z94" s="55">
        <f t="shared" si="13"/>
        <v>4.9831295577404495E-3</v>
      </c>
      <c r="AA94" s="55">
        <f t="shared" si="18"/>
        <v>4.7640328555520984E-3</v>
      </c>
      <c r="AB94" s="55">
        <f t="shared" si="14"/>
        <v>-5.3016971600729494</v>
      </c>
      <c r="AC94" s="55">
        <f t="shared" si="19"/>
        <v>-5.3473143731950614</v>
      </c>
      <c r="AD94" s="55"/>
      <c r="AE94" s="55"/>
      <c r="AF94" s="55"/>
      <c r="AG94" s="55"/>
      <c r="AH94" s="55"/>
    </row>
    <row r="95" spans="1:34" ht="15.75">
      <c r="A95" s="39">
        <v>9.8867192999999993</v>
      </c>
      <c r="B95" s="39">
        <v>10.170473700000001</v>
      </c>
      <c r="C95" s="39">
        <v>93</v>
      </c>
      <c r="D95">
        <v>93</v>
      </c>
      <c r="E95" s="10">
        <v>1348880</v>
      </c>
      <c r="F95" s="10">
        <v>1095570</v>
      </c>
      <c r="G95" s="10">
        <v>17047</v>
      </c>
      <c r="H95" s="10">
        <v>38000</v>
      </c>
      <c r="I95" s="10">
        <v>8880</v>
      </c>
      <c r="J95" s="10">
        <v>32118</v>
      </c>
      <c r="K95">
        <v>93</v>
      </c>
      <c r="L95" s="10">
        <v>1590</v>
      </c>
      <c r="M95" s="10">
        <v>410424</v>
      </c>
      <c r="N95" s="10">
        <v>5201</v>
      </c>
      <c r="O95">
        <v>-0.55833552798847419</v>
      </c>
      <c r="P95">
        <v>1.0334491520824896</v>
      </c>
      <c r="Q95">
        <v>-0.34813563546321058</v>
      </c>
      <c r="R95">
        <v>0.34813563546321064</v>
      </c>
      <c r="S95">
        <f t="shared" si="20"/>
        <v>1.2856150636352206</v>
      </c>
      <c r="T95" s="148">
        <f t="shared" si="15"/>
        <v>1.276951771601486</v>
      </c>
      <c r="U95">
        <f t="shared" si="21"/>
        <v>2.3796046119524767</v>
      </c>
      <c r="V95" s="55">
        <f t="shared" si="16"/>
        <v>2.3688901197922121</v>
      </c>
      <c r="W95">
        <f t="shared" si="22"/>
        <v>0.63344238547051146</v>
      </c>
      <c r="X95" s="55">
        <f t="shared" si="17"/>
        <v>0.65935034413684956</v>
      </c>
      <c r="Y95" s="149">
        <v>10.170473700000001</v>
      </c>
      <c r="Z95" s="55">
        <f t="shared" si="13"/>
        <v>4.7473004919813431E-3</v>
      </c>
      <c r="AA95" s="55">
        <f t="shared" si="18"/>
        <v>4.7758442566012112E-3</v>
      </c>
      <c r="AB95" s="55">
        <f t="shared" si="14"/>
        <v>-5.3501791399667891</v>
      </c>
      <c r="AC95" s="55">
        <f t="shared" si="19"/>
        <v>-5.344735105807338</v>
      </c>
      <c r="AD95" s="55"/>
      <c r="AE95" s="55"/>
      <c r="AF95" s="55"/>
      <c r="AG95" s="55"/>
      <c r="AH95" s="55"/>
    </row>
    <row r="96" spans="1:34" ht="15.75">
      <c r="A96" s="39">
        <v>9.9021579000000006</v>
      </c>
      <c r="B96" s="39">
        <v>10.1864211</v>
      </c>
      <c r="C96" s="39">
        <v>94</v>
      </c>
      <c r="D96">
        <v>94</v>
      </c>
      <c r="E96" s="10">
        <v>1335070</v>
      </c>
      <c r="F96" s="10">
        <v>1094820</v>
      </c>
      <c r="G96" s="10">
        <v>16259</v>
      </c>
      <c r="H96" s="10">
        <v>37789</v>
      </c>
      <c r="I96" s="10">
        <v>9068</v>
      </c>
      <c r="J96" s="10">
        <v>31794</v>
      </c>
      <c r="K96">
        <v>94</v>
      </c>
      <c r="L96" s="10">
        <v>1689</v>
      </c>
      <c r="M96" s="10">
        <v>398940</v>
      </c>
      <c r="N96" s="10">
        <v>5033</v>
      </c>
      <c r="O96">
        <v>-0.54483365844349341</v>
      </c>
      <c r="P96">
        <v>1.0235421838823797</v>
      </c>
      <c r="Q96">
        <v>-0.36627156839369135</v>
      </c>
      <c r="R96">
        <v>0.36627156839369135</v>
      </c>
      <c r="S96">
        <f t="shared" si="20"/>
        <v>1.2545258600933975</v>
      </c>
      <c r="T96" s="148">
        <f t="shared" si="15"/>
        <v>1.2785048221206059</v>
      </c>
      <c r="U96">
        <f t="shared" si="21"/>
        <v>2.3567929746581378</v>
      </c>
      <c r="V96" s="55">
        <f t="shared" si="16"/>
        <v>2.3613063024480376</v>
      </c>
      <c r="W96">
        <f t="shared" si="22"/>
        <v>0.67063099112526192</v>
      </c>
      <c r="X96" s="55">
        <f t="shared" si="17"/>
        <v>0.65521576507987611</v>
      </c>
      <c r="Y96" s="149">
        <v>10.1864211</v>
      </c>
      <c r="Z96" s="55">
        <f t="shared" si="13"/>
        <v>4.5971027200818401E-3</v>
      </c>
      <c r="AA96" s="55">
        <f t="shared" si="18"/>
        <v>4.6931017123843554E-3</v>
      </c>
      <c r="AB96" s="55">
        <f t="shared" si="14"/>
        <v>-5.3823290173822755</v>
      </c>
      <c r="AC96" s="55">
        <f t="shared" si="19"/>
        <v>-5.3617674742219599</v>
      </c>
      <c r="AD96" s="55"/>
      <c r="AE96" s="55"/>
      <c r="AF96" s="55"/>
      <c r="AG96" s="55"/>
      <c r="AH96" s="55"/>
    </row>
    <row r="97" spans="1:34" ht="15.75">
      <c r="A97" s="39">
        <v>9.9175964899999993</v>
      </c>
      <c r="B97" s="39">
        <v>10.202368399999999</v>
      </c>
      <c r="C97" s="39">
        <v>95</v>
      </c>
      <c r="D97">
        <v>95</v>
      </c>
      <c r="E97" s="10">
        <v>1345670</v>
      </c>
      <c r="F97" s="10">
        <v>1098650</v>
      </c>
      <c r="G97" s="10">
        <v>16731</v>
      </c>
      <c r="H97" s="10">
        <v>38563</v>
      </c>
      <c r="I97" s="10">
        <v>8877</v>
      </c>
      <c r="J97" s="10">
        <v>32422</v>
      </c>
      <c r="K97">
        <v>95</v>
      </c>
      <c r="L97" s="10">
        <v>1703</v>
      </c>
      <c r="M97" s="10">
        <v>403354</v>
      </c>
      <c r="N97" s="10">
        <v>5202</v>
      </c>
      <c r="O97">
        <v>-0.56257358156906512</v>
      </c>
      <c r="P97">
        <v>1.0195155557447924</v>
      </c>
      <c r="Q97">
        <v>-0.36264891317635478</v>
      </c>
      <c r="R97">
        <v>0.36264891317635478</v>
      </c>
      <c r="S97">
        <f t="shared" si="20"/>
        <v>1.2953735426331991</v>
      </c>
      <c r="T97" s="148">
        <f t="shared" si="15"/>
        <v>1.2844442218536825</v>
      </c>
      <c r="U97">
        <f t="shared" si="21"/>
        <v>2.3475213207334988</v>
      </c>
      <c r="V97" s="55">
        <f t="shared" si="16"/>
        <v>2.3510941677465382</v>
      </c>
      <c r="W97">
        <f t="shared" si="22"/>
        <v>0.66157391864385506</v>
      </c>
      <c r="X97" s="55">
        <f t="shared" si="17"/>
        <v>0.65837346933298913</v>
      </c>
      <c r="Y97" s="149">
        <v>10.202368399999999</v>
      </c>
      <c r="Z97" s="55">
        <f t="shared" si="13"/>
        <v>4.7349019250898829E-3</v>
      </c>
      <c r="AA97" s="55">
        <f t="shared" si="18"/>
        <v>4.6191326631618776E-3</v>
      </c>
      <c r="AB97" s="55">
        <f t="shared" si="14"/>
        <v>-5.3527942653168159</v>
      </c>
      <c r="AC97" s="55">
        <f t="shared" si="19"/>
        <v>-5.3777246871290219</v>
      </c>
      <c r="AD97" s="55"/>
      <c r="AE97" s="55"/>
      <c r="AF97" s="55"/>
      <c r="AG97" s="55"/>
      <c r="AH97" s="55"/>
    </row>
    <row r="98" spans="1:34" ht="15.75">
      <c r="A98" s="39">
        <v>9.9330350900000006</v>
      </c>
      <c r="B98" s="39">
        <v>10.218315799999999</v>
      </c>
      <c r="C98" s="39">
        <v>96</v>
      </c>
      <c r="D98">
        <v>96</v>
      </c>
      <c r="E98" s="10">
        <v>1346540</v>
      </c>
      <c r="F98" s="10">
        <v>1098910</v>
      </c>
      <c r="G98" s="10">
        <v>17095</v>
      </c>
      <c r="H98" s="10">
        <v>38584</v>
      </c>
      <c r="I98" s="10">
        <v>8831</v>
      </c>
      <c r="J98" s="10">
        <v>32515</v>
      </c>
      <c r="K98">
        <v>96</v>
      </c>
      <c r="L98" s="10">
        <v>1645</v>
      </c>
      <c r="M98" s="10">
        <v>404158</v>
      </c>
      <c r="N98" s="10">
        <v>4973</v>
      </c>
      <c r="O98">
        <v>-0.56607387357815253</v>
      </c>
      <c r="P98">
        <v>1.0201439308345475</v>
      </c>
      <c r="Q98">
        <v>-0.35353814378121279</v>
      </c>
      <c r="R98">
        <v>0.35353814378121279</v>
      </c>
      <c r="S98">
        <f t="shared" si="20"/>
        <v>1.30343326283445</v>
      </c>
      <c r="T98" s="148">
        <f t="shared" si="15"/>
        <v>1.3035114952811124</v>
      </c>
      <c r="U98">
        <f t="shared" si="21"/>
        <v>2.3489682078479781</v>
      </c>
      <c r="V98" s="55">
        <f t="shared" si="16"/>
        <v>2.3515947441881067</v>
      </c>
      <c r="W98">
        <f t="shared" si="22"/>
        <v>0.6429154982298505</v>
      </c>
      <c r="X98" s="55">
        <f t="shared" si="17"/>
        <v>0.65202896106059527</v>
      </c>
      <c r="Y98" s="149">
        <v>10.218315799999999</v>
      </c>
      <c r="Z98" s="55">
        <f t="shared" si="13"/>
        <v>4.5253933443139107E-3</v>
      </c>
      <c r="AA98" s="55">
        <f t="shared" si="18"/>
        <v>4.6735208078534764E-3</v>
      </c>
      <c r="AB98" s="55">
        <f t="shared" si="14"/>
        <v>-5.3980507786879723</v>
      </c>
      <c r="AC98" s="55">
        <f t="shared" si="19"/>
        <v>-5.3660988438319039</v>
      </c>
      <c r="AD98" s="55"/>
      <c r="AE98" s="55"/>
      <c r="AF98" s="55"/>
      <c r="AG98" s="55"/>
      <c r="AH98" s="55"/>
    </row>
    <row r="99" spans="1:34" ht="15.75">
      <c r="A99" s="39">
        <v>9.9484736799999993</v>
      </c>
      <c r="B99" s="39">
        <v>10.234263199999999</v>
      </c>
      <c r="C99" s="39">
        <v>97</v>
      </c>
      <c r="D99">
        <v>97</v>
      </c>
      <c r="E99" s="10">
        <v>1353370</v>
      </c>
      <c r="F99" s="10">
        <v>1104980</v>
      </c>
      <c r="G99" s="10">
        <v>17040</v>
      </c>
      <c r="H99" s="10">
        <v>38577</v>
      </c>
      <c r="I99" s="10">
        <v>8806</v>
      </c>
      <c r="J99" s="10">
        <v>32693</v>
      </c>
      <c r="K99">
        <v>97</v>
      </c>
      <c r="L99" s="10">
        <v>1520</v>
      </c>
      <c r="M99" s="10">
        <v>407871</v>
      </c>
      <c r="N99" s="10">
        <v>5260</v>
      </c>
      <c r="O99">
        <v>-0.56967609334691371</v>
      </c>
      <c r="P99">
        <v>1.0241943766414117</v>
      </c>
      <c r="Q99">
        <v>-0.35485886060904626</v>
      </c>
      <c r="R99">
        <v>0.35485886060904626</v>
      </c>
      <c r="S99">
        <f t="shared" si="20"/>
        <v>1.3117276803756879</v>
      </c>
      <c r="T99" s="148">
        <f t="shared" si="15"/>
        <v>1.2872239211498284</v>
      </c>
      <c r="U99">
        <f t="shared" si="21"/>
        <v>2.3582947039828435</v>
      </c>
      <c r="V99" s="55">
        <f t="shared" si="16"/>
        <v>2.3549957308413938</v>
      </c>
      <c r="W99">
        <f t="shared" si="22"/>
        <v>0.65159746630808035</v>
      </c>
      <c r="X99" s="55">
        <f t="shared" si="17"/>
        <v>0.66286400825548963</v>
      </c>
      <c r="Y99" s="149">
        <v>10.234263199999999</v>
      </c>
      <c r="Z99" s="55">
        <f t="shared" si="13"/>
        <v>4.7602671541566366E-3</v>
      </c>
      <c r="AA99" s="55">
        <f t="shared" si="18"/>
        <v>4.6923060148246314E-3</v>
      </c>
      <c r="AB99" s="55">
        <f t="shared" si="14"/>
        <v>-5.3474514874909245</v>
      </c>
      <c r="AC99" s="55">
        <f t="shared" si="19"/>
        <v>-5.3621548774982015</v>
      </c>
      <c r="AD99" s="55"/>
      <c r="AE99" s="55"/>
      <c r="AF99" s="55"/>
      <c r="AG99" s="55"/>
      <c r="AH99" s="55"/>
    </row>
    <row r="100" spans="1:34" ht="15.75">
      <c r="A100" s="39">
        <v>9.9639122800000006</v>
      </c>
      <c r="B100" s="39">
        <v>10.2502105</v>
      </c>
      <c r="C100" s="39">
        <v>98</v>
      </c>
      <c r="D100">
        <v>98</v>
      </c>
      <c r="E100" s="10">
        <v>1350580</v>
      </c>
      <c r="F100" s="10">
        <v>1099920</v>
      </c>
      <c r="G100" s="10">
        <v>16089</v>
      </c>
      <c r="H100" s="10">
        <v>38384</v>
      </c>
      <c r="I100" s="10">
        <v>9260</v>
      </c>
      <c r="J100" s="10">
        <v>32208</v>
      </c>
      <c r="K100">
        <v>98</v>
      </c>
      <c r="L100" s="10">
        <v>1652</v>
      </c>
      <c r="M100" s="10">
        <v>405599</v>
      </c>
      <c r="N100" s="10">
        <v>5270</v>
      </c>
      <c r="O100">
        <v>-0.54135277086264499</v>
      </c>
      <c r="P100">
        <v>1.0239466449544401</v>
      </c>
      <c r="Q100">
        <v>-0.37762117894102487</v>
      </c>
      <c r="R100">
        <v>0.37762117894102493</v>
      </c>
      <c r="S100">
        <f t="shared" si="20"/>
        <v>1.2465108202393476</v>
      </c>
      <c r="T100" s="148">
        <f t="shared" si="15"/>
        <v>1.2544499172195911</v>
      </c>
      <c r="U100">
        <f t="shared" si="21"/>
        <v>2.3577242806933607</v>
      </c>
      <c r="V100" s="55">
        <f t="shared" si="16"/>
        <v>2.3554565594682479</v>
      </c>
      <c r="W100">
        <f t="shared" si="22"/>
        <v>0.69407906022853783</v>
      </c>
      <c r="X100" s="55">
        <f t="shared" si="17"/>
        <v>0.67737114152898492</v>
      </c>
      <c r="Y100" s="149">
        <v>10.2502105</v>
      </c>
      <c r="Z100" s="55">
        <f t="shared" si="13"/>
        <v>4.791257546003346E-3</v>
      </c>
      <c r="AA100" s="55">
        <f t="shared" si="18"/>
        <v>4.7266666414193014E-3</v>
      </c>
      <c r="AB100" s="55">
        <f t="shared" si="14"/>
        <v>-5.3409623663157069</v>
      </c>
      <c r="AC100" s="55">
        <f t="shared" si="19"/>
        <v>-5.3546472147263087</v>
      </c>
      <c r="AD100" s="55"/>
      <c r="AE100" s="55"/>
      <c r="AF100" s="55"/>
      <c r="AG100" s="55"/>
      <c r="AH100" s="55"/>
    </row>
    <row r="101" spans="1:34" ht="15.75">
      <c r="A101" s="39">
        <v>9.9793508800000001</v>
      </c>
      <c r="B101" s="39">
        <v>10.2661579</v>
      </c>
      <c r="C101" s="39">
        <v>99</v>
      </c>
      <c r="D101">
        <v>99</v>
      </c>
      <c r="E101" s="10">
        <v>1344970</v>
      </c>
      <c r="F101" s="10">
        <v>1098850</v>
      </c>
      <c r="G101" s="10">
        <v>16074</v>
      </c>
      <c r="H101" s="10">
        <v>38224</v>
      </c>
      <c r="I101" s="10">
        <v>9569</v>
      </c>
      <c r="J101" s="10">
        <v>31933</v>
      </c>
      <c r="K101">
        <v>99</v>
      </c>
      <c r="L101" s="10">
        <v>1918</v>
      </c>
      <c r="M101" s="10">
        <v>400941</v>
      </c>
      <c r="N101" s="10">
        <v>5086</v>
      </c>
      <c r="O101">
        <v>-0.52337316640781972</v>
      </c>
      <c r="P101">
        <v>1.0207443368237847</v>
      </c>
      <c r="Q101">
        <v>-0.37621216841395017</v>
      </c>
      <c r="R101">
        <v>0.37621216841395017</v>
      </c>
      <c r="S101">
        <f t="shared" si="20"/>
        <v>1.2051112510437376</v>
      </c>
      <c r="T101" s="148">
        <f t="shared" si="15"/>
        <v>1.2413095024156282</v>
      </c>
      <c r="U101">
        <f t="shared" si="21"/>
        <v>2.3503506937285401</v>
      </c>
      <c r="V101" s="55">
        <f t="shared" si="16"/>
        <v>2.3577679318531928</v>
      </c>
      <c r="W101">
        <f t="shared" si="22"/>
        <v>0.6864368980503367</v>
      </c>
      <c r="X101" s="55">
        <f t="shared" si="17"/>
        <v>0.67700418538019991</v>
      </c>
      <c r="Y101" s="149">
        <v>10.2661579</v>
      </c>
      <c r="Z101" s="55">
        <f t="shared" si="13"/>
        <v>4.6284752240979207E-3</v>
      </c>
      <c r="AA101" s="55">
        <f t="shared" si="18"/>
        <v>4.604096146284666E-3</v>
      </c>
      <c r="AB101" s="55">
        <f t="shared" si="14"/>
        <v>-5.375527790372292</v>
      </c>
      <c r="AC101" s="55">
        <f t="shared" si="19"/>
        <v>-5.3814447403597869</v>
      </c>
      <c r="AD101" s="55"/>
      <c r="AE101" s="55"/>
      <c r="AF101" s="55"/>
      <c r="AG101" s="55"/>
      <c r="AH101" s="55"/>
    </row>
    <row r="102" spans="1:34" ht="15.75">
      <c r="A102" s="39">
        <v>9.9947894700000006</v>
      </c>
      <c r="B102" s="39">
        <v>10.2821053</v>
      </c>
      <c r="C102" s="39">
        <v>100</v>
      </c>
      <c r="D102">
        <v>100</v>
      </c>
      <c r="E102" s="10">
        <v>1353180</v>
      </c>
      <c r="F102" s="10">
        <v>1099360</v>
      </c>
      <c r="G102" s="10">
        <v>16729</v>
      </c>
      <c r="H102" s="10">
        <v>38266</v>
      </c>
      <c r="I102" s="10">
        <v>8983</v>
      </c>
      <c r="J102" s="10">
        <v>32061</v>
      </c>
      <c r="K102">
        <v>100</v>
      </c>
      <c r="L102" s="10">
        <v>1794</v>
      </c>
      <c r="M102" s="10">
        <v>407398</v>
      </c>
      <c r="N102" s="10">
        <v>4829</v>
      </c>
      <c r="O102">
        <v>-0.55255566442907134</v>
      </c>
      <c r="P102">
        <v>1.0272058254586267</v>
      </c>
      <c r="Q102">
        <v>-0.35934308600850784</v>
      </c>
      <c r="R102">
        <v>0.35934308600850778</v>
      </c>
      <c r="S102">
        <f t="shared" si="20"/>
        <v>1.2723064359637997</v>
      </c>
      <c r="T102" s="148">
        <f t="shared" si="15"/>
        <v>1.2405781408120105</v>
      </c>
      <c r="U102">
        <f t="shared" si="21"/>
        <v>2.3652288211376775</v>
      </c>
      <c r="V102" s="55">
        <f t="shared" si="16"/>
        <v>2.3491236197536618</v>
      </c>
      <c r="W102">
        <f t="shared" si="22"/>
        <v>0.65049659786172565</v>
      </c>
      <c r="X102" s="55">
        <f t="shared" si="17"/>
        <v>0.6625983216586343</v>
      </c>
      <c r="Y102" s="149">
        <v>10.2821053</v>
      </c>
      <c r="Z102" s="55">
        <f t="shared" si="13"/>
        <v>4.3925556687527288E-3</v>
      </c>
      <c r="AA102" s="55">
        <f t="shared" si="18"/>
        <v>4.5834922088879978E-3</v>
      </c>
      <c r="AB102" s="55">
        <f t="shared" si="14"/>
        <v>-5.427844064391361</v>
      </c>
      <c r="AC102" s="55">
        <f t="shared" si="19"/>
        <v>-5.3857730397067201</v>
      </c>
      <c r="AD102" s="55"/>
      <c r="AE102" s="55"/>
      <c r="AF102" s="55"/>
      <c r="AG102" s="55"/>
      <c r="AH102" s="55"/>
    </row>
    <row r="103" spans="1:34" ht="15.75">
      <c r="A103" s="129">
        <v>10.010228100000001</v>
      </c>
      <c r="B103" s="129">
        <v>10.2980526</v>
      </c>
      <c r="C103" s="129">
        <v>101</v>
      </c>
      <c r="D103" s="130">
        <v>101</v>
      </c>
      <c r="E103" s="131">
        <v>1342050</v>
      </c>
      <c r="F103" s="131">
        <v>1094420</v>
      </c>
      <c r="G103" s="131">
        <v>16665</v>
      </c>
      <c r="H103" s="131">
        <v>39029</v>
      </c>
      <c r="I103" s="131">
        <v>9206</v>
      </c>
      <c r="J103" s="131">
        <v>31950</v>
      </c>
      <c r="K103" s="130">
        <v>101</v>
      </c>
      <c r="L103" s="131">
        <v>1692</v>
      </c>
      <c r="M103" s="131">
        <v>401857</v>
      </c>
      <c r="N103" s="131">
        <v>5176</v>
      </c>
      <c r="O103" s="130">
        <v>-0.54039989193646354</v>
      </c>
      <c r="P103" s="130">
        <v>1.0126841138204123</v>
      </c>
      <c r="Q103" s="130">
        <v>-0.36958210594558644</v>
      </c>
      <c r="R103" s="130">
        <v>0.36958210594558638</v>
      </c>
      <c r="S103" s="130">
        <f t="shared" si="20"/>
        <v>1.2443167354284941</v>
      </c>
      <c r="T103" s="148">
        <f t="shared" si="15"/>
        <v>1.247767791537624</v>
      </c>
      <c r="U103" s="130">
        <f t="shared" si="21"/>
        <v>2.3317913443947673</v>
      </c>
      <c r="V103" s="132">
        <f t="shared" si="16"/>
        <v>2.3579651040480378</v>
      </c>
      <c r="W103" s="130">
        <f t="shared" si="22"/>
        <v>0.65086146906384079</v>
      </c>
      <c r="X103" s="132">
        <f t="shared" si="17"/>
        <v>0.658365210501061</v>
      </c>
      <c r="Y103" s="149">
        <v>10.2980526</v>
      </c>
      <c r="Z103" s="132">
        <f t="shared" si="13"/>
        <v>4.7294457338133439E-3</v>
      </c>
      <c r="AA103" s="132">
        <f t="shared" si="18"/>
        <v>4.5428437823637488E-3</v>
      </c>
      <c r="AB103" s="132">
        <f t="shared" si="14"/>
        <v>-5.3539472643565045</v>
      </c>
      <c r="AC103" s="132">
        <f t="shared" si="19"/>
        <v>-5.3946730546655948</v>
      </c>
      <c r="AD103" s="55"/>
      <c r="AE103" s="55"/>
      <c r="AF103" s="55"/>
      <c r="AG103" s="55"/>
      <c r="AH103" s="55"/>
    </row>
    <row r="104" spans="1:34" ht="15.75">
      <c r="A104" s="39">
        <v>10.0256667</v>
      </c>
      <c r="B104" s="39">
        <v>10.314</v>
      </c>
      <c r="C104" s="39">
        <v>102</v>
      </c>
      <c r="D104">
        <v>102</v>
      </c>
      <c r="E104" s="10">
        <v>1346870</v>
      </c>
      <c r="F104" s="10">
        <v>1094190</v>
      </c>
      <c r="G104" s="10">
        <v>16205</v>
      </c>
      <c r="H104" s="10">
        <v>37774</v>
      </c>
      <c r="I104" s="10">
        <v>9322</v>
      </c>
      <c r="J104" s="10">
        <v>31787</v>
      </c>
      <c r="K104">
        <v>102</v>
      </c>
      <c r="L104" s="10">
        <v>1681</v>
      </c>
      <c r="M104" s="10">
        <v>406871</v>
      </c>
      <c r="N104" s="10">
        <v>4931</v>
      </c>
      <c r="O104">
        <v>-0.53274044331865666</v>
      </c>
      <c r="P104">
        <v>1.0322637603464304</v>
      </c>
      <c r="Q104">
        <v>-0.36754394061489398</v>
      </c>
      <c r="R104">
        <v>0.36754394061489393</v>
      </c>
      <c r="S104">
        <f t="shared" si="20"/>
        <v>1.2266802032205781</v>
      </c>
      <c r="T104" s="148">
        <f t="shared" si="15"/>
        <v>1.2433631277805708</v>
      </c>
      <c r="U104">
        <f t="shared" si="21"/>
        <v>2.3768751466116687</v>
      </c>
      <c r="V104" s="55">
        <f t="shared" si="16"/>
        <v>2.3558177337130357</v>
      </c>
      <c r="W104">
        <f t="shared" si="22"/>
        <v>0.67373756457761669</v>
      </c>
      <c r="X104" s="55">
        <f t="shared" si="17"/>
        <v>0.65931961171777564</v>
      </c>
      <c r="Y104" s="149">
        <v>10.314</v>
      </c>
      <c r="Z104" s="55">
        <f t="shared" si="13"/>
        <v>4.5065299445251738E-3</v>
      </c>
      <c r="AA104" s="55">
        <f t="shared" si="18"/>
        <v>4.5724706880375917E-3</v>
      </c>
      <c r="AB104" s="55">
        <f t="shared" si="14"/>
        <v>-5.4022278352489179</v>
      </c>
      <c r="AC104" s="55">
        <f t="shared" si="19"/>
        <v>-5.3879955872414156</v>
      </c>
      <c r="AD104" s="55"/>
      <c r="AE104" s="55"/>
      <c r="AF104" s="55"/>
      <c r="AG104" s="55"/>
      <c r="AH104" s="55"/>
    </row>
    <row r="105" spans="1:34" ht="15.75">
      <c r="A105" s="39">
        <v>10.0411053</v>
      </c>
      <c r="B105" s="39">
        <v>10.3299474</v>
      </c>
      <c r="C105" s="39">
        <v>103</v>
      </c>
      <c r="D105">
        <v>103</v>
      </c>
      <c r="E105" s="10">
        <v>1359900</v>
      </c>
      <c r="F105" s="10">
        <v>1100540</v>
      </c>
      <c r="G105" s="10">
        <v>16946</v>
      </c>
      <c r="H105" s="10">
        <v>38939</v>
      </c>
      <c r="I105" s="10">
        <v>9247</v>
      </c>
      <c r="J105" s="10">
        <v>32570</v>
      </c>
      <c r="K105">
        <v>103</v>
      </c>
      <c r="L105" s="10">
        <v>1629</v>
      </c>
      <c r="M105" s="10">
        <v>411901</v>
      </c>
      <c r="N105" s="10">
        <v>4932</v>
      </c>
      <c r="O105">
        <v>-0.54681690093608903</v>
      </c>
      <c r="P105">
        <v>1.0244080521973444</v>
      </c>
      <c r="Q105">
        <v>-0.36131759205566394</v>
      </c>
      <c r="R105">
        <v>0.36131759205566388</v>
      </c>
      <c r="S105">
        <f t="shared" si="20"/>
        <v>1.2590924446926406</v>
      </c>
      <c r="T105" s="148">
        <f t="shared" si="15"/>
        <v>1.2318391380384819</v>
      </c>
      <c r="U105">
        <f t="shared" si="21"/>
        <v>2.3587867101326716</v>
      </c>
      <c r="V105" s="55">
        <f t="shared" si="16"/>
        <v>2.3738021399259015</v>
      </c>
      <c r="W105">
        <f t="shared" si="22"/>
        <v>0.65335980151186968</v>
      </c>
      <c r="X105" s="55">
        <f t="shared" si="17"/>
        <v>0.66726120664375388</v>
      </c>
      <c r="Y105" s="149">
        <v>10.3299474</v>
      </c>
      <c r="Z105" s="55">
        <f t="shared" si="13"/>
        <v>4.4814363857742564E-3</v>
      </c>
      <c r="AA105" s="55">
        <f t="shared" si="18"/>
        <v>4.4142749892087966E-3</v>
      </c>
      <c r="AB105" s="55">
        <f t="shared" si="14"/>
        <v>-5.4078116621188261</v>
      </c>
      <c r="AC105" s="55">
        <f t="shared" si="19"/>
        <v>-5.4232444125320995</v>
      </c>
      <c r="AD105" s="55"/>
      <c r="AE105" s="55"/>
      <c r="AF105" s="55"/>
      <c r="AG105" s="55"/>
      <c r="AH105" s="55"/>
    </row>
    <row r="106" spans="1:34" ht="15.75">
      <c r="A106" s="39">
        <v>10.056543899999999</v>
      </c>
      <c r="B106" s="39">
        <v>10.345894700000001</v>
      </c>
      <c r="C106" s="39">
        <v>104</v>
      </c>
      <c r="D106">
        <v>104</v>
      </c>
      <c r="E106" s="10">
        <v>1369460</v>
      </c>
      <c r="F106" s="10">
        <v>1108850</v>
      </c>
      <c r="G106" s="10">
        <v>16401</v>
      </c>
      <c r="H106" s="10">
        <v>39097</v>
      </c>
      <c r="I106" s="10">
        <v>9605</v>
      </c>
      <c r="J106" s="10">
        <v>32202</v>
      </c>
      <c r="K106">
        <v>104</v>
      </c>
      <c r="L106" s="10">
        <v>1712</v>
      </c>
      <c r="M106" s="10">
        <v>424873</v>
      </c>
      <c r="N106" s="10">
        <v>4718</v>
      </c>
      <c r="O106">
        <v>-0.52538547647296652</v>
      </c>
      <c r="P106">
        <v>1.0361156989560751</v>
      </c>
      <c r="Q106">
        <v>-0.3772731056789948</v>
      </c>
      <c r="R106">
        <v>0.37727310567899486</v>
      </c>
      <c r="S106">
        <f t="shared" si="20"/>
        <v>1.2097447662022269</v>
      </c>
      <c r="T106" s="148">
        <f t="shared" si="15"/>
        <v>1.2352577129088202</v>
      </c>
      <c r="U106">
        <f t="shared" si="21"/>
        <v>2.3857445630333651</v>
      </c>
      <c r="V106" s="55">
        <f t="shared" si="16"/>
        <v>2.369806553979565</v>
      </c>
      <c r="W106">
        <f t="shared" si="22"/>
        <v>0.67468625384177494</v>
      </c>
      <c r="X106" s="55">
        <f t="shared" si="17"/>
        <v>0.68285368443732875</v>
      </c>
      <c r="Y106" s="149">
        <v>10.345894700000001</v>
      </c>
      <c r="Z106" s="55">
        <f t="shared" si="13"/>
        <v>4.2548586373269606E-3</v>
      </c>
      <c r="AA106" s="55">
        <f t="shared" si="18"/>
        <v>4.395316952453667E-3</v>
      </c>
      <c r="AB106" s="55">
        <f t="shared" si="14"/>
        <v>-5.4596937402285546</v>
      </c>
      <c r="AC106" s="55">
        <f t="shared" si="19"/>
        <v>-5.4274779762526961</v>
      </c>
      <c r="AD106" s="55"/>
      <c r="AE106" s="55"/>
      <c r="AF106" s="55"/>
      <c r="AG106" s="55"/>
      <c r="AH106" s="55"/>
    </row>
    <row r="107" spans="1:34" ht="15.75">
      <c r="A107" s="39">
        <v>10.071982500000001</v>
      </c>
      <c r="B107" s="39">
        <v>10.3618421</v>
      </c>
      <c r="C107" s="39">
        <v>105</v>
      </c>
      <c r="D107">
        <v>105</v>
      </c>
      <c r="E107" s="10">
        <v>1366717.5</v>
      </c>
      <c r="F107" s="10">
        <v>1109748.75</v>
      </c>
      <c r="G107" s="10">
        <v>15831.25</v>
      </c>
      <c r="H107" s="10">
        <v>39021.75</v>
      </c>
      <c r="I107" s="10">
        <v>9445.75</v>
      </c>
      <c r="J107" s="10">
        <v>32541</v>
      </c>
      <c r="K107">
        <v>105</v>
      </c>
      <c r="L107" s="10">
        <v>1665</v>
      </c>
      <c r="M107" s="10">
        <v>415302.6667</v>
      </c>
      <c r="N107" s="10">
        <v>4938</v>
      </c>
      <c r="O107">
        <v>-0.53719444792513993</v>
      </c>
      <c r="P107">
        <v>1.0270579775610378</v>
      </c>
      <c r="Q107">
        <v>-0.39179153507151715</v>
      </c>
      <c r="R107">
        <v>0.39179153507151709</v>
      </c>
      <c r="S107">
        <f t="shared" si="20"/>
        <v>1.2369359278315932</v>
      </c>
      <c r="T107" s="148">
        <f t="shared" si="15"/>
        <v>1.1760682884748792</v>
      </c>
      <c r="U107">
        <f t="shared" si="21"/>
        <v>2.3648883887726586</v>
      </c>
      <c r="V107" s="55">
        <f t="shared" si="16"/>
        <v>2.3722635754804275</v>
      </c>
      <c r="W107">
        <f t="shared" si="22"/>
        <v>0.72051499795834184</v>
      </c>
      <c r="X107" s="55">
        <f t="shared" si="17"/>
        <v>0.69347668296303955</v>
      </c>
      <c r="Y107" s="149">
        <v>10.3618421</v>
      </c>
      <c r="Z107" s="55">
        <f t="shared" si="13"/>
        <v>4.4496558342597822E-3</v>
      </c>
      <c r="AA107" s="55">
        <f t="shared" si="18"/>
        <v>4.330222070541883E-3</v>
      </c>
      <c r="AB107" s="55">
        <f t="shared" si="14"/>
        <v>-5.4149285264107068</v>
      </c>
      <c r="AC107" s="55">
        <f t="shared" si="19"/>
        <v>-5.4423294151826234</v>
      </c>
      <c r="AD107" s="55"/>
      <c r="AE107" s="55"/>
      <c r="AF107" s="55"/>
      <c r="AG107" s="55"/>
      <c r="AH107" s="55"/>
    </row>
    <row r="108" spans="1:34" ht="15.75">
      <c r="A108" s="39">
        <v>10.0874211</v>
      </c>
      <c r="B108" s="39">
        <v>10.3777895</v>
      </c>
      <c r="C108" s="39">
        <v>106</v>
      </c>
      <c r="D108">
        <v>106</v>
      </c>
      <c r="E108" s="10">
        <v>1368420</v>
      </c>
      <c r="F108" s="10">
        <v>1110320</v>
      </c>
      <c r="G108" s="10">
        <v>16229</v>
      </c>
      <c r="H108" s="10">
        <v>38489</v>
      </c>
      <c r="I108" s="10">
        <v>10919</v>
      </c>
      <c r="J108" s="10">
        <v>32202</v>
      </c>
      <c r="K108">
        <v>106</v>
      </c>
      <c r="L108" s="10">
        <v>1581</v>
      </c>
      <c r="M108" s="10">
        <v>410153</v>
      </c>
      <c r="N108" s="10">
        <v>4759</v>
      </c>
      <c r="O108">
        <v>-0.46969997968001886</v>
      </c>
      <c r="P108">
        <v>1.0276092648365711</v>
      </c>
      <c r="Q108">
        <v>-0.37504486738740894</v>
      </c>
      <c r="R108">
        <v>0.37504486738740894</v>
      </c>
      <c r="S108">
        <f t="shared" si="20"/>
        <v>1.0815241713908175</v>
      </c>
      <c r="T108" s="148">
        <f t="shared" si="15"/>
        <v>1.186098183885065</v>
      </c>
      <c r="U108">
        <f t="shared" si="21"/>
        <v>2.3661577746352589</v>
      </c>
      <c r="V108" s="55">
        <f t="shared" si="16"/>
        <v>2.361165264186504</v>
      </c>
      <c r="W108">
        <f t="shared" si="22"/>
        <v>0.68522879708900186</v>
      </c>
      <c r="X108" s="55">
        <f t="shared" si="17"/>
        <v>0.6946470105762762</v>
      </c>
      <c r="Y108" s="149">
        <v>10.3777895</v>
      </c>
      <c r="Z108" s="55">
        <f t="shared" si="13"/>
        <v>4.286151740038908E-3</v>
      </c>
      <c r="AA108" s="55">
        <f t="shared" si="18"/>
        <v>4.3723692731980693E-3</v>
      </c>
      <c r="AB108" s="55">
        <f t="shared" si="14"/>
        <v>-5.4523659789086105</v>
      </c>
      <c r="AC108" s="55">
        <f t="shared" si="19"/>
        <v>-5.4325680814369006</v>
      </c>
      <c r="AD108" s="55"/>
      <c r="AE108" s="55"/>
      <c r="AF108" s="55"/>
      <c r="AG108" s="55"/>
      <c r="AH108" s="55"/>
    </row>
    <row r="109" spans="1:34" ht="15.75">
      <c r="A109" s="39">
        <v>10.1028597</v>
      </c>
      <c r="B109" s="39">
        <v>10.393736799999999</v>
      </c>
      <c r="C109" s="39">
        <v>107</v>
      </c>
      <c r="D109">
        <v>107</v>
      </c>
      <c r="E109" s="10">
        <v>1376670</v>
      </c>
      <c r="F109" s="10">
        <v>1117020</v>
      </c>
      <c r="G109" s="10">
        <v>16713</v>
      </c>
      <c r="H109" s="10">
        <v>39426</v>
      </c>
      <c r="I109" s="10">
        <v>9531</v>
      </c>
      <c r="J109" s="10">
        <v>32930</v>
      </c>
      <c r="K109">
        <v>107</v>
      </c>
      <c r="L109" s="10">
        <v>1920</v>
      </c>
      <c r="M109" s="10">
        <v>414418</v>
      </c>
      <c r="N109" s="10">
        <v>4894</v>
      </c>
      <c r="O109">
        <v>-0.53845326116509784</v>
      </c>
      <c r="P109">
        <v>1.021655892895889</v>
      </c>
      <c r="Q109">
        <v>-0.37272830439505367</v>
      </c>
      <c r="R109">
        <v>0.37272830439505367</v>
      </c>
      <c r="S109">
        <f t="shared" si="20"/>
        <v>1.2398344524327842</v>
      </c>
      <c r="T109" s="148">
        <f t="shared" si="15"/>
        <v>1.1928269022141438</v>
      </c>
      <c r="U109">
        <f t="shared" si="21"/>
        <v>2.3524496291515953</v>
      </c>
      <c r="V109" s="55">
        <f t="shared" si="16"/>
        <v>2.3547558205264156</v>
      </c>
      <c r="W109">
        <f t="shared" si="22"/>
        <v>0.67819723668148479</v>
      </c>
      <c r="X109" s="55">
        <f t="shared" si="17"/>
        <v>0.6539121918123505</v>
      </c>
      <c r="Y109" s="149">
        <v>10.393736799999999</v>
      </c>
      <c r="Z109" s="55">
        <f t="shared" si="13"/>
        <v>4.3813002452955186E-3</v>
      </c>
      <c r="AA109" s="55">
        <f t="shared" si="18"/>
        <v>4.3588410623373501E-3</v>
      </c>
      <c r="AB109" s="55">
        <f t="shared" si="14"/>
        <v>-5.430409738991381</v>
      </c>
      <c r="AC109" s="55">
        <f t="shared" si="19"/>
        <v>-5.4356223138232176</v>
      </c>
      <c r="AD109" s="55"/>
      <c r="AE109" s="55"/>
      <c r="AF109" s="55"/>
      <c r="AG109" s="55"/>
      <c r="AH109" s="55"/>
    </row>
    <row r="110" spans="1:34" ht="15.75">
      <c r="A110" s="39">
        <v>10.118298299999999</v>
      </c>
      <c r="B110" s="39">
        <v>10.409684199999999</v>
      </c>
      <c r="C110" s="39">
        <v>108</v>
      </c>
      <c r="D110">
        <v>108</v>
      </c>
      <c r="E110" s="10">
        <v>1393560</v>
      </c>
      <c r="F110" s="10">
        <v>1130170</v>
      </c>
      <c r="G110" s="10">
        <v>18579</v>
      </c>
      <c r="H110" s="10">
        <v>40108</v>
      </c>
      <c r="I110" s="10">
        <v>9614</v>
      </c>
      <c r="J110" s="10">
        <v>33796</v>
      </c>
      <c r="K110">
        <v>108</v>
      </c>
      <c r="L110" s="10">
        <v>2008</v>
      </c>
      <c r="M110" s="10">
        <v>418734</v>
      </c>
      <c r="N110" s="10">
        <v>4983</v>
      </c>
      <c r="O110">
        <v>-0.54596118364694035</v>
      </c>
      <c r="P110">
        <v>1.0187072195200988</v>
      </c>
      <c r="Q110">
        <v>-0.3342086715401294</v>
      </c>
      <c r="R110">
        <v>0.3342086715401294</v>
      </c>
      <c r="S110">
        <f t="shared" si="20"/>
        <v>1.2571220828188294</v>
      </c>
      <c r="T110" s="148">
        <f t="shared" si="15"/>
        <v>1.2531599692241218</v>
      </c>
      <c r="U110">
        <f t="shared" si="21"/>
        <v>2.3456600577923927</v>
      </c>
      <c r="V110" s="55">
        <f t="shared" si="16"/>
        <v>2.3492847631075637</v>
      </c>
      <c r="W110">
        <f t="shared" si="22"/>
        <v>0.59831054166656483</v>
      </c>
      <c r="X110" s="55">
        <f t="shared" si="17"/>
        <v>0.61394806553601067</v>
      </c>
      <c r="Y110" s="149">
        <v>10.409684199999999</v>
      </c>
      <c r="Z110" s="55">
        <f t="shared" si="13"/>
        <v>4.4090712016776239E-3</v>
      </c>
      <c r="AA110" s="55">
        <f t="shared" si="18"/>
        <v>4.3420707884222779E-3</v>
      </c>
      <c r="AB110" s="55">
        <f t="shared" si="14"/>
        <v>-5.4240912235696603</v>
      </c>
      <c r="AC110" s="55">
        <f t="shared" si="19"/>
        <v>-5.43955812306951</v>
      </c>
      <c r="AD110" s="55"/>
      <c r="AE110" s="55"/>
      <c r="AF110" s="55"/>
      <c r="AG110" s="55"/>
      <c r="AH110" s="55"/>
    </row>
    <row r="111" spans="1:34" ht="15.75">
      <c r="A111" s="39">
        <v>10.133736799999999</v>
      </c>
      <c r="B111" s="39">
        <v>10.425631600000001</v>
      </c>
      <c r="C111" s="39">
        <v>109</v>
      </c>
      <c r="D111">
        <v>109</v>
      </c>
      <c r="E111" s="10">
        <v>1402120</v>
      </c>
      <c r="F111" s="10">
        <v>1136020</v>
      </c>
      <c r="G111" s="10">
        <v>19099</v>
      </c>
      <c r="H111" s="10">
        <v>40566</v>
      </c>
      <c r="I111" s="10">
        <v>9511</v>
      </c>
      <c r="J111" s="10">
        <v>33615</v>
      </c>
      <c r="K111">
        <v>109</v>
      </c>
      <c r="L111" s="10">
        <v>1905</v>
      </c>
      <c r="M111" s="10">
        <v>425249</v>
      </c>
      <c r="N111" s="10">
        <v>4812</v>
      </c>
      <c r="O111">
        <v>-0.54830693391621654</v>
      </c>
      <c r="P111">
        <v>1.0204811146950215</v>
      </c>
      <c r="Q111">
        <v>-0.32715155759827819</v>
      </c>
      <c r="R111">
        <v>0.32715155759827824</v>
      </c>
      <c r="S111">
        <f t="shared" si="20"/>
        <v>1.2625233724207516</v>
      </c>
      <c r="T111" s="148">
        <f t="shared" si="15"/>
        <v>1.2515755668227733</v>
      </c>
      <c r="U111">
        <f t="shared" si="21"/>
        <v>2.3497446023787032</v>
      </c>
      <c r="V111" s="55">
        <f t="shared" si="16"/>
        <v>2.3572468862407168</v>
      </c>
      <c r="W111">
        <f t="shared" si="22"/>
        <v>0.56533641825998249</v>
      </c>
      <c r="X111" s="55">
        <f t="shared" si="17"/>
        <v>0.58004527278768048</v>
      </c>
      <c r="Y111" s="149">
        <v>10.425631600000001</v>
      </c>
      <c r="Z111" s="55">
        <f t="shared" si="13"/>
        <v>4.2358409182936922E-3</v>
      </c>
      <c r="AA111" s="55">
        <f t="shared" si="18"/>
        <v>4.2689538347523677E-3</v>
      </c>
      <c r="AB111" s="55">
        <f t="shared" si="14"/>
        <v>-5.4641734066474896</v>
      </c>
      <c r="AC111" s="55">
        <f t="shared" si="19"/>
        <v>-5.4566787808979882</v>
      </c>
      <c r="AD111" s="55"/>
      <c r="AE111" s="55"/>
      <c r="AF111" s="55"/>
      <c r="AG111" s="55"/>
      <c r="AH111" s="55"/>
    </row>
    <row r="112" spans="1:34" ht="15.75">
      <c r="A112" s="39">
        <v>10.149175400000001</v>
      </c>
      <c r="B112" s="39">
        <v>10.441579000000001</v>
      </c>
      <c r="C112" s="39">
        <v>110</v>
      </c>
      <c r="D112">
        <v>110</v>
      </c>
      <c r="E112" s="10">
        <v>1421510</v>
      </c>
      <c r="F112" s="10">
        <v>1148260</v>
      </c>
      <c r="G112" s="10">
        <v>18772</v>
      </c>
      <c r="H112" s="10">
        <v>40816</v>
      </c>
      <c r="I112" s="10">
        <v>9716</v>
      </c>
      <c r="J112" s="10">
        <v>33410</v>
      </c>
      <c r="K112">
        <v>110</v>
      </c>
      <c r="L112" s="10">
        <v>2063</v>
      </c>
      <c r="M112" s="10">
        <v>439400</v>
      </c>
      <c r="N112" s="10">
        <v>4779</v>
      </c>
      <c r="O112">
        <v>-0.53638896950503834</v>
      </c>
      <c r="P112">
        <v>1.0320296113187768</v>
      </c>
      <c r="Q112">
        <v>-0.33731989572525772</v>
      </c>
      <c r="R112">
        <v>0.33731989572525772</v>
      </c>
      <c r="S112">
        <f t="shared" si="20"/>
        <v>1.2350812452287392</v>
      </c>
      <c r="T112" s="148">
        <f t="shared" si="15"/>
        <v>1.2417054950087556</v>
      </c>
      <c r="U112">
        <f t="shared" si="21"/>
        <v>2.3763359985510544</v>
      </c>
      <c r="V112" s="55">
        <f t="shared" si="16"/>
        <v>2.3550896182477667</v>
      </c>
      <c r="W112">
        <f t="shared" si="22"/>
        <v>0.57648885843649389</v>
      </c>
      <c r="X112" s="55">
        <f t="shared" si="17"/>
        <v>0.56076538255341302</v>
      </c>
      <c r="Y112" s="149">
        <v>10.441579000000001</v>
      </c>
      <c r="Z112" s="55">
        <f t="shared" si="13"/>
        <v>4.1619493842857888E-3</v>
      </c>
      <c r="AA112" s="55">
        <f t="shared" si="18"/>
        <v>4.3385947404717571E-3</v>
      </c>
      <c r="AB112" s="55">
        <f t="shared" si="14"/>
        <v>-5.4817717124768146</v>
      </c>
      <c r="AC112" s="55">
        <f t="shared" si="19"/>
        <v>-5.4412466680047915</v>
      </c>
      <c r="AD112" s="55"/>
      <c r="AE112" s="55"/>
      <c r="AF112" s="55"/>
      <c r="AG112" s="55"/>
      <c r="AH112" s="55"/>
    </row>
    <row r="113" spans="1:34" ht="15.75">
      <c r="A113" s="39">
        <v>10.164614</v>
      </c>
      <c r="B113" s="39">
        <v>10.4575263</v>
      </c>
      <c r="C113" s="39">
        <v>111</v>
      </c>
      <c r="D113">
        <v>111</v>
      </c>
      <c r="E113" s="10">
        <v>1404590</v>
      </c>
      <c r="F113" s="10">
        <v>1137940</v>
      </c>
      <c r="G113" s="10">
        <v>19429</v>
      </c>
      <c r="H113" s="10">
        <v>40696</v>
      </c>
      <c r="I113" s="10">
        <v>9774</v>
      </c>
      <c r="J113" s="10">
        <v>33356</v>
      </c>
      <c r="K113">
        <v>111</v>
      </c>
      <c r="L113" s="10">
        <v>1581</v>
      </c>
      <c r="M113" s="10">
        <v>422132</v>
      </c>
      <c r="N113" s="10">
        <v>5255</v>
      </c>
      <c r="O113">
        <v>-0.53310163047249004</v>
      </c>
      <c r="P113">
        <v>1.0158965507641253</v>
      </c>
      <c r="Q113">
        <v>-0.321101276347662</v>
      </c>
      <c r="R113">
        <v>0.32110127634766206</v>
      </c>
      <c r="S113">
        <f t="shared" si="20"/>
        <v>1.227511867376776</v>
      </c>
      <c r="T113" s="148">
        <f t="shared" si="15"/>
        <v>1.2434915055961169</v>
      </c>
      <c r="U113">
        <f t="shared" si="21"/>
        <v>2.3391882538135436</v>
      </c>
      <c r="V113" s="55">
        <f t="shared" si="16"/>
        <v>2.3548934130461792</v>
      </c>
      <c r="W113">
        <f t="shared" si="22"/>
        <v>0.54047087096376301</v>
      </c>
      <c r="X113" s="55">
        <f t="shared" si="17"/>
        <v>0.55839854051042737</v>
      </c>
      <c r="Y113" s="149">
        <v>10.4575263</v>
      </c>
      <c r="Z113" s="55">
        <f t="shared" si="13"/>
        <v>4.6179939188357912E-3</v>
      </c>
      <c r="AA113" s="55">
        <f t="shared" si="18"/>
        <v>4.3018991143380474E-3</v>
      </c>
      <c r="AB113" s="55">
        <f t="shared" si="14"/>
        <v>-5.3777948848900703</v>
      </c>
      <c r="AC113" s="55">
        <f t="shared" si="19"/>
        <v>-5.4500243585727013</v>
      </c>
      <c r="AD113" s="55"/>
      <c r="AE113" s="55"/>
      <c r="AF113" s="55"/>
      <c r="AG113" s="55"/>
      <c r="AH113" s="55"/>
    </row>
    <row r="114" spans="1:34" ht="15.75">
      <c r="A114" s="39">
        <v>10.1800526</v>
      </c>
      <c r="B114" s="39">
        <v>10.4734737</v>
      </c>
      <c r="C114" s="39">
        <v>112</v>
      </c>
      <c r="D114">
        <v>112</v>
      </c>
      <c r="E114" s="10">
        <v>1398260</v>
      </c>
      <c r="F114" s="10">
        <v>1135550</v>
      </c>
      <c r="G114" s="10">
        <v>19373</v>
      </c>
      <c r="H114" s="10">
        <v>40470</v>
      </c>
      <c r="I114" s="10">
        <v>9528</v>
      </c>
      <c r="J114" s="10">
        <v>33856</v>
      </c>
      <c r="K114">
        <v>112</v>
      </c>
      <c r="L114" s="10">
        <v>1735</v>
      </c>
      <c r="M114" s="10">
        <v>423993</v>
      </c>
      <c r="N114" s="10">
        <v>4685</v>
      </c>
      <c r="O114">
        <v>-0.55063389754435188</v>
      </c>
      <c r="P114">
        <v>1.0202254821859102</v>
      </c>
      <c r="Q114">
        <v>-0.31993632592533694</v>
      </c>
      <c r="R114">
        <v>0.319936325925337</v>
      </c>
      <c r="S114">
        <f t="shared" si="20"/>
        <v>1.2678814041828352</v>
      </c>
      <c r="T114" s="148">
        <f t="shared" si="15"/>
        <v>1.250833287354473</v>
      </c>
      <c r="U114">
        <f t="shared" si="21"/>
        <v>2.3491559867739391</v>
      </c>
      <c r="V114" s="55">
        <f t="shared" si="16"/>
        <v>2.3463391969845575</v>
      </c>
      <c r="W114">
        <f t="shared" si="22"/>
        <v>0.55823589213102531</v>
      </c>
      <c r="X114" s="55">
        <f t="shared" si="17"/>
        <v>0.56620483427350576</v>
      </c>
      <c r="Y114" s="149">
        <v>10.4734737</v>
      </c>
      <c r="Z114" s="55">
        <f t="shared" si="13"/>
        <v>4.1257540398925629E-3</v>
      </c>
      <c r="AA114" s="55">
        <f t="shared" si="18"/>
        <v>4.2741733946459783E-3</v>
      </c>
      <c r="AB114" s="55">
        <f t="shared" si="14"/>
        <v>-5.4905064783512172</v>
      </c>
      <c r="AC114" s="55">
        <f t="shared" si="19"/>
        <v>-5.4567535414293857</v>
      </c>
      <c r="AD114" s="55"/>
      <c r="AE114" s="55"/>
      <c r="AF114" s="55"/>
      <c r="AG114" s="55"/>
      <c r="AH114" s="55"/>
    </row>
    <row r="115" spans="1:34" ht="15.75">
      <c r="A115" s="39">
        <v>10.195491199999999</v>
      </c>
      <c r="B115" s="39">
        <v>10.489421099999999</v>
      </c>
      <c r="C115" s="39">
        <v>113</v>
      </c>
      <c r="D115">
        <v>113</v>
      </c>
      <c r="E115" s="10">
        <v>1399560</v>
      </c>
      <c r="F115" s="10">
        <v>1134410</v>
      </c>
      <c r="G115" s="10">
        <v>18742</v>
      </c>
      <c r="H115" s="10">
        <v>40584</v>
      </c>
      <c r="I115" s="10">
        <v>9714</v>
      </c>
      <c r="J115" s="10">
        <v>34147</v>
      </c>
      <c r="K115">
        <v>113</v>
      </c>
      <c r="L115" s="10">
        <v>1835</v>
      </c>
      <c r="M115" s="10">
        <v>425833</v>
      </c>
      <c r="N115" s="10">
        <v>4627</v>
      </c>
      <c r="O115">
        <v>-0.54595445542001453</v>
      </c>
      <c r="P115">
        <v>1.0208844648210655</v>
      </c>
      <c r="Q115">
        <v>-0.33553891576625217</v>
      </c>
      <c r="R115">
        <v>0.33553891576625217</v>
      </c>
      <c r="S115">
        <f t="shared" si="20"/>
        <v>1.2571065905038079</v>
      </c>
      <c r="T115" s="148">
        <f t="shared" si="15"/>
        <v>1.2561675557919318</v>
      </c>
      <c r="U115">
        <f t="shared" si="21"/>
        <v>2.3506733503661894</v>
      </c>
      <c r="V115" s="55">
        <f t="shared" si="16"/>
        <v>2.3584898859951555</v>
      </c>
      <c r="W115">
        <f t="shared" si="22"/>
        <v>0.59990773972572897</v>
      </c>
      <c r="X115" s="55">
        <f t="shared" si="17"/>
        <v>0.57902069429860947</v>
      </c>
      <c r="Y115" s="149">
        <v>10.489421099999999</v>
      </c>
      <c r="Z115" s="55">
        <f t="shared" si="13"/>
        <v>4.0787722252095806E-3</v>
      </c>
      <c r="AA115" s="55">
        <f t="shared" si="18"/>
        <v>4.2043433378834141E-3</v>
      </c>
      <c r="AB115" s="55">
        <f t="shared" si="14"/>
        <v>-5.5019592610468688</v>
      </c>
      <c r="AC115" s="55">
        <f t="shared" si="19"/>
        <v>-5.4722285575118379</v>
      </c>
      <c r="AD115" s="55"/>
      <c r="AE115" s="55"/>
      <c r="AF115" s="55"/>
      <c r="AG115" s="55"/>
      <c r="AH115" s="55"/>
    </row>
    <row r="116" spans="1:34" ht="15.75">
      <c r="A116" s="39">
        <v>10.210929800000001</v>
      </c>
      <c r="B116" s="39">
        <v>10.5053684</v>
      </c>
      <c r="C116" s="39">
        <v>114</v>
      </c>
      <c r="D116">
        <v>114</v>
      </c>
      <c r="E116" s="10">
        <v>1401930</v>
      </c>
      <c r="F116" s="10">
        <v>1136440</v>
      </c>
      <c r="G116" s="10">
        <v>18852</v>
      </c>
      <c r="H116" s="10">
        <v>39876</v>
      </c>
      <c r="I116" s="10">
        <v>9699</v>
      </c>
      <c r="J116" s="10">
        <v>33634</v>
      </c>
      <c r="K116">
        <v>114</v>
      </c>
      <c r="L116" s="10">
        <v>1729</v>
      </c>
      <c r="M116" s="10">
        <v>428982</v>
      </c>
      <c r="N116" s="10">
        <v>5010</v>
      </c>
      <c r="O116">
        <v>-0.54005156051462722</v>
      </c>
      <c r="P116">
        <v>1.0317274823300011</v>
      </c>
      <c r="Q116">
        <v>-0.3253541562387377</v>
      </c>
      <c r="R116">
        <v>0.32535415623873776</v>
      </c>
      <c r="S116">
        <f t="shared" si="20"/>
        <v>1.2435146726891524</v>
      </c>
      <c r="T116" s="148">
        <f t="shared" si="15"/>
        <v>1.2622266223350689</v>
      </c>
      <c r="U116">
        <f t="shared" si="21"/>
        <v>2.375640320845338</v>
      </c>
      <c r="V116" s="55">
        <f t="shared" si="16"/>
        <v>2.36561000922425</v>
      </c>
      <c r="W116">
        <f t="shared" si="22"/>
        <v>0.5789184510390738</v>
      </c>
      <c r="X116" s="55">
        <f t="shared" si="17"/>
        <v>0.58318040735774701</v>
      </c>
      <c r="Y116" s="149">
        <v>10.5053684</v>
      </c>
      <c r="Z116" s="55">
        <f t="shared" si="13"/>
        <v>4.4085037485480979E-3</v>
      </c>
      <c r="AA116" s="55">
        <f t="shared" si="18"/>
        <v>4.1779042707453112E-3</v>
      </c>
      <c r="AB116" s="55">
        <f t="shared" si="14"/>
        <v>-5.4242199331374295</v>
      </c>
      <c r="AC116" s="55">
        <f t="shared" si="19"/>
        <v>-5.4786992574204332</v>
      </c>
      <c r="AD116" s="55"/>
      <c r="AE116" s="55"/>
      <c r="AF116" s="55"/>
      <c r="AG116" s="55"/>
      <c r="AH116" s="55"/>
    </row>
    <row r="117" spans="1:34" ht="15.75">
      <c r="A117" s="39">
        <v>10.2263684</v>
      </c>
      <c r="B117" s="39">
        <v>10.5213158</v>
      </c>
      <c r="C117" s="39">
        <v>115</v>
      </c>
      <c r="D117">
        <v>115</v>
      </c>
      <c r="E117" s="10">
        <v>1407330</v>
      </c>
      <c r="F117" s="10">
        <v>1131860</v>
      </c>
      <c r="G117" s="10">
        <v>18905</v>
      </c>
      <c r="H117" s="10">
        <v>40413</v>
      </c>
      <c r="I117" s="10">
        <v>9245</v>
      </c>
      <c r="J117" s="10">
        <v>33453</v>
      </c>
      <c r="K117">
        <v>115</v>
      </c>
      <c r="L117" s="10">
        <v>1889</v>
      </c>
      <c r="M117" s="10">
        <v>432537</v>
      </c>
      <c r="N117" s="10">
        <v>4580</v>
      </c>
      <c r="O117">
        <v>-0.55852815503985898</v>
      </c>
      <c r="P117">
        <v>1.0295021728725111</v>
      </c>
      <c r="Q117">
        <v>-0.32994440915700352</v>
      </c>
      <c r="R117">
        <v>0.32994440915700352</v>
      </c>
      <c r="S117">
        <f t="shared" si="20"/>
        <v>1.2860586038122463</v>
      </c>
      <c r="T117" s="148">
        <f t="shared" si="15"/>
        <v>1.2812234001131693</v>
      </c>
      <c r="U117">
        <f t="shared" si="21"/>
        <v>2.3705163564612231</v>
      </c>
      <c r="V117" s="55">
        <f t="shared" si="16"/>
        <v>2.365708699545487</v>
      </c>
      <c r="W117">
        <f t="shared" si="22"/>
        <v>0.57071503130843837</v>
      </c>
      <c r="X117" s="55">
        <f t="shared" si="17"/>
        <v>0.56625037508102372</v>
      </c>
      <c r="Y117" s="149">
        <v>10.5213158</v>
      </c>
      <c r="Z117" s="55">
        <f t="shared" si="13"/>
        <v>4.0464368384782569E-3</v>
      </c>
      <c r="AA117" s="55">
        <f t="shared" si="18"/>
        <v>4.1442098402105056E-3</v>
      </c>
      <c r="AB117" s="55">
        <f t="shared" si="14"/>
        <v>-5.5099185780770012</v>
      </c>
      <c r="AC117" s="55">
        <f t="shared" si="19"/>
        <v>-5.4870642698342538</v>
      </c>
      <c r="AD117" s="55"/>
      <c r="AE117" s="55"/>
      <c r="AF117" s="55"/>
      <c r="AG117" s="55"/>
      <c r="AH117" s="55"/>
    </row>
    <row r="118" spans="1:34" ht="15.75">
      <c r="A118" s="39">
        <v>10.241807</v>
      </c>
      <c r="B118" s="39">
        <v>10.5372632</v>
      </c>
      <c r="C118" s="39">
        <v>116</v>
      </c>
      <c r="D118">
        <v>116</v>
      </c>
      <c r="E118" s="10">
        <v>1418190</v>
      </c>
      <c r="F118" s="10">
        <v>1133070</v>
      </c>
      <c r="G118" s="10">
        <v>20054</v>
      </c>
      <c r="H118" s="10">
        <v>41780</v>
      </c>
      <c r="I118" s="10">
        <v>9332</v>
      </c>
      <c r="J118" s="10">
        <v>34728</v>
      </c>
      <c r="K118">
        <v>116</v>
      </c>
      <c r="L118" s="10">
        <v>1643</v>
      </c>
      <c r="M118" s="10">
        <v>438512</v>
      </c>
      <c r="N118" s="10">
        <v>4507</v>
      </c>
      <c r="O118">
        <v>-0.57070504270892852</v>
      </c>
      <c r="P118">
        <v>1.0210130468068566</v>
      </c>
      <c r="Q118">
        <v>-0.31876742503890781</v>
      </c>
      <c r="R118">
        <v>0.31876742503890787</v>
      </c>
      <c r="S118">
        <f t="shared" si="20"/>
        <v>1.3140969238381088</v>
      </c>
      <c r="T118" s="148">
        <f t="shared" si="15"/>
        <v>1.3022822793904263</v>
      </c>
      <c r="U118">
        <f t="shared" si="21"/>
        <v>2.3509694213298999</v>
      </c>
      <c r="V118" s="55">
        <f t="shared" si="16"/>
        <v>2.3554162706556707</v>
      </c>
      <c r="W118">
        <f t="shared" si="22"/>
        <v>0.54911764289555887</v>
      </c>
      <c r="X118" s="55">
        <f t="shared" si="17"/>
        <v>0.55918342161877987</v>
      </c>
      <c r="Y118" s="149">
        <v>10.5372632</v>
      </c>
      <c r="Z118" s="55">
        <f t="shared" si="13"/>
        <v>3.9776889336051611E-3</v>
      </c>
      <c r="AA118" s="55">
        <f t="shared" si="18"/>
        <v>4.1067340489248415E-3</v>
      </c>
      <c r="AB118" s="55">
        <f t="shared" si="14"/>
        <v>-5.5270542982883288</v>
      </c>
      <c r="AC118" s="55">
        <f t="shared" si="19"/>
        <v>-5.4956753400683667</v>
      </c>
      <c r="AD118" s="55"/>
      <c r="AE118" s="55"/>
      <c r="AF118" s="55"/>
      <c r="AG118" s="55"/>
      <c r="AH118" s="55"/>
    </row>
    <row r="119" spans="1:34" ht="15.75">
      <c r="A119" s="39">
        <v>10.257245599999999</v>
      </c>
      <c r="B119" s="39">
        <v>10.5532105</v>
      </c>
      <c r="C119" s="39">
        <v>117</v>
      </c>
      <c r="D119">
        <v>117</v>
      </c>
      <c r="E119" s="10">
        <v>1405190</v>
      </c>
      <c r="F119" s="10">
        <v>1124980</v>
      </c>
      <c r="G119" s="10">
        <v>20038</v>
      </c>
      <c r="H119" s="10">
        <v>41077</v>
      </c>
      <c r="I119" s="10">
        <v>9475</v>
      </c>
      <c r="J119" s="10">
        <v>35000</v>
      </c>
      <c r="K119">
        <v>117</v>
      </c>
      <c r="L119" s="10">
        <v>1770</v>
      </c>
      <c r="M119" s="10">
        <v>428466</v>
      </c>
      <c r="N119" s="10">
        <v>4833</v>
      </c>
      <c r="O119">
        <v>-0.56748882571016568</v>
      </c>
      <c r="P119">
        <v>1.0183176471133146</v>
      </c>
      <c r="Q119">
        <v>-0.31174434573691812</v>
      </c>
      <c r="R119">
        <v>0.31174434573691806</v>
      </c>
      <c r="S119">
        <f t="shared" si="20"/>
        <v>1.3066913105209237</v>
      </c>
      <c r="T119" s="148">
        <f t="shared" si="15"/>
        <v>1.3008361872093275</v>
      </c>
      <c r="U119">
        <f t="shared" si="21"/>
        <v>2.3447630341758896</v>
      </c>
      <c r="V119" s="55">
        <f t="shared" si="16"/>
        <v>2.3379406525505662</v>
      </c>
      <c r="W119">
        <f t="shared" si="22"/>
        <v>0.5577175906523425</v>
      </c>
      <c r="X119" s="55">
        <f t="shared" si="17"/>
        <v>0.53737558169160893</v>
      </c>
      <c r="Y119" s="149">
        <v>10.5532105</v>
      </c>
      <c r="Z119" s="55">
        <f t="shared" si="13"/>
        <v>4.2960763746911056E-3</v>
      </c>
      <c r="AA119" s="55">
        <f t="shared" si="18"/>
        <v>4.1837767178826337E-3</v>
      </c>
      <c r="AB119" s="55">
        <f t="shared" si="14"/>
        <v>-5.450053143839769</v>
      </c>
      <c r="AC119" s="55">
        <f t="shared" si="19"/>
        <v>-5.4771596116009702</v>
      </c>
      <c r="AD119" s="55"/>
      <c r="AE119" s="55"/>
      <c r="AF119" s="55"/>
      <c r="AG119" s="55"/>
      <c r="AH119" s="55"/>
    </row>
    <row r="120" spans="1:34" ht="15.75">
      <c r="A120" s="39">
        <v>10.2726842</v>
      </c>
      <c r="B120" s="39">
        <v>10.5691579</v>
      </c>
      <c r="C120" s="39">
        <v>118</v>
      </c>
      <c r="D120">
        <v>118</v>
      </c>
      <c r="E120" s="10">
        <v>1398280</v>
      </c>
      <c r="F120" s="10">
        <v>1121900</v>
      </c>
      <c r="G120" s="10">
        <v>20874</v>
      </c>
      <c r="H120" s="10">
        <v>41465</v>
      </c>
      <c r="I120" s="10">
        <v>9603</v>
      </c>
      <c r="J120" s="10">
        <v>34598</v>
      </c>
      <c r="K120">
        <v>118</v>
      </c>
      <c r="L120" s="10">
        <v>1521</v>
      </c>
      <c r="M120" s="10">
        <v>421129</v>
      </c>
      <c r="N120" s="10">
        <v>4799</v>
      </c>
      <c r="O120">
        <v>-0.55664406547613499</v>
      </c>
      <c r="P120">
        <v>1.0067334793398244</v>
      </c>
      <c r="Q120">
        <v>-0.29807599058710743</v>
      </c>
      <c r="R120">
        <v>0.29807599058710743</v>
      </c>
      <c r="S120">
        <f t="shared" si="20"/>
        <v>1.2817203272689499</v>
      </c>
      <c r="T120" s="148">
        <f t="shared" si="15"/>
        <v>1.3033722524537339</v>
      </c>
      <c r="U120">
        <f t="shared" si="21"/>
        <v>2.3180895021459089</v>
      </c>
      <c r="V120" s="55">
        <f t="shared" si="16"/>
        <v>2.3290158865558888</v>
      </c>
      <c r="W120">
        <f t="shared" si="22"/>
        <v>0.50529151152692564</v>
      </c>
      <c r="X120" s="55">
        <f t="shared" si="17"/>
        <v>0.52699027544931309</v>
      </c>
      <c r="Y120" s="149">
        <v>10.5691579</v>
      </c>
      <c r="Z120" s="55">
        <f t="shared" si="13"/>
        <v>4.2775648453516352E-3</v>
      </c>
      <c r="AA120" s="55">
        <f t="shared" si="18"/>
        <v>4.2495731266451835E-3</v>
      </c>
      <c r="AB120" s="55">
        <f t="shared" si="14"/>
        <v>-5.454371392674811</v>
      </c>
      <c r="AC120" s="55">
        <f t="shared" si="19"/>
        <v>-5.4610155788122405</v>
      </c>
      <c r="AD120" s="55"/>
      <c r="AE120" s="55"/>
      <c r="AF120" s="55"/>
      <c r="AG120" s="55"/>
      <c r="AH120" s="55"/>
    </row>
    <row r="121" spans="1:34" ht="15.75">
      <c r="A121" s="39">
        <v>10.2881228</v>
      </c>
      <c r="B121" s="39">
        <v>10.5851053</v>
      </c>
      <c r="C121" s="39">
        <v>119</v>
      </c>
      <c r="D121">
        <v>119</v>
      </c>
      <c r="E121" s="10">
        <v>1400420</v>
      </c>
      <c r="F121" s="10">
        <v>1119500</v>
      </c>
      <c r="G121" s="10">
        <v>20554</v>
      </c>
      <c r="H121" s="10">
        <v>41762</v>
      </c>
      <c r="I121" s="10">
        <v>9201</v>
      </c>
      <c r="J121" s="10">
        <v>34502</v>
      </c>
      <c r="K121">
        <v>119</v>
      </c>
      <c r="L121" s="10">
        <v>1970</v>
      </c>
      <c r="M121" s="10">
        <v>426743</v>
      </c>
      <c r="N121" s="10">
        <v>4674</v>
      </c>
      <c r="O121">
        <v>-0.57400924013310561</v>
      </c>
      <c r="P121">
        <v>1.0093851169355585</v>
      </c>
      <c r="Q121">
        <v>-0.30788493684859536</v>
      </c>
      <c r="R121">
        <v>0.3078849368485953</v>
      </c>
      <c r="S121">
        <f t="shared" si="20"/>
        <v>1.3217051195713283</v>
      </c>
      <c r="T121" s="148">
        <f t="shared" si="15"/>
        <v>1.3035188858679401</v>
      </c>
      <c r="U121">
        <f t="shared" si="21"/>
        <v>2.3241951233458686</v>
      </c>
      <c r="V121" s="55">
        <f t="shared" si="16"/>
        <v>2.3146516035914027</v>
      </c>
      <c r="W121">
        <f t="shared" si="22"/>
        <v>0.51796172416867114</v>
      </c>
      <c r="X121" s="55">
        <f t="shared" si="17"/>
        <v>0.52531827471599879</v>
      </c>
      <c r="Y121" s="149">
        <v>10.5851053</v>
      </c>
      <c r="Z121" s="55">
        <f t="shared" si="13"/>
        <v>4.1750781598928095E-3</v>
      </c>
      <c r="AA121" s="55">
        <f t="shared" si="18"/>
        <v>4.2208190001869796E-3</v>
      </c>
      <c r="AB121" s="55">
        <f t="shared" si="14"/>
        <v>-5.4786221999221434</v>
      </c>
      <c r="AC121" s="55">
        <f t="shared" si="19"/>
        <v>-5.4677768021652922</v>
      </c>
      <c r="AD121" s="55"/>
      <c r="AE121" s="55"/>
      <c r="AF121" s="55"/>
      <c r="AG121" s="55"/>
      <c r="AH121" s="55"/>
    </row>
    <row r="122" spans="1:34" ht="15.75">
      <c r="A122" s="39">
        <v>10.3035614</v>
      </c>
      <c r="B122" s="39">
        <v>10.601052599999999</v>
      </c>
      <c r="C122" s="39">
        <v>120</v>
      </c>
      <c r="D122">
        <v>120</v>
      </c>
      <c r="E122" s="10">
        <v>1393360</v>
      </c>
      <c r="F122" s="10">
        <v>1123090</v>
      </c>
      <c r="G122" s="10">
        <v>20339</v>
      </c>
      <c r="H122" s="10">
        <v>42100</v>
      </c>
      <c r="I122" s="10">
        <v>9565</v>
      </c>
      <c r="J122" s="10">
        <v>35348</v>
      </c>
      <c r="K122">
        <v>120</v>
      </c>
      <c r="L122" s="10">
        <v>1964</v>
      </c>
      <c r="M122" s="10">
        <v>420615</v>
      </c>
      <c r="N122" s="10">
        <v>4728</v>
      </c>
      <c r="O122">
        <v>-0.56767987195812264</v>
      </c>
      <c r="P122">
        <v>0.99960266062939473</v>
      </c>
      <c r="Q122">
        <v>-0.3159524995182702</v>
      </c>
      <c r="R122">
        <v>0.31595249951827026</v>
      </c>
      <c r="S122">
        <f t="shared" si="20"/>
        <v>1.3071312107635418</v>
      </c>
      <c r="T122" s="148">
        <f t="shared" si="15"/>
        <v>1.3054648771353419</v>
      </c>
      <c r="U122">
        <f t="shared" si="21"/>
        <v>2.3016701852824304</v>
      </c>
      <c r="V122" s="55">
        <f t="shared" si="16"/>
        <v>2.3157112384711778</v>
      </c>
      <c r="W122">
        <f t="shared" si="22"/>
        <v>0.55270158845239969</v>
      </c>
      <c r="X122" s="55">
        <f t="shared" si="17"/>
        <v>0.53585426392666358</v>
      </c>
      <c r="Y122" s="149">
        <v>10.601052599999999</v>
      </c>
      <c r="Z122" s="55">
        <f t="shared" si="13"/>
        <v>4.209813995316493E-3</v>
      </c>
      <c r="AA122" s="55">
        <f t="shared" si="18"/>
        <v>4.269559006084305E-3</v>
      </c>
      <c r="AB122" s="55">
        <f t="shared" si="14"/>
        <v>-5.4703368138989212</v>
      </c>
      <c r="AC122" s="55">
        <f t="shared" si="19"/>
        <v>-5.4565728864255192</v>
      </c>
      <c r="AD122" s="55"/>
      <c r="AE122" s="55"/>
      <c r="AF122" s="55"/>
      <c r="AG122" s="55"/>
      <c r="AH122" s="55"/>
    </row>
    <row r="123" spans="1:34" ht="15.75">
      <c r="A123" s="39">
        <v>10.319000000000001</v>
      </c>
      <c r="B123" s="39">
        <v>10.617000000000001</v>
      </c>
      <c r="C123" s="39">
        <v>121</v>
      </c>
      <c r="D123">
        <v>121</v>
      </c>
      <c r="E123" s="10">
        <v>1409130</v>
      </c>
      <c r="F123" s="10">
        <v>1121890</v>
      </c>
      <c r="G123" s="10">
        <v>20487</v>
      </c>
      <c r="H123" s="10">
        <v>41996</v>
      </c>
      <c r="I123" s="10">
        <v>9671</v>
      </c>
      <c r="J123" s="10">
        <v>35047</v>
      </c>
      <c r="K123">
        <v>121</v>
      </c>
      <c r="L123" s="10">
        <v>1808</v>
      </c>
      <c r="M123" s="10">
        <v>427880</v>
      </c>
      <c r="N123" s="10">
        <v>4963</v>
      </c>
      <c r="O123">
        <v>-0.55917946528392859</v>
      </c>
      <c r="P123">
        <v>1.0081140600831806</v>
      </c>
      <c r="Q123">
        <v>-0.3117295596108895</v>
      </c>
      <c r="R123">
        <v>0.3117295596108895</v>
      </c>
      <c r="S123">
        <f t="shared" si="20"/>
        <v>1.2875583010711555</v>
      </c>
      <c r="T123" s="148">
        <f t="shared" si="15"/>
        <v>1.2715913396047438</v>
      </c>
      <c r="U123">
        <f t="shared" si="21"/>
        <v>2.3212684067852352</v>
      </c>
      <c r="V123" s="55">
        <f t="shared" si="16"/>
        <v>2.3189123088278181</v>
      </c>
      <c r="W123">
        <f t="shared" si="22"/>
        <v>0.53689947915891967</v>
      </c>
      <c r="X123" s="55">
        <f t="shared" si="17"/>
        <v>0.53516684560671057</v>
      </c>
      <c r="Y123" s="149">
        <v>10.617000000000001</v>
      </c>
      <c r="Z123" s="55">
        <f t="shared" si="13"/>
        <v>4.4237848630436141E-3</v>
      </c>
      <c r="AA123" s="55">
        <f t="shared" si="18"/>
        <v>4.3588654327838478E-3</v>
      </c>
      <c r="AB123" s="55">
        <f t="shared" si="14"/>
        <v>-5.4207596454554938</v>
      </c>
      <c r="AC123" s="55">
        <f t="shared" si="19"/>
        <v>-5.4358408301907106</v>
      </c>
      <c r="AD123" s="55"/>
      <c r="AE123" s="55"/>
      <c r="AF123" s="55"/>
      <c r="AG123" s="55"/>
      <c r="AH123" s="55"/>
    </row>
    <row r="124" spans="1:34" ht="15.75">
      <c r="A124" s="39">
        <v>10.3344386</v>
      </c>
      <c r="B124" s="39">
        <v>10.632947400000001</v>
      </c>
      <c r="C124" s="39">
        <v>122</v>
      </c>
      <c r="D124">
        <v>122</v>
      </c>
      <c r="E124" s="10">
        <v>1406930</v>
      </c>
      <c r="F124" s="10">
        <v>1121090</v>
      </c>
      <c r="G124" s="10">
        <v>20406</v>
      </c>
      <c r="H124" s="10">
        <v>41220</v>
      </c>
      <c r="I124" s="10">
        <v>10091</v>
      </c>
      <c r="J124" s="10">
        <v>34183</v>
      </c>
      <c r="K124">
        <v>122</v>
      </c>
      <c r="L124" s="10">
        <v>1815</v>
      </c>
      <c r="M124" s="10">
        <v>425269</v>
      </c>
      <c r="N124" s="10">
        <v>4981</v>
      </c>
      <c r="O124">
        <v>-0.52987596883686128</v>
      </c>
      <c r="P124">
        <v>1.0135557385117775</v>
      </c>
      <c r="Q124">
        <v>-0.30535010512682831</v>
      </c>
      <c r="R124">
        <v>0.30535010512682831</v>
      </c>
      <c r="S124">
        <f t="shared" si="20"/>
        <v>1.2200845069795343</v>
      </c>
      <c r="T124" s="148">
        <f t="shared" si="15"/>
        <v>1.2443725249990718</v>
      </c>
      <c r="U124">
        <f t="shared" si="21"/>
        <v>2.3337983344157895</v>
      </c>
      <c r="V124" s="55">
        <f t="shared" si="16"/>
        <v>2.3259166631625097</v>
      </c>
      <c r="W124">
        <f t="shared" si="22"/>
        <v>0.51589946920881247</v>
      </c>
      <c r="X124" s="55">
        <f t="shared" si="17"/>
        <v>0.52221804570628982</v>
      </c>
      <c r="Y124" s="149">
        <v>10.632947400000001</v>
      </c>
      <c r="Z124" s="55">
        <f t="shared" si="13"/>
        <v>4.4429974399914371E-3</v>
      </c>
      <c r="AA124" s="55">
        <f t="shared" si="18"/>
        <v>4.4119478097054861E-3</v>
      </c>
      <c r="AB124" s="55">
        <f t="shared" si="14"/>
        <v>-5.4164260312177195</v>
      </c>
      <c r="AC124" s="55">
        <f t="shared" si="19"/>
        <v>-5.4234642716402348</v>
      </c>
      <c r="AD124" s="55"/>
      <c r="AE124" s="55"/>
      <c r="AF124" s="55"/>
      <c r="AG124" s="55"/>
      <c r="AH124" s="55"/>
    </row>
    <row r="125" spans="1:34" ht="15.75">
      <c r="A125" s="39">
        <v>10.3498772</v>
      </c>
      <c r="B125" s="39">
        <v>10.6488947</v>
      </c>
      <c r="C125" s="39">
        <v>123</v>
      </c>
      <c r="D125">
        <v>123</v>
      </c>
      <c r="E125" s="10">
        <v>1398590</v>
      </c>
      <c r="F125" s="10">
        <v>1128160</v>
      </c>
      <c r="G125" s="10">
        <v>20434</v>
      </c>
      <c r="H125" s="10">
        <v>41130</v>
      </c>
      <c r="I125" s="10">
        <v>10030</v>
      </c>
      <c r="J125" s="10">
        <v>34160</v>
      </c>
      <c r="K125">
        <v>123</v>
      </c>
      <c r="L125" s="10">
        <v>1849</v>
      </c>
      <c r="M125" s="10">
        <v>419650</v>
      </c>
      <c r="N125" s="10">
        <v>4929</v>
      </c>
      <c r="O125">
        <v>-0.53221692899654927</v>
      </c>
      <c r="P125">
        <v>1.0087285179399492</v>
      </c>
      <c r="Q125">
        <v>-0.30380532046418046</v>
      </c>
      <c r="R125">
        <v>0.30380532046418046</v>
      </c>
      <c r="S125">
        <f t="shared" si="20"/>
        <v>1.2254747669465249</v>
      </c>
      <c r="T125" s="148">
        <f t="shared" si="15"/>
        <v>1.2389975717210031</v>
      </c>
      <c r="U125">
        <f t="shared" si="21"/>
        <v>2.3226832482865039</v>
      </c>
      <c r="V125" s="55">
        <f t="shared" si="16"/>
        <v>2.3240404239337025</v>
      </c>
      <c r="W125">
        <f t="shared" si="22"/>
        <v>0.51385518875113723</v>
      </c>
      <c r="X125" s="55">
        <f t="shared" si="17"/>
        <v>0.51496166412965227</v>
      </c>
      <c r="Y125" s="149">
        <v>10.6488947</v>
      </c>
      <c r="Z125" s="55">
        <f t="shared" si="13"/>
        <v>4.3690611260814071E-3</v>
      </c>
      <c r="AA125" s="55">
        <f t="shared" si="18"/>
        <v>4.3889122692163975E-3</v>
      </c>
      <c r="AB125" s="55">
        <f t="shared" si="14"/>
        <v>-5.4332071382474894</v>
      </c>
      <c r="AC125" s="55">
        <f t="shared" si="19"/>
        <v>-5.4287125744678635</v>
      </c>
      <c r="AD125" s="55"/>
      <c r="AE125" s="55"/>
      <c r="AF125" s="55"/>
      <c r="AG125" s="55"/>
      <c r="AH125" s="55"/>
    </row>
    <row r="126" spans="1:34" ht="15.75">
      <c r="A126" s="39">
        <v>10.365315799999999</v>
      </c>
      <c r="B126" s="39">
        <v>10.6648421</v>
      </c>
      <c r="C126" s="39">
        <v>124</v>
      </c>
      <c r="D126">
        <v>124</v>
      </c>
      <c r="E126" s="10">
        <v>1410380</v>
      </c>
      <c r="F126" s="10">
        <v>1135790</v>
      </c>
      <c r="G126" s="10">
        <v>20816</v>
      </c>
      <c r="H126" s="10">
        <v>42039</v>
      </c>
      <c r="I126" s="10">
        <v>9771</v>
      </c>
      <c r="J126" s="10">
        <v>34843</v>
      </c>
      <c r="K126">
        <v>124</v>
      </c>
      <c r="L126" s="10">
        <v>1527</v>
      </c>
      <c r="M126" s="10">
        <v>425914</v>
      </c>
      <c r="N126" s="10">
        <v>4946</v>
      </c>
      <c r="O126">
        <v>-0.55217652763646996</v>
      </c>
      <c r="P126">
        <v>1.0056695390517769</v>
      </c>
      <c r="Q126">
        <v>-0.30525509750959656</v>
      </c>
      <c r="R126">
        <v>0.30525509750959662</v>
      </c>
      <c r="S126">
        <f t="shared" si="20"/>
        <v>1.2714334412369506</v>
      </c>
      <c r="T126" s="148">
        <f t="shared" si="15"/>
        <v>1.2435343898643465</v>
      </c>
      <c r="U126">
        <f t="shared" si="21"/>
        <v>2.3156396890988149</v>
      </c>
      <c r="V126" s="55">
        <f t="shared" si="16"/>
        <v>2.3228070190655958</v>
      </c>
      <c r="W126">
        <f t="shared" si="22"/>
        <v>0.51513033442900713</v>
      </c>
      <c r="X126" s="55">
        <f t="shared" si="17"/>
        <v>0.51298530480875748</v>
      </c>
      <c r="Y126" s="149">
        <v>10.6648421</v>
      </c>
      <c r="Z126" s="55">
        <f t="shared" si="13"/>
        <v>4.3546782415763473E-3</v>
      </c>
      <c r="AA126" s="55">
        <f t="shared" si="18"/>
        <v>4.3721113686748291E-3</v>
      </c>
      <c r="AB126" s="55">
        <f t="shared" si="14"/>
        <v>-5.4365045539383834</v>
      </c>
      <c r="AC126" s="55">
        <f t="shared" si="19"/>
        <v>-5.4325156207035015</v>
      </c>
      <c r="AD126" s="55"/>
      <c r="AE126" s="55"/>
      <c r="AF126" s="55"/>
      <c r="AG126" s="55"/>
      <c r="AH126" s="55"/>
    </row>
    <row r="127" spans="1:34" ht="15.75">
      <c r="A127" s="39">
        <v>10.380754400000001</v>
      </c>
      <c r="B127" s="39">
        <v>10.680789499999999</v>
      </c>
      <c r="C127" s="39">
        <v>125</v>
      </c>
      <c r="D127">
        <v>125</v>
      </c>
      <c r="E127" s="10">
        <v>1408690</v>
      </c>
      <c r="F127" s="10">
        <v>1139190</v>
      </c>
      <c r="G127" s="10">
        <v>20588</v>
      </c>
      <c r="H127" s="10">
        <v>41183</v>
      </c>
      <c r="I127" s="10">
        <v>9984</v>
      </c>
      <c r="J127" s="10">
        <v>34284</v>
      </c>
      <c r="K127">
        <v>125</v>
      </c>
      <c r="L127" s="10">
        <v>1822</v>
      </c>
      <c r="M127" s="10">
        <v>423318</v>
      </c>
      <c r="N127" s="10">
        <v>5004</v>
      </c>
      <c r="O127">
        <v>-0.53578691409201906</v>
      </c>
      <c r="P127">
        <v>1.0119487557272633</v>
      </c>
      <c r="Q127">
        <v>-0.30110382029469895</v>
      </c>
      <c r="R127">
        <v>0.30110382029469901</v>
      </c>
      <c r="S127">
        <f t="shared" si="20"/>
        <v>1.2336949614095645</v>
      </c>
      <c r="T127" s="148">
        <f t="shared" si="15"/>
        <v>1.2448251757798869</v>
      </c>
      <c r="U127">
        <f t="shared" si="21"/>
        <v>2.3300981198114692</v>
      </c>
      <c r="V127" s="55">
        <f t="shared" si="16"/>
        <v>2.3303175880674587</v>
      </c>
      <c r="W127">
        <f t="shared" si="22"/>
        <v>0.5099703912461282</v>
      </c>
      <c r="X127" s="55">
        <f t="shared" si="17"/>
        <v>0.52457377693204255</v>
      </c>
      <c r="Y127" s="149">
        <v>10.680789499999999</v>
      </c>
      <c r="Z127" s="55">
        <f t="shared" si="13"/>
        <v>4.3925947383667346E-3</v>
      </c>
      <c r="AA127" s="55">
        <f t="shared" si="18"/>
        <v>4.3782479518951409E-3</v>
      </c>
      <c r="AB127" s="55">
        <f t="shared" si="14"/>
        <v>-5.4278351699246317</v>
      </c>
      <c r="AC127" s="55">
        <f t="shared" si="19"/>
        <v>-5.4311140173608807</v>
      </c>
      <c r="AD127" s="55"/>
      <c r="AE127" s="55"/>
      <c r="AF127" s="55"/>
      <c r="AG127" s="55"/>
      <c r="AH127" s="55"/>
    </row>
    <row r="128" spans="1:34" ht="15.75">
      <c r="A128" s="39">
        <v>10.396193</v>
      </c>
      <c r="B128" s="39">
        <v>10.6967368</v>
      </c>
      <c r="C128" s="39">
        <v>126</v>
      </c>
      <c r="D128">
        <v>126</v>
      </c>
      <c r="E128" s="10">
        <v>1410510</v>
      </c>
      <c r="F128" s="10">
        <v>1141660</v>
      </c>
      <c r="G128" s="10">
        <v>19923</v>
      </c>
      <c r="H128" s="10">
        <v>41103</v>
      </c>
      <c r="I128" s="10">
        <v>10086</v>
      </c>
      <c r="J128" s="10">
        <v>34484</v>
      </c>
      <c r="K128">
        <v>126</v>
      </c>
      <c r="L128" s="10">
        <v>1688</v>
      </c>
      <c r="M128" s="10">
        <v>428931</v>
      </c>
      <c r="N128" s="10">
        <v>5009</v>
      </c>
      <c r="O128">
        <v>-0.53389867259786172</v>
      </c>
      <c r="P128">
        <v>1.0185139139603367</v>
      </c>
      <c r="Q128">
        <v>-0.31451878608781897</v>
      </c>
      <c r="R128">
        <v>0.31451878608781902</v>
      </c>
      <c r="S128">
        <f t="shared" si="20"/>
        <v>1.2293471246931451</v>
      </c>
      <c r="T128" s="148">
        <f t="shared" si="15"/>
        <v>1.2454724447369439</v>
      </c>
      <c r="U128">
        <f t="shared" si="21"/>
        <v>2.3452149552920916</v>
      </c>
      <c r="V128" s="55">
        <f t="shared" si="16"/>
        <v>2.3449308462914566</v>
      </c>
      <c r="W128">
        <f t="shared" si="22"/>
        <v>0.54862060512099231</v>
      </c>
      <c r="X128" s="55">
        <f t="shared" si="17"/>
        <v>0.53849190643863964</v>
      </c>
      <c r="Y128" s="149">
        <v>10.6967368</v>
      </c>
      <c r="Z128" s="55">
        <f t="shared" si="13"/>
        <v>4.3874708757423398E-3</v>
      </c>
      <c r="AA128" s="55">
        <f t="shared" si="18"/>
        <v>4.4038775831673326E-3</v>
      </c>
      <c r="AB128" s="55">
        <f t="shared" si="14"/>
        <v>-5.429002328219628</v>
      </c>
      <c r="AC128" s="55">
        <f t="shared" si="19"/>
        <v>-5.4252798334860843</v>
      </c>
      <c r="AD128" s="55"/>
      <c r="AE128" s="55"/>
      <c r="AF128" s="55"/>
      <c r="AG128" s="55"/>
      <c r="AH128" s="55"/>
    </row>
    <row r="129" spans="1:34" ht="15.75">
      <c r="A129" s="39">
        <v>10.4116316</v>
      </c>
      <c r="B129" s="39">
        <v>10.7126842</v>
      </c>
      <c r="C129" s="39">
        <v>127</v>
      </c>
      <c r="D129">
        <v>127</v>
      </c>
      <c r="E129" s="10">
        <v>1408260</v>
      </c>
      <c r="F129" s="10">
        <v>1140680</v>
      </c>
      <c r="G129" s="10">
        <v>19590</v>
      </c>
      <c r="H129" s="10">
        <v>40508</v>
      </c>
      <c r="I129" s="10">
        <v>9569</v>
      </c>
      <c r="J129" s="10">
        <v>34189</v>
      </c>
      <c r="K129">
        <v>127</v>
      </c>
      <c r="L129" s="10">
        <v>1668</v>
      </c>
      <c r="M129" s="10">
        <v>428795</v>
      </c>
      <c r="N129" s="10">
        <v>5055</v>
      </c>
      <c r="O129">
        <v>-0.55301984364554158</v>
      </c>
      <c r="P129">
        <v>1.0247089112797059</v>
      </c>
      <c r="Q129">
        <v>-0.31550636531262727</v>
      </c>
      <c r="R129">
        <v>0.31550636531262732</v>
      </c>
      <c r="S129">
        <f t="shared" si="20"/>
        <v>1.273375248108122</v>
      </c>
      <c r="T129" s="148">
        <f t="shared" si="15"/>
        <v>1.2457953196968157</v>
      </c>
      <c r="U129">
        <f t="shared" si="21"/>
        <v>2.3594794637708087</v>
      </c>
      <c r="V129" s="55">
        <f t="shared" si="16"/>
        <v>2.3550859018220436</v>
      </c>
      <c r="W129">
        <f t="shared" si="22"/>
        <v>0.55688472294879843</v>
      </c>
      <c r="X129" s="55">
        <f t="shared" si="17"/>
        <v>0.5590644466740472</v>
      </c>
      <c r="Y129" s="149">
        <v>10.7126842</v>
      </c>
      <c r="Z129" s="55">
        <f t="shared" si="13"/>
        <v>4.4315671353929234E-3</v>
      </c>
      <c r="AA129" s="55">
        <f t="shared" si="18"/>
        <v>4.4221527887883449E-3</v>
      </c>
      <c r="AB129" s="55">
        <f t="shared" si="14"/>
        <v>-5.4190020023139969</v>
      </c>
      <c r="AC129" s="55">
        <f t="shared" si="19"/>
        <v>-5.4211451256266558</v>
      </c>
      <c r="AD129" s="55"/>
      <c r="AE129" s="55"/>
      <c r="AF129" s="55"/>
      <c r="AG129" s="55"/>
      <c r="AH129" s="55"/>
    </row>
    <row r="130" spans="1:34" ht="15.75">
      <c r="A130" s="39">
        <v>10.427070199999999</v>
      </c>
      <c r="B130" s="39">
        <v>10.7286316</v>
      </c>
      <c r="C130" s="39">
        <v>128</v>
      </c>
      <c r="D130">
        <v>128</v>
      </c>
      <c r="E130" s="10">
        <v>1396100</v>
      </c>
      <c r="F130" s="10">
        <v>1135040</v>
      </c>
      <c r="G130" s="10">
        <v>19196</v>
      </c>
      <c r="H130" s="10">
        <v>40245</v>
      </c>
      <c r="I130" s="10">
        <v>9892</v>
      </c>
      <c r="J130" s="10">
        <v>34001</v>
      </c>
      <c r="K130">
        <v>128</v>
      </c>
      <c r="L130" s="10">
        <v>1834</v>
      </c>
      <c r="M130" s="10">
        <v>426473</v>
      </c>
      <c r="N130" s="10">
        <v>5048</v>
      </c>
      <c r="O130">
        <v>-0.5362075825322703</v>
      </c>
      <c r="P130">
        <v>1.0251796094683285</v>
      </c>
      <c r="Q130">
        <v>-0.32150119046723646</v>
      </c>
      <c r="R130">
        <v>0.32150119046723646</v>
      </c>
      <c r="S130">
        <f t="shared" si="20"/>
        <v>1.2346635862891799</v>
      </c>
      <c r="T130" s="148">
        <f t="shared" si="15"/>
        <v>1.2725745730863609</v>
      </c>
      <c r="U130">
        <f t="shared" si="21"/>
        <v>2.3605632864032309</v>
      </c>
      <c r="V130" s="55">
        <f t="shared" si="16"/>
        <v>2.3528450808429047</v>
      </c>
      <c r="W130">
        <f t="shared" si="22"/>
        <v>0.57168801195235075</v>
      </c>
      <c r="X130" s="55">
        <f t="shared" si="17"/>
        <v>0.5758760153200605</v>
      </c>
      <c r="Y130" s="149">
        <v>10.7286316</v>
      </c>
      <c r="Z130" s="55">
        <f t="shared" si="13"/>
        <v>4.4474203552297715E-3</v>
      </c>
      <c r="AA130" s="55">
        <f t="shared" si="18"/>
        <v>4.4031640600720881E-3</v>
      </c>
      <c r="AB130" s="55">
        <f t="shared" si="14"/>
        <v>-5.4154310463463453</v>
      </c>
      <c r="AC130" s="55">
        <f t="shared" si="19"/>
        <v>-5.425501411977379</v>
      </c>
      <c r="AD130" s="55"/>
      <c r="AE130" s="55"/>
      <c r="AF130" s="55"/>
      <c r="AG130" s="55"/>
      <c r="AH130" s="55"/>
    </row>
    <row r="131" spans="1:34" ht="15.75">
      <c r="A131" s="39">
        <v>10.442508800000001</v>
      </c>
      <c r="B131" s="39">
        <v>10.744579</v>
      </c>
      <c r="C131" s="39">
        <v>129</v>
      </c>
      <c r="D131">
        <v>129</v>
      </c>
      <c r="E131" s="10">
        <v>1378410</v>
      </c>
      <c r="F131" s="10">
        <v>1119500</v>
      </c>
      <c r="G131" s="10">
        <v>18580</v>
      </c>
      <c r="H131" s="10">
        <v>40539</v>
      </c>
      <c r="I131" s="10">
        <v>9129</v>
      </c>
      <c r="J131" s="10">
        <v>33823</v>
      </c>
      <c r="K131">
        <v>129</v>
      </c>
      <c r="L131" s="10">
        <v>1619</v>
      </c>
      <c r="M131" s="10">
        <v>420211</v>
      </c>
      <c r="N131" s="10">
        <v>4848</v>
      </c>
      <c r="O131">
        <v>-0.5687889185275673</v>
      </c>
      <c r="P131">
        <v>1.0155943854018175</v>
      </c>
      <c r="Q131">
        <v>-0.33882732182718239</v>
      </c>
      <c r="R131">
        <v>0.33882732182718239</v>
      </c>
      <c r="S131">
        <f t="shared" si="20"/>
        <v>1.309684884861781</v>
      </c>
      <c r="T131" s="148">
        <f t="shared" si="15"/>
        <v>1.2692017402869864</v>
      </c>
      <c r="U131">
        <f t="shared" si="21"/>
        <v>2.3384924923546744</v>
      </c>
      <c r="V131" s="55">
        <f t="shared" si="16"/>
        <v>2.3513100579615833</v>
      </c>
      <c r="W131">
        <f t="shared" si="22"/>
        <v>0.59905531105903231</v>
      </c>
      <c r="X131" s="55">
        <f t="shared" si="17"/>
        <v>0.58833721391892935</v>
      </c>
      <c r="Y131" s="149">
        <v>10.744579</v>
      </c>
      <c r="Z131" s="55">
        <f t="shared" ref="Z131:Z194" si="23">N131/F131</f>
        <v>4.3305046895935687E-3</v>
      </c>
      <c r="AA131" s="55">
        <f t="shared" si="18"/>
        <v>4.4109491159796494E-3</v>
      </c>
      <c r="AB131" s="55">
        <f t="shared" ref="AB131:AB194" si="24">LN(Z131)</f>
        <v>-5.4420711872717957</v>
      </c>
      <c r="AC131" s="55">
        <f t="shared" si="19"/>
        <v>-5.4237492974025612</v>
      </c>
      <c r="AD131" s="55"/>
      <c r="AE131" s="55"/>
      <c r="AF131" s="55"/>
      <c r="AG131" s="55"/>
      <c r="AH131" s="55"/>
    </row>
    <row r="132" spans="1:34" ht="15.75">
      <c r="A132" s="39">
        <v>10.4579474</v>
      </c>
      <c r="B132" s="39">
        <v>10.7605263</v>
      </c>
      <c r="C132" s="39">
        <v>130</v>
      </c>
      <c r="D132">
        <v>130</v>
      </c>
      <c r="E132" s="10">
        <v>1362527.5</v>
      </c>
      <c r="F132" s="10">
        <v>1106566.25</v>
      </c>
      <c r="G132" s="10">
        <v>18285.125</v>
      </c>
      <c r="H132" s="10">
        <v>39626.875</v>
      </c>
      <c r="I132" s="10">
        <v>9366.125</v>
      </c>
      <c r="J132" s="10">
        <v>33127.25</v>
      </c>
      <c r="K132">
        <v>130</v>
      </c>
      <c r="L132" s="10">
        <v>1605.666667</v>
      </c>
      <c r="M132" s="10">
        <v>417540.6667</v>
      </c>
      <c r="N132" s="10">
        <v>4929.6666670000004</v>
      </c>
      <c r="O132">
        <v>-0.54862543562608934</v>
      </c>
      <c r="P132">
        <v>1.0227089553788464</v>
      </c>
      <c r="Q132">
        <v>-0.33589189136187325</v>
      </c>
      <c r="R132">
        <v>0.33589189136187325</v>
      </c>
      <c r="S132">
        <f t="shared" si="20"/>
        <v>1.2632567497099978</v>
      </c>
      <c r="T132" s="148">
        <f t="shared" ref="T132:T195" si="25">AVERAGE(S131:S133)</f>
        <v>1.2801666976565063</v>
      </c>
      <c r="U132">
        <f t="shared" si="21"/>
        <v>2.3548743951268443</v>
      </c>
      <c r="V132" s="55">
        <f t="shared" ref="V132:V195" si="26">AVERAGE(U131:U133)</f>
        <v>2.3419087621526451</v>
      </c>
      <c r="W132">
        <f t="shared" si="22"/>
        <v>0.59426831874540487</v>
      </c>
      <c r="X132" s="55">
        <f t="shared" ref="X132:X195" si="27">AVERAGE(W131:W133)</f>
        <v>0.59786969160878767</v>
      </c>
      <c r="Y132" s="149">
        <v>10.7605263</v>
      </c>
      <c r="Z132" s="55">
        <f t="shared" si="23"/>
        <v>4.4549223031156064E-3</v>
      </c>
      <c r="AA132" s="55">
        <f t="shared" ref="AA132:AA195" si="28">AVERAGE(Z131:Z133)</f>
        <v>4.4809685830396922E-3</v>
      </c>
      <c r="AB132" s="55">
        <f t="shared" si="24"/>
        <v>-5.4137456585895398</v>
      </c>
      <c r="AC132" s="55">
        <f t="shared" ref="AC132:AC195" si="29">AVERAGE(AB131:AB133)</f>
        <v>-5.4083659541725204</v>
      </c>
      <c r="AD132" s="55"/>
      <c r="AE132" s="55"/>
      <c r="AF132" s="55"/>
      <c r="AG132" s="55"/>
      <c r="AH132" s="55"/>
    </row>
    <row r="133" spans="1:34" ht="15.75">
      <c r="A133" s="39">
        <v>10.473386</v>
      </c>
      <c r="B133" s="39">
        <v>10.7764737</v>
      </c>
      <c r="C133" s="39">
        <v>131</v>
      </c>
      <c r="D133">
        <v>131</v>
      </c>
      <c r="E133" s="10">
        <v>1330950</v>
      </c>
      <c r="F133" s="10">
        <v>1086210</v>
      </c>
      <c r="G133" s="10">
        <v>17969</v>
      </c>
      <c r="H133" s="10">
        <v>38740</v>
      </c>
      <c r="I133" s="10">
        <v>9220</v>
      </c>
      <c r="J133" s="10">
        <v>32751</v>
      </c>
      <c r="K133">
        <v>131</v>
      </c>
      <c r="L133" s="10">
        <v>1431</v>
      </c>
      <c r="M133" s="10">
        <v>399108</v>
      </c>
      <c r="N133" s="10">
        <v>5059</v>
      </c>
      <c r="O133">
        <v>-0.55049364397193101</v>
      </c>
      <c r="P133">
        <v>1.0129308167906426</v>
      </c>
      <c r="Q133">
        <v>-0.33363570769739181</v>
      </c>
      <c r="R133">
        <v>0.33363570769739176</v>
      </c>
      <c r="S133">
        <f t="shared" si="20"/>
        <v>1.2675584583977397</v>
      </c>
      <c r="T133" s="148">
        <f t="shared" si="25"/>
        <v>1.2660874231639978</v>
      </c>
      <c r="U133">
        <f t="shared" si="21"/>
        <v>2.3323593989764162</v>
      </c>
      <c r="V133" s="55">
        <f t="shared" si="26"/>
        <v>2.3495788822762624</v>
      </c>
      <c r="W133">
        <f t="shared" si="22"/>
        <v>0.6002854450219256</v>
      </c>
      <c r="X133" s="55">
        <f t="shared" si="27"/>
        <v>0.59836045434410556</v>
      </c>
      <c r="Y133" s="149">
        <v>10.7764737</v>
      </c>
      <c r="Z133" s="55">
        <f t="shared" si="23"/>
        <v>4.6574787564099022E-3</v>
      </c>
      <c r="AA133" s="55">
        <f t="shared" si="28"/>
        <v>4.4550648931359115E-3</v>
      </c>
      <c r="AB133" s="55">
        <f t="shared" si="24"/>
        <v>-5.3692810166562266</v>
      </c>
      <c r="AC133" s="55">
        <f t="shared" si="29"/>
        <v>-5.414401954969347</v>
      </c>
      <c r="AD133" s="55"/>
      <c r="AE133" s="55"/>
      <c r="AF133" s="55"/>
      <c r="AG133" s="55"/>
      <c r="AH133" s="55"/>
    </row>
    <row r="134" spans="1:34" ht="15.75">
      <c r="A134" s="39">
        <v>10.488824599999999</v>
      </c>
      <c r="B134" s="39">
        <v>10.7924211</v>
      </c>
      <c r="C134" s="39">
        <v>132</v>
      </c>
      <c r="D134">
        <v>132</v>
      </c>
      <c r="E134" s="10">
        <v>1322030</v>
      </c>
      <c r="F134" s="10">
        <v>1078350</v>
      </c>
      <c r="G134" s="10">
        <v>17686</v>
      </c>
      <c r="H134" s="10">
        <v>38052</v>
      </c>
      <c r="I134" s="10">
        <v>9078</v>
      </c>
      <c r="J134" s="10">
        <v>32243</v>
      </c>
      <c r="K134">
        <v>132</v>
      </c>
      <c r="L134" s="10">
        <v>1697</v>
      </c>
      <c r="M134" s="10">
        <v>403613</v>
      </c>
      <c r="N134" s="10">
        <v>4586</v>
      </c>
      <c r="O134">
        <v>-0.5504452648636744</v>
      </c>
      <c r="P134">
        <v>1.0255876579374843</v>
      </c>
      <c r="Q134">
        <v>-0.33274786739559964</v>
      </c>
      <c r="R134">
        <v>0.33274786739559964</v>
      </c>
      <c r="S134">
        <f t="shared" si="20"/>
        <v>1.2674470613842559</v>
      </c>
      <c r="T134" s="148">
        <f t="shared" si="25"/>
        <v>1.2547545957189685</v>
      </c>
      <c r="U134">
        <f t="shared" si="21"/>
        <v>2.3615028527255277</v>
      </c>
      <c r="V134" s="55">
        <f t="shared" si="26"/>
        <v>2.3588376409950853</v>
      </c>
      <c r="W134">
        <f t="shared" si="22"/>
        <v>0.60052759926498633</v>
      </c>
      <c r="X134" s="55">
        <f t="shared" si="27"/>
        <v>0.60440168519617077</v>
      </c>
      <c r="Y134" s="149">
        <v>10.7924211</v>
      </c>
      <c r="Z134" s="55">
        <f t="shared" si="23"/>
        <v>4.2527936198822275E-3</v>
      </c>
      <c r="AA134" s="55">
        <f t="shared" si="28"/>
        <v>4.3800503487643515E-3</v>
      </c>
      <c r="AB134" s="55">
        <f t="shared" si="24"/>
        <v>-5.4601791896622771</v>
      </c>
      <c r="AC134" s="55">
        <f t="shared" si="29"/>
        <v>-5.4316807252895787</v>
      </c>
      <c r="AD134" s="55"/>
      <c r="AE134" s="55"/>
      <c r="AF134" s="55"/>
      <c r="AG134" s="55"/>
      <c r="AH134" s="55"/>
    </row>
    <row r="135" spans="1:34" ht="15.75">
      <c r="A135" s="39">
        <v>10.5042632</v>
      </c>
      <c r="B135" s="39">
        <v>10.808368400000001</v>
      </c>
      <c r="C135" s="39">
        <v>133</v>
      </c>
      <c r="D135">
        <v>133</v>
      </c>
      <c r="E135" s="10">
        <v>1309800</v>
      </c>
      <c r="F135" s="10">
        <v>1079700</v>
      </c>
      <c r="G135" s="10">
        <v>16615</v>
      </c>
      <c r="H135" s="10">
        <v>36997</v>
      </c>
      <c r="I135" s="10">
        <v>8966</v>
      </c>
      <c r="J135" s="10">
        <v>30652</v>
      </c>
      <c r="K135">
        <v>133</v>
      </c>
      <c r="L135" s="10">
        <v>1529</v>
      </c>
      <c r="M135" s="10">
        <v>400810</v>
      </c>
      <c r="N135" s="10">
        <v>4567</v>
      </c>
      <c r="O135">
        <v>-0.53386008235487559</v>
      </c>
      <c r="P135">
        <v>1.0347720388414212</v>
      </c>
      <c r="Q135">
        <v>-0.347666163958531</v>
      </c>
      <c r="R135">
        <v>0.34766616395853095</v>
      </c>
      <c r="S135">
        <f t="shared" si="20"/>
        <v>1.2292582673749102</v>
      </c>
      <c r="T135" s="148">
        <f t="shared" si="25"/>
        <v>1.2412336664886443</v>
      </c>
      <c r="U135">
        <f t="shared" si="21"/>
        <v>2.382650671283312</v>
      </c>
      <c r="V135" s="55">
        <f t="shared" si="26"/>
        <v>2.3637433994881731</v>
      </c>
      <c r="W135">
        <f t="shared" si="22"/>
        <v>0.61239201130160026</v>
      </c>
      <c r="X135" s="55">
        <f t="shared" si="27"/>
        <v>0.61823950410686035</v>
      </c>
      <c r="Y135" s="149">
        <v>10.808368400000001</v>
      </c>
      <c r="Z135" s="55">
        <f t="shared" si="23"/>
        <v>4.2298786700009266E-3</v>
      </c>
      <c r="AA135" s="55">
        <f t="shared" si="28"/>
        <v>4.2519048887462874E-3</v>
      </c>
      <c r="AB135" s="55">
        <f t="shared" si="24"/>
        <v>-5.4655819695502323</v>
      </c>
      <c r="AC135" s="55">
        <f t="shared" si="29"/>
        <v>-5.4603967881148208</v>
      </c>
      <c r="AD135" s="55"/>
      <c r="AE135" s="55"/>
      <c r="AF135" s="55"/>
      <c r="AG135" s="55"/>
      <c r="AH135" s="55"/>
    </row>
    <row r="136" spans="1:34" ht="15.75">
      <c r="A136" s="39">
        <v>10.5197018</v>
      </c>
      <c r="B136" s="39">
        <v>10.824315800000001</v>
      </c>
      <c r="C136" s="39">
        <v>134</v>
      </c>
      <c r="D136">
        <v>134</v>
      </c>
      <c r="E136" s="10">
        <v>1312720</v>
      </c>
      <c r="F136" s="10">
        <v>1073240</v>
      </c>
      <c r="G136" s="10">
        <v>16273</v>
      </c>
      <c r="H136" s="10">
        <v>37779</v>
      </c>
      <c r="I136" s="10">
        <v>9064</v>
      </c>
      <c r="J136" s="10">
        <v>30917</v>
      </c>
      <c r="K136">
        <v>134</v>
      </c>
      <c r="L136" s="10">
        <v>1709</v>
      </c>
      <c r="M136" s="10">
        <v>394978</v>
      </c>
      <c r="N136" s="10">
        <v>4586</v>
      </c>
      <c r="O136">
        <v>-0.53287744910712831</v>
      </c>
      <c r="P136">
        <v>1.0193224483199368</v>
      </c>
      <c r="Q136">
        <v>-0.36578283364032871</v>
      </c>
      <c r="R136">
        <v>0.36578283364032871</v>
      </c>
      <c r="S136">
        <f t="shared" si="20"/>
        <v>1.2269956707067668</v>
      </c>
      <c r="T136" s="148">
        <f t="shared" si="25"/>
        <v>1.2120765133791129</v>
      </c>
      <c r="U136">
        <f t="shared" si="21"/>
        <v>2.3470766744556801</v>
      </c>
      <c r="V136" s="55">
        <f t="shared" si="26"/>
        <v>2.365586278165428</v>
      </c>
      <c r="W136">
        <f t="shared" si="22"/>
        <v>0.64179890175399479</v>
      </c>
      <c r="X136" s="55">
        <f t="shared" si="27"/>
        <v>0.63322607230675498</v>
      </c>
      <c r="Y136" s="149">
        <v>10.824315800000001</v>
      </c>
      <c r="Z136" s="55">
        <f t="shared" si="23"/>
        <v>4.2730423763557082E-3</v>
      </c>
      <c r="AA136" s="55">
        <f t="shared" si="28"/>
        <v>4.2612960035280567E-3</v>
      </c>
      <c r="AB136" s="55">
        <f t="shared" si="24"/>
        <v>-5.4554292051319546</v>
      </c>
      <c r="AC136" s="55">
        <f t="shared" si="29"/>
        <v>-5.4581958477889048</v>
      </c>
      <c r="AD136" s="55"/>
      <c r="AE136" s="55"/>
      <c r="AF136" s="55"/>
      <c r="AG136" s="55"/>
      <c r="AH136" s="55"/>
    </row>
    <row r="137" spans="1:34" ht="15.75">
      <c r="A137" s="39">
        <v>10.5351404</v>
      </c>
      <c r="B137" s="39">
        <v>10.840263200000001</v>
      </c>
      <c r="C137" s="39">
        <v>135</v>
      </c>
      <c r="D137">
        <v>135</v>
      </c>
      <c r="E137" s="10">
        <v>1317460</v>
      </c>
      <c r="F137" s="10">
        <v>1074290</v>
      </c>
      <c r="G137" s="10">
        <v>16093</v>
      </c>
      <c r="H137" s="10">
        <v>37315</v>
      </c>
      <c r="I137" s="10">
        <v>9430</v>
      </c>
      <c r="J137" s="10">
        <v>30688</v>
      </c>
      <c r="K137">
        <v>135</v>
      </c>
      <c r="L137" s="10">
        <v>1990</v>
      </c>
      <c r="M137" s="10">
        <v>397990</v>
      </c>
      <c r="N137" s="10">
        <v>4599</v>
      </c>
      <c r="O137">
        <v>-0.51245689275324124</v>
      </c>
      <c r="P137">
        <v>1.0279887140585311</v>
      </c>
      <c r="Q137">
        <v>-0.36524643467287821</v>
      </c>
      <c r="R137">
        <v>0.36524643467287821</v>
      </c>
      <c r="S137">
        <f t="shared" si="20"/>
        <v>1.1799756020556615</v>
      </c>
      <c r="T137" s="148">
        <f t="shared" si="25"/>
        <v>1.1704362251055442</v>
      </c>
      <c r="U137">
        <f t="shared" si="21"/>
        <v>2.3670314887572923</v>
      </c>
      <c r="V137" s="55">
        <f t="shared" si="26"/>
        <v>2.3623871485264676</v>
      </c>
      <c r="W137">
        <f t="shared" si="22"/>
        <v>0.64548730386467001</v>
      </c>
      <c r="X137" s="55">
        <f t="shared" si="27"/>
        <v>0.63186715022063744</v>
      </c>
      <c r="Y137" s="149">
        <v>10.840263200000001</v>
      </c>
      <c r="Z137" s="55">
        <f t="shared" si="23"/>
        <v>4.2809669642275361E-3</v>
      </c>
      <c r="AA137" s="55">
        <f t="shared" si="28"/>
        <v>4.2755561906616902E-3</v>
      </c>
      <c r="AB137" s="55">
        <f t="shared" si="24"/>
        <v>-5.45357636868453</v>
      </c>
      <c r="AC137" s="55">
        <f t="shared" si="29"/>
        <v>-5.4548414828597531</v>
      </c>
      <c r="AD137" s="55"/>
      <c r="AE137" s="55"/>
      <c r="AF137" s="55"/>
      <c r="AG137" s="55"/>
      <c r="AH137" s="55"/>
    </row>
    <row r="138" spans="1:34" ht="15.75">
      <c r="A138" s="39">
        <v>10.550579000000001</v>
      </c>
      <c r="B138" s="39">
        <v>10.8562105</v>
      </c>
      <c r="C138" s="39">
        <v>136</v>
      </c>
      <c r="D138">
        <v>136</v>
      </c>
      <c r="E138" s="10">
        <v>1323550</v>
      </c>
      <c r="F138" s="10">
        <v>1082230</v>
      </c>
      <c r="G138" s="10">
        <v>16875</v>
      </c>
      <c r="H138" s="10">
        <v>37659</v>
      </c>
      <c r="I138" s="10">
        <v>10276</v>
      </c>
      <c r="J138" s="10">
        <v>31005</v>
      </c>
      <c r="K138">
        <v>136</v>
      </c>
      <c r="L138" s="10">
        <v>1381</v>
      </c>
      <c r="M138" s="10">
        <v>404085</v>
      </c>
      <c r="N138" s="10">
        <v>4624</v>
      </c>
      <c r="O138">
        <v>-0.47960764008866091</v>
      </c>
      <c r="P138">
        <v>1.0306039457941401</v>
      </c>
      <c r="Q138">
        <v>-0.34862500204141789</v>
      </c>
      <c r="R138">
        <v>0.34862500204141789</v>
      </c>
      <c r="S138">
        <f t="shared" si="20"/>
        <v>1.1043374025542041</v>
      </c>
      <c r="T138" s="148">
        <f t="shared" si="25"/>
        <v>1.1775760240564048</v>
      </c>
      <c r="U138">
        <f t="shared" si="21"/>
        <v>2.3730532823664303</v>
      </c>
      <c r="V138" s="55">
        <f t="shared" si="26"/>
        <v>2.3597169066238357</v>
      </c>
      <c r="W138">
        <f t="shared" si="22"/>
        <v>0.60831524504324774</v>
      </c>
      <c r="X138" s="55">
        <f t="shared" si="27"/>
        <v>0.62439554812235032</v>
      </c>
      <c r="Y138" s="149">
        <v>10.8562105</v>
      </c>
      <c r="Z138" s="55">
        <f t="shared" si="23"/>
        <v>4.2726592314018281E-3</v>
      </c>
      <c r="AA138" s="55">
        <f t="shared" si="28"/>
        <v>4.2362692640362095E-3</v>
      </c>
      <c r="AB138" s="55">
        <f t="shared" si="24"/>
        <v>-5.4555188747627756</v>
      </c>
      <c r="AC138" s="55">
        <f t="shared" si="29"/>
        <v>-5.4641647965155267</v>
      </c>
      <c r="AD138" s="55"/>
      <c r="AE138" s="55"/>
      <c r="AF138" s="55"/>
      <c r="AG138" s="55"/>
      <c r="AH138" s="55"/>
    </row>
    <row r="139" spans="1:34" ht="15.75">
      <c r="A139" s="39">
        <v>10.566017499999999</v>
      </c>
      <c r="B139" s="39">
        <v>10.872157899999999</v>
      </c>
      <c r="C139" s="39">
        <v>137</v>
      </c>
      <c r="D139">
        <v>137</v>
      </c>
      <c r="E139" s="10">
        <v>1313240</v>
      </c>
      <c r="F139" s="10">
        <v>1070230</v>
      </c>
      <c r="G139" s="10">
        <v>17171</v>
      </c>
      <c r="H139" s="10">
        <v>38453</v>
      </c>
      <c r="I139" s="10">
        <v>9154</v>
      </c>
      <c r="J139" s="10">
        <v>31900</v>
      </c>
      <c r="K139">
        <v>137</v>
      </c>
      <c r="L139" s="10">
        <v>1813</v>
      </c>
      <c r="M139" s="10">
        <v>398817</v>
      </c>
      <c r="N139" s="10">
        <v>4447</v>
      </c>
      <c r="O139">
        <v>-0.54217977496590031</v>
      </c>
      <c r="P139">
        <v>1.0158434343489573</v>
      </c>
      <c r="Q139">
        <v>-0.35013463973008818</v>
      </c>
      <c r="R139">
        <v>0.35013463973008818</v>
      </c>
      <c r="S139">
        <f t="shared" si="20"/>
        <v>1.2484150675593486</v>
      </c>
      <c r="T139" s="148">
        <f t="shared" si="25"/>
        <v>1.183678008068288</v>
      </c>
      <c r="U139">
        <f t="shared" si="21"/>
        <v>2.3390659487477845</v>
      </c>
      <c r="V139" s="55">
        <f t="shared" si="26"/>
        <v>2.3461360886926972</v>
      </c>
      <c r="W139">
        <f t="shared" si="22"/>
        <v>0.61938409545913342</v>
      </c>
      <c r="X139" s="55">
        <f t="shared" si="27"/>
        <v>0.60789309606568842</v>
      </c>
      <c r="Y139" s="149">
        <v>10.872157899999999</v>
      </c>
      <c r="Z139" s="55">
        <f t="shared" si="23"/>
        <v>4.1551815964792618E-3</v>
      </c>
      <c r="AA139" s="55">
        <f t="shared" si="28"/>
        <v>4.2036460385571723E-3</v>
      </c>
      <c r="AB139" s="55">
        <f t="shared" si="24"/>
        <v>-5.4833991460992761</v>
      </c>
      <c r="AC139" s="55">
        <f t="shared" si="29"/>
        <v>-5.4718737832519482</v>
      </c>
      <c r="AD139" s="55"/>
      <c r="AE139" s="55"/>
      <c r="AF139" s="55"/>
      <c r="AG139" s="55"/>
      <c r="AH139" s="55"/>
    </row>
    <row r="140" spans="1:34" ht="15.75">
      <c r="A140" s="39">
        <v>10.5814561</v>
      </c>
      <c r="B140" s="39">
        <v>10.888105299999999</v>
      </c>
      <c r="C140" s="39">
        <v>138</v>
      </c>
      <c r="D140">
        <v>138</v>
      </c>
      <c r="E140" s="10">
        <v>1318460</v>
      </c>
      <c r="F140" s="10">
        <v>1080300</v>
      </c>
      <c r="G140" s="10">
        <v>17571</v>
      </c>
      <c r="H140" s="10">
        <v>38800</v>
      </c>
      <c r="I140" s="10">
        <v>9621</v>
      </c>
      <c r="J140" s="10">
        <v>31888</v>
      </c>
      <c r="K140">
        <v>138</v>
      </c>
      <c r="L140" s="10">
        <v>1761</v>
      </c>
      <c r="M140" s="10">
        <v>397307</v>
      </c>
      <c r="N140" s="10">
        <v>4519</v>
      </c>
      <c r="O140">
        <v>-0.5204070667083095</v>
      </c>
      <c r="P140">
        <v>1.0102944911968523</v>
      </c>
      <c r="Q140">
        <v>-0.34403524684658476</v>
      </c>
      <c r="R140">
        <v>0.34403524684658482</v>
      </c>
      <c r="S140">
        <f t="shared" si="20"/>
        <v>1.1982815540913114</v>
      </c>
      <c r="T140" s="148">
        <f t="shared" si="25"/>
        <v>1.2219749804492699</v>
      </c>
      <c r="U140">
        <f t="shared" si="21"/>
        <v>2.3262890349638763</v>
      </c>
      <c r="V140" s="55">
        <f t="shared" si="26"/>
        <v>2.3481945738394647</v>
      </c>
      <c r="W140">
        <f t="shared" si="22"/>
        <v>0.59597994769468399</v>
      </c>
      <c r="X140" s="55">
        <f t="shared" si="27"/>
        <v>0.60353196483899862</v>
      </c>
      <c r="Y140" s="149">
        <v>10.888105299999999</v>
      </c>
      <c r="Z140" s="55">
        <f t="shared" si="23"/>
        <v>4.1830972877904288E-3</v>
      </c>
      <c r="AA140" s="55">
        <f t="shared" si="28"/>
        <v>4.1219534473304698E-3</v>
      </c>
      <c r="AB140" s="55">
        <f t="shared" si="24"/>
        <v>-5.4767033288937963</v>
      </c>
      <c r="AC140" s="55">
        <f t="shared" si="29"/>
        <v>-5.4915638975766035</v>
      </c>
      <c r="AD140" s="55"/>
      <c r="AE140" s="55"/>
      <c r="AF140" s="55"/>
      <c r="AG140" s="55"/>
      <c r="AH140" s="55"/>
    </row>
    <row r="141" spans="1:34" ht="15.75">
      <c r="A141" s="39">
        <v>10.5968947</v>
      </c>
      <c r="B141" s="39">
        <v>10.9040526</v>
      </c>
      <c r="C141" s="39">
        <v>139</v>
      </c>
      <c r="D141">
        <v>139</v>
      </c>
      <c r="E141" s="10">
        <v>1348130</v>
      </c>
      <c r="F141" s="10">
        <v>1103640</v>
      </c>
      <c r="G141" s="10">
        <v>17738</v>
      </c>
      <c r="H141" s="10">
        <v>38864</v>
      </c>
      <c r="I141" s="10">
        <v>9504</v>
      </c>
      <c r="J141" s="10">
        <v>32167</v>
      </c>
      <c r="K141">
        <v>139</v>
      </c>
      <c r="L141" s="10">
        <v>1666</v>
      </c>
      <c r="M141" s="10">
        <v>419598</v>
      </c>
      <c r="N141" s="10">
        <v>4445</v>
      </c>
      <c r="O141">
        <v>-0.52950413142464581</v>
      </c>
      <c r="P141">
        <v>1.033285912015103</v>
      </c>
      <c r="Q141">
        <v>-0.34064284689937596</v>
      </c>
      <c r="R141">
        <v>0.34064284689937596</v>
      </c>
      <c r="S141">
        <f t="shared" si="20"/>
        <v>1.2192283196971496</v>
      </c>
      <c r="T141" s="148">
        <f t="shared" si="25"/>
        <v>1.2206442864691078</v>
      </c>
      <c r="U141">
        <f t="shared" si="21"/>
        <v>2.3792287378067334</v>
      </c>
      <c r="V141" s="55">
        <f t="shared" si="26"/>
        <v>2.3465917805540619</v>
      </c>
      <c r="W141">
        <f t="shared" si="22"/>
        <v>0.59523185136317813</v>
      </c>
      <c r="X141" s="55">
        <f t="shared" si="27"/>
        <v>0.59416821113736973</v>
      </c>
      <c r="Y141" s="149">
        <v>10.9040526</v>
      </c>
      <c r="Z141" s="55">
        <f t="shared" si="23"/>
        <v>4.0275814577217205E-3</v>
      </c>
      <c r="AA141" s="55">
        <f t="shared" si="28"/>
        <v>4.090131958299755E-3</v>
      </c>
      <c r="AB141" s="55">
        <f t="shared" si="24"/>
        <v>-5.5145892177367388</v>
      </c>
      <c r="AC141" s="55">
        <f t="shared" si="29"/>
        <v>-5.4993115089970095</v>
      </c>
      <c r="AD141" s="55"/>
      <c r="AE141" s="55"/>
      <c r="AF141" s="55"/>
      <c r="AG141" s="55"/>
      <c r="AH141" s="55"/>
    </row>
    <row r="142" spans="1:34" ht="15.75">
      <c r="A142" s="39">
        <v>10.6123333</v>
      </c>
      <c r="B142" s="39">
        <v>10.92</v>
      </c>
      <c r="C142" s="39">
        <v>140</v>
      </c>
      <c r="D142">
        <v>140</v>
      </c>
      <c r="E142" s="10">
        <v>1351800</v>
      </c>
      <c r="F142" s="10">
        <v>1107220</v>
      </c>
      <c r="G142" s="10">
        <v>18443</v>
      </c>
      <c r="H142" s="10">
        <v>39401</v>
      </c>
      <c r="I142" s="10">
        <v>9598</v>
      </c>
      <c r="J142" s="10">
        <v>33314</v>
      </c>
      <c r="K142">
        <v>140</v>
      </c>
      <c r="L142" s="10">
        <v>1802</v>
      </c>
      <c r="M142" s="10">
        <v>406689</v>
      </c>
      <c r="N142" s="10">
        <v>4495</v>
      </c>
      <c r="O142">
        <v>-0.54044603580784167</v>
      </c>
      <c r="P142">
        <v>1.0137551815105112</v>
      </c>
      <c r="Q142">
        <v>-0.32967567813301973</v>
      </c>
      <c r="R142">
        <v>0.32967567813301973</v>
      </c>
      <c r="S142">
        <f t="shared" si="20"/>
        <v>1.2444229856188622</v>
      </c>
      <c r="T142" s="148">
        <f t="shared" si="25"/>
        <v>1.2076689547977422</v>
      </c>
      <c r="U142">
        <f t="shared" si="21"/>
        <v>2.3342575688915761</v>
      </c>
      <c r="V142" s="55">
        <f t="shared" si="26"/>
        <v>2.3410493459897515</v>
      </c>
      <c r="W142">
        <f t="shared" si="22"/>
        <v>0.59129283435424718</v>
      </c>
      <c r="X142" s="55">
        <f t="shared" si="27"/>
        <v>0.58928283961416206</v>
      </c>
      <c r="Y142" s="149">
        <v>10.92</v>
      </c>
      <c r="Z142" s="55">
        <f t="shared" si="23"/>
        <v>4.0597171293871139E-3</v>
      </c>
      <c r="AA142" s="55">
        <f t="shared" si="28"/>
        <v>4.1069270046927833E-3</v>
      </c>
      <c r="AB142" s="55">
        <f t="shared" si="24"/>
        <v>-5.5066419803604916</v>
      </c>
      <c r="AC142" s="55">
        <f t="shared" si="29"/>
        <v>-5.4953205179779756</v>
      </c>
      <c r="AD142" s="55"/>
      <c r="AE142" s="55"/>
      <c r="AF142" s="55"/>
      <c r="AG142" s="55"/>
      <c r="AH142" s="55"/>
    </row>
    <row r="143" spans="1:34" ht="15.75">
      <c r="A143" s="39">
        <v>10.627771900000001</v>
      </c>
      <c r="B143" s="39">
        <v>10.9359474</v>
      </c>
      <c r="C143" s="39">
        <v>141</v>
      </c>
      <c r="D143">
        <v>141</v>
      </c>
      <c r="E143" s="10">
        <v>1361120</v>
      </c>
      <c r="F143" s="10">
        <v>1115630</v>
      </c>
      <c r="G143" s="10">
        <v>18852</v>
      </c>
      <c r="H143" s="10">
        <v>40821</v>
      </c>
      <c r="I143" s="10">
        <v>10576</v>
      </c>
      <c r="J143" s="10">
        <v>33715</v>
      </c>
      <c r="K143">
        <v>141</v>
      </c>
      <c r="L143" s="10">
        <v>1471</v>
      </c>
      <c r="M143" s="10">
        <v>411109</v>
      </c>
      <c r="N143" s="10">
        <v>4723</v>
      </c>
      <c r="O143">
        <v>-0.50350172187109388</v>
      </c>
      <c r="P143">
        <v>1.003073344954083</v>
      </c>
      <c r="Q143">
        <v>-0.33552620841940994</v>
      </c>
      <c r="R143">
        <v>0.33552620841941</v>
      </c>
      <c r="S143">
        <f t="shared" si="20"/>
        <v>1.1593555590772147</v>
      </c>
      <c r="T143" s="148">
        <f t="shared" si="25"/>
        <v>1.212448754983148</v>
      </c>
      <c r="U143">
        <f t="shared" si="21"/>
        <v>2.3096617312709453</v>
      </c>
      <c r="V143" s="55">
        <f t="shared" si="26"/>
        <v>2.3265224788772567</v>
      </c>
      <c r="W143">
        <f t="shared" si="22"/>
        <v>0.58132383312506086</v>
      </c>
      <c r="X143" s="55">
        <f t="shared" si="27"/>
        <v>0.58117115281786791</v>
      </c>
      <c r="Y143" s="149">
        <v>10.9359474</v>
      </c>
      <c r="Z143" s="55">
        <f t="shared" si="23"/>
        <v>4.2334824269695146E-3</v>
      </c>
      <c r="AA143" s="55">
        <f t="shared" si="28"/>
        <v>4.1474359527097849E-3</v>
      </c>
      <c r="AB143" s="55">
        <f t="shared" si="24"/>
        <v>-5.4647303558366982</v>
      </c>
      <c r="AC143" s="55">
        <f t="shared" si="29"/>
        <v>-5.485411390355555</v>
      </c>
      <c r="AD143" s="55"/>
      <c r="AE143" s="55"/>
      <c r="AF143" s="55"/>
      <c r="AG143" s="55"/>
      <c r="AH143" s="55"/>
    </row>
    <row r="144" spans="1:34" ht="15.75">
      <c r="A144" s="39">
        <v>10.6432105</v>
      </c>
      <c r="B144" s="39">
        <v>10.9518947</v>
      </c>
      <c r="C144" s="39">
        <v>142</v>
      </c>
      <c r="D144">
        <v>142</v>
      </c>
      <c r="E144" s="10">
        <v>1368080</v>
      </c>
      <c r="F144" s="10">
        <v>1124820</v>
      </c>
      <c r="G144" s="10">
        <v>18775</v>
      </c>
      <c r="H144" s="10">
        <v>40255</v>
      </c>
      <c r="I144" s="10">
        <v>9678</v>
      </c>
      <c r="J144" s="10">
        <v>33229</v>
      </c>
      <c r="K144">
        <v>142</v>
      </c>
      <c r="L144" s="10">
        <v>1659</v>
      </c>
      <c r="M144" s="10">
        <v>416082</v>
      </c>
      <c r="N144" s="10">
        <v>4667</v>
      </c>
      <c r="O144">
        <v>-0.53573165396001177</v>
      </c>
      <c r="P144">
        <v>1.0143590973362084</v>
      </c>
      <c r="Q144">
        <v>-0.33123988530213161</v>
      </c>
      <c r="R144">
        <v>0.33123988530213155</v>
      </c>
      <c r="S144">
        <f t="shared" si="20"/>
        <v>1.2335677202533675</v>
      </c>
      <c r="T144" s="148">
        <f t="shared" si="25"/>
        <v>1.18604756522888</v>
      </c>
      <c r="U144">
        <f t="shared" si="21"/>
        <v>2.3356481364692496</v>
      </c>
      <c r="V144" s="55">
        <f t="shared" si="26"/>
        <v>2.3333370653477763</v>
      </c>
      <c r="W144">
        <f t="shared" si="22"/>
        <v>0.5708967909742958</v>
      </c>
      <c r="X144" s="55">
        <f t="shared" si="27"/>
        <v>0.57107609081828559</v>
      </c>
      <c r="Y144" s="149">
        <v>10.9518947</v>
      </c>
      <c r="Z144" s="55">
        <f t="shared" si="23"/>
        <v>4.1491083017727278E-3</v>
      </c>
      <c r="AA144" s="55">
        <f t="shared" si="28"/>
        <v>4.1870291804330531E-3</v>
      </c>
      <c r="AB144" s="55">
        <f t="shared" si="24"/>
        <v>-5.4848618348694762</v>
      </c>
      <c r="AC144" s="55">
        <f t="shared" si="29"/>
        <v>-5.4757986340163924</v>
      </c>
      <c r="AD144" s="55"/>
      <c r="AE144" s="55"/>
      <c r="AF144" s="55"/>
      <c r="AG144" s="55"/>
      <c r="AH144" s="55"/>
    </row>
    <row r="145" spans="1:34" ht="15.75">
      <c r="A145" s="39">
        <v>10.6586491</v>
      </c>
      <c r="B145" s="39">
        <v>10.9678421</v>
      </c>
      <c r="C145" s="39">
        <v>143</v>
      </c>
      <c r="D145">
        <v>143</v>
      </c>
      <c r="E145" s="10">
        <v>1379180</v>
      </c>
      <c r="F145" s="10">
        <v>1120020</v>
      </c>
      <c r="G145" s="10">
        <v>19385</v>
      </c>
      <c r="H145" s="10">
        <v>40035</v>
      </c>
      <c r="I145" s="10">
        <v>10594</v>
      </c>
      <c r="J145" s="10">
        <v>33971</v>
      </c>
      <c r="K145">
        <v>143</v>
      </c>
      <c r="L145" s="10">
        <v>1976</v>
      </c>
      <c r="M145" s="10">
        <v>421768</v>
      </c>
      <c r="N145" s="10">
        <v>4680</v>
      </c>
      <c r="O145">
        <v>-0.50604836272996345</v>
      </c>
      <c r="P145">
        <v>1.0226337934123082</v>
      </c>
      <c r="Q145">
        <v>-0.31497402749996012</v>
      </c>
      <c r="R145">
        <v>0.31497402749996012</v>
      </c>
      <c r="S145">
        <f t="shared" ref="S145:S208" si="30">LN(J145/I145)</f>
        <v>1.1652194163560574</v>
      </c>
      <c r="T145" s="148">
        <f t="shared" si="25"/>
        <v>1.2099421422871346</v>
      </c>
      <c r="U145">
        <f t="shared" ref="U145:U208" si="31">LN(M145/H145)</f>
        <v>2.3547013283031335</v>
      </c>
      <c r="V145" s="55">
        <f t="shared" si="26"/>
        <v>2.350385639852361</v>
      </c>
      <c r="W145">
        <f t="shared" ref="W145:W208" si="32">LN(J145/G145)</f>
        <v>0.56100764835549999</v>
      </c>
      <c r="X145" s="55">
        <f t="shared" si="27"/>
        <v>0.57990332370746878</v>
      </c>
      <c r="Y145" s="149">
        <v>10.9678421</v>
      </c>
      <c r="Z145" s="55">
        <f t="shared" si="23"/>
        <v>4.1784968125569187E-3</v>
      </c>
      <c r="AA145" s="55">
        <f t="shared" si="28"/>
        <v>4.2050976042640595E-3</v>
      </c>
      <c r="AB145" s="55">
        <f t="shared" si="24"/>
        <v>-5.4778037113430047</v>
      </c>
      <c r="AC145" s="55">
        <f t="shared" si="29"/>
        <v>-5.4715577451979094</v>
      </c>
      <c r="AD145" s="55"/>
      <c r="AE145" s="55"/>
      <c r="AF145" s="55"/>
      <c r="AG145" s="55"/>
      <c r="AH145" s="55"/>
    </row>
    <row r="146" spans="1:34" ht="15.75">
      <c r="A146" s="39">
        <v>10.674087699999999</v>
      </c>
      <c r="B146" s="39">
        <v>10.9837895</v>
      </c>
      <c r="C146" s="39">
        <v>144</v>
      </c>
      <c r="D146">
        <v>144</v>
      </c>
      <c r="E146" s="10">
        <v>1365850</v>
      </c>
      <c r="F146" s="10">
        <v>1114820</v>
      </c>
      <c r="G146" s="10">
        <v>17952</v>
      </c>
      <c r="H146" s="10">
        <v>39726</v>
      </c>
      <c r="I146" s="10">
        <v>9626</v>
      </c>
      <c r="J146" s="10">
        <v>32967</v>
      </c>
      <c r="K146">
        <v>144</v>
      </c>
      <c r="L146" s="10">
        <v>1668</v>
      </c>
      <c r="M146" s="10">
        <v>421076</v>
      </c>
      <c r="N146" s="10">
        <v>4780</v>
      </c>
      <c r="O146">
        <v>-0.53463357076253015</v>
      </c>
      <c r="P146">
        <v>1.0252856504490562</v>
      </c>
      <c r="Q146">
        <v>-0.34496199868889377</v>
      </c>
      <c r="R146">
        <v>0.34496199868889371</v>
      </c>
      <c r="S146">
        <f t="shared" si="30"/>
        <v>1.2310392902519791</v>
      </c>
      <c r="T146" s="148">
        <f t="shared" si="25"/>
        <v>1.1978111747142919</v>
      </c>
      <c r="U146">
        <f t="shared" si="31"/>
        <v>2.3608074547847004</v>
      </c>
      <c r="V146" s="55">
        <f t="shared" si="26"/>
        <v>2.3514068424536263</v>
      </c>
      <c r="W146">
        <f t="shared" si="32"/>
        <v>0.60780553179261088</v>
      </c>
      <c r="X146" s="55">
        <f t="shared" si="27"/>
        <v>0.58922097412390817</v>
      </c>
      <c r="Y146" s="149">
        <v>10.9837895</v>
      </c>
      <c r="Z146" s="55">
        <f t="shared" si="23"/>
        <v>4.2876876984625318E-3</v>
      </c>
      <c r="AA146" s="55">
        <f t="shared" si="28"/>
        <v>4.1957186124923131E-3</v>
      </c>
      <c r="AB146" s="55">
        <f t="shared" si="24"/>
        <v>-5.4520076893812472</v>
      </c>
      <c r="AC146" s="55">
        <f t="shared" si="29"/>
        <v>-5.4738259284275985</v>
      </c>
      <c r="AD146" s="55"/>
      <c r="AE146" s="55"/>
      <c r="AF146" s="55"/>
      <c r="AG146" s="55"/>
      <c r="AH146" s="55"/>
    </row>
    <row r="147" spans="1:34" ht="15.75">
      <c r="A147" s="39">
        <v>10.689526300000001</v>
      </c>
      <c r="B147" s="39">
        <v>10.999736800000001</v>
      </c>
      <c r="C147" s="39">
        <v>145</v>
      </c>
      <c r="D147">
        <v>145</v>
      </c>
      <c r="E147" s="10">
        <v>1353530</v>
      </c>
      <c r="F147" s="10">
        <v>1102410</v>
      </c>
      <c r="G147" s="10">
        <v>18258</v>
      </c>
      <c r="H147" s="10">
        <v>39840</v>
      </c>
      <c r="I147" s="10">
        <v>10037</v>
      </c>
      <c r="J147" s="10">
        <v>33230</v>
      </c>
      <c r="K147">
        <v>145</v>
      </c>
      <c r="L147" s="10">
        <v>1805</v>
      </c>
      <c r="M147" s="10">
        <v>413056</v>
      </c>
      <c r="N147" s="10">
        <v>4543</v>
      </c>
      <c r="O147">
        <v>-0.51992641712891319</v>
      </c>
      <c r="P147">
        <v>1.0156896053001123</v>
      </c>
      <c r="Q147">
        <v>-0.33886612700985042</v>
      </c>
      <c r="R147">
        <v>0.33886612700985036</v>
      </c>
      <c r="S147">
        <f t="shared" si="30"/>
        <v>1.1971748175348396</v>
      </c>
      <c r="T147" s="148">
        <f t="shared" si="25"/>
        <v>1.2041924533480615</v>
      </c>
      <c r="U147">
        <f t="shared" si="31"/>
        <v>2.3387117442730445</v>
      </c>
      <c r="V147" s="55">
        <f t="shared" si="26"/>
        <v>2.3543737815402959</v>
      </c>
      <c r="W147">
        <f t="shared" si="32"/>
        <v>0.59884974222361387</v>
      </c>
      <c r="X147" s="55">
        <f t="shared" si="27"/>
        <v>0.61231546125199865</v>
      </c>
      <c r="Y147" s="149">
        <v>10.999736800000001</v>
      </c>
      <c r="Z147" s="55">
        <f t="shared" si="23"/>
        <v>4.1209713264574888E-3</v>
      </c>
      <c r="AA147" s="55">
        <f t="shared" si="28"/>
        <v>4.1259864880449021E-3</v>
      </c>
      <c r="AB147" s="55">
        <f t="shared" si="24"/>
        <v>-5.4916663845585472</v>
      </c>
      <c r="AC147" s="55">
        <f t="shared" si="29"/>
        <v>-5.4909464951782221</v>
      </c>
      <c r="AD147" s="55"/>
      <c r="AE147" s="55"/>
      <c r="AF147" s="55"/>
      <c r="AG147" s="55"/>
      <c r="AH147" s="55"/>
    </row>
    <row r="148" spans="1:34" ht="15.75">
      <c r="A148" s="39">
        <v>10.7049649</v>
      </c>
      <c r="B148" s="39">
        <v>11.015684200000001</v>
      </c>
      <c r="C148" s="39">
        <v>146</v>
      </c>
      <c r="D148">
        <v>146</v>
      </c>
      <c r="E148" s="10">
        <v>1341950</v>
      </c>
      <c r="F148" s="10">
        <v>1099690</v>
      </c>
      <c r="G148" s="10">
        <v>17539</v>
      </c>
      <c r="H148" s="10">
        <v>39115</v>
      </c>
      <c r="I148" s="10">
        <v>10078</v>
      </c>
      <c r="J148" s="10">
        <v>32941</v>
      </c>
      <c r="K148">
        <v>146</v>
      </c>
      <c r="L148" s="10">
        <v>1548</v>
      </c>
      <c r="M148" s="10">
        <v>415760</v>
      </c>
      <c r="N148" s="10">
        <v>4365</v>
      </c>
      <c r="O148">
        <v>-0.51436242502436302</v>
      </c>
      <c r="P148">
        <v>1.0264993692327593</v>
      </c>
      <c r="Q148">
        <v>-0.34833850649059045</v>
      </c>
      <c r="R148">
        <v>0.34833850649059039</v>
      </c>
      <c r="S148">
        <f t="shared" si="30"/>
        <v>1.1843632522573657</v>
      </c>
      <c r="T148" s="148">
        <f t="shared" si="25"/>
        <v>1.1960786133979944</v>
      </c>
      <c r="U148">
        <f t="shared" si="31"/>
        <v>2.3636021455631426</v>
      </c>
      <c r="V148" s="55">
        <f t="shared" si="26"/>
        <v>2.363471226653548</v>
      </c>
      <c r="W148">
        <f t="shared" si="32"/>
        <v>0.63029110973977132</v>
      </c>
      <c r="X148" s="55">
        <f t="shared" si="27"/>
        <v>0.60945960633193952</v>
      </c>
      <c r="Y148" s="149">
        <v>11.015684200000001</v>
      </c>
      <c r="Z148" s="55">
        <f t="shared" si="23"/>
        <v>3.9693004392146874E-3</v>
      </c>
      <c r="AA148" s="55">
        <f t="shared" si="28"/>
        <v>4.0764045000257288E-3</v>
      </c>
      <c r="AB148" s="55">
        <f t="shared" si="24"/>
        <v>-5.5291654115948718</v>
      </c>
      <c r="AC148" s="55">
        <f t="shared" si="29"/>
        <v>-5.5027156465611853</v>
      </c>
      <c r="AD148" s="55"/>
      <c r="AE148" s="55"/>
      <c r="AF148" s="55"/>
      <c r="AG148" s="55"/>
      <c r="AH148" s="55"/>
    </row>
    <row r="149" spans="1:34" ht="15.75">
      <c r="A149" s="39">
        <v>10.7204035</v>
      </c>
      <c r="B149" s="39">
        <v>11.031631600000001</v>
      </c>
      <c r="C149" s="39">
        <v>147</v>
      </c>
      <c r="D149">
        <v>147</v>
      </c>
      <c r="E149" s="10">
        <v>1336660</v>
      </c>
      <c r="F149" s="10">
        <v>1098590</v>
      </c>
      <c r="G149" s="10">
        <v>17761</v>
      </c>
      <c r="H149" s="10">
        <v>38592</v>
      </c>
      <c r="I149" s="10">
        <v>9675</v>
      </c>
      <c r="J149" s="10">
        <v>32338</v>
      </c>
      <c r="K149">
        <v>147</v>
      </c>
      <c r="L149" s="10">
        <v>1460</v>
      </c>
      <c r="M149" s="10">
        <v>420374</v>
      </c>
      <c r="N149" s="10">
        <v>4547</v>
      </c>
      <c r="O149">
        <v>-0.52406218301044905</v>
      </c>
      <c r="P149">
        <v>1.0371385610853654</v>
      </c>
      <c r="Q149">
        <v>-0.33702987185174887</v>
      </c>
      <c r="R149">
        <v>0.33702987185174893</v>
      </c>
      <c r="S149">
        <f t="shared" si="30"/>
        <v>1.2066977704017774</v>
      </c>
      <c r="T149" s="148">
        <f t="shared" si="25"/>
        <v>1.1317586396737582</v>
      </c>
      <c r="U149">
        <f t="shared" si="31"/>
        <v>2.3880997901244569</v>
      </c>
      <c r="V149" s="55">
        <f t="shared" si="26"/>
        <v>2.3673781836997918</v>
      </c>
      <c r="W149">
        <f t="shared" si="32"/>
        <v>0.59923796703243315</v>
      </c>
      <c r="X149" s="55">
        <f t="shared" si="27"/>
        <v>0.60504098143794793</v>
      </c>
      <c r="Y149" s="149">
        <v>11.031631600000001</v>
      </c>
      <c r="Z149" s="55">
        <f t="shared" si="23"/>
        <v>4.13894173440501E-3</v>
      </c>
      <c r="AA149" s="55">
        <f t="shared" si="28"/>
        <v>4.1292165189838921E-3</v>
      </c>
      <c r="AB149" s="55">
        <f t="shared" si="24"/>
        <v>-5.4873151435301351</v>
      </c>
      <c r="AC149" s="55">
        <f t="shared" si="29"/>
        <v>-5.4901404319794951</v>
      </c>
      <c r="AD149" s="55"/>
      <c r="AE149" s="55"/>
      <c r="AF149" s="55"/>
      <c r="AG149" s="55"/>
      <c r="AH149" s="55"/>
    </row>
    <row r="150" spans="1:34" ht="15.75">
      <c r="A150" s="39">
        <v>10.735842099999999</v>
      </c>
      <c r="B150" s="39">
        <v>11.047579000000001</v>
      </c>
      <c r="C150" s="39">
        <v>148</v>
      </c>
      <c r="D150">
        <v>148</v>
      </c>
      <c r="E150" s="10">
        <v>1368120</v>
      </c>
      <c r="F150" s="10">
        <v>1107630</v>
      </c>
      <c r="G150" s="10">
        <v>18363</v>
      </c>
      <c r="H150" s="10">
        <v>40028</v>
      </c>
      <c r="I150" s="10">
        <v>12082</v>
      </c>
      <c r="J150" s="10">
        <v>32981</v>
      </c>
      <c r="K150">
        <v>148</v>
      </c>
      <c r="L150" s="10">
        <v>1710</v>
      </c>
      <c r="M150" s="10">
        <v>419898</v>
      </c>
      <c r="N150" s="10">
        <v>4740</v>
      </c>
      <c r="O150">
        <v>-0.43612498813511985</v>
      </c>
      <c r="P150">
        <v>1.0207799149587624</v>
      </c>
      <c r="Q150">
        <v>-0.33842025689392502</v>
      </c>
      <c r="R150">
        <v>0.33842025689392502</v>
      </c>
      <c r="S150">
        <f t="shared" si="30"/>
        <v>1.004214896362132</v>
      </c>
      <c r="T150" s="148">
        <f t="shared" si="25"/>
        <v>1.0715370383511333</v>
      </c>
      <c r="U150">
        <f t="shared" si="31"/>
        <v>2.3504326154117758</v>
      </c>
      <c r="V150" s="55">
        <f t="shared" si="26"/>
        <v>2.3778243662599046</v>
      </c>
      <c r="W150">
        <f t="shared" si="32"/>
        <v>0.58559386754163911</v>
      </c>
      <c r="X150" s="55">
        <f t="shared" si="27"/>
        <v>0.59279963897623122</v>
      </c>
      <c r="Y150" s="149">
        <v>11.047579000000001</v>
      </c>
      <c r="Z150" s="55">
        <f t="shared" si="23"/>
        <v>4.2794073833319788E-3</v>
      </c>
      <c r="AA150" s="55">
        <f t="shared" si="28"/>
        <v>4.251768255319574E-3</v>
      </c>
      <c r="AB150" s="55">
        <f t="shared" si="24"/>
        <v>-5.4539407408134792</v>
      </c>
      <c r="AC150" s="55">
        <f t="shared" si="29"/>
        <v>-5.4606128416324937</v>
      </c>
      <c r="AD150" s="55"/>
      <c r="AE150" s="55"/>
      <c r="AF150" s="55"/>
      <c r="AG150" s="55"/>
      <c r="AH150" s="55"/>
    </row>
    <row r="151" spans="1:34" ht="15.75">
      <c r="A151" s="39">
        <v>10.751280700000001</v>
      </c>
      <c r="B151" s="39">
        <v>11.063526299999999</v>
      </c>
      <c r="C151" s="39">
        <v>149</v>
      </c>
      <c r="D151">
        <v>149</v>
      </c>
      <c r="E151" s="10">
        <v>1385840</v>
      </c>
      <c r="F151" s="10">
        <v>1119910</v>
      </c>
      <c r="G151" s="10">
        <v>17614</v>
      </c>
      <c r="H151" s="10">
        <v>39504</v>
      </c>
      <c r="I151" s="10">
        <v>11688</v>
      </c>
      <c r="J151" s="10">
        <v>31889</v>
      </c>
      <c r="K151">
        <v>149</v>
      </c>
      <c r="L151" s="10">
        <v>1666</v>
      </c>
      <c r="M151" s="10">
        <v>433262</v>
      </c>
      <c r="N151" s="10">
        <v>4857</v>
      </c>
      <c r="O151">
        <v>-0.43590069758698213</v>
      </c>
      <c r="P151">
        <v>1.0401095275611918</v>
      </c>
      <c r="Q151">
        <v>-0.3507830805806596</v>
      </c>
      <c r="R151">
        <v>0.3507830805806596</v>
      </c>
      <c r="S151">
        <f t="shared" si="30"/>
        <v>1.0036984482894906</v>
      </c>
      <c r="T151" s="148">
        <f t="shared" si="25"/>
        <v>1.0450909138231506</v>
      </c>
      <c r="U151">
        <f t="shared" si="31"/>
        <v>2.39494069324348</v>
      </c>
      <c r="V151" s="55">
        <f t="shared" si="26"/>
        <v>2.3726187953917255</v>
      </c>
      <c r="W151">
        <f t="shared" si="32"/>
        <v>0.59356708235462119</v>
      </c>
      <c r="X151" s="55">
        <f t="shared" si="27"/>
        <v>0.60208184590619573</v>
      </c>
      <c r="Y151" s="149">
        <v>11.063526299999999</v>
      </c>
      <c r="Z151" s="55">
        <f t="shared" si="23"/>
        <v>4.3369556482217323E-3</v>
      </c>
      <c r="AA151" s="55">
        <f t="shared" si="28"/>
        <v>4.3266423935468829E-3</v>
      </c>
      <c r="AB151" s="55">
        <f t="shared" si="24"/>
        <v>-5.4405826405538669</v>
      </c>
      <c r="AC151" s="55">
        <f t="shared" si="29"/>
        <v>-5.442996490514826</v>
      </c>
      <c r="AD151" s="55"/>
      <c r="AE151" s="55"/>
      <c r="AF151" s="55"/>
      <c r="AG151" s="55"/>
      <c r="AH151" s="55"/>
    </row>
    <row r="152" spans="1:34" ht="15.75">
      <c r="A152" s="39">
        <v>10.7667193</v>
      </c>
      <c r="B152" s="39">
        <v>11.079473699999999</v>
      </c>
      <c r="C152" s="39">
        <v>150</v>
      </c>
      <c r="D152">
        <v>150</v>
      </c>
      <c r="E152" s="10">
        <v>1361940</v>
      </c>
      <c r="F152" s="10">
        <v>1107810</v>
      </c>
      <c r="G152" s="10">
        <v>17379</v>
      </c>
      <c r="H152" s="10">
        <v>39491</v>
      </c>
      <c r="I152" s="10">
        <v>10538</v>
      </c>
      <c r="J152" s="10">
        <v>32536</v>
      </c>
      <c r="K152">
        <v>150</v>
      </c>
      <c r="L152" s="10">
        <v>1465</v>
      </c>
      <c r="M152" s="10">
        <v>423501</v>
      </c>
      <c r="N152" s="10">
        <v>4834</v>
      </c>
      <c r="O152">
        <v>-0.48960596515976174</v>
      </c>
      <c r="P152">
        <v>1.0303563089757468</v>
      </c>
      <c r="Q152">
        <v>-0.3564733479597898</v>
      </c>
      <c r="R152">
        <v>0.35647334795978974</v>
      </c>
      <c r="S152">
        <f t="shared" si="30"/>
        <v>1.1273593968178293</v>
      </c>
      <c r="T152" s="148">
        <f t="shared" si="25"/>
        <v>1.0785457824545353</v>
      </c>
      <c r="U152">
        <f t="shared" si="31"/>
        <v>2.3724830775199215</v>
      </c>
      <c r="V152" s="55">
        <f t="shared" si="26"/>
        <v>2.3724526924302403</v>
      </c>
      <c r="W152">
        <f t="shared" si="32"/>
        <v>0.62708458782232668</v>
      </c>
      <c r="X152" s="55">
        <f t="shared" si="27"/>
        <v>0.60771715658390069</v>
      </c>
      <c r="Y152" s="149">
        <v>11.079473699999999</v>
      </c>
      <c r="Z152" s="55">
        <f t="shared" si="23"/>
        <v>4.3635641490869376E-3</v>
      </c>
      <c r="AA152" s="55">
        <f t="shared" si="28"/>
        <v>4.3461955730696618E-3</v>
      </c>
      <c r="AB152" s="55">
        <f t="shared" si="24"/>
        <v>-5.4344660901771329</v>
      </c>
      <c r="AC152" s="55">
        <f t="shared" si="29"/>
        <v>-5.4384583901751924</v>
      </c>
      <c r="AD152" s="55"/>
      <c r="AE152" s="55"/>
      <c r="AF152" s="55"/>
      <c r="AG152" s="55"/>
      <c r="AH152" s="55"/>
    </row>
    <row r="153" spans="1:34" ht="15.75">
      <c r="A153" s="39">
        <v>10.7821579</v>
      </c>
      <c r="B153" s="39">
        <v>11.095421099999999</v>
      </c>
      <c r="C153" s="39">
        <v>151</v>
      </c>
      <c r="D153">
        <v>151</v>
      </c>
      <c r="E153" s="10">
        <v>1363330</v>
      </c>
      <c r="F153" s="10">
        <v>1104870</v>
      </c>
      <c r="G153" s="10">
        <v>17759</v>
      </c>
      <c r="H153" s="10">
        <v>40181</v>
      </c>
      <c r="I153" s="10">
        <v>10749</v>
      </c>
      <c r="J153" s="10">
        <v>32440</v>
      </c>
      <c r="K153">
        <v>151</v>
      </c>
      <c r="L153" s="10">
        <v>1651</v>
      </c>
      <c r="M153" s="10">
        <v>421293</v>
      </c>
      <c r="N153" s="10">
        <v>4793</v>
      </c>
      <c r="O153">
        <v>-0.47971278265334538</v>
      </c>
      <c r="P153">
        <v>1.0205635021599597</v>
      </c>
      <c r="Q153">
        <v>-0.35460223376453626</v>
      </c>
      <c r="R153">
        <v>0.35460223376453626</v>
      </c>
      <c r="S153">
        <f t="shared" si="30"/>
        <v>1.1045795022562859</v>
      </c>
      <c r="T153" s="148">
        <f t="shared" si="25"/>
        <v>1.1239299742979256</v>
      </c>
      <c r="U153">
        <f t="shared" si="31"/>
        <v>2.3499343065273197</v>
      </c>
      <c r="V153" s="55">
        <f t="shared" si="26"/>
        <v>2.3621493980617476</v>
      </c>
      <c r="W153">
        <f t="shared" si="32"/>
        <v>0.60249979957475408</v>
      </c>
      <c r="X153" s="55">
        <f t="shared" si="27"/>
        <v>0.60367778318985499</v>
      </c>
      <c r="Y153" s="149">
        <v>11.095421099999999</v>
      </c>
      <c r="Z153" s="55">
        <f t="shared" si="23"/>
        <v>4.3380669219003137E-3</v>
      </c>
      <c r="AA153" s="55">
        <f t="shared" si="28"/>
        <v>4.4010028604395263E-3</v>
      </c>
      <c r="AB153" s="55">
        <f t="shared" si="24"/>
        <v>-5.4403264397945774</v>
      </c>
      <c r="AC153" s="55">
        <f t="shared" si="29"/>
        <v>-5.4260547818712537</v>
      </c>
      <c r="AD153" s="55"/>
      <c r="AE153" s="55"/>
      <c r="AF153" s="55"/>
      <c r="AG153" s="55"/>
      <c r="AH153" s="55"/>
    </row>
    <row r="154" spans="1:34" ht="15.75">
      <c r="A154" s="39">
        <v>10.797596499999999</v>
      </c>
      <c r="B154" s="39">
        <v>11.1113684</v>
      </c>
      <c r="C154" s="39">
        <v>152</v>
      </c>
      <c r="D154">
        <v>152</v>
      </c>
      <c r="E154" s="10">
        <v>1356980</v>
      </c>
      <c r="F154" s="10">
        <v>1103440</v>
      </c>
      <c r="G154" s="10">
        <v>18115</v>
      </c>
      <c r="H154" s="10">
        <v>39386</v>
      </c>
      <c r="I154" s="10">
        <v>10364</v>
      </c>
      <c r="J154" s="10">
        <v>32401</v>
      </c>
      <c r="K154">
        <v>152</v>
      </c>
      <c r="L154" s="10">
        <v>1726</v>
      </c>
      <c r="M154" s="10">
        <v>418820</v>
      </c>
      <c r="N154" s="10">
        <v>4967</v>
      </c>
      <c r="O154">
        <v>-0.49503100983665105</v>
      </c>
      <c r="P154">
        <v>1.026685535892208</v>
      </c>
      <c r="Q154">
        <v>-0.33730353819543835</v>
      </c>
      <c r="R154">
        <v>0.33730353819543835</v>
      </c>
      <c r="S154">
        <f t="shared" si="30"/>
        <v>1.1398510238196615</v>
      </c>
      <c r="T154" s="148">
        <f t="shared" si="25"/>
        <v>1.1202100229641305</v>
      </c>
      <c r="U154">
        <f t="shared" si="31"/>
        <v>2.3640308101380016</v>
      </c>
      <c r="V154" s="55">
        <f t="shared" si="26"/>
        <v>2.3449402165627409</v>
      </c>
      <c r="W154">
        <f t="shared" si="32"/>
        <v>0.58144896217248443</v>
      </c>
      <c r="X154" s="55">
        <f t="shared" si="27"/>
        <v>0.59524190627135043</v>
      </c>
      <c r="Y154" s="149">
        <v>11.1113684</v>
      </c>
      <c r="Z154" s="55">
        <f t="shared" si="23"/>
        <v>4.5013775103313275E-3</v>
      </c>
      <c r="AA154" s="55">
        <f t="shared" si="28"/>
        <v>4.3453177140465012E-3</v>
      </c>
      <c r="AB154" s="55">
        <f t="shared" si="24"/>
        <v>-5.4033718156420507</v>
      </c>
      <c r="AC154" s="55">
        <f t="shared" si="29"/>
        <v>-5.4390668714543295</v>
      </c>
      <c r="AD154" s="55"/>
      <c r="AE154" s="55"/>
      <c r="AF154" s="55"/>
      <c r="AG154" s="55"/>
      <c r="AH154" s="55"/>
    </row>
    <row r="155" spans="1:34" ht="15.75">
      <c r="A155" s="39">
        <v>10.8130351</v>
      </c>
      <c r="B155" s="39">
        <v>11.1273158</v>
      </c>
      <c r="C155" s="39">
        <v>153</v>
      </c>
      <c r="D155">
        <v>153</v>
      </c>
      <c r="E155" s="10">
        <v>1340080</v>
      </c>
      <c r="F155" s="10">
        <v>1091860</v>
      </c>
      <c r="G155" s="10">
        <v>18289</v>
      </c>
      <c r="H155" s="10">
        <v>40432</v>
      </c>
      <c r="I155" s="10">
        <v>10934</v>
      </c>
      <c r="J155" s="10">
        <v>33384</v>
      </c>
      <c r="K155">
        <v>153</v>
      </c>
      <c r="L155" s="10">
        <v>1722</v>
      </c>
      <c r="M155" s="10">
        <v>411775</v>
      </c>
      <c r="N155" s="10">
        <v>4582</v>
      </c>
      <c r="O155">
        <v>-0.48475930214811408</v>
      </c>
      <c r="P155">
        <v>1.0079347512864762</v>
      </c>
      <c r="Q155">
        <v>-0.34453526466283402</v>
      </c>
      <c r="R155">
        <v>0.34453526466283396</v>
      </c>
      <c r="S155">
        <f t="shared" si="30"/>
        <v>1.116199542816444</v>
      </c>
      <c r="T155" s="148">
        <f t="shared" si="25"/>
        <v>1.1264611725121831</v>
      </c>
      <c r="U155">
        <f t="shared" si="31"/>
        <v>2.3208555330229013</v>
      </c>
      <c r="V155" s="55">
        <f t="shared" si="26"/>
        <v>2.3307300709718057</v>
      </c>
      <c r="W155">
        <f t="shared" si="32"/>
        <v>0.60177695706681278</v>
      </c>
      <c r="X155" s="55">
        <f t="shared" si="27"/>
        <v>0.57787357268573214</v>
      </c>
      <c r="Y155" s="149">
        <v>11.1273158</v>
      </c>
      <c r="Z155" s="55">
        <f t="shared" si="23"/>
        <v>4.1965087099078632E-3</v>
      </c>
      <c r="AA155" s="55">
        <f t="shared" si="28"/>
        <v>4.280415557843302E-3</v>
      </c>
      <c r="AB155" s="55">
        <f t="shared" si="24"/>
        <v>-5.4735023589263614</v>
      </c>
      <c r="AC155" s="55">
        <f t="shared" si="29"/>
        <v>-5.4543740970910664</v>
      </c>
      <c r="AD155" s="55"/>
      <c r="AE155" s="55"/>
      <c r="AF155" s="55"/>
      <c r="AG155" s="55"/>
      <c r="AH155" s="55"/>
    </row>
    <row r="156" spans="1:34" ht="15.75">
      <c r="A156" s="39">
        <v>10.8284737</v>
      </c>
      <c r="B156" s="39">
        <v>11.1432632</v>
      </c>
      <c r="C156" s="39">
        <v>154</v>
      </c>
      <c r="D156">
        <v>154</v>
      </c>
      <c r="E156" s="10">
        <v>1361250</v>
      </c>
      <c r="F156" s="10">
        <v>1101280</v>
      </c>
      <c r="G156" s="10">
        <v>19533</v>
      </c>
      <c r="H156" s="10">
        <v>40952</v>
      </c>
      <c r="I156" s="10">
        <v>11014</v>
      </c>
      <c r="J156" s="10">
        <v>33869</v>
      </c>
      <c r="K156">
        <v>154</v>
      </c>
      <c r="L156" s="10">
        <v>1645</v>
      </c>
      <c r="M156" s="10">
        <v>411457</v>
      </c>
      <c r="N156" s="10">
        <v>4563</v>
      </c>
      <c r="O156">
        <v>-0.48785730191615945</v>
      </c>
      <c r="P156">
        <v>1.0020493387084053</v>
      </c>
      <c r="Q156">
        <v>-0.32150616647562991</v>
      </c>
      <c r="R156">
        <v>0.32150616647562991</v>
      </c>
      <c r="S156">
        <f t="shared" si="30"/>
        <v>1.1233329509004442</v>
      </c>
      <c r="T156" s="148">
        <f t="shared" si="25"/>
        <v>1.1231643868361256</v>
      </c>
      <c r="U156">
        <f t="shared" si="31"/>
        <v>2.3073038697545152</v>
      </c>
      <c r="V156" s="55">
        <f t="shared" si="26"/>
        <v>2.3114808426607945</v>
      </c>
      <c r="W156">
        <f t="shared" si="32"/>
        <v>0.5503947988178991</v>
      </c>
      <c r="X156" s="55">
        <f t="shared" si="27"/>
        <v>0.57218037105416564</v>
      </c>
      <c r="Y156" s="149">
        <v>11.1432632</v>
      </c>
      <c r="Z156" s="55">
        <f t="shared" si="23"/>
        <v>4.1433604532907162E-3</v>
      </c>
      <c r="AA156" s="55">
        <f t="shared" si="28"/>
        <v>4.1915004890146004E-3</v>
      </c>
      <c r="AB156" s="55">
        <f t="shared" si="24"/>
        <v>-5.4862481167047887</v>
      </c>
      <c r="AC156" s="55">
        <f t="shared" si="29"/>
        <v>-5.4747364178185549</v>
      </c>
      <c r="AD156" s="55"/>
      <c r="AE156" s="55"/>
      <c r="AF156" s="55"/>
      <c r="AG156" s="55"/>
      <c r="AH156" s="55"/>
    </row>
    <row r="157" spans="1:34" ht="15.75">
      <c r="A157" s="39">
        <v>10.8439123</v>
      </c>
      <c r="B157" s="39">
        <v>11.1592105</v>
      </c>
      <c r="C157" s="39">
        <v>155</v>
      </c>
      <c r="D157">
        <v>155</v>
      </c>
      <c r="E157" s="10">
        <v>1363408.75</v>
      </c>
      <c r="F157" s="10">
        <v>1102732.5</v>
      </c>
      <c r="G157" s="10">
        <v>19570.25</v>
      </c>
      <c r="H157" s="10">
        <v>41380.125</v>
      </c>
      <c r="I157" s="10">
        <v>11116.375</v>
      </c>
      <c r="J157" s="10">
        <v>34411.125</v>
      </c>
      <c r="K157">
        <v>155</v>
      </c>
      <c r="L157" s="10">
        <v>1532</v>
      </c>
      <c r="M157" s="10">
        <v>415334.3333</v>
      </c>
      <c r="N157" s="10">
        <v>4669.6666670000004</v>
      </c>
      <c r="O157">
        <v>-0.49073568235526244</v>
      </c>
      <c r="P157">
        <v>1.0016060349831037</v>
      </c>
      <c r="Q157">
        <v>-0.32519542465234036</v>
      </c>
      <c r="R157">
        <v>0.32519542465234047</v>
      </c>
      <c r="S157">
        <f t="shared" si="30"/>
        <v>1.1299606667914885</v>
      </c>
      <c r="T157" s="148">
        <f t="shared" si="25"/>
        <v>1.1129222102384688</v>
      </c>
      <c r="U157">
        <f t="shared" si="31"/>
        <v>2.3062831252049674</v>
      </c>
      <c r="V157" s="55">
        <f t="shared" si="26"/>
        <v>2.2953047560570892</v>
      </c>
      <c r="W157">
        <f t="shared" si="32"/>
        <v>0.56436935727778526</v>
      </c>
      <c r="X157" s="55">
        <f t="shared" si="27"/>
        <v>0.55494199870325411</v>
      </c>
      <c r="Y157" s="149">
        <v>11.1592105</v>
      </c>
      <c r="Z157" s="55">
        <f t="shared" si="23"/>
        <v>4.234632303845221E-3</v>
      </c>
      <c r="AA157" s="55">
        <f t="shared" si="28"/>
        <v>4.2228192615556253E-3</v>
      </c>
      <c r="AB157" s="55">
        <f t="shared" si="24"/>
        <v>-5.4644587778245128</v>
      </c>
      <c r="AC157" s="55">
        <f t="shared" si="29"/>
        <v>-5.4673556828067644</v>
      </c>
      <c r="AD157" s="55"/>
      <c r="AE157" s="55"/>
      <c r="AF157" s="55"/>
      <c r="AG157" s="55"/>
      <c r="AH157" s="55"/>
    </row>
    <row r="158" spans="1:34" ht="15.75">
      <c r="A158" s="39">
        <v>10.859350900000001</v>
      </c>
      <c r="B158" s="39">
        <v>11.1751579</v>
      </c>
      <c r="C158" s="39">
        <v>156</v>
      </c>
      <c r="D158">
        <v>156</v>
      </c>
      <c r="E158" s="10">
        <v>1357180</v>
      </c>
      <c r="F158" s="10">
        <v>1100580</v>
      </c>
      <c r="G158" s="10">
        <v>19847</v>
      </c>
      <c r="H158" s="10">
        <v>41819</v>
      </c>
      <c r="I158" s="10">
        <v>11619</v>
      </c>
      <c r="J158" s="10">
        <v>34402</v>
      </c>
      <c r="K158">
        <v>156</v>
      </c>
      <c r="L158" s="10">
        <v>1904</v>
      </c>
      <c r="M158" s="10">
        <v>405726</v>
      </c>
      <c r="N158" s="10">
        <v>4722</v>
      </c>
      <c r="O158">
        <v>-0.47141493981099147</v>
      </c>
      <c r="P158">
        <v>0.98685919583414161</v>
      </c>
      <c r="Q158">
        <v>-0.32367877381310345</v>
      </c>
      <c r="R158">
        <v>0.3236787738131035</v>
      </c>
      <c r="S158">
        <f t="shared" si="30"/>
        <v>1.0854730130234742</v>
      </c>
      <c r="T158" s="148">
        <f t="shared" si="25"/>
        <v>1.1171912933121437</v>
      </c>
      <c r="U158">
        <f t="shared" si="31"/>
        <v>2.2723272732117858</v>
      </c>
      <c r="V158" s="55">
        <f t="shared" si="26"/>
        <v>2.2959650050922451</v>
      </c>
      <c r="W158">
        <f t="shared" si="32"/>
        <v>0.55006184001407765</v>
      </c>
      <c r="X158" s="55">
        <f t="shared" si="27"/>
        <v>0.55987895650345176</v>
      </c>
      <c r="Y158" s="149">
        <v>11.1751579</v>
      </c>
      <c r="Z158" s="55">
        <f t="shared" si="23"/>
        <v>4.2904650275309378E-3</v>
      </c>
      <c r="AA158" s="55">
        <f t="shared" si="28"/>
        <v>4.2695742661530709E-3</v>
      </c>
      <c r="AB158" s="55">
        <f t="shared" si="24"/>
        <v>-5.4513601538909935</v>
      </c>
      <c r="AC158" s="55">
        <f t="shared" si="29"/>
        <v>-5.456258162639454</v>
      </c>
      <c r="AD158" s="55"/>
      <c r="AE158" s="55"/>
      <c r="AF158" s="55"/>
      <c r="AG158" s="55"/>
      <c r="AH158" s="55"/>
    </row>
    <row r="159" spans="1:34" ht="15.75">
      <c r="A159" s="39">
        <v>10.8747895</v>
      </c>
      <c r="B159" s="39">
        <v>11.1911053</v>
      </c>
      <c r="C159" s="39">
        <v>157</v>
      </c>
      <c r="D159">
        <v>157</v>
      </c>
      <c r="E159" s="10">
        <v>1356700</v>
      </c>
      <c r="F159" s="10">
        <v>1107940</v>
      </c>
      <c r="G159" s="10">
        <v>19547</v>
      </c>
      <c r="H159" s="10">
        <v>41193</v>
      </c>
      <c r="I159" s="10">
        <v>11044</v>
      </c>
      <c r="J159" s="10">
        <v>34399</v>
      </c>
      <c r="K159">
        <v>157</v>
      </c>
      <c r="L159" s="10">
        <v>1806</v>
      </c>
      <c r="M159" s="10">
        <v>414699</v>
      </c>
      <c r="N159" s="10">
        <v>4746</v>
      </c>
      <c r="O159">
        <v>-0.49341941958121016</v>
      </c>
      <c r="P159">
        <v>1.0029095662463554</v>
      </c>
      <c r="Q159">
        <v>-0.32374330890309788</v>
      </c>
      <c r="R159">
        <v>0.32374330890309783</v>
      </c>
      <c r="S159">
        <f t="shared" si="30"/>
        <v>1.1361402001214689</v>
      </c>
      <c r="T159" s="148">
        <f t="shared" si="25"/>
        <v>1.1043385971720265</v>
      </c>
      <c r="U159">
        <f t="shared" si="31"/>
        <v>2.3092846168599821</v>
      </c>
      <c r="V159" s="55">
        <f t="shared" si="26"/>
        <v>2.3110462208545473</v>
      </c>
      <c r="W159">
        <f t="shared" si="32"/>
        <v>0.56520567221849216</v>
      </c>
      <c r="X159" s="55">
        <f t="shared" si="27"/>
        <v>0.56013284658976659</v>
      </c>
      <c r="Y159" s="149">
        <v>11.1911053</v>
      </c>
      <c r="Z159" s="55">
        <f t="shared" si="23"/>
        <v>4.2836254670830546E-3</v>
      </c>
      <c r="AA159" s="55">
        <f t="shared" si="28"/>
        <v>4.2956981483480696E-3</v>
      </c>
      <c r="AB159" s="55">
        <f t="shared" si="24"/>
        <v>-5.4529555562028564</v>
      </c>
      <c r="AC159" s="55">
        <f t="shared" si="29"/>
        <v>-5.4501454518250361</v>
      </c>
      <c r="AD159" s="55"/>
      <c r="AE159" s="55"/>
      <c r="AF159" s="55"/>
      <c r="AG159" s="55"/>
      <c r="AH159" s="55"/>
    </row>
    <row r="160" spans="1:34" ht="15.75">
      <c r="A160" s="39">
        <v>10.8902281</v>
      </c>
      <c r="B160" s="39">
        <v>11.207052600000001</v>
      </c>
      <c r="C160" s="39">
        <v>158</v>
      </c>
      <c r="D160">
        <v>158</v>
      </c>
      <c r="E160" s="10">
        <v>1376400</v>
      </c>
      <c r="F160" s="10">
        <v>1108740</v>
      </c>
      <c r="G160" s="10">
        <v>19399</v>
      </c>
      <c r="H160" s="10">
        <v>40854</v>
      </c>
      <c r="I160" s="10">
        <v>11461</v>
      </c>
      <c r="J160" s="10">
        <v>34136</v>
      </c>
      <c r="K160">
        <v>158</v>
      </c>
      <c r="L160" s="10">
        <v>1821</v>
      </c>
      <c r="M160" s="10">
        <v>429032</v>
      </c>
      <c r="N160" s="10">
        <v>4782</v>
      </c>
      <c r="O160">
        <v>-0.47399011732156598</v>
      </c>
      <c r="P160">
        <v>1.0212551013409843</v>
      </c>
      <c r="Q160">
        <v>-0.32345524152224747</v>
      </c>
      <c r="R160">
        <v>0.32345524152224747</v>
      </c>
      <c r="S160">
        <f t="shared" si="30"/>
        <v>1.0914025783711367</v>
      </c>
      <c r="T160" s="148">
        <f t="shared" si="25"/>
        <v>1.1081010276239511</v>
      </c>
      <c r="U160">
        <f t="shared" si="31"/>
        <v>2.3515267724918738</v>
      </c>
      <c r="V160" s="55">
        <f t="shared" si="26"/>
        <v>2.3150082511686647</v>
      </c>
      <c r="W160">
        <f t="shared" si="32"/>
        <v>0.56513102753672984</v>
      </c>
      <c r="X160" s="55">
        <f t="shared" si="27"/>
        <v>0.55235612479540264</v>
      </c>
      <c r="Y160" s="149">
        <v>11.207052600000001</v>
      </c>
      <c r="Z160" s="55">
        <f t="shared" si="23"/>
        <v>4.3130039504302182E-3</v>
      </c>
      <c r="AA160" s="55">
        <f t="shared" si="28"/>
        <v>4.2723087418873569E-3</v>
      </c>
      <c r="AB160" s="55">
        <f t="shared" si="24"/>
        <v>-5.4461206453812565</v>
      </c>
      <c r="AC160" s="55">
        <f t="shared" si="29"/>
        <v>-5.4556420071023588</v>
      </c>
      <c r="AD160" s="55"/>
      <c r="AE160" s="55"/>
      <c r="AF160" s="55"/>
      <c r="AG160" s="55"/>
      <c r="AH160" s="55"/>
    </row>
    <row r="161" spans="1:34" ht="15.75">
      <c r="A161" s="39">
        <v>10.905666699999999</v>
      </c>
      <c r="B161" s="39">
        <v>11.223000000000001</v>
      </c>
      <c r="C161" s="39">
        <v>159</v>
      </c>
      <c r="D161">
        <v>159</v>
      </c>
      <c r="E161" s="10">
        <v>1381000</v>
      </c>
      <c r="F161" s="10">
        <v>1117220</v>
      </c>
      <c r="G161" s="10">
        <v>20707</v>
      </c>
      <c r="H161" s="10">
        <v>42628</v>
      </c>
      <c r="I161" s="10">
        <v>11710</v>
      </c>
      <c r="J161" s="10">
        <v>35065</v>
      </c>
      <c r="K161">
        <v>159</v>
      </c>
      <c r="L161" s="10">
        <v>1710</v>
      </c>
      <c r="M161" s="10">
        <v>418520</v>
      </c>
      <c r="N161" s="10">
        <v>4715</v>
      </c>
      <c r="O161">
        <v>-0.47631694816243819</v>
      </c>
      <c r="P161">
        <v>0.99202125954180476</v>
      </c>
      <c r="Q161">
        <v>-0.31357777360660138</v>
      </c>
      <c r="R161">
        <v>0.31357777360660138</v>
      </c>
      <c r="S161">
        <f t="shared" si="30"/>
        <v>1.0967603043792478</v>
      </c>
      <c r="T161" s="148">
        <f t="shared" si="25"/>
        <v>1.1083376900158965</v>
      </c>
      <c r="U161">
        <f t="shared" si="31"/>
        <v>2.2842133641541369</v>
      </c>
      <c r="V161" s="55">
        <f t="shared" si="26"/>
        <v>2.3121180123018505</v>
      </c>
      <c r="W161">
        <f t="shared" si="32"/>
        <v>0.52673167463098602</v>
      </c>
      <c r="X161" s="55">
        <f t="shared" si="27"/>
        <v>0.54984867529863002</v>
      </c>
      <c r="Y161" s="149">
        <v>11.223000000000001</v>
      </c>
      <c r="Z161" s="55">
        <f t="shared" si="23"/>
        <v>4.220296808148798E-3</v>
      </c>
      <c r="AA161" s="55">
        <f t="shared" si="28"/>
        <v>4.3313197427183999E-3</v>
      </c>
      <c r="AB161" s="55">
        <f t="shared" si="24"/>
        <v>-5.4678498197229652</v>
      </c>
      <c r="AC161" s="55">
        <f t="shared" si="29"/>
        <v>-5.4421431166778369</v>
      </c>
      <c r="AD161" s="55"/>
      <c r="AE161" s="55"/>
      <c r="AF161" s="55"/>
      <c r="AG161" s="55"/>
      <c r="AH161" s="55"/>
    </row>
    <row r="162" spans="1:34" ht="15.75">
      <c r="A162" s="39">
        <v>10.921105300000001</v>
      </c>
      <c r="B162" s="39">
        <v>11.238947400000001</v>
      </c>
      <c r="C162" s="39">
        <v>160</v>
      </c>
      <c r="D162">
        <v>160</v>
      </c>
      <c r="E162" s="10">
        <v>1385580</v>
      </c>
      <c r="F162" s="10">
        <v>1110150</v>
      </c>
      <c r="G162" s="10">
        <v>20053</v>
      </c>
      <c r="H162" s="10">
        <v>42148</v>
      </c>
      <c r="I162" s="10">
        <v>11237</v>
      </c>
      <c r="J162" s="10">
        <v>35025</v>
      </c>
      <c r="K162">
        <v>160</v>
      </c>
      <c r="L162" s="10">
        <v>1863</v>
      </c>
      <c r="M162" s="10">
        <v>420650</v>
      </c>
      <c r="N162" s="10">
        <v>4952</v>
      </c>
      <c r="O162">
        <v>-0.49372776309389804</v>
      </c>
      <c r="P162">
        <v>0.99914392187263701</v>
      </c>
      <c r="Q162">
        <v>-0.32259761756579108</v>
      </c>
      <c r="R162">
        <v>0.32259761756579103</v>
      </c>
      <c r="S162">
        <f t="shared" si="30"/>
        <v>1.1368501872973054</v>
      </c>
      <c r="T162" s="148">
        <f t="shared" si="25"/>
        <v>1.0944637002888182</v>
      </c>
      <c r="U162">
        <f t="shared" si="31"/>
        <v>2.3006139002595414</v>
      </c>
      <c r="V162" s="55">
        <f t="shared" si="26"/>
        <v>2.2973862239258658</v>
      </c>
      <c r="W162">
        <f t="shared" si="32"/>
        <v>0.5576833237281742</v>
      </c>
      <c r="X162" s="55">
        <f t="shared" si="27"/>
        <v>0.55492791140882469</v>
      </c>
      <c r="Y162" s="149">
        <v>11.238947400000001</v>
      </c>
      <c r="Z162" s="55">
        <f t="shared" si="23"/>
        <v>4.4606584695761837E-3</v>
      </c>
      <c r="AA162" s="55">
        <f t="shared" si="28"/>
        <v>4.3121552830083431E-3</v>
      </c>
      <c r="AB162" s="55">
        <f t="shared" si="24"/>
        <v>-5.4124588849292898</v>
      </c>
      <c r="AC162" s="55">
        <f t="shared" si="29"/>
        <v>-5.4466164118508873</v>
      </c>
      <c r="AD162" s="55"/>
      <c r="AE162" s="55"/>
      <c r="AF162" s="55"/>
      <c r="AG162" s="55"/>
      <c r="AH162" s="55"/>
    </row>
    <row r="163" spans="1:34" ht="15.75">
      <c r="A163" s="39">
        <v>10.9365439</v>
      </c>
      <c r="B163" s="39">
        <v>11.254894699999999</v>
      </c>
      <c r="C163" s="39">
        <v>161</v>
      </c>
      <c r="D163">
        <v>161</v>
      </c>
      <c r="E163" s="10">
        <v>1383980</v>
      </c>
      <c r="F163" s="10">
        <v>1111500</v>
      </c>
      <c r="G163" s="10">
        <v>19259</v>
      </c>
      <c r="H163" s="10">
        <v>41996</v>
      </c>
      <c r="I163" s="10">
        <v>12044</v>
      </c>
      <c r="J163" s="10">
        <v>34410</v>
      </c>
      <c r="K163">
        <v>161</v>
      </c>
      <c r="L163" s="10">
        <v>2241</v>
      </c>
      <c r="M163" s="10">
        <v>421958</v>
      </c>
      <c r="N163" s="10">
        <v>4730</v>
      </c>
      <c r="O163">
        <v>-0.4559139257802084</v>
      </c>
      <c r="P163">
        <v>1.0020612981402139</v>
      </c>
      <c r="Q163">
        <v>-0.33857419388436721</v>
      </c>
      <c r="R163">
        <v>0.33857419388436721</v>
      </c>
      <c r="S163">
        <f t="shared" si="30"/>
        <v>1.0497806091899016</v>
      </c>
      <c r="T163" s="148">
        <f t="shared" si="25"/>
        <v>1.0616438401844599</v>
      </c>
      <c r="U163">
        <f t="shared" si="31"/>
        <v>2.3073314073639186</v>
      </c>
      <c r="V163" s="55">
        <f t="shared" si="26"/>
        <v>2.3069181767526881</v>
      </c>
      <c r="W163">
        <f t="shared" si="32"/>
        <v>0.58036873586731397</v>
      </c>
      <c r="X163" s="55">
        <f t="shared" si="27"/>
        <v>0.57212045849384296</v>
      </c>
      <c r="Y163" s="149">
        <v>11.254894699999999</v>
      </c>
      <c r="Z163" s="55">
        <f t="shared" si="23"/>
        <v>4.2555105713000451E-3</v>
      </c>
      <c r="AA163" s="55">
        <f t="shared" si="28"/>
        <v>4.310976031166743E-3</v>
      </c>
      <c r="AB163" s="55">
        <f t="shared" si="24"/>
        <v>-5.4595405309004095</v>
      </c>
      <c r="AC163" s="55">
        <f t="shared" si="29"/>
        <v>-5.4468959529444092</v>
      </c>
      <c r="AD163" s="55"/>
      <c r="AE163" s="55"/>
      <c r="AF163" s="55"/>
      <c r="AG163" s="55"/>
      <c r="AH163" s="55"/>
    </row>
    <row r="164" spans="1:34" ht="15.75">
      <c r="A164" s="39">
        <v>10.9519825</v>
      </c>
      <c r="B164" s="39">
        <v>11.270842099999999</v>
      </c>
      <c r="C164" s="39">
        <v>162</v>
      </c>
      <c r="D164">
        <v>162</v>
      </c>
      <c r="E164" s="10">
        <v>1378090</v>
      </c>
      <c r="F164" s="10">
        <v>1111280</v>
      </c>
      <c r="G164" s="10">
        <v>18965</v>
      </c>
      <c r="H164" s="10">
        <v>41327</v>
      </c>
      <c r="I164" s="10">
        <v>12461</v>
      </c>
      <c r="J164" s="10">
        <v>33815</v>
      </c>
      <c r="K164">
        <v>162</v>
      </c>
      <c r="L164" s="10">
        <v>4416</v>
      </c>
      <c r="M164" s="10">
        <v>417517</v>
      </c>
      <c r="N164" s="10">
        <v>4686</v>
      </c>
      <c r="O164">
        <v>-0.4335564957419597</v>
      </c>
      <c r="P164">
        <v>1.004440283085158</v>
      </c>
      <c r="Q164">
        <v>-0.33828103318280028</v>
      </c>
      <c r="R164">
        <v>0.33828103318280034</v>
      </c>
      <c r="S164">
        <f t="shared" si="30"/>
        <v>0.99830072406617276</v>
      </c>
      <c r="T164" s="148">
        <f t="shared" si="25"/>
        <v>1.0226240447410586</v>
      </c>
      <c r="U164">
        <f t="shared" si="31"/>
        <v>2.3128092226346038</v>
      </c>
      <c r="V164" s="55">
        <f t="shared" si="26"/>
        <v>2.3182356797207544</v>
      </c>
      <c r="W164">
        <f t="shared" si="32"/>
        <v>0.57830931588604095</v>
      </c>
      <c r="X164" s="55">
        <f t="shared" si="27"/>
        <v>0.58172592223425246</v>
      </c>
      <c r="Y164" s="149">
        <v>11.270842099999999</v>
      </c>
      <c r="Z164" s="55">
        <f t="shared" si="23"/>
        <v>4.2167590526240011E-3</v>
      </c>
      <c r="AA164" s="55">
        <f t="shared" si="28"/>
        <v>4.1610096902641143E-3</v>
      </c>
      <c r="AB164" s="55">
        <f t="shared" si="24"/>
        <v>-5.4686884430035301</v>
      </c>
      <c r="AC164" s="55">
        <f t="shared" si="29"/>
        <v>-5.4823345470842773</v>
      </c>
      <c r="AD164" s="55"/>
      <c r="AE164" s="55"/>
      <c r="AF164" s="55"/>
      <c r="AG164" s="55"/>
      <c r="AH164" s="55"/>
    </row>
    <row r="165" spans="1:34" ht="15.75">
      <c r="A165" s="39">
        <v>10.967421099999999</v>
      </c>
      <c r="B165" s="39">
        <v>11.286789499999999</v>
      </c>
      <c r="C165" s="39">
        <v>163</v>
      </c>
      <c r="D165">
        <v>163</v>
      </c>
      <c r="E165" s="10">
        <v>1338550</v>
      </c>
      <c r="F165" s="10">
        <v>1081840</v>
      </c>
      <c r="G165" s="10">
        <v>18056</v>
      </c>
      <c r="H165" s="10">
        <v>39196</v>
      </c>
      <c r="I165" s="10">
        <v>11707</v>
      </c>
      <c r="J165" s="10">
        <v>32459</v>
      </c>
      <c r="K165">
        <v>163</v>
      </c>
      <c r="L165" s="10">
        <v>4994</v>
      </c>
      <c r="M165" s="10">
        <v>404698</v>
      </c>
      <c r="N165" s="10">
        <v>4339</v>
      </c>
      <c r="O165">
        <v>-0.44288951755570966</v>
      </c>
      <c r="P165">
        <v>1.013889309136502</v>
      </c>
      <c r="Q165">
        <v>-0.33662020292612999</v>
      </c>
      <c r="R165">
        <v>0.33662020292612999</v>
      </c>
      <c r="S165">
        <f t="shared" si="30"/>
        <v>1.0197908009671017</v>
      </c>
      <c r="T165" s="148">
        <f t="shared" si="25"/>
        <v>1.033028323474996</v>
      </c>
      <c r="U165">
        <f t="shared" si="31"/>
        <v>2.3345664091637408</v>
      </c>
      <c r="V165" s="55">
        <f t="shared" si="26"/>
        <v>2.3067213607817734</v>
      </c>
      <c r="W165">
        <f t="shared" si="32"/>
        <v>0.58649971494940245</v>
      </c>
      <c r="X165" s="55">
        <f t="shared" si="27"/>
        <v>0.57910667368990987</v>
      </c>
      <c r="Y165" s="149">
        <v>11.286789499999999</v>
      </c>
      <c r="Z165" s="55">
        <f t="shared" si="23"/>
        <v>4.0107594468682985E-3</v>
      </c>
      <c r="AA165" s="55">
        <f t="shared" si="28"/>
        <v>4.2951017114412357E-3</v>
      </c>
      <c r="AB165" s="55">
        <f t="shared" si="24"/>
        <v>-5.5187746673488904</v>
      </c>
      <c r="AC165" s="55">
        <f t="shared" si="29"/>
        <v>-5.452226008365904</v>
      </c>
      <c r="AD165" s="55"/>
      <c r="AE165" s="55"/>
      <c r="AF165" s="55"/>
      <c r="AG165" s="55"/>
      <c r="AH165" s="55"/>
    </row>
    <row r="166" spans="1:34" ht="15.75">
      <c r="A166" s="39">
        <v>10.982859700000001</v>
      </c>
      <c r="B166" s="39">
        <v>11.3027368</v>
      </c>
      <c r="C166" s="39">
        <v>164</v>
      </c>
      <c r="D166">
        <v>164</v>
      </c>
      <c r="E166" s="10">
        <v>1317920</v>
      </c>
      <c r="F166" s="10">
        <v>1063810</v>
      </c>
      <c r="G166" s="10">
        <v>18756</v>
      </c>
      <c r="H166" s="10">
        <v>40675</v>
      </c>
      <c r="I166" s="10">
        <v>11280</v>
      </c>
      <c r="J166" s="10">
        <v>33249</v>
      </c>
      <c r="K166">
        <v>164</v>
      </c>
      <c r="L166" s="10">
        <v>3646</v>
      </c>
      <c r="M166" s="10">
        <v>394809</v>
      </c>
      <c r="N166" s="10">
        <v>4955</v>
      </c>
      <c r="O166">
        <v>-0.46946948830720509</v>
      </c>
      <c r="P166">
        <v>0.9870594826059933</v>
      </c>
      <c r="Q166">
        <v>-0.33618733754208469</v>
      </c>
      <c r="R166">
        <v>0.33618733754208469</v>
      </c>
      <c r="S166">
        <f t="shared" si="30"/>
        <v>1.0809934453917129</v>
      </c>
      <c r="T166" s="148">
        <f t="shared" si="25"/>
        <v>1.0518120865841967</v>
      </c>
      <c r="U166">
        <f t="shared" si="31"/>
        <v>2.2727884505469755</v>
      </c>
      <c r="V166" s="55">
        <f t="shared" si="26"/>
        <v>2.2978608353014356</v>
      </c>
      <c r="W166">
        <f t="shared" si="32"/>
        <v>0.57251099023428587</v>
      </c>
      <c r="X166" s="55">
        <f t="shared" si="27"/>
        <v>0.58252488180723938</v>
      </c>
      <c r="Y166" s="149">
        <v>11.3027368</v>
      </c>
      <c r="Z166" s="55">
        <f t="shared" si="23"/>
        <v>4.6577866348314076E-3</v>
      </c>
      <c r="AA166" s="55">
        <f t="shared" si="28"/>
        <v>4.3320573935759776E-3</v>
      </c>
      <c r="AB166" s="55">
        <f t="shared" si="24"/>
        <v>-5.3692149147452914</v>
      </c>
      <c r="AC166" s="55">
        <f t="shared" si="29"/>
        <v>-5.4435752381437679</v>
      </c>
      <c r="AD166" s="55"/>
      <c r="AE166" s="55"/>
      <c r="AF166" s="55"/>
      <c r="AG166" s="55"/>
      <c r="AH166" s="55"/>
    </row>
    <row r="167" spans="1:34" ht="15.75">
      <c r="A167" s="39">
        <v>10.9982983</v>
      </c>
      <c r="B167" s="39">
        <v>11.3186842</v>
      </c>
      <c r="C167" s="39">
        <v>165</v>
      </c>
      <c r="D167">
        <v>165</v>
      </c>
      <c r="E167" s="10">
        <v>1341650</v>
      </c>
      <c r="F167" s="10">
        <v>1080500</v>
      </c>
      <c r="G167" s="10">
        <v>18862</v>
      </c>
      <c r="H167" s="10">
        <v>41000</v>
      </c>
      <c r="I167" s="10">
        <v>11835</v>
      </c>
      <c r="J167" s="10">
        <v>33978</v>
      </c>
      <c r="K167">
        <v>165</v>
      </c>
      <c r="L167" s="10">
        <v>2372</v>
      </c>
      <c r="M167" s="10">
        <v>403348</v>
      </c>
      <c r="N167" s="10">
        <v>4676</v>
      </c>
      <c r="O167">
        <v>-0.45802954974507121</v>
      </c>
      <c r="P167">
        <v>0.99289605111653689</v>
      </c>
      <c r="Q167">
        <v>-0.33719611620217438</v>
      </c>
      <c r="R167">
        <v>0.33719611620217432</v>
      </c>
      <c r="S167">
        <f t="shared" si="30"/>
        <v>1.0546520133937756</v>
      </c>
      <c r="T167" s="148">
        <f t="shared" si="25"/>
        <v>1.0453481536804832</v>
      </c>
      <c r="U167">
        <f t="shared" si="31"/>
        <v>2.2862276461935918</v>
      </c>
      <c r="V167" s="55">
        <f t="shared" si="26"/>
        <v>2.2877367042166026</v>
      </c>
      <c r="W167">
        <f t="shared" si="32"/>
        <v>0.58856394023802983</v>
      </c>
      <c r="X167" s="55">
        <f t="shared" si="27"/>
        <v>0.5897324906276703</v>
      </c>
      <c r="Y167" s="149">
        <v>11.3186842</v>
      </c>
      <c r="Z167" s="55">
        <f t="shared" si="23"/>
        <v>4.3276260990282277E-3</v>
      </c>
      <c r="AA167" s="55">
        <f t="shared" si="28"/>
        <v>4.4589740993403138E-3</v>
      </c>
      <c r="AB167" s="55">
        <f t="shared" si="24"/>
        <v>-5.4427361323371191</v>
      </c>
      <c r="AC167" s="55">
        <f t="shared" si="29"/>
        <v>-5.4133444312705308</v>
      </c>
      <c r="AD167" s="55"/>
      <c r="AE167" s="55"/>
      <c r="AF167" s="55"/>
      <c r="AG167" s="55"/>
      <c r="AH167" s="55"/>
    </row>
    <row r="168" spans="1:34" ht="15.75">
      <c r="A168" s="39">
        <v>11.0137368</v>
      </c>
      <c r="B168" s="39">
        <v>11.3346316</v>
      </c>
      <c r="C168" s="39">
        <v>166</v>
      </c>
      <c r="D168">
        <v>166</v>
      </c>
      <c r="E168" s="10">
        <v>1340020</v>
      </c>
      <c r="F168" s="10">
        <v>1086870</v>
      </c>
      <c r="G168" s="10">
        <v>18605</v>
      </c>
      <c r="H168" s="10">
        <v>40243</v>
      </c>
      <c r="I168" s="10">
        <v>12568</v>
      </c>
      <c r="J168" s="10">
        <v>34177</v>
      </c>
      <c r="K168">
        <v>166</v>
      </c>
      <c r="L168" s="10">
        <v>1897</v>
      </c>
      <c r="M168" s="10">
        <v>403078</v>
      </c>
      <c r="N168" s="10">
        <v>4773</v>
      </c>
      <c r="O168">
        <v>-0.43446776638128259</v>
      </c>
      <c r="P168">
        <v>1.0006987463438766</v>
      </c>
      <c r="Q168">
        <v>-0.33506067430267883</v>
      </c>
      <c r="R168">
        <v>0.33506067430267877</v>
      </c>
      <c r="S168">
        <f t="shared" si="30"/>
        <v>1.0003990022559608</v>
      </c>
      <c r="T168" s="148">
        <f t="shared" si="25"/>
        <v>1.0268383844520756</v>
      </c>
      <c r="U168">
        <f t="shared" si="31"/>
        <v>2.30419401590924</v>
      </c>
      <c r="V168" s="55">
        <f t="shared" si="26"/>
        <v>2.3054407753633055</v>
      </c>
      <c r="W168">
        <f t="shared" si="32"/>
        <v>0.60812254141069499</v>
      </c>
      <c r="X168" s="55">
        <f t="shared" si="27"/>
        <v>0.59411121603277672</v>
      </c>
      <c r="Y168" s="149">
        <v>11.3346316</v>
      </c>
      <c r="Z168" s="55">
        <f t="shared" si="23"/>
        <v>4.3915095641613071E-3</v>
      </c>
      <c r="AA168" s="55">
        <f t="shared" si="28"/>
        <v>4.3627688196253072E-3</v>
      </c>
      <c r="AB168" s="55">
        <f t="shared" si="24"/>
        <v>-5.4280822467291809</v>
      </c>
      <c r="AC168" s="55">
        <f t="shared" si="29"/>
        <v>-5.4346668054054854</v>
      </c>
      <c r="AD168" s="55"/>
      <c r="AE168" s="55"/>
      <c r="AF168" s="55"/>
      <c r="AG168" s="55"/>
      <c r="AH168" s="55"/>
    </row>
    <row r="169" spans="1:34" ht="15.75">
      <c r="A169" s="39">
        <v>11.0291754</v>
      </c>
      <c r="B169" s="39">
        <v>11.350579</v>
      </c>
      <c r="C169" s="39">
        <v>167</v>
      </c>
      <c r="D169">
        <v>167</v>
      </c>
      <c r="E169" s="10">
        <v>1359670</v>
      </c>
      <c r="F169" s="10">
        <v>1097920</v>
      </c>
      <c r="G169" s="10">
        <v>18612</v>
      </c>
      <c r="H169" s="10">
        <v>40624</v>
      </c>
      <c r="I169" s="10">
        <v>11989</v>
      </c>
      <c r="J169" s="10">
        <v>33430</v>
      </c>
      <c r="K169">
        <v>167</v>
      </c>
      <c r="L169" s="10">
        <v>2470</v>
      </c>
      <c r="M169" s="10">
        <v>415823</v>
      </c>
      <c r="N169" s="10">
        <v>4797</v>
      </c>
      <c r="O169">
        <v>-0.44535341639560527</v>
      </c>
      <c r="P169">
        <v>1.0101258238247</v>
      </c>
      <c r="Q169">
        <v>-0.33898963966841722</v>
      </c>
      <c r="R169">
        <v>0.33898963966841728</v>
      </c>
      <c r="S169">
        <f t="shared" si="30"/>
        <v>1.0254641377064906</v>
      </c>
      <c r="T169" s="148">
        <f t="shared" si="25"/>
        <v>1.0060776585110414</v>
      </c>
      <c r="U169">
        <f t="shared" si="31"/>
        <v>2.3259006639870838</v>
      </c>
      <c r="V169" s="55">
        <f t="shared" si="26"/>
        <v>2.3179436258722776</v>
      </c>
      <c r="W169">
        <f t="shared" si="32"/>
        <v>0.58564716644960513</v>
      </c>
      <c r="X169" s="55">
        <f t="shared" si="27"/>
        <v>0.59158500978330975</v>
      </c>
      <c r="Y169" s="149">
        <v>11.350579</v>
      </c>
      <c r="Z169" s="55">
        <f t="shared" si="23"/>
        <v>4.3691707956863887E-3</v>
      </c>
      <c r="AA169" s="55">
        <f t="shared" si="28"/>
        <v>4.4325032514540329E-3</v>
      </c>
      <c r="AB169" s="55">
        <f t="shared" si="24"/>
        <v>-5.433182037150158</v>
      </c>
      <c r="AC169" s="55">
        <f t="shared" si="29"/>
        <v>-5.4189303886784517</v>
      </c>
      <c r="AD169" s="55"/>
      <c r="AE169" s="55"/>
      <c r="AF169" s="55"/>
      <c r="AG169" s="55"/>
      <c r="AH169" s="55"/>
    </row>
    <row r="170" spans="1:34" ht="15.75">
      <c r="A170" s="39">
        <v>11.044613999999999</v>
      </c>
      <c r="B170" s="39">
        <v>11.3665263</v>
      </c>
      <c r="C170" s="39">
        <v>168</v>
      </c>
      <c r="D170">
        <v>168</v>
      </c>
      <c r="E170" s="10">
        <v>1360260</v>
      </c>
      <c r="F170" s="10">
        <v>1101430</v>
      </c>
      <c r="G170" s="10">
        <v>18638</v>
      </c>
      <c r="H170" s="10">
        <v>40643</v>
      </c>
      <c r="I170" s="10">
        <v>12352</v>
      </c>
      <c r="J170" s="10">
        <v>33321</v>
      </c>
      <c r="K170">
        <v>168</v>
      </c>
      <c r="L170" s="10">
        <v>1867</v>
      </c>
      <c r="M170" s="10">
        <v>415118</v>
      </c>
      <c r="N170" s="10">
        <v>4997</v>
      </c>
      <c r="O170">
        <v>-0.43098074359558031</v>
      </c>
      <c r="P170">
        <v>1.0091858080688609</v>
      </c>
      <c r="Q170">
        <v>-0.3385864498350315</v>
      </c>
      <c r="R170">
        <v>0.3385864498350315</v>
      </c>
      <c r="S170">
        <f t="shared" si="30"/>
        <v>0.99236983557067238</v>
      </c>
      <c r="T170" s="148">
        <f t="shared" si="25"/>
        <v>0.99805956412161778</v>
      </c>
      <c r="U170">
        <f t="shared" si="31"/>
        <v>2.3237361977205095</v>
      </c>
      <c r="V170" s="55">
        <f t="shared" si="26"/>
        <v>2.3159856271723296</v>
      </c>
      <c r="W170">
        <f t="shared" si="32"/>
        <v>0.580985321489629</v>
      </c>
      <c r="X170" s="55">
        <f t="shared" si="27"/>
        <v>0.57500055066193567</v>
      </c>
      <c r="Y170" s="149">
        <v>11.3665263</v>
      </c>
      <c r="Z170" s="55">
        <f t="shared" si="23"/>
        <v>4.5368293945144038E-3</v>
      </c>
      <c r="AA170" s="55">
        <f t="shared" si="28"/>
        <v>4.4315012677663196E-3</v>
      </c>
      <c r="AB170" s="55">
        <f t="shared" si="24"/>
        <v>-5.3955268821560143</v>
      </c>
      <c r="AC170" s="55">
        <f t="shared" si="29"/>
        <v>-5.419158630642702</v>
      </c>
      <c r="AD170" s="55"/>
      <c r="AE170" s="55"/>
      <c r="AF170" s="55"/>
      <c r="AG170" s="55"/>
      <c r="AH170" s="55"/>
    </row>
    <row r="171" spans="1:34" ht="15.75">
      <c r="A171" s="39">
        <v>11.060052600000001</v>
      </c>
      <c r="B171" s="39">
        <v>11.3824737</v>
      </c>
      <c r="C171" s="39">
        <v>169</v>
      </c>
      <c r="D171">
        <v>169</v>
      </c>
      <c r="E171" s="10">
        <v>1359950</v>
      </c>
      <c r="F171" s="10">
        <v>1098780</v>
      </c>
      <c r="G171" s="10">
        <v>19264</v>
      </c>
      <c r="H171" s="10">
        <v>41189</v>
      </c>
      <c r="I171" s="10">
        <v>12683</v>
      </c>
      <c r="J171" s="10">
        <v>33670</v>
      </c>
      <c r="K171">
        <v>169</v>
      </c>
      <c r="L171" s="10">
        <v>1588</v>
      </c>
      <c r="M171" s="10">
        <v>410137</v>
      </c>
      <c r="N171" s="10">
        <v>4822</v>
      </c>
      <c r="O171">
        <v>-0.4240211239351645</v>
      </c>
      <c r="P171">
        <v>0.99814770225099303</v>
      </c>
      <c r="Q171">
        <v>-0.33003477856334756</v>
      </c>
      <c r="R171">
        <v>0.33003477856334756</v>
      </c>
      <c r="S171">
        <f t="shared" si="30"/>
        <v>0.9763447190876906</v>
      </c>
      <c r="T171" s="148">
        <f t="shared" si="25"/>
        <v>0.9803402745368377</v>
      </c>
      <c r="U171">
        <f t="shared" si="31"/>
        <v>2.2983200198093958</v>
      </c>
      <c r="V171" s="55">
        <f t="shared" si="26"/>
        <v>2.3166931109025604</v>
      </c>
      <c r="W171">
        <f t="shared" si="32"/>
        <v>0.55836916404657266</v>
      </c>
      <c r="X171" s="55">
        <f t="shared" si="27"/>
        <v>0.58144184472179661</v>
      </c>
      <c r="Y171" s="149">
        <v>11.3824737</v>
      </c>
      <c r="Z171" s="55">
        <f t="shared" si="23"/>
        <v>4.3885036130981636E-3</v>
      </c>
      <c r="AA171" s="55">
        <f t="shared" si="28"/>
        <v>4.4384818697036435E-3</v>
      </c>
      <c r="AB171" s="55">
        <f t="shared" si="24"/>
        <v>-5.4287669726219328</v>
      </c>
      <c r="AC171" s="55">
        <f t="shared" si="29"/>
        <v>-5.4175647524859682</v>
      </c>
      <c r="AD171" s="55"/>
      <c r="AE171" s="55"/>
      <c r="AF171" s="55"/>
      <c r="AG171" s="55"/>
      <c r="AH171" s="55"/>
    </row>
    <row r="172" spans="1:34" ht="15.75">
      <c r="A172" s="39">
        <v>11.0754912</v>
      </c>
      <c r="B172" s="39">
        <v>11.3984211</v>
      </c>
      <c r="C172" s="39">
        <v>170</v>
      </c>
      <c r="D172">
        <v>170</v>
      </c>
      <c r="E172" s="10">
        <v>1388600</v>
      </c>
      <c r="F172" s="10">
        <v>1114550</v>
      </c>
      <c r="G172" s="10">
        <v>18821</v>
      </c>
      <c r="H172" s="10">
        <v>41278</v>
      </c>
      <c r="I172" s="10">
        <v>13035</v>
      </c>
      <c r="J172" s="10">
        <v>34465</v>
      </c>
      <c r="K172">
        <v>170</v>
      </c>
      <c r="L172" s="10">
        <v>1489</v>
      </c>
      <c r="M172" s="10">
        <v>423415</v>
      </c>
      <c r="N172" s="10">
        <v>4893</v>
      </c>
      <c r="O172">
        <v>-0.42226724732585785</v>
      </c>
      <c r="P172">
        <v>1.0110475926649265</v>
      </c>
      <c r="Q172">
        <v>-0.34107595201077229</v>
      </c>
      <c r="R172">
        <v>0.34107595201077234</v>
      </c>
      <c r="S172">
        <f t="shared" si="30"/>
        <v>0.97230626895215011</v>
      </c>
      <c r="T172" s="148">
        <f t="shared" si="25"/>
        <v>0.94490166693171418</v>
      </c>
      <c r="U172">
        <f t="shared" si="31"/>
        <v>2.3280231151777757</v>
      </c>
      <c r="V172" s="55">
        <f t="shared" si="26"/>
        <v>2.3288685885671723</v>
      </c>
      <c r="W172">
        <f t="shared" si="32"/>
        <v>0.60497104862918816</v>
      </c>
      <c r="X172" s="55">
        <f t="shared" si="27"/>
        <v>0.57512815666912565</v>
      </c>
      <c r="Y172" s="149">
        <v>11.3984211</v>
      </c>
      <c r="Z172" s="55">
        <f t="shared" si="23"/>
        <v>4.3901126014983622E-3</v>
      </c>
      <c r="AA172" s="55">
        <f t="shared" si="28"/>
        <v>4.430572732533119E-3</v>
      </c>
      <c r="AB172" s="55">
        <f t="shared" si="24"/>
        <v>-5.4284004026799551</v>
      </c>
      <c r="AC172" s="55">
        <f t="shared" si="29"/>
        <v>-5.4193126453623135</v>
      </c>
      <c r="AD172" s="55"/>
      <c r="AE172" s="55"/>
      <c r="AF172" s="55"/>
      <c r="AG172" s="55"/>
      <c r="AH172" s="55"/>
    </row>
    <row r="173" spans="1:34" ht="15.75">
      <c r="A173" s="39">
        <v>11.0909298</v>
      </c>
      <c r="B173" s="39">
        <v>11.414368400000001</v>
      </c>
      <c r="C173" s="39">
        <v>171</v>
      </c>
      <c r="D173">
        <v>171</v>
      </c>
      <c r="E173" s="10">
        <v>1403970</v>
      </c>
      <c r="F173" s="10">
        <v>1129600</v>
      </c>
      <c r="G173" s="10">
        <v>19154</v>
      </c>
      <c r="H173" s="10">
        <v>41234</v>
      </c>
      <c r="I173" s="10">
        <v>13853</v>
      </c>
      <c r="J173" s="10">
        <v>33601</v>
      </c>
      <c r="K173">
        <v>171</v>
      </c>
      <c r="L173" s="10">
        <v>1362</v>
      </c>
      <c r="M173" s="10">
        <v>436822</v>
      </c>
      <c r="N173" s="10">
        <v>5098</v>
      </c>
      <c r="O173">
        <v>-0.38480836840786109</v>
      </c>
      <c r="P173">
        <v>1.0250490363616929</v>
      </c>
      <c r="Q173">
        <v>-0.33299598350649606</v>
      </c>
      <c r="R173">
        <v>0.33299598350649601</v>
      </c>
      <c r="S173">
        <f t="shared" si="30"/>
        <v>0.88605401275530171</v>
      </c>
      <c r="T173" s="148">
        <f t="shared" si="25"/>
        <v>0.9268611919167139</v>
      </c>
      <c r="U173">
        <f t="shared" si="31"/>
        <v>2.3602626307143457</v>
      </c>
      <c r="V173" s="55">
        <f t="shared" si="26"/>
        <v>2.333690133692544</v>
      </c>
      <c r="W173">
        <f t="shared" si="32"/>
        <v>0.56204425733161623</v>
      </c>
      <c r="X173" s="55">
        <f t="shared" si="27"/>
        <v>0.57706119199242201</v>
      </c>
      <c r="Y173" s="149">
        <v>11.414368400000001</v>
      </c>
      <c r="Z173" s="55">
        <f t="shared" si="23"/>
        <v>4.513101983002833E-3</v>
      </c>
      <c r="AA173" s="55">
        <f t="shared" si="28"/>
        <v>4.5246413794358146E-3</v>
      </c>
      <c r="AB173" s="55">
        <f t="shared" si="24"/>
        <v>-5.4007705607850536</v>
      </c>
      <c r="AC173" s="55">
        <f t="shared" si="29"/>
        <v>-5.3985384145304387</v>
      </c>
      <c r="AD173" s="55"/>
      <c r="AE173" s="55"/>
      <c r="AF173" s="55"/>
      <c r="AG173" s="55"/>
      <c r="AH173" s="55"/>
    </row>
    <row r="174" spans="1:34" ht="15.75">
      <c r="A174" s="39">
        <v>11.106368399999999</v>
      </c>
      <c r="B174" s="39">
        <v>11.430315800000001</v>
      </c>
      <c r="C174" s="39">
        <v>172</v>
      </c>
      <c r="D174">
        <v>172</v>
      </c>
      <c r="E174" s="10">
        <v>1381250</v>
      </c>
      <c r="F174" s="10">
        <v>1106470</v>
      </c>
      <c r="G174" s="10">
        <v>19474</v>
      </c>
      <c r="H174" s="10">
        <v>41310</v>
      </c>
      <c r="I174" s="10">
        <v>13613</v>
      </c>
      <c r="J174" s="10">
        <v>34235</v>
      </c>
      <c r="K174">
        <v>172</v>
      </c>
      <c r="L174" s="10">
        <v>1708</v>
      </c>
      <c r="M174" s="10">
        <v>417335</v>
      </c>
      <c r="N174" s="10">
        <v>5168</v>
      </c>
      <c r="O174">
        <v>-0.4005164876853804</v>
      </c>
      <c r="P174">
        <v>1.0044296135775821</v>
      </c>
      <c r="Q174">
        <v>-0.32660002930630166</v>
      </c>
      <c r="R174">
        <v>0.32660002930630172</v>
      </c>
      <c r="S174">
        <f t="shared" si="30"/>
        <v>0.92222329404269021</v>
      </c>
      <c r="T174" s="148">
        <f t="shared" si="25"/>
        <v>0.92458512355969791</v>
      </c>
      <c r="U174">
        <f t="shared" si="31"/>
        <v>2.31278465518551</v>
      </c>
      <c r="V174" s="55">
        <f t="shared" si="26"/>
        <v>2.3241922208133072</v>
      </c>
      <c r="W174">
        <f t="shared" si="32"/>
        <v>0.56416827001646175</v>
      </c>
      <c r="X174" s="55">
        <f t="shared" si="27"/>
        <v>0.56957415651337551</v>
      </c>
      <c r="Y174" s="149">
        <v>11.430315800000001</v>
      </c>
      <c r="Z174" s="55">
        <f t="shared" si="23"/>
        <v>4.6707095538062486E-3</v>
      </c>
      <c r="AA174" s="55">
        <f t="shared" si="28"/>
        <v>4.4770736995689729E-3</v>
      </c>
      <c r="AB174" s="55">
        <f t="shared" si="24"/>
        <v>-5.3664442801263075</v>
      </c>
      <c r="AC174" s="55">
        <f t="shared" si="29"/>
        <v>-5.4095536125448094</v>
      </c>
      <c r="AD174" s="55"/>
      <c r="AE174" s="55"/>
      <c r="AF174" s="55"/>
      <c r="AG174" s="55"/>
      <c r="AH174" s="55"/>
    </row>
    <row r="175" spans="1:34" ht="15.75">
      <c r="A175" s="39">
        <v>11.121807</v>
      </c>
      <c r="B175" s="39">
        <v>11.446263200000001</v>
      </c>
      <c r="C175" s="39">
        <v>173</v>
      </c>
      <c r="D175">
        <v>173</v>
      </c>
      <c r="E175" s="10">
        <v>1371240</v>
      </c>
      <c r="F175" s="10">
        <v>1100200</v>
      </c>
      <c r="G175" s="10">
        <v>19339</v>
      </c>
      <c r="H175" s="10">
        <v>41330</v>
      </c>
      <c r="I175" s="10">
        <v>13186</v>
      </c>
      <c r="J175" s="10">
        <v>34627</v>
      </c>
      <c r="K175">
        <v>173</v>
      </c>
      <c r="L175" s="10">
        <v>1680</v>
      </c>
      <c r="M175" s="10">
        <v>412039</v>
      </c>
      <c r="N175" s="10">
        <v>4673</v>
      </c>
      <c r="O175">
        <v>-0.41930179554219787</v>
      </c>
      <c r="P175">
        <v>0.99867291920577594</v>
      </c>
      <c r="Q175">
        <v>-0.3298313918796153</v>
      </c>
      <c r="R175">
        <v>0.32983139187961535</v>
      </c>
      <c r="S175">
        <f t="shared" si="30"/>
        <v>0.96547806388110191</v>
      </c>
      <c r="T175" s="148">
        <f t="shared" si="25"/>
        <v>0.9453536860252546</v>
      </c>
      <c r="U175">
        <f t="shared" si="31"/>
        <v>2.2995293765400668</v>
      </c>
      <c r="V175" s="55">
        <f t="shared" si="26"/>
        <v>2.3016028584416914</v>
      </c>
      <c r="W175">
        <f t="shared" si="32"/>
        <v>0.58250994219204855</v>
      </c>
      <c r="X175" s="55">
        <f t="shared" si="27"/>
        <v>0.57408379921097541</v>
      </c>
      <c r="Y175" s="149">
        <v>11.446263200000001</v>
      </c>
      <c r="Z175" s="55">
        <f t="shared" si="23"/>
        <v>4.247409561897837E-3</v>
      </c>
      <c r="AA175" s="55">
        <f t="shared" si="28"/>
        <v>4.4055438037673787E-3</v>
      </c>
      <c r="AB175" s="55">
        <f t="shared" si="24"/>
        <v>-5.4614459967230689</v>
      </c>
      <c r="AC175" s="55">
        <f t="shared" si="29"/>
        <v>-5.4257921902546693</v>
      </c>
      <c r="AD175" s="55"/>
      <c r="AE175" s="55"/>
      <c r="AF175" s="55"/>
      <c r="AG175" s="55"/>
      <c r="AH175" s="55"/>
    </row>
    <row r="176" spans="1:34" ht="15.75">
      <c r="A176" s="39">
        <v>11.1372456</v>
      </c>
      <c r="B176" s="39">
        <v>11.462210499999999</v>
      </c>
      <c r="C176" s="39">
        <v>174</v>
      </c>
      <c r="D176">
        <v>174</v>
      </c>
      <c r="E176" s="10">
        <v>1384200</v>
      </c>
      <c r="F176" s="10">
        <v>1111780</v>
      </c>
      <c r="G176" s="10">
        <v>19432</v>
      </c>
      <c r="H176" s="10">
        <v>42451</v>
      </c>
      <c r="I176" s="10">
        <v>13385</v>
      </c>
      <c r="J176" s="10">
        <v>34553</v>
      </c>
      <c r="K176">
        <v>174</v>
      </c>
      <c r="L176" s="10">
        <v>1677</v>
      </c>
      <c r="M176" s="10">
        <v>420248</v>
      </c>
      <c r="N176" s="10">
        <v>4779</v>
      </c>
      <c r="O176">
        <v>-0.41186738463542366</v>
      </c>
      <c r="P176">
        <v>0.99561773007857546</v>
      </c>
      <c r="Q176">
        <v>-0.33937042339224055</v>
      </c>
      <c r="R176">
        <v>0.33937042339224049</v>
      </c>
      <c r="S176">
        <f t="shared" si="30"/>
        <v>0.94835970015197135</v>
      </c>
      <c r="T176" s="148">
        <f t="shared" si="25"/>
        <v>0.93375931065791118</v>
      </c>
      <c r="U176">
        <f t="shared" si="31"/>
        <v>2.2924945435994974</v>
      </c>
      <c r="V176" s="55">
        <f t="shared" si="26"/>
        <v>2.2897326681471761</v>
      </c>
      <c r="W176">
        <f t="shared" si="32"/>
        <v>0.57557318542441593</v>
      </c>
      <c r="X176" s="55">
        <f t="shared" si="27"/>
        <v>0.57958081148592766</v>
      </c>
      <c r="Y176" s="149">
        <v>11.462210499999999</v>
      </c>
      <c r="Z176" s="55">
        <f t="shared" si="23"/>
        <v>4.2985122955980504E-3</v>
      </c>
      <c r="AA176" s="55">
        <f t="shared" si="28"/>
        <v>4.299188080933462E-3</v>
      </c>
      <c r="AB176" s="55">
        <f t="shared" si="24"/>
        <v>-5.4494862939146316</v>
      </c>
      <c r="AC176" s="55">
        <f t="shared" si="29"/>
        <v>-5.4493780786456369</v>
      </c>
      <c r="AD176" s="55"/>
      <c r="AE176" s="55"/>
      <c r="AF176" s="55"/>
      <c r="AG176" s="55"/>
      <c r="AH176" s="55"/>
    </row>
    <row r="177" spans="1:34" ht="15.75">
      <c r="A177" s="39">
        <v>11.152684199999999</v>
      </c>
      <c r="B177" s="39">
        <v>11.478157899999999</v>
      </c>
      <c r="C177" s="39">
        <v>175</v>
      </c>
      <c r="D177">
        <v>175</v>
      </c>
      <c r="E177" s="10">
        <v>1378980</v>
      </c>
      <c r="F177" s="10">
        <v>1105100</v>
      </c>
      <c r="G177" s="10">
        <v>19259</v>
      </c>
      <c r="H177" s="10">
        <v>42645</v>
      </c>
      <c r="I177" s="10">
        <v>14171</v>
      </c>
      <c r="J177" s="10">
        <v>34420</v>
      </c>
      <c r="K177">
        <v>175</v>
      </c>
      <c r="L177" s="10">
        <v>1473</v>
      </c>
      <c r="M177" s="10">
        <v>415750</v>
      </c>
      <c r="N177" s="10">
        <v>4809</v>
      </c>
      <c r="O177">
        <v>-0.38541036795592371</v>
      </c>
      <c r="P177">
        <v>0.98896413914543346</v>
      </c>
      <c r="Q177">
        <v>-0.34523438558153358</v>
      </c>
      <c r="R177">
        <v>0.34523438558153358</v>
      </c>
      <c r="S177">
        <f t="shared" si="30"/>
        <v>0.88744016794066005</v>
      </c>
      <c r="T177" s="148">
        <f t="shared" si="25"/>
        <v>0.93049780562472817</v>
      </c>
      <c r="U177">
        <f t="shared" si="31"/>
        <v>2.2771740843019641</v>
      </c>
      <c r="V177" s="55">
        <f t="shared" si="26"/>
        <v>2.2920503953400382</v>
      </c>
      <c r="W177">
        <f t="shared" si="32"/>
        <v>0.58065930684131828</v>
      </c>
      <c r="X177" s="55">
        <f t="shared" si="27"/>
        <v>0.589000774511518</v>
      </c>
      <c r="Y177" s="149">
        <v>11.478157899999999</v>
      </c>
      <c r="Z177" s="55">
        <f t="shared" si="23"/>
        <v>4.3516423853044977E-3</v>
      </c>
      <c r="AA177" s="55">
        <f t="shared" si="28"/>
        <v>4.367105474128957E-3</v>
      </c>
      <c r="AB177" s="55">
        <f t="shared" si="24"/>
        <v>-5.4372019452992113</v>
      </c>
      <c r="AC177" s="55">
        <f t="shared" si="29"/>
        <v>-5.4337594635291353</v>
      </c>
      <c r="AD177" s="55"/>
      <c r="AE177" s="55"/>
      <c r="AF177" s="55"/>
      <c r="AG177" s="55"/>
      <c r="AH177" s="55"/>
    </row>
    <row r="178" spans="1:34" ht="15.75">
      <c r="A178" s="39">
        <v>11.168122800000001</v>
      </c>
      <c r="B178" s="39">
        <v>11.494105299999999</v>
      </c>
      <c r="C178" s="39">
        <v>176</v>
      </c>
      <c r="D178">
        <v>176</v>
      </c>
      <c r="E178" s="10">
        <v>1381900</v>
      </c>
      <c r="F178" s="10">
        <v>1108250</v>
      </c>
      <c r="G178" s="10">
        <v>19083</v>
      </c>
      <c r="H178" s="10">
        <v>41715</v>
      </c>
      <c r="I178" s="10">
        <v>13516</v>
      </c>
      <c r="J178" s="10">
        <v>35148</v>
      </c>
      <c r="K178">
        <v>176</v>
      </c>
      <c r="L178" s="10">
        <v>1378</v>
      </c>
      <c r="M178" s="10">
        <v>418779</v>
      </c>
      <c r="N178" s="10">
        <v>4933</v>
      </c>
      <c r="O178">
        <v>-0.41505243462636482</v>
      </c>
      <c r="P178">
        <v>1.0016926475970271</v>
      </c>
      <c r="Q178">
        <v>-0.33964559762364593</v>
      </c>
      <c r="R178">
        <v>0.33964559762364588</v>
      </c>
      <c r="S178">
        <f t="shared" si="30"/>
        <v>0.95569354878155321</v>
      </c>
      <c r="T178" s="148">
        <f t="shared" si="25"/>
        <v>0.92652848490957218</v>
      </c>
      <c r="U178">
        <f t="shared" si="31"/>
        <v>2.3064825581186525</v>
      </c>
      <c r="V178" s="55">
        <f t="shared" si="26"/>
        <v>2.2921379922053737</v>
      </c>
      <c r="W178">
        <f t="shared" si="32"/>
        <v>0.6107698312688199</v>
      </c>
      <c r="X178" s="55">
        <f t="shared" si="27"/>
        <v>0.5918710838256791</v>
      </c>
      <c r="Y178" s="149">
        <v>11.494105299999999</v>
      </c>
      <c r="Z178" s="55">
        <f t="shared" si="23"/>
        <v>4.4511617414843222E-3</v>
      </c>
      <c r="AA178" s="55">
        <f t="shared" si="28"/>
        <v>4.3983269673100144E-3</v>
      </c>
      <c r="AB178" s="55">
        <f t="shared" si="24"/>
        <v>-5.4145901513735613</v>
      </c>
      <c r="AC178" s="55">
        <f t="shared" si="29"/>
        <v>-5.4265741409695236</v>
      </c>
      <c r="AD178" s="55"/>
      <c r="AE178" s="55"/>
      <c r="AF178" s="55"/>
      <c r="AG178" s="55"/>
      <c r="AH178" s="55"/>
    </row>
    <row r="179" spans="1:34" ht="15.75">
      <c r="A179" s="39">
        <v>11.1835614</v>
      </c>
      <c r="B179" s="39">
        <v>11.5100526</v>
      </c>
      <c r="C179" s="39">
        <v>177</v>
      </c>
      <c r="D179">
        <v>177</v>
      </c>
      <c r="E179" s="10">
        <v>1376400</v>
      </c>
      <c r="F179" s="10">
        <v>1102870</v>
      </c>
      <c r="G179" s="10">
        <v>19373</v>
      </c>
      <c r="H179" s="10">
        <v>41883</v>
      </c>
      <c r="I179" s="10">
        <v>13621</v>
      </c>
      <c r="J179" s="10">
        <v>34746</v>
      </c>
      <c r="K179">
        <v>177</v>
      </c>
      <c r="L179" s="10">
        <v>1735</v>
      </c>
      <c r="M179" s="10">
        <v>414734</v>
      </c>
      <c r="N179" s="10">
        <v>4844</v>
      </c>
      <c r="O179">
        <v>-0.40669582238493401</v>
      </c>
      <c r="P179">
        <v>0.99573185858431768</v>
      </c>
      <c r="Q179">
        <v>-0.33484090334628319</v>
      </c>
      <c r="R179">
        <v>0.33484090334628314</v>
      </c>
      <c r="S179">
        <f t="shared" si="30"/>
        <v>0.93645173800650316</v>
      </c>
      <c r="T179" s="148">
        <f t="shared" si="25"/>
        <v>0.92123583113104068</v>
      </c>
      <c r="U179">
        <f t="shared" si="31"/>
        <v>2.292757334195505</v>
      </c>
      <c r="V179" s="55">
        <f t="shared" si="26"/>
        <v>2.3022171375883715</v>
      </c>
      <c r="W179">
        <f t="shared" si="32"/>
        <v>0.58418411336689891</v>
      </c>
      <c r="X179" s="55">
        <f t="shared" si="27"/>
        <v>0.59497075519008014</v>
      </c>
      <c r="Y179" s="149">
        <v>11.5100526</v>
      </c>
      <c r="Z179" s="55">
        <f t="shared" si="23"/>
        <v>4.3921767751412223E-3</v>
      </c>
      <c r="AA179" s="55">
        <f t="shared" si="28"/>
        <v>4.4115084298417444E-3</v>
      </c>
      <c r="AB179" s="55">
        <f t="shared" si="24"/>
        <v>-5.4279303262357965</v>
      </c>
      <c r="AC179" s="55">
        <f t="shared" si="29"/>
        <v>-5.4235587435086723</v>
      </c>
      <c r="AD179" s="55"/>
      <c r="AE179" s="55"/>
      <c r="AF179" s="55"/>
      <c r="AG179" s="55"/>
      <c r="AH179" s="55"/>
    </row>
    <row r="180" spans="1:34" ht="15.75">
      <c r="A180" s="39">
        <v>11.199</v>
      </c>
      <c r="B180" s="39">
        <v>11.526</v>
      </c>
      <c r="C180" s="39">
        <v>178</v>
      </c>
      <c r="D180">
        <v>178</v>
      </c>
      <c r="E180" s="10">
        <v>1380920</v>
      </c>
      <c r="F180" s="10">
        <v>1101980</v>
      </c>
      <c r="G180" s="10">
        <v>18808</v>
      </c>
      <c r="H180" s="10">
        <v>41876</v>
      </c>
      <c r="I180" s="10">
        <v>14192</v>
      </c>
      <c r="J180" s="10">
        <v>33928</v>
      </c>
      <c r="K180">
        <v>178</v>
      </c>
      <c r="L180" s="10">
        <v>2047</v>
      </c>
      <c r="M180" s="10">
        <v>420786</v>
      </c>
      <c r="N180" s="10">
        <v>4839</v>
      </c>
      <c r="O180">
        <v>-0.37851465696400199</v>
      </c>
      <c r="P180">
        <v>1.0020960908118428</v>
      </c>
      <c r="Q180">
        <v>-0.34762257501569344</v>
      </c>
      <c r="R180">
        <v>0.34762257501569349</v>
      </c>
      <c r="S180">
        <f t="shared" si="30"/>
        <v>0.87156220660506578</v>
      </c>
      <c r="T180" s="148">
        <f t="shared" si="25"/>
        <v>0.86105400795456155</v>
      </c>
      <c r="U180">
        <f t="shared" si="31"/>
        <v>2.3074115204509571</v>
      </c>
      <c r="V180" s="55">
        <f t="shared" si="26"/>
        <v>2.2996761034304214</v>
      </c>
      <c r="W180">
        <f t="shared" si="32"/>
        <v>0.58995832093452127</v>
      </c>
      <c r="X180" s="55">
        <f t="shared" si="27"/>
        <v>0.59399070778387675</v>
      </c>
      <c r="Y180" s="149">
        <v>11.526</v>
      </c>
      <c r="Z180" s="55">
        <f t="shared" si="23"/>
        <v>4.3911867728996896E-3</v>
      </c>
      <c r="AA180" s="55">
        <f t="shared" si="28"/>
        <v>4.3265199515509318E-3</v>
      </c>
      <c r="AB180" s="55">
        <f t="shared" si="24"/>
        <v>-5.42815575291666</v>
      </c>
      <c r="AC180" s="55">
        <f t="shared" si="29"/>
        <v>-5.4432209614896623</v>
      </c>
      <c r="AD180" s="55"/>
      <c r="AE180" s="55"/>
      <c r="AF180" s="55"/>
      <c r="AG180" s="55"/>
      <c r="AH180" s="55"/>
    </row>
    <row r="181" spans="1:34" ht="15.75">
      <c r="A181" s="39">
        <v>11.216902899999999</v>
      </c>
      <c r="B181" s="39">
        <v>11.5446214</v>
      </c>
      <c r="C181" s="39">
        <v>179</v>
      </c>
      <c r="D181">
        <v>179</v>
      </c>
      <c r="E181" s="10">
        <v>1362180</v>
      </c>
      <c r="F181" s="10">
        <v>1087890</v>
      </c>
      <c r="G181" s="10">
        <v>18232</v>
      </c>
      <c r="H181" s="10">
        <v>40982</v>
      </c>
      <c r="I181" s="10">
        <v>15423</v>
      </c>
      <c r="J181" s="10">
        <v>33482</v>
      </c>
      <c r="K181">
        <v>179</v>
      </c>
      <c r="L181" s="10">
        <v>1730</v>
      </c>
      <c r="M181" s="10">
        <v>408296</v>
      </c>
      <c r="N181" s="10">
        <v>4565</v>
      </c>
      <c r="O181">
        <v>-0.33664253347709838</v>
      </c>
      <c r="P181">
        <v>0.99838197625765068</v>
      </c>
      <c r="Q181">
        <v>-0.35175883681157494</v>
      </c>
      <c r="R181">
        <v>0.35175883681157499</v>
      </c>
      <c r="S181">
        <f t="shared" si="30"/>
        <v>0.77514807925211571</v>
      </c>
      <c r="T181" s="148">
        <f t="shared" si="25"/>
        <v>0.79886357200310998</v>
      </c>
      <c r="U181">
        <f t="shared" si="31"/>
        <v>2.2988594556448017</v>
      </c>
      <c r="V181" s="55">
        <f t="shared" si="26"/>
        <v>2.3058683302695595</v>
      </c>
      <c r="W181">
        <f t="shared" si="32"/>
        <v>0.60782968905020995</v>
      </c>
      <c r="X181" s="55">
        <f t="shared" si="27"/>
        <v>0.59773629704677067</v>
      </c>
      <c r="Y181" s="149">
        <v>11.5446214</v>
      </c>
      <c r="Z181" s="55">
        <f t="shared" si="23"/>
        <v>4.1961963066118818E-3</v>
      </c>
      <c r="AA181" s="55">
        <f t="shared" si="28"/>
        <v>4.327482656639005E-3</v>
      </c>
      <c r="AB181" s="55">
        <f t="shared" si="24"/>
        <v>-5.473576805316533</v>
      </c>
      <c r="AC181" s="55">
        <f t="shared" si="29"/>
        <v>-5.4430018471966051</v>
      </c>
      <c r="AD181" s="55"/>
      <c r="AE181" s="55"/>
      <c r="AF181" s="55"/>
      <c r="AG181" s="55"/>
      <c r="AH181" s="55"/>
    </row>
    <row r="182" spans="1:34" ht="15.75">
      <c r="A182" s="39">
        <v>11.2348058</v>
      </c>
      <c r="B182" s="39">
        <v>11.5632427</v>
      </c>
      <c r="C182" s="39">
        <v>180</v>
      </c>
      <c r="D182">
        <v>180</v>
      </c>
      <c r="E182" s="10">
        <v>1369923.75</v>
      </c>
      <c r="F182" s="10">
        <v>1093120</v>
      </c>
      <c r="G182" s="10">
        <v>18484.25</v>
      </c>
      <c r="H182" s="10">
        <v>40891.375</v>
      </c>
      <c r="I182" s="10">
        <v>15838.75</v>
      </c>
      <c r="J182" s="10">
        <v>33526.625</v>
      </c>
      <c r="K182">
        <v>180</v>
      </c>
      <c r="L182" s="10">
        <v>2228.333333</v>
      </c>
      <c r="M182" s="10">
        <v>412507</v>
      </c>
      <c r="N182" s="10">
        <v>4804.3333329999996</v>
      </c>
      <c r="O182">
        <v>-0.32566893290231486</v>
      </c>
      <c r="P182">
        <v>1.0037996084251104</v>
      </c>
      <c r="Q182">
        <v>-0.34482988051260999</v>
      </c>
      <c r="R182">
        <v>0.34482988051260999</v>
      </c>
      <c r="S182">
        <f t="shared" si="30"/>
        <v>0.74988043015214834</v>
      </c>
      <c r="T182" s="148">
        <f t="shared" si="25"/>
        <v>0.71280132758905712</v>
      </c>
      <c r="U182">
        <f t="shared" si="31"/>
        <v>2.3113340147129198</v>
      </c>
      <c r="V182" s="55">
        <f t="shared" si="26"/>
        <v>2.320816019856021</v>
      </c>
      <c r="W182">
        <f t="shared" si="32"/>
        <v>0.59542088115558089</v>
      </c>
      <c r="X182" s="55">
        <f t="shared" si="27"/>
        <v>0.59655734627498258</v>
      </c>
      <c r="Y182" s="149">
        <v>11.5632427</v>
      </c>
      <c r="Z182" s="55">
        <f t="shared" si="23"/>
        <v>4.3950648904054444E-3</v>
      </c>
      <c r="AA182" s="55">
        <f t="shared" si="28"/>
        <v>4.2689445738646409E-3</v>
      </c>
      <c r="AB182" s="55">
        <f t="shared" si="24"/>
        <v>-5.4272729833566213</v>
      </c>
      <c r="AC182" s="55">
        <f t="shared" si="29"/>
        <v>-5.4566065517194282</v>
      </c>
      <c r="AD182" s="55"/>
      <c r="AE182" s="55"/>
      <c r="AF182" s="55"/>
      <c r="AG182" s="55"/>
      <c r="AH182" s="55"/>
    </row>
    <row r="183" spans="1:34" ht="15.75">
      <c r="A183" s="39">
        <v>11.252708699999999</v>
      </c>
      <c r="B183" s="39">
        <v>11.581864100000001</v>
      </c>
      <c r="C183" s="39">
        <v>181</v>
      </c>
      <c r="D183">
        <v>181</v>
      </c>
      <c r="E183" s="10">
        <v>1391330</v>
      </c>
      <c r="F183" s="10">
        <v>1111830</v>
      </c>
      <c r="G183" s="10">
        <v>18162</v>
      </c>
      <c r="H183" s="10">
        <v>40435</v>
      </c>
      <c r="I183" s="10">
        <v>17679</v>
      </c>
      <c r="J183" s="10">
        <v>32647</v>
      </c>
      <c r="K183">
        <v>181</v>
      </c>
      <c r="L183" s="10">
        <v>3106</v>
      </c>
      <c r="M183" s="10">
        <v>424941</v>
      </c>
      <c r="N183" s="10">
        <v>4687</v>
      </c>
      <c r="O183">
        <v>-0.26638558341630569</v>
      </c>
      <c r="P183">
        <v>1.0215711881256517</v>
      </c>
      <c r="Q183">
        <v>-0.3475937761064184</v>
      </c>
      <c r="R183">
        <v>0.3475937761064184</v>
      </c>
      <c r="S183">
        <f t="shared" si="30"/>
        <v>0.61337547336290743</v>
      </c>
      <c r="T183" s="148">
        <f t="shared" si="25"/>
        <v>0.67576296725057194</v>
      </c>
      <c r="U183">
        <f t="shared" si="31"/>
        <v>2.3522545892103417</v>
      </c>
      <c r="V183" s="55">
        <f t="shared" si="26"/>
        <v>2.3523039680927753</v>
      </c>
      <c r="W183">
        <f t="shared" si="32"/>
        <v>0.58642146861915678</v>
      </c>
      <c r="X183" s="55">
        <f t="shared" si="27"/>
        <v>0.57550927921304706</v>
      </c>
      <c r="Y183" s="149">
        <v>11.581864100000001</v>
      </c>
      <c r="Z183" s="55">
        <f t="shared" si="23"/>
        <v>4.2155725245765991E-3</v>
      </c>
      <c r="AA183" s="55">
        <f t="shared" si="28"/>
        <v>4.281655111805025E-3</v>
      </c>
      <c r="AB183" s="55">
        <f t="shared" si="24"/>
        <v>-5.4689698664851303</v>
      </c>
      <c r="AC183" s="55">
        <f t="shared" si="29"/>
        <v>-5.4535911699291297</v>
      </c>
      <c r="AD183" s="55"/>
      <c r="AE183" s="55"/>
      <c r="AF183" s="55"/>
      <c r="AG183" s="55"/>
      <c r="AH183" s="55"/>
    </row>
    <row r="184" spans="1:34" ht="15.75">
      <c r="A184" s="39">
        <v>11.2706117</v>
      </c>
      <c r="B184" s="39">
        <v>11.6004854</v>
      </c>
      <c r="C184" s="39">
        <v>182</v>
      </c>
      <c r="D184">
        <v>182</v>
      </c>
      <c r="E184" s="10">
        <v>1415690</v>
      </c>
      <c r="F184" s="10">
        <v>1125090</v>
      </c>
      <c r="G184" s="10">
        <v>18711</v>
      </c>
      <c r="H184" s="10">
        <v>40417</v>
      </c>
      <c r="I184" s="10">
        <v>16606</v>
      </c>
      <c r="J184" s="10">
        <v>32259</v>
      </c>
      <c r="K184">
        <v>182</v>
      </c>
      <c r="L184" s="10">
        <v>1782</v>
      </c>
      <c r="M184" s="10">
        <v>442559</v>
      </c>
      <c r="N184" s="10">
        <v>4764</v>
      </c>
      <c r="O184">
        <v>-0.28838586693585322</v>
      </c>
      <c r="P184">
        <v>1.0394071027546838</v>
      </c>
      <c r="Q184">
        <v>-0.3344670755792345</v>
      </c>
      <c r="R184">
        <v>0.33446707557923455</v>
      </c>
      <c r="S184">
        <f t="shared" si="30"/>
        <v>0.66403299823666007</v>
      </c>
      <c r="T184" s="148">
        <f t="shared" si="25"/>
        <v>0.57521260318546774</v>
      </c>
      <c r="U184">
        <f t="shared" si="31"/>
        <v>2.3933233003550654</v>
      </c>
      <c r="V184" s="55">
        <f t="shared" si="26"/>
        <v>2.3537518673848923</v>
      </c>
      <c r="W184">
        <f t="shared" si="32"/>
        <v>0.54468548786440363</v>
      </c>
      <c r="X184" s="55">
        <f t="shared" si="27"/>
        <v>0.5630394932790227</v>
      </c>
      <c r="Y184" s="149">
        <v>11.6004854</v>
      </c>
      <c r="Z184" s="55">
        <f t="shared" si="23"/>
        <v>4.2343279204330323E-3</v>
      </c>
      <c r="AA184" s="55">
        <f t="shared" si="28"/>
        <v>4.3350898324078617E-3</v>
      </c>
      <c r="AB184" s="55">
        <f t="shared" si="24"/>
        <v>-5.4645306599456376</v>
      </c>
      <c r="AC184" s="55">
        <f t="shared" si="29"/>
        <v>-5.4416497522135954</v>
      </c>
      <c r="AD184" s="55"/>
      <c r="AE184" s="55"/>
      <c r="AF184" s="55"/>
      <c r="AG184" s="55"/>
      <c r="AH184" s="55"/>
    </row>
    <row r="185" spans="1:34" ht="15.75">
      <c r="A185" s="39">
        <v>11.288514599999999</v>
      </c>
      <c r="B185" s="39">
        <v>11.619106800000001</v>
      </c>
      <c r="C185" s="39">
        <v>183</v>
      </c>
      <c r="D185">
        <v>183</v>
      </c>
      <c r="E185" s="10">
        <v>1409890</v>
      </c>
      <c r="F185" s="10">
        <v>1114070</v>
      </c>
      <c r="G185" s="10">
        <v>19339</v>
      </c>
      <c r="H185" s="10">
        <v>41734</v>
      </c>
      <c r="I185" s="10">
        <v>21583</v>
      </c>
      <c r="J185" s="10">
        <v>33789</v>
      </c>
      <c r="K185">
        <v>183</v>
      </c>
      <c r="L185" s="10">
        <v>2185</v>
      </c>
      <c r="M185" s="10">
        <v>422840</v>
      </c>
      <c r="N185" s="10">
        <v>5075</v>
      </c>
      <c r="O185">
        <v>-0.19466352810180154</v>
      </c>
      <c r="P185">
        <v>1.005686052443864</v>
      </c>
      <c r="Q185">
        <v>-0.33405599830877591</v>
      </c>
      <c r="R185">
        <v>0.33405599830877591</v>
      </c>
      <c r="S185">
        <f t="shared" si="30"/>
        <v>0.44822933795683567</v>
      </c>
      <c r="T185" s="148">
        <f t="shared" si="25"/>
        <v>0.63412962310305587</v>
      </c>
      <c r="U185">
        <f t="shared" si="31"/>
        <v>2.3156777125892694</v>
      </c>
      <c r="V185" s="55">
        <f t="shared" si="26"/>
        <v>2.3238017230875738</v>
      </c>
      <c r="W185">
        <f t="shared" si="32"/>
        <v>0.55801152335350768</v>
      </c>
      <c r="X185" s="55">
        <f t="shared" si="27"/>
        <v>0.53928385401253409</v>
      </c>
      <c r="Y185" s="149">
        <v>11.619106800000001</v>
      </c>
      <c r="Z185" s="55">
        <f t="shared" si="23"/>
        <v>4.5553690522139546E-3</v>
      </c>
      <c r="AA185" s="55">
        <f t="shared" si="28"/>
        <v>4.3851327867017419E-3</v>
      </c>
      <c r="AB185" s="55">
        <f t="shared" si="24"/>
        <v>-5.3914487302100156</v>
      </c>
      <c r="AC185" s="55">
        <f t="shared" si="29"/>
        <v>-5.4299852694475383</v>
      </c>
      <c r="AD185" s="55"/>
      <c r="AE185" s="55"/>
      <c r="AF185" s="55"/>
      <c r="AG185" s="55"/>
      <c r="AH185" s="55"/>
    </row>
    <row r="186" spans="1:34" ht="15.75">
      <c r="A186" s="39">
        <v>11.3064175</v>
      </c>
      <c r="B186" s="39">
        <v>11.6377282</v>
      </c>
      <c r="C186" s="39">
        <v>184</v>
      </c>
      <c r="D186">
        <v>184</v>
      </c>
      <c r="E186" s="10">
        <v>1398550</v>
      </c>
      <c r="F186" s="10">
        <v>1116430</v>
      </c>
      <c r="G186" s="10">
        <v>20561</v>
      </c>
      <c r="H186" s="10">
        <v>43144</v>
      </c>
      <c r="I186" s="10">
        <v>15618</v>
      </c>
      <c r="J186" s="10">
        <v>34417</v>
      </c>
      <c r="K186">
        <v>184</v>
      </c>
      <c r="L186" s="10">
        <v>2342</v>
      </c>
      <c r="M186" s="10">
        <v>414448</v>
      </c>
      <c r="N186" s="10">
        <v>4874</v>
      </c>
      <c r="O186">
        <v>-0.34314759333748324</v>
      </c>
      <c r="P186">
        <v>0.98254964092405772</v>
      </c>
      <c r="Q186">
        <v>-0.32187617419808334</v>
      </c>
      <c r="R186">
        <v>0.32187617419808334</v>
      </c>
      <c r="S186">
        <f t="shared" si="30"/>
        <v>0.79012653311567171</v>
      </c>
      <c r="T186" s="148">
        <f t="shared" si="25"/>
        <v>0.65838357575141659</v>
      </c>
      <c r="U186">
        <f t="shared" si="31"/>
        <v>2.2624041563183876</v>
      </c>
      <c r="V186" s="55">
        <f t="shared" si="26"/>
        <v>2.3152083308981113</v>
      </c>
      <c r="W186">
        <f t="shared" si="32"/>
        <v>0.51515455081969075</v>
      </c>
      <c r="X186" s="55">
        <f t="shared" si="27"/>
        <v>0.52808572952740107</v>
      </c>
      <c r="Y186" s="149">
        <v>11.6377282</v>
      </c>
      <c r="Z186" s="55">
        <f t="shared" si="23"/>
        <v>4.3657013874582378E-3</v>
      </c>
      <c r="AA186" s="55">
        <f t="shared" si="28"/>
        <v>4.3426752984921145E-3</v>
      </c>
      <c r="AB186" s="55">
        <f t="shared" si="24"/>
        <v>-5.4339764181869619</v>
      </c>
      <c r="AC186" s="55">
        <f t="shared" si="29"/>
        <v>-5.440166146128032</v>
      </c>
      <c r="AD186" s="55"/>
      <c r="AE186" s="55"/>
      <c r="AF186" s="55"/>
      <c r="AG186" s="55"/>
      <c r="AH186" s="55"/>
    </row>
    <row r="187" spans="1:34" ht="15.75">
      <c r="A187" s="39">
        <v>11.3243204</v>
      </c>
      <c r="B187" s="39">
        <v>11.656349499999999</v>
      </c>
      <c r="C187" s="39">
        <v>185</v>
      </c>
      <c r="D187">
        <v>185</v>
      </c>
      <c r="E187" s="10">
        <v>1441910</v>
      </c>
      <c r="F187" s="10">
        <v>1133930</v>
      </c>
      <c r="G187" s="10">
        <v>20337</v>
      </c>
      <c r="H187" s="10">
        <v>42079</v>
      </c>
      <c r="I187" s="10">
        <v>16228</v>
      </c>
      <c r="J187" s="10">
        <v>33904</v>
      </c>
      <c r="K187">
        <v>185</v>
      </c>
      <c r="L187" s="10">
        <v>2412</v>
      </c>
      <c r="M187" s="10">
        <v>449031</v>
      </c>
      <c r="N187" s="10">
        <v>4657</v>
      </c>
      <c r="O187">
        <v>-0.31998594033443079</v>
      </c>
      <c r="P187">
        <v>1.0282109143285412</v>
      </c>
      <c r="Q187">
        <v>-0.31577852170758702</v>
      </c>
      <c r="R187">
        <v>0.31577852170758702</v>
      </c>
      <c r="S187">
        <f t="shared" si="30"/>
        <v>0.73679485618174245</v>
      </c>
      <c r="T187" s="148">
        <f t="shared" si="25"/>
        <v>0.76286283876470529</v>
      </c>
      <c r="U187">
        <f t="shared" si="31"/>
        <v>2.3675431237866769</v>
      </c>
      <c r="V187" s="55">
        <f t="shared" si="26"/>
        <v>2.3152650161398234</v>
      </c>
      <c r="W187">
        <f t="shared" si="32"/>
        <v>0.51109111440900501</v>
      </c>
      <c r="X187" s="55">
        <f t="shared" si="27"/>
        <v>0.51594713121502711</v>
      </c>
      <c r="Y187" s="149">
        <v>11.656349499999999</v>
      </c>
      <c r="Z187" s="55">
        <f t="shared" si="23"/>
        <v>4.1069554558041503E-3</v>
      </c>
      <c r="AA187" s="55">
        <f t="shared" si="28"/>
        <v>4.3161227131340071E-3</v>
      </c>
      <c r="AB187" s="55">
        <f t="shared" si="24"/>
        <v>-5.4950732899871193</v>
      </c>
      <c r="AC187" s="55">
        <f t="shared" si="29"/>
        <v>-5.4460465664008035</v>
      </c>
      <c r="AD187" s="55"/>
      <c r="AE187" s="55"/>
      <c r="AF187" s="55"/>
      <c r="AG187" s="55"/>
      <c r="AH187" s="55"/>
    </row>
    <row r="188" spans="1:34" ht="15.75">
      <c r="A188" s="39">
        <v>11.342223300000001</v>
      </c>
      <c r="B188" s="39">
        <v>11.6749709</v>
      </c>
      <c r="C188" s="39">
        <v>186</v>
      </c>
      <c r="D188">
        <v>186</v>
      </c>
      <c r="E188" s="10">
        <v>1416130</v>
      </c>
      <c r="F188" s="10">
        <v>1122950</v>
      </c>
      <c r="G188" s="10">
        <v>20077</v>
      </c>
      <c r="H188" s="10">
        <v>42229</v>
      </c>
      <c r="I188" s="10">
        <v>15792</v>
      </c>
      <c r="J188" s="10">
        <v>33824</v>
      </c>
      <c r="K188">
        <v>186</v>
      </c>
      <c r="L188" s="10">
        <v>2480</v>
      </c>
      <c r="M188" s="10">
        <v>427928</v>
      </c>
      <c r="N188" s="10">
        <v>5026</v>
      </c>
      <c r="O188">
        <v>-0.33078783030177072</v>
      </c>
      <c r="P188">
        <v>1.0057599067069067</v>
      </c>
      <c r="Q188">
        <v>-0.32291197828384122</v>
      </c>
      <c r="R188">
        <v>0.32291197828384122</v>
      </c>
      <c r="S188">
        <f t="shared" si="30"/>
        <v>0.76166712699670147</v>
      </c>
      <c r="T188" s="148">
        <f t="shared" si="25"/>
        <v>0.74159950513273687</v>
      </c>
      <c r="U188">
        <f t="shared" si="31"/>
        <v>2.3158477683144056</v>
      </c>
      <c r="V188" s="55">
        <f t="shared" si="26"/>
        <v>2.3124336556541514</v>
      </c>
      <c r="W188">
        <f t="shared" si="32"/>
        <v>0.5215957284163858</v>
      </c>
      <c r="X188" s="55">
        <f t="shared" si="27"/>
        <v>0.52401815664362206</v>
      </c>
      <c r="Y188" s="149">
        <v>11.6749709</v>
      </c>
      <c r="Z188" s="55">
        <f t="shared" si="23"/>
        <v>4.4757112961396322E-3</v>
      </c>
      <c r="AA188" s="55">
        <f t="shared" si="28"/>
        <v>4.3951751485431087E-3</v>
      </c>
      <c r="AB188" s="55">
        <f t="shared" si="24"/>
        <v>-5.4090899910283312</v>
      </c>
      <c r="AC188" s="55">
        <f t="shared" si="29"/>
        <v>-5.4284136647922638</v>
      </c>
      <c r="AD188" s="55"/>
      <c r="AE188" s="55"/>
      <c r="AF188" s="55"/>
      <c r="AG188" s="55"/>
      <c r="AH188" s="55"/>
    </row>
    <row r="189" spans="1:34" ht="15.75">
      <c r="A189" s="39">
        <v>11.3601262</v>
      </c>
      <c r="B189" s="39">
        <v>11.693592199999999</v>
      </c>
      <c r="C189" s="39">
        <v>187</v>
      </c>
      <c r="D189">
        <v>187</v>
      </c>
      <c r="E189" s="10">
        <v>1380050</v>
      </c>
      <c r="F189" s="10">
        <v>1105400</v>
      </c>
      <c r="G189" s="10">
        <v>19756</v>
      </c>
      <c r="H189" s="10">
        <v>42118</v>
      </c>
      <c r="I189" s="10">
        <v>16387</v>
      </c>
      <c r="J189" s="10">
        <v>33880</v>
      </c>
      <c r="K189">
        <v>187</v>
      </c>
      <c r="L189" s="10">
        <v>3684</v>
      </c>
      <c r="M189" s="10">
        <v>401170</v>
      </c>
      <c r="N189" s="10">
        <v>5088</v>
      </c>
      <c r="O189">
        <v>-0.31544394794778813</v>
      </c>
      <c r="P189">
        <v>0.9788607082184394</v>
      </c>
      <c r="Q189">
        <v>-0.32876872276405633</v>
      </c>
      <c r="R189">
        <v>0.32876872276405628</v>
      </c>
      <c r="S189">
        <f t="shared" si="30"/>
        <v>0.72633653221976668</v>
      </c>
      <c r="T189" s="148">
        <f t="shared" si="25"/>
        <v>0.70327676847550469</v>
      </c>
      <c r="U189">
        <f t="shared" si="31"/>
        <v>2.2539100748613725</v>
      </c>
      <c r="V189" s="55">
        <f t="shared" si="26"/>
        <v>2.2876778843842618</v>
      </c>
      <c r="W189">
        <f t="shared" si="32"/>
        <v>0.53936762710547526</v>
      </c>
      <c r="X189" s="55">
        <f t="shared" si="27"/>
        <v>0.52408270911069443</v>
      </c>
      <c r="Y189" s="149">
        <v>11.693592199999999</v>
      </c>
      <c r="Z189" s="55">
        <f t="shared" si="23"/>
        <v>4.6028586936855435E-3</v>
      </c>
      <c r="AA189" s="55">
        <f t="shared" si="28"/>
        <v>4.5154655935327132E-3</v>
      </c>
      <c r="AB189" s="55">
        <f t="shared" si="24"/>
        <v>-5.3810777133613419</v>
      </c>
      <c r="AC189" s="55">
        <f t="shared" si="29"/>
        <v>-5.4003402898431112</v>
      </c>
      <c r="AD189" s="55"/>
      <c r="AE189" s="55"/>
      <c r="AF189" s="55"/>
      <c r="AG189" s="55"/>
      <c r="AH189" s="55"/>
    </row>
    <row r="190" spans="1:34" ht="15.75">
      <c r="A190" s="39">
        <v>11.378029099999999</v>
      </c>
      <c r="B190" s="39">
        <v>11.7122136</v>
      </c>
      <c r="C190" s="39">
        <v>188</v>
      </c>
      <c r="D190">
        <v>188</v>
      </c>
      <c r="E190" s="10">
        <v>1397810</v>
      </c>
      <c r="F190" s="10">
        <v>1111950</v>
      </c>
      <c r="G190" s="10">
        <v>20468</v>
      </c>
      <c r="H190" s="10">
        <v>41776</v>
      </c>
      <c r="I190" s="10">
        <v>18326</v>
      </c>
      <c r="J190" s="10">
        <v>34129</v>
      </c>
      <c r="K190">
        <v>188</v>
      </c>
      <c r="L190" s="10">
        <v>2498</v>
      </c>
      <c r="M190" s="10">
        <v>413889</v>
      </c>
      <c r="N190" s="10">
        <v>4968</v>
      </c>
      <c r="O190">
        <v>-0.27005588114942863</v>
      </c>
      <c r="P190">
        <v>0.9959570297552246</v>
      </c>
      <c r="Q190">
        <v>-0.30985144617878957</v>
      </c>
      <c r="R190">
        <v>0.30985144617878951</v>
      </c>
      <c r="S190">
        <f t="shared" si="30"/>
        <v>0.62182664621004613</v>
      </c>
      <c r="T190" s="148">
        <f t="shared" si="25"/>
        <v>0.68182796749520191</v>
      </c>
      <c r="U190">
        <f t="shared" si="31"/>
        <v>2.2932758099770072</v>
      </c>
      <c r="V190" s="55">
        <f t="shared" si="26"/>
        <v>2.2778155431501617</v>
      </c>
      <c r="W190">
        <f t="shared" si="32"/>
        <v>0.51128477181022225</v>
      </c>
      <c r="X190" s="55">
        <f t="shared" si="27"/>
        <v>0.54029156541503287</v>
      </c>
      <c r="Y190" s="149">
        <v>11.7122136</v>
      </c>
      <c r="Z190" s="55">
        <f t="shared" si="23"/>
        <v>4.4678267907729665E-3</v>
      </c>
      <c r="AA190" s="55">
        <f t="shared" si="28"/>
        <v>4.5658445509178204E-3</v>
      </c>
      <c r="AB190" s="55">
        <f t="shared" si="24"/>
        <v>-5.4108531651396605</v>
      </c>
      <c r="AC190" s="55">
        <f t="shared" si="29"/>
        <v>-5.3892700874611608</v>
      </c>
      <c r="AD190" s="55"/>
      <c r="AE190" s="55"/>
      <c r="AF190" s="55"/>
      <c r="AG190" s="55"/>
      <c r="AH190" s="55"/>
    </row>
    <row r="191" spans="1:34" ht="15.75">
      <c r="A191" s="39">
        <v>11.395932</v>
      </c>
      <c r="B191" s="39">
        <v>11.730835000000001</v>
      </c>
      <c r="C191" s="39">
        <v>189</v>
      </c>
      <c r="D191">
        <v>189</v>
      </c>
      <c r="E191" s="10">
        <v>1392860</v>
      </c>
      <c r="F191" s="10">
        <v>1108530</v>
      </c>
      <c r="G191" s="10">
        <v>19413</v>
      </c>
      <c r="H191" s="10">
        <v>41558</v>
      </c>
      <c r="I191" s="10">
        <v>17096</v>
      </c>
      <c r="J191" s="10">
        <v>34335</v>
      </c>
      <c r="K191">
        <v>189</v>
      </c>
      <c r="L191" s="10">
        <v>2392</v>
      </c>
      <c r="M191" s="10">
        <v>408851</v>
      </c>
      <c r="N191" s="10">
        <v>5129</v>
      </c>
      <c r="O191">
        <v>-0.30284254257421117</v>
      </c>
      <c r="P191">
        <v>0.99291042557705711</v>
      </c>
      <c r="Q191">
        <v>-0.33056198420216992</v>
      </c>
      <c r="R191">
        <v>0.33056198420216992</v>
      </c>
      <c r="S191">
        <f t="shared" si="30"/>
        <v>0.69732072405579315</v>
      </c>
      <c r="T191" s="148">
        <f t="shared" si="25"/>
        <v>0.69636532925998151</v>
      </c>
      <c r="U191">
        <f t="shared" si="31"/>
        <v>2.2862607446121057</v>
      </c>
      <c r="V191" s="55">
        <f t="shared" si="26"/>
        <v>2.283504686716912</v>
      </c>
      <c r="W191">
        <f t="shared" si="32"/>
        <v>0.570222297329401</v>
      </c>
      <c r="X191" s="55">
        <f t="shared" si="27"/>
        <v>0.54303041500754878</v>
      </c>
      <c r="Y191" s="149">
        <v>11.730835000000001</v>
      </c>
      <c r="Z191" s="55">
        <f t="shared" si="23"/>
        <v>4.6268481682949494E-3</v>
      </c>
      <c r="AA191" s="55">
        <f t="shared" si="28"/>
        <v>4.498875651960328E-3</v>
      </c>
      <c r="AB191" s="55">
        <f t="shared" si="24"/>
        <v>-5.3758793838824808</v>
      </c>
      <c r="AC191" s="55">
        <f t="shared" si="29"/>
        <v>-5.4041465832726416</v>
      </c>
      <c r="AD191" s="55"/>
      <c r="AE191" s="55"/>
      <c r="AF191" s="55"/>
      <c r="AG191" s="55"/>
      <c r="AH191" s="55"/>
    </row>
    <row r="192" spans="1:34" ht="15.75">
      <c r="A192" s="39">
        <v>11.413835000000001</v>
      </c>
      <c r="B192" s="39">
        <v>11.7494563</v>
      </c>
      <c r="C192" s="39">
        <v>190</v>
      </c>
      <c r="D192">
        <v>190</v>
      </c>
      <c r="E192" s="10">
        <v>1378490</v>
      </c>
      <c r="F192" s="10">
        <v>1104510</v>
      </c>
      <c r="G192" s="10">
        <v>19566</v>
      </c>
      <c r="H192" s="10">
        <v>41831</v>
      </c>
      <c r="I192" s="10">
        <v>15665</v>
      </c>
      <c r="J192" s="10">
        <v>33831</v>
      </c>
      <c r="K192">
        <v>190</v>
      </c>
      <c r="L192" s="10">
        <v>2176</v>
      </c>
      <c r="M192" s="10">
        <v>405295</v>
      </c>
      <c r="N192" s="10">
        <v>4862</v>
      </c>
      <c r="O192">
        <v>-0.33438443593541334</v>
      </c>
      <c r="P192">
        <v>0.98627299919182443</v>
      </c>
      <c r="Q192">
        <v>-0.32999619763561011</v>
      </c>
      <c r="R192">
        <v>0.32999619763561011</v>
      </c>
      <c r="S192">
        <f t="shared" si="30"/>
        <v>0.76994861751410526</v>
      </c>
      <c r="T192" s="148">
        <f t="shared" si="25"/>
        <v>0.70371021346636853</v>
      </c>
      <c r="U192">
        <f t="shared" si="31"/>
        <v>2.2709775055616235</v>
      </c>
      <c r="V192" s="55">
        <f t="shared" si="26"/>
        <v>2.2772616331856006</v>
      </c>
      <c r="W192">
        <f t="shared" si="32"/>
        <v>0.54758417588302322</v>
      </c>
      <c r="X192" s="55">
        <f t="shared" si="27"/>
        <v>0.5647826830589634</v>
      </c>
      <c r="Y192" s="149">
        <v>11.7494563</v>
      </c>
      <c r="Z192" s="55">
        <f t="shared" si="23"/>
        <v>4.4019519968130664E-3</v>
      </c>
      <c r="AA192" s="55">
        <f t="shared" si="28"/>
        <v>4.5576357676898717E-3</v>
      </c>
      <c r="AB192" s="55">
        <f t="shared" si="24"/>
        <v>-5.4257072007957836</v>
      </c>
      <c r="AC192" s="55">
        <f t="shared" si="29"/>
        <v>-5.3912475766336776</v>
      </c>
      <c r="AD192" s="55"/>
      <c r="AE192" s="55"/>
      <c r="AF192" s="55"/>
      <c r="AG192" s="55"/>
      <c r="AH192" s="55"/>
    </row>
    <row r="193" spans="1:34" ht="15.75">
      <c r="A193" s="129">
        <v>11.4317379</v>
      </c>
      <c r="B193" s="129">
        <v>11.768077699999999</v>
      </c>
      <c r="C193" s="129">
        <v>191</v>
      </c>
      <c r="D193" s="130">
        <v>191</v>
      </c>
      <c r="E193" s="131">
        <v>1375450</v>
      </c>
      <c r="F193" s="131">
        <v>1094290</v>
      </c>
      <c r="G193" s="131">
        <v>18939</v>
      </c>
      <c r="H193" s="131">
        <v>41506</v>
      </c>
      <c r="I193" s="131">
        <v>17706</v>
      </c>
      <c r="J193" s="131">
        <v>33709</v>
      </c>
      <c r="K193" s="130">
        <v>191</v>
      </c>
      <c r="L193" s="131">
        <v>2561</v>
      </c>
      <c r="M193" s="131">
        <v>403584</v>
      </c>
      <c r="N193" s="131">
        <v>5082</v>
      </c>
      <c r="O193" s="130">
        <v>-0.27962540919258511</v>
      </c>
      <c r="P193" s="130">
        <v>0.98782305865859876</v>
      </c>
      <c r="Q193" s="130">
        <v>-0.34075383769015799</v>
      </c>
      <c r="R193" s="130">
        <v>0.34075383769015793</v>
      </c>
      <c r="S193" s="130">
        <f t="shared" si="30"/>
        <v>0.64386129882920673</v>
      </c>
      <c r="T193" s="148">
        <f t="shared" si="25"/>
        <v>0.69830519598119822</v>
      </c>
      <c r="U193" s="130">
        <f t="shared" si="31"/>
        <v>2.2745466493830722</v>
      </c>
      <c r="V193" s="132">
        <f t="shared" si="26"/>
        <v>2.2811219298757828</v>
      </c>
      <c r="W193" s="130">
        <f t="shared" si="32"/>
        <v>0.57654157596446587</v>
      </c>
      <c r="X193" s="132">
        <f t="shared" si="27"/>
        <v>0.56156585918070645</v>
      </c>
      <c r="Y193" s="149">
        <v>11.768077699999999</v>
      </c>
      <c r="Z193" s="132">
        <f t="shared" si="23"/>
        <v>4.6441071379616011E-3</v>
      </c>
      <c r="AA193" s="132">
        <f t="shared" si="28"/>
        <v>4.4805680065750676E-3</v>
      </c>
      <c r="AB193" s="132">
        <f t="shared" si="24"/>
        <v>-5.3721561452227684</v>
      </c>
      <c r="AC193" s="132">
        <f t="shared" si="29"/>
        <v>-5.4083347910419119</v>
      </c>
      <c r="AD193" s="55"/>
      <c r="AE193" s="55"/>
      <c r="AF193" s="55"/>
      <c r="AG193" s="55"/>
      <c r="AH193" s="55"/>
    </row>
    <row r="194" spans="1:34" ht="15.75">
      <c r="A194" s="39">
        <v>11.449640799999999</v>
      </c>
      <c r="B194" s="39">
        <v>11.786699</v>
      </c>
      <c r="C194" s="39">
        <v>192</v>
      </c>
      <c r="D194">
        <v>192</v>
      </c>
      <c r="E194" s="10">
        <v>1344410</v>
      </c>
      <c r="F194" s="10">
        <v>1085620</v>
      </c>
      <c r="G194" s="10">
        <v>18520</v>
      </c>
      <c r="H194" s="10">
        <v>39791</v>
      </c>
      <c r="I194" s="10">
        <v>16417</v>
      </c>
      <c r="J194" s="10">
        <v>32441</v>
      </c>
      <c r="K194">
        <v>192</v>
      </c>
      <c r="L194" s="10">
        <v>2950</v>
      </c>
      <c r="M194" s="10">
        <v>396027</v>
      </c>
      <c r="N194" s="10">
        <v>4772</v>
      </c>
      <c r="O194">
        <v>-0.29580043476901108</v>
      </c>
      <c r="P194">
        <v>0.9979399422302242</v>
      </c>
      <c r="Q194">
        <v>-0.33214387132735546</v>
      </c>
      <c r="R194">
        <v>0.33214387132735546</v>
      </c>
      <c r="S194">
        <f t="shared" si="30"/>
        <v>0.68110567160028246</v>
      </c>
      <c r="T194" s="148">
        <f t="shared" si="25"/>
        <v>0.63162952530607763</v>
      </c>
      <c r="U194">
        <f t="shared" si="31"/>
        <v>2.2978416346826536</v>
      </c>
      <c r="V194" s="55">
        <f t="shared" si="26"/>
        <v>2.286242371979939</v>
      </c>
      <c r="W194">
        <f t="shared" si="32"/>
        <v>0.56057182569463038</v>
      </c>
      <c r="X194" s="55">
        <f t="shared" si="27"/>
        <v>0.5692092637882683</v>
      </c>
      <c r="Y194" s="149">
        <v>11.786699</v>
      </c>
      <c r="Z194" s="55">
        <f t="shared" si="23"/>
        <v>4.3956448849505354E-3</v>
      </c>
      <c r="AA194" s="55">
        <f t="shared" si="28"/>
        <v>4.5959051993845479E-3</v>
      </c>
      <c r="AB194" s="55">
        <f t="shared" si="24"/>
        <v>-5.427141027107182</v>
      </c>
      <c r="AC194" s="55">
        <f t="shared" si="29"/>
        <v>-5.3831122153981497</v>
      </c>
      <c r="AD194" s="55"/>
      <c r="AE194" s="55"/>
      <c r="AF194" s="55"/>
      <c r="AG194" s="55"/>
      <c r="AH194" s="55"/>
    </row>
    <row r="195" spans="1:34" ht="15.75">
      <c r="A195" s="39">
        <v>11.4675437</v>
      </c>
      <c r="B195" s="39">
        <v>11.805320399999999</v>
      </c>
      <c r="C195" s="39">
        <v>193</v>
      </c>
      <c r="D195">
        <v>193</v>
      </c>
      <c r="E195" s="10">
        <v>1338260</v>
      </c>
      <c r="F195" s="10">
        <v>1082780</v>
      </c>
      <c r="G195" s="10">
        <v>18551</v>
      </c>
      <c r="H195" s="10">
        <v>39547</v>
      </c>
      <c r="I195" s="10">
        <v>18562</v>
      </c>
      <c r="J195" s="10">
        <v>32820</v>
      </c>
      <c r="K195">
        <v>193</v>
      </c>
      <c r="L195" s="10">
        <v>2281</v>
      </c>
      <c r="M195" s="10">
        <v>389097</v>
      </c>
      <c r="N195" s="10">
        <v>5141</v>
      </c>
      <c r="O195">
        <v>-0.24751380838120349</v>
      </c>
      <c r="P195">
        <v>0.99294433844404439</v>
      </c>
      <c r="Q195">
        <v>-0.32874621847132046</v>
      </c>
      <c r="R195">
        <v>0.32874621847132046</v>
      </c>
      <c r="S195">
        <f t="shared" si="30"/>
        <v>0.56992160548874382</v>
      </c>
      <c r="T195" s="148">
        <f t="shared" si="25"/>
        <v>0.5423902556321889</v>
      </c>
      <c r="U195">
        <f t="shared" si="31"/>
        <v>2.2863388318740911</v>
      </c>
      <c r="V195" s="55">
        <f t="shared" si="26"/>
        <v>2.3096033364680655</v>
      </c>
      <c r="W195">
        <f t="shared" si="32"/>
        <v>0.57051438970570867</v>
      </c>
      <c r="X195" s="55">
        <f t="shared" si="27"/>
        <v>0.56163950492682768</v>
      </c>
      <c r="Y195" s="149">
        <v>11.805320399999999</v>
      </c>
      <c r="Z195" s="55">
        <f t="shared" ref="Z195:Z258" si="33">N195/F195</f>
        <v>4.7479635752415081E-3</v>
      </c>
      <c r="AA195" s="55">
        <f t="shared" si="28"/>
        <v>4.504671617949923E-3</v>
      </c>
      <c r="AB195" s="55">
        <f t="shared" ref="AB195:AB258" si="34">LN(Z195)</f>
        <v>-5.3500394738644985</v>
      </c>
      <c r="AC195" s="55">
        <f t="shared" si="29"/>
        <v>-5.4033599263032848</v>
      </c>
      <c r="AD195" s="55"/>
      <c r="AE195" s="55"/>
      <c r="AF195" s="55"/>
      <c r="AG195" s="55"/>
      <c r="AH195" s="55"/>
    </row>
    <row r="196" spans="1:34" ht="15.75">
      <c r="A196" s="39">
        <v>11.4854466</v>
      </c>
      <c r="B196" s="39">
        <v>11.8239418</v>
      </c>
      <c r="C196" s="39">
        <v>194</v>
      </c>
      <c r="D196">
        <v>194</v>
      </c>
      <c r="E196" s="10">
        <v>1372490</v>
      </c>
      <c r="F196" s="10">
        <v>1089830</v>
      </c>
      <c r="G196" s="10">
        <v>18282</v>
      </c>
      <c r="H196" s="10">
        <v>39771</v>
      </c>
      <c r="I196" s="10">
        <v>21837</v>
      </c>
      <c r="J196" s="10">
        <v>31809</v>
      </c>
      <c r="K196">
        <v>194</v>
      </c>
      <c r="L196" s="10">
        <v>2130</v>
      </c>
      <c r="M196" s="10">
        <v>414788</v>
      </c>
      <c r="N196" s="10">
        <v>4763</v>
      </c>
      <c r="O196">
        <v>-0.16335704202724682</v>
      </c>
      <c r="P196">
        <v>1.0182596725659925</v>
      </c>
      <c r="Q196">
        <v>-0.33754280639530099</v>
      </c>
      <c r="R196">
        <v>0.33754280639530099</v>
      </c>
      <c r="S196">
        <f t="shared" si="30"/>
        <v>0.37614348980754031</v>
      </c>
      <c r="T196" s="148">
        <f t="shared" ref="T196:T259" si="35">AVERAGE(S195:S197)</f>
        <v>0.51801096040494743</v>
      </c>
      <c r="U196">
        <f t="shared" si="31"/>
        <v>2.3446295428474522</v>
      </c>
      <c r="V196" s="55">
        <f t="shared" ref="V196:V259" si="36">AVERAGE(U195:U197)</f>
        <v>2.3157854550066008</v>
      </c>
      <c r="W196">
        <f t="shared" si="32"/>
        <v>0.55383229938014389</v>
      </c>
      <c r="X196" s="55">
        <f t="shared" ref="X196:X259" si="37">AVERAGE(W195:W197)</f>
        <v>0.56026992882389692</v>
      </c>
      <c r="Y196" s="149">
        <v>11.8239418</v>
      </c>
      <c r="Z196" s="55">
        <f t="shared" si="33"/>
        <v>4.3704063936577265E-3</v>
      </c>
      <c r="AA196" s="55">
        <f t="shared" ref="AA196:AA259" si="38">AVERAGE(Z195:Z197)</f>
        <v>4.4168846688549014E-3</v>
      </c>
      <c r="AB196" s="55">
        <f t="shared" si="34"/>
        <v>-5.4328992779381728</v>
      </c>
      <c r="AC196" s="55">
        <f t="shared" ref="AC196:AC259" si="39">AVERAGE(AB195:AB197)</f>
        <v>-5.4239545803084779</v>
      </c>
      <c r="AD196" s="55"/>
      <c r="AE196" s="55"/>
      <c r="AF196" s="55"/>
      <c r="AG196" s="55"/>
      <c r="AH196" s="55"/>
    </row>
    <row r="197" spans="1:34" ht="15.75">
      <c r="A197" s="39">
        <v>11.503349500000001</v>
      </c>
      <c r="B197" s="39">
        <v>11.8425631</v>
      </c>
      <c r="C197" s="39">
        <v>195</v>
      </c>
      <c r="D197">
        <v>195</v>
      </c>
      <c r="E197" s="10">
        <v>1369810</v>
      </c>
      <c r="F197" s="10">
        <v>1099150</v>
      </c>
      <c r="G197" s="10">
        <v>18426</v>
      </c>
      <c r="H197" s="10">
        <v>40630</v>
      </c>
      <c r="I197" s="10">
        <v>17501</v>
      </c>
      <c r="J197" s="10">
        <v>32144</v>
      </c>
      <c r="K197">
        <v>195</v>
      </c>
      <c r="L197" s="10">
        <v>2103</v>
      </c>
      <c r="M197" s="10">
        <v>411947</v>
      </c>
      <c r="N197" s="10">
        <v>4542</v>
      </c>
      <c r="O197">
        <v>-0.26403705459936738</v>
      </c>
      <c r="P197">
        <v>1.0059945221334965</v>
      </c>
      <c r="Q197">
        <v>-0.3434157554996991</v>
      </c>
      <c r="R197">
        <v>0.3434157554996991</v>
      </c>
      <c r="S197">
        <f t="shared" si="30"/>
        <v>0.60796778591855827</v>
      </c>
      <c r="T197" s="148">
        <f t="shared" si="35"/>
        <v>0.60561781749525989</v>
      </c>
      <c r="U197">
        <f t="shared" si="31"/>
        <v>2.3163879902982578</v>
      </c>
      <c r="V197" s="55">
        <f t="shared" si="36"/>
        <v>2.33013149952215</v>
      </c>
      <c r="W197">
        <f t="shared" si="32"/>
        <v>0.55646309738583832</v>
      </c>
      <c r="X197" s="55">
        <f t="shared" si="37"/>
        <v>0.57408544052953647</v>
      </c>
      <c r="Y197" s="149">
        <v>11.8425631</v>
      </c>
      <c r="Z197" s="55">
        <f t="shared" si="33"/>
        <v>4.1322840376654688E-3</v>
      </c>
      <c r="AA197" s="55">
        <f t="shared" si="38"/>
        <v>4.2559732661187344E-3</v>
      </c>
      <c r="AB197" s="55">
        <f t="shared" si="34"/>
        <v>-5.4889249891227596</v>
      </c>
      <c r="AC197" s="55">
        <f t="shared" si="39"/>
        <v>-5.4596945292132375</v>
      </c>
      <c r="AD197" s="55"/>
      <c r="AE197" s="55"/>
      <c r="AF197" s="55"/>
      <c r="AG197" s="55"/>
      <c r="AH197" s="55"/>
    </row>
    <row r="198" spans="1:34" ht="15.75">
      <c r="A198" s="39">
        <v>11.5212524</v>
      </c>
      <c r="B198" s="39">
        <v>11.8611845</v>
      </c>
      <c r="C198" s="39">
        <v>196</v>
      </c>
      <c r="D198">
        <v>196</v>
      </c>
      <c r="E198" s="10">
        <v>1362300</v>
      </c>
      <c r="F198" s="10">
        <v>1092790</v>
      </c>
      <c r="G198" s="10">
        <v>17864</v>
      </c>
      <c r="H198" s="10">
        <v>40123</v>
      </c>
      <c r="I198" s="10">
        <v>14325</v>
      </c>
      <c r="J198" s="10">
        <v>32942</v>
      </c>
      <c r="K198">
        <v>196</v>
      </c>
      <c r="L198" s="10">
        <v>2228</v>
      </c>
      <c r="M198" s="10">
        <v>412125</v>
      </c>
      <c r="N198" s="10">
        <v>4661</v>
      </c>
      <c r="O198">
        <v>-0.36165533221483176</v>
      </c>
      <c r="P198">
        <v>1.0116355623547695</v>
      </c>
      <c r="Q198">
        <v>-0.35141468773305845</v>
      </c>
      <c r="R198">
        <v>0.3514146877330584</v>
      </c>
      <c r="S198">
        <f t="shared" si="30"/>
        <v>0.83274217675968087</v>
      </c>
      <c r="T198" s="148">
        <f t="shared" si="35"/>
        <v>0.69344832347886831</v>
      </c>
      <c r="U198">
        <f t="shared" si="31"/>
        <v>2.3293769654207406</v>
      </c>
      <c r="V198" s="55">
        <f t="shared" si="36"/>
        <v>2.3292088748352962</v>
      </c>
      <c r="W198">
        <f t="shared" si="32"/>
        <v>0.61196092482262732</v>
      </c>
      <c r="X198" s="55">
        <f t="shared" si="37"/>
        <v>0.58575518091500589</v>
      </c>
      <c r="Y198" s="149">
        <v>11.8611845</v>
      </c>
      <c r="Z198" s="55">
        <f t="shared" si="33"/>
        <v>4.265229367033007E-3</v>
      </c>
      <c r="AA198" s="55">
        <f t="shared" si="38"/>
        <v>4.2244838310522186E-3</v>
      </c>
      <c r="AB198" s="55">
        <f t="shared" si="34"/>
        <v>-5.4572593205787818</v>
      </c>
      <c r="AC198" s="55">
        <f t="shared" si="39"/>
        <v>-5.4669786914902794</v>
      </c>
      <c r="AD198" s="55"/>
      <c r="AE198" s="55"/>
      <c r="AF198" s="55"/>
      <c r="AG198" s="55"/>
      <c r="AH198" s="55"/>
    </row>
    <row r="199" spans="1:34" ht="15.75">
      <c r="A199" s="39">
        <v>11.539155299999999</v>
      </c>
      <c r="B199" s="39">
        <v>11.8798058</v>
      </c>
      <c r="C199" s="39">
        <v>197</v>
      </c>
      <c r="D199">
        <v>197</v>
      </c>
      <c r="E199" s="10">
        <v>1374260</v>
      </c>
      <c r="F199" s="10">
        <v>1088650</v>
      </c>
      <c r="G199" s="10">
        <v>18213</v>
      </c>
      <c r="H199" s="10">
        <v>39932</v>
      </c>
      <c r="I199" s="10">
        <v>17311</v>
      </c>
      <c r="J199" s="10">
        <v>32818</v>
      </c>
      <c r="K199">
        <v>197</v>
      </c>
      <c r="L199" s="10">
        <v>2249</v>
      </c>
      <c r="M199" s="10">
        <v>415316</v>
      </c>
      <c r="N199" s="10">
        <v>4655</v>
      </c>
      <c r="O199">
        <v>-0.27778995430160208</v>
      </c>
      <c r="P199">
        <v>1.017057600134887</v>
      </c>
      <c r="Q199">
        <v>-0.3409395748484515</v>
      </c>
      <c r="R199">
        <v>0.34093957484845144</v>
      </c>
      <c r="S199">
        <f t="shared" si="30"/>
        <v>0.63963500775836613</v>
      </c>
      <c r="T199" s="148">
        <f t="shared" si="35"/>
        <v>0.72411444254187673</v>
      </c>
      <c r="U199">
        <f t="shared" si="31"/>
        <v>2.3418616687868896</v>
      </c>
      <c r="V199" s="55">
        <f t="shared" si="36"/>
        <v>2.3494284179848712</v>
      </c>
      <c r="W199">
        <f t="shared" si="32"/>
        <v>0.58884152053655192</v>
      </c>
      <c r="X199" s="55">
        <f t="shared" si="37"/>
        <v>0.5925459163774498</v>
      </c>
      <c r="Y199" s="149">
        <v>11.8798058</v>
      </c>
      <c r="Z199" s="55">
        <f t="shared" si="33"/>
        <v>4.2759380884581826E-3</v>
      </c>
      <c r="AA199" s="55">
        <f t="shared" si="38"/>
        <v>4.1955877453933796E-3</v>
      </c>
      <c r="AB199" s="55">
        <f t="shared" si="34"/>
        <v>-5.4547517647692976</v>
      </c>
      <c r="AC199" s="55">
        <f t="shared" si="39"/>
        <v>-5.4740458454951302</v>
      </c>
      <c r="AD199" s="55"/>
      <c r="AE199" s="55"/>
      <c r="AF199" s="55"/>
      <c r="AG199" s="55"/>
      <c r="AH199" s="55"/>
    </row>
    <row r="200" spans="1:34" ht="15.75">
      <c r="A200" s="39">
        <v>11.5570583</v>
      </c>
      <c r="B200" s="39">
        <v>11.8984272</v>
      </c>
      <c r="C200" s="39">
        <v>198</v>
      </c>
      <c r="D200">
        <v>198</v>
      </c>
      <c r="E200" s="10">
        <v>1424870</v>
      </c>
      <c r="F200" s="10">
        <v>1116770</v>
      </c>
      <c r="G200" s="10">
        <v>18679</v>
      </c>
      <c r="H200" s="10">
        <v>41126</v>
      </c>
      <c r="I200" s="10">
        <v>16515</v>
      </c>
      <c r="J200" s="10">
        <v>33256</v>
      </c>
      <c r="K200">
        <v>198</v>
      </c>
      <c r="L200" s="10">
        <v>2030</v>
      </c>
      <c r="M200" s="10">
        <v>443052</v>
      </c>
      <c r="N200" s="10">
        <v>4518</v>
      </c>
      <c r="O200">
        <v>-0.30399143347072533</v>
      </c>
      <c r="P200">
        <v>1.0323382301828921</v>
      </c>
      <c r="Q200">
        <v>-0.34276284907929855</v>
      </c>
      <c r="R200">
        <v>0.34276284907929849</v>
      </c>
      <c r="S200">
        <f t="shared" si="30"/>
        <v>0.69996614310758343</v>
      </c>
      <c r="T200" s="148">
        <f t="shared" si="35"/>
        <v>0.72482820270159054</v>
      </c>
      <c r="U200">
        <f t="shared" si="31"/>
        <v>2.3770466197469831</v>
      </c>
      <c r="V200" s="55">
        <f t="shared" si="36"/>
        <v>2.3560994746597537</v>
      </c>
      <c r="W200">
        <f t="shared" si="32"/>
        <v>0.57683530377317027</v>
      </c>
      <c r="X200" s="55">
        <f t="shared" si="37"/>
        <v>0.56868885601344465</v>
      </c>
      <c r="Y200" s="149">
        <v>11.8984272</v>
      </c>
      <c r="Z200" s="55">
        <f t="shared" si="33"/>
        <v>4.0455957806889509E-3</v>
      </c>
      <c r="AA200" s="55">
        <f t="shared" si="38"/>
        <v>4.0246961242195794E-3</v>
      </c>
      <c r="AB200" s="55">
        <f t="shared" si="34"/>
        <v>-5.5101264511373111</v>
      </c>
      <c r="AC200" s="55">
        <f t="shared" si="39"/>
        <v>-5.5167322286273475</v>
      </c>
      <c r="AD200" s="55"/>
      <c r="AE200" s="55"/>
      <c r="AF200" s="55"/>
      <c r="AG200" s="55"/>
      <c r="AH200" s="55"/>
    </row>
    <row r="201" spans="1:34" ht="15.75">
      <c r="A201" s="39">
        <v>11.574961200000001</v>
      </c>
      <c r="B201" s="39">
        <v>11.9170485</v>
      </c>
      <c r="C201" s="39">
        <v>199</v>
      </c>
      <c r="D201">
        <v>199</v>
      </c>
      <c r="E201" s="10">
        <v>1438120</v>
      </c>
      <c r="F201" s="10">
        <v>1120570</v>
      </c>
      <c r="G201" s="10">
        <v>20083</v>
      </c>
      <c r="H201" s="10">
        <v>42765</v>
      </c>
      <c r="I201" s="10">
        <v>14960</v>
      </c>
      <c r="J201" s="10">
        <v>34476</v>
      </c>
      <c r="K201">
        <v>199</v>
      </c>
      <c r="L201" s="10">
        <v>1929</v>
      </c>
      <c r="M201" s="10">
        <v>448142</v>
      </c>
      <c r="N201" s="10">
        <v>4205</v>
      </c>
      <c r="O201">
        <v>-0.36258527851112976</v>
      </c>
      <c r="P201">
        <v>1.0203271716618652</v>
      </c>
      <c r="Q201">
        <v>-0.32825988810488599</v>
      </c>
      <c r="R201">
        <v>0.32825988810488599</v>
      </c>
      <c r="S201">
        <f t="shared" si="30"/>
        <v>0.83488345723882174</v>
      </c>
      <c r="T201" s="148">
        <f t="shared" si="35"/>
        <v>0.73358227709441415</v>
      </c>
      <c r="U201">
        <f t="shared" si="31"/>
        <v>2.3493901354453874</v>
      </c>
      <c r="V201" s="55">
        <f t="shared" si="36"/>
        <v>2.3529992278968943</v>
      </c>
      <c r="W201">
        <f t="shared" si="32"/>
        <v>0.54038974373061177</v>
      </c>
      <c r="X201" s="55">
        <f t="shared" si="37"/>
        <v>0.53968167248616872</v>
      </c>
      <c r="Y201" s="149">
        <v>11.9170485</v>
      </c>
      <c r="Z201" s="55">
        <f t="shared" si="33"/>
        <v>3.7525545035116056E-3</v>
      </c>
      <c r="AA201" s="55">
        <f t="shared" si="38"/>
        <v>4.002114408737184E-3</v>
      </c>
      <c r="AB201" s="55">
        <f t="shared" si="34"/>
        <v>-5.5853184699754346</v>
      </c>
      <c r="AC201" s="55">
        <f t="shared" si="39"/>
        <v>-5.5220556248240849</v>
      </c>
      <c r="AD201" s="55"/>
      <c r="AE201" s="55"/>
      <c r="AF201" s="55"/>
      <c r="AG201" s="55"/>
      <c r="AH201" s="55"/>
    </row>
    <row r="202" spans="1:34" ht="15.75">
      <c r="A202" s="39">
        <v>11.5928641</v>
      </c>
      <c r="B202" s="39">
        <v>11.935669900000001</v>
      </c>
      <c r="C202" s="39">
        <v>200</v>
      </c>
      <c r="D202">
        <v>200</v>
      </c>
      <c r="E202" s="10">
        <v>1425360</v>
      </c>
      <c r="F202" s="10">
        <v>1127800</v>
      </c>
      <c r="G202" s="10">
        <v>21193</v>
      </c>
      <c r="H202" s="10">
        <v>42222</v>
      </c>
      <c r="I202" s="10">
        <v>17986</v>
      </c>
      <c r="J202" s="10">
        <v>35005</v>
      </c>
      <c r="K202">
        <v>200</v>
      </c>
      <c r="L202" s="10">
        <v>1517</v>
      </c>
      <c r="M202" s="10">
        <v>435068</v>
      </c>
      <c r="N202" s="10">
        <v>4746</v>
      </c>
      <c r="O202">
        <v>-0.28919549291052377</v>
      </c>
      <c r="P202">
        <v>1.0130183399499424</v>
      </c>
      <c r="Q202">
        <v>-0.29934636328326658</v>
      </c>
      <c r="R202">
        <v>0.29934636328326664</v>
      </c>
      <c r="S202">
        <f t="shared" si="30"/>
        <v>0.66589723093683717</v>
      </c>
      <c r="T202" s="148">
        <f t="shared" si="35"/>
        <v>0.56696272879852883</v>
      </c>
      <c r="U202">
        <f t="shared" si="31"/>
        <v>2.332560928498312</v>
      </c>
      <c r="V202" s="55">
        <f t="shared" si="36"/>
        <v>2.3342981247630727</v>
      </c>
      <c r="W202">
        <f t="shared" si="32"/>
        <v>0.50181996995472389</v>
      </c>
      <c r="X202" s="55">
        <f t="shared" si="37"/>
        <v>0.53384163659251083</v>
      </c>
      <c r="Y202" s="149">
        <v>11.935669900000001</v>
      </c>
      <c r="Z202" s="55">
        <f t="shared" si="33"/>
        <v>4.2081929420109947E-3</v>
      </c>
      <c r="AA202" s="55">
        <f t="shared" si="38"/>
        <v>3.9908077873414783E-3</v>
      </c>
      <c r="AB202" s="55">
        <f t="shared" si="34"/>
        <v>-5.4707219533595097</v>
      </c>
      <c r="AC202" s="55">
        <f t="shared" si="39"/>
        <v>-5.5248622046730267</v>
      </c>
      <c r="AD202" s="55"/>
      <c r="AE202" s="55"/>
      <c r="AF202" s="55"/>
      <c r="AG202" s="55"/>
      <c r="AH202" s="55"/>
    </row>
    <row r="203" spans="1:34" ht="15.75">
      <c r="A203" s="39">
        <v>11.610766999999999</v>
      </c>
      <c r="B203" s="39">
        <v>11.9542913</v>
      </c>
      <c r="C203" s="39">
        <v>201</v>
      </c>
      <c r="D203">
        <v>201</v>
      </c>
      <c r="E203" s="10">
        <v>1300260</v>
      </c>
      <c r="F203" s="10">
        <v>1041460</v>
      </c>
      <c r="G203" s="10">
        <v>17587</v>
      </c>
      <c r="H203" s="10">
        <v>38051</v>
      </c>
      <c r="I203" s="10">
        <v>25188</v>
      </c>
      <c r="J203" s="10">
        <v>30768</v>
      </c>
      <c r="K203">
        <v>201</v>
      </c>
      <c r="L203" s="10">
        <v>1430</v>
      </c>
      <c r="M203" s="10">
        <v>387560</v>
      </c>
      <c r="N203" s="10">
        <v>4178</v>
      </c>
      <c r="O203">
        <v>-8.6905582264379361E-2</v>
      </c>
      <c r="P203">
        <v>1.0079728724933248</v>
      </c>
      <c r="Q203">
        <v>-0.33517431115370039</v>
      </c>
      <c r="R203">
        <v>0.33517431115370039</v>
      </c>
      <c r="S203">
        <f t="shared" si="30"/>
        <v>0.2001074982199276</v>
      </c>
      <c r="T203" s="148">
        <f t="shared" si="35"/>
        <v>0.5182689751560009</v>
      </c>
      <c r="U203">
        <f t="shared" si="31"/>
        <v>2.3209433103455179</v>
      </c>
      <c r="V203" s="55">
        <f t="shared" si="36"/>
        <v>2.3288834841410337</v>
      </c>
      <c r="W203">
        <f t="shared" si="32"/>
        <v>0.55931519609219682</v>
      </c>
      <c r="X203" s="55">
        <f t="shared" si="37"/>
        <v>0.57232405967300848</v>
      </c>
      <c r="Y203" s="149">
        <v>11.9542913</v>
      </c>
      <c r="Z203" s="55">
        <f t="shared" si="33"/>
        <v>4.0116759165018338E-3</v>
      </c>
      <c r="AA203" s="55">
        <f t="shared" si="38"/>
        <v>4.134137559819547E-3</v>
      </c>
      <c r="AB203" s="55">
        <f t="shared" si="34"/>
        <v>-5.5185461906841349</v>
      </c>
      <c r="AC203" s="55">
        <f t="shared" si="39"/>
        <v>-5.4887012639960808</v>
      </c>
      <c r="AD203" s="55"/>
      <c r="AE203" s="55"/>
      <c r="AF203" s="55"/>
      <c r="AG203" s="55"/>
      <c r="AH203" s="55"/>
    </row>
    <row r="204" spans="1:34" ht="15.75">
      <c r="A204" s="39">
        <v>11.6286699</v>
      </c>
      <c r="B204" s="39">
        <v>11.972912600000001</v>
      </c>
      <c r="C204" s="39">
        <v>202</v>
      </c>
      <c r="D204">
        <v>202</v>
      </c>
      <c r="E204" s="10">
        <v>1213260</v>
      </c>
      <c r="F204" s="10">
        <v>997240</v>
      </c>
      <c r="G204" s="10">
        <v>15018</v>
      </c>
      <c r="H204" s="10">
        <v>34979</v>
      </c>
      <c r="I204" s="10">
        <v>14531</v>
      </c>
      <c r="J204" s="10">
        <v>28936</v>
      </c>
      <c r="K204">
        <v>202</v>
      </c>
      <c r="L204" s="10">
        <v>1087</v>
      </c>
      <c r="M204" s="10">
        <v>360645</v>
      </c>
      <c r="N204" s="10">
        <v>4171</v>
      </c>
      <c r="O204">
        <v>-0.2991429929808111</v>
      </c>
      <c r="P204">
        <v>1.0132725260309434</v>
      </c>
      <c r="Q204">
        <v>-0.36719528946497676</v>
      </c>
      <c r="R204">
        <v>0.36719528946497676</v>
      </c>
      <c r="S204">
        <f t="shared" si="30"/>
        <v>0.68880219631123807</v>
      </c>
      <c r="T204" s="148">
        <f t="shared" si="35"/>
        <v>0.58585671813091078</v>
      </c>
      <c r="U204">
        <f t="shared" si="31"/>
        <v>2.3331462135792713</v>
      </c>
      <c r="V204" s="55">
        <f t="shared" si="36"/>
        <v>2.3308296923569078</v>
      </c>
      <c r="W204">
        <f t="shared" si="32"/>
        <v>0.65583701297210473</v>
      </c>
      <c r="X204" s="55">
        <f t="shared" si="37"/>
        <v>0.60144940919569723</v>
      </c>
      <c r="Y204" s="149">
        <v>11.972912600000001</v>
      </c>
      <c r="Z204" s="55">
        <f t="shared" si="33"/>
        <v>4.1825438209458108E-3</v>
      </c>
      <c r="AA204" s="55">
        <f t="shared" si="38"/>
        <v>4.0992301286575938E-3</v>
      </c>
      <c r="AB204" s="55">
        <f t="shared" si="34"/>
        <v>-5.4768356479445979</v>
      </c>
      <c r="AC204" s="55">
        <f t="shared" si="39"/>
        <v>-5.4971013341130295</v>
      </c>
      <c r="AD204" s="55"/>
      <c r="AE204" s="55"/>
      <c r="AF204" s="55"/>
      <c r="AG204" s="55"/>
      <c r="AH204" s="55"/>
    </row>
    <row r="205" spans="1:34" ht="15.75">
      <c r="A205" s="39">
        <v>11.6465728</v>
      </c>
      <c r="B205" s="39">
        <v>11.991534</v>
      </c>
      <c r="C205" s="39">
        <v>203</v>
      </c>
      <c r="D205">
        <v>203</v>
      </c>
      <c r="E205" s="10">
        <v>1302410</v>
      </c>
      <c r="F205" s="10">
        <v>1063490</v>
      </c>
      <c r="G205" s="10">
        <v>17411</v>
      </c>
      <c r="H205" s="10">
        <v>38134</v>
      </c>
      <c r="I205" s="10">
        <v>13166</v>
      </c>
      <c r="J205" s="10">
        <v>31384</v>
      </c>
      <c r="K205">
        <v>203</v>
      </c>
      <c r="L205" s="10">
        <v>1863</v>
      </c>
      <c r="M205" s="10">
        <v>395245</v>
      </c>
      <c r="N205" s="10">
        <v>4364</v>
      </c>
      <c r="O205">
        <v>-0.37725444436541949</v>
      </c>
      <c r="P205">
        <v>1.0155540224163093</v>
      </c>
      <c r="Q205">
        <v>-0.340488646714182</v>
      </c>
      <c r="R205">
        <v>0.340488646714182</v>
      </c>
      <c r="S205">
        <f t="shared" si="30"/>
        <v>0.86866045986156648</v>
      </c>
      <c r="T205" s="148">
        <f t="shared" si="35"/>
        <v>0.85223552684367687</v>
      </c>
      <c r="U205">
        <f t="shared" si="31"/>
        <v>2.3383995531459347</v>
      </c>
      <c r="V205" s="55">
        <f t="shared" si="36"/>
        <v>2.3333941914142504</v>
      </c>
      <c r="W205">
        <f t="shared" si="32"/>
        <v>0.58919601852279002</v>
      </c>
      <c r="X205" s="55">
        <f t="shared" si="37"/>
        <v>0.6088655673398452</v>
      </c>
      <c r="Y205" s="149">
        <v>11.991534</v>
      </c>
      <c r="Z205" s="55">
        <f t="shared" si="33"/>
        <v>4.1034706485251387E-3</v>
      </c>
      <c r="AA205" s="55">
        <f t="shared" si="38"/>
        <v>4.1333356275500806E-3</v>
      </c>
      <c r="AB205" s="55">
        <f t="shared" si="34"/>
        <v>-5.4959221637103566</v>
      </c>
      <c r="AC205" s="55">
        <f t="shared" si="39"/>
        <v>-5.4887063811850041</v>
      </c>
      <c r="AD205" s="55"/>
      <c r="AE205" s="55"/>
      <c r="AF205" s="55"/>
      <c r="AG205" s="55"/>
      <c r="AH205" s="55"/>
    </row>
    <row r="206" spans="1:34" ht="15.75">
      <c r="A206" s="39">
        <v>11.664475700000001</v>
      </c>
      <c r="B206" s="39">
        <v>12.010155299999999</v>
      </c>
      <c r="C206" s="39">
        <v>204</v>
      </c>
      <c r="D206">
        <v>204</v>
      </c>
      <c r="E206" s="10">
        <v>1453110</v>
      </c>
      <c r="F206" s="10">
        <v>1157270</v>
      </c>
      <c r="G206" s="10">
        <v>20221</v>
      </c>
      <c r="H206" s="10">
        <v>43794</v>
      </c>
      <c r="I206" s="10">
        <v>13317</v>
      </c>
      <c r="J206" s="10">
        <v>36172</v>
      </c>
      <c r="K206">
        <v>204</v>
      </c>
      <c r="L206" s="10">
        <v>1652</v>
      </c>
      <c r="M206" s="10">
        <v>449499</v>
      </c>
      <c r="N206" s="10">
        <v>4761</v>
      </c>
      <c r="O206">
        <v>-0.43396612242412785</v>
      </c>
      <c r="P206">
        <v>1.0113141158616747</v>
      </c>
      <c r="Q206">
        <v>-0.33561198484922011</v>
      </c>
      <c r="R206">
        <v>0.33561198484922006</v>
      </c>
      <c r="S206">
        <f t="shared" si="30"/>
        <v>0.99924392435822584</v>
      </c>
      <c r="T206" s="148">
        <f t="shared" si="35"/>
        <v>0.9369490003324582</v>
      </c>
      <c r="U206">
        <f t="shared" si="31"/>
        <v>2.3286368075175456</v>
      </c>
      <c r="V206" s="55">
        <f t="shared" si="36"/>
        <v>2.3466144084632119</v>
      </c>
      <c r="W206">
        <f t="shared" si="32"/>
        <v>0.58156367052464109</v>
      </c>
      <c r="X206" s="55">
        <f t="shared" si="37"/>
        <v>0.57371221316022092</v>
      </c>
      <c r="Y206" s="149">
        <v>12.010155299999999</v>
      </c>
      <c r="Z206" s="55">
        <f t="shared" si="33"/>
        <v>4.1139924131792923E-3</v>
      </c>
      <c r="AA206" s="55">
        <f t="shared" si="38"/>
        <v>4.1115501355991407E-3</v>
      </c>
      <c r="AB206" s="55">
        <f t="shared" si="34"/>
        <v>-5.4933613319000596</v>
      </c>
      <c r="AC206" s="55">
        <f t="shared" si="39"/>
        <v>-5.4939561758650939</v>
      </c>
      <c r="AD206" s="55"/>
      <c r="AE206" s="55"/>
      <c r="AF206" s="55"/>
      <c r="AG206" s="55"/>
      <c r="AH206" s="55"/>
    </row>
    <row r="207" spans="1:34" ht="15.75">
      <c r="A207" s="39">
        <v>11.6823786</v>
      </c>
      <c r="B207" s="39">
        <v>12.0287767</v>
      </c>
      <c r="C207" s="39">
        <v>205</v>
      </c>
      <c r="D207">
        <v>205</v>
      </c>
      <c r="E207" s="10">
        <v>1405627.5</v>
      </c>
      <c r="F207" s="10">
        <v>1115891.25</v>
      </c>
      <c r="G207" s="10">
        <v>19410</v>
      </c>
      <c r="H207" s="10">
        <v>40727.75</v>
      </c>
      <c r="I207" s="10">
        <v>13108</v>
      </c>
      <c r="J207" s="10">
        <v>33655.125</v>
      </c>
      <c r="K207">
        <v>205</v>
      </c>
      <c r="L207" s="10">
        <v>2562.333333</v>
      </c>
      <c r="M207" s="10">
        <v>436905.3333</v>
      </c>
      <c r="N207" s="10">
        <v>4594.3333329999996</v>
      </c>
      <c r="O207">
        <v>-0.40951477521791674</v>
      </c>
      <c r="P207">
        <v>1.030496927972725</v>
      </c>
      <c r="Q207">
        <v>-0.32186488281019554</v>
      </c>
      <c r="R207">
        <v>0.32186488281019554</v>
      </c>
      <c r="S207">
        <f t="shared" si="30"/>
        <v>0.9429426167775824</v>
      </c>
      <c r="T207" s="148">
        <f t="shared" si="35"/>
        <v>0.98015827747961604</v>
      </c>
      <c r="U207">
        <f t="shared" si="31"/>
        <v>2.3728068647261553</v>
      </c>
      <c r="V207" s="55">
        <f t="shared" si="36"/>
        <v>2.3441760258130171</v>
      </c>
      <c r="W207">
        <f t="shared" si="32"/>
        <v>0.55037695043323187</v>
      </c>
      <c r="X207" s="55">
        <f t="shared" si="37"/>
        <v>0.575721452948317</v>
      </c>
      <c r="Y207" s="149">
        <v>12.0287767</v>
      </c>
      <c r="Z207" s="55">
        <f t="shared" si="33"/>
        <v>4.1171873450929911E-3</v>
      </c>
      <c r="AA207" s="55">
        <f t="shared" si="38"/>
        <v>4.1362800894622067E-3</v>
      </c>
      <c r="AB207" s="55">
        <f t="shared" si="34"/>
        <v>-5.4925850319848655</v>
      </c>
      <c r="AC207" s="55">
        <f t="shared" si="39"/>
        <v>-5.4879834131963037</v>
      </c>
      <c r="AD207" s="55"/>
      <c r="AE207" s="55"/>
      <c r="AF207" s="55"/>
      <c r="AG207" s="55"/>
      <c r="AH207" s="55"/>
    </row>
    <row r="208" spans="1:34" ht="15.75">
      <c r="A208" s="39">
        <v>11.7002816</v>
      </c>
      <c r="B208" s="39">
        <v>12.047398100000001</v>
      </c>
      <c r="C208" s="39">
        <v>206</v>
      </c>
      <c r="D208">
        <v>206</v>
      </c>
      <c r="E208" s="10">
        <v>1323490</v>
      </c>
      <c r="F208" s="10">
        <v>1068780</v>
      </c>
      <c r="G208" s="10">
        <v>17683</v>
      </c>
      <c r="H208" s="10">
        <v>39406</v>
      </c>
      <c r="I208" s="10">
        <v>11817</v>
      </c>
      <c r="J208" s="10">
        <v>32067</v>
      </c>
      <c r="K208">
        <v>206</v>
      </c>
      <c r="L208" s="10">
        <v>2589</v>
      </c>
      <c r="M208" s="10">
        <v>405452</v>
      </c>
      <c r="N208" s="10">
        <v>4465</v>
      </c>
      <c r="O208">
        <v>-0.43355109626153621</v>
      </c>
      <c r="P208">
        <v>1.0123770940270647</v>
      </c>
      <c r="Q208">
        <v>-0.34800640607769623</v>
      </c>
      <c r="R208">
        <v>0.34800640607769623</v>
      </c>
      <c r="S208">
        <f t="shared" si="30"/>
        <v>0.99828829130303987</v>
      </c>
      <c r="T208" s="148">
        <f t="shared" si="35"/>
        <v>0.98404803234839855</v>
      </c>
      <c r="U208">
        <f t="shared" si="31"/>
        <v>2.3310844051953503</v>
      </c>
      <c r="V208" s="55">
        <f t="shared" si="36"/>
        <v>2.3552887522539834</v>
      </c>
      <c r="W208">
        <f t="shared" si="32"/>
        <v>0.59522373788707816</v>
      </c>
      <c r="X208" s="55">
        <f t="shared" si="37"/>
        <v>0.56842988869607802</v>
      </c>
      <c r="Y208" s="149">
        <v>12.047398100000001</v>
      </c>
      <c r="Z208" s="55">
        <f t="shared" si="33"/>
        <v>4.1776605101143359E-3</v>
      </c>
      <c r="AA208" s="55">
        <f t="shared" si="38"/>
        <v>4.0364601687410883E-3</v>
      </c>
      <c r="AB208" s="55">
        <f t="shared" si="34"/>
        <v>-5.4780038757039859</v>
      </c>
      <c r="AC208" s="55">
        <f t="shared" si="39"/>
        <v>-5.5131753441496381</v>
      </c>
      <c r="AD208" s="55"/>
      <c r="AE208" s="55"/>
      <c r="AF208" s="55"/>
      <c r="AG208" s="55"/>
      <c r="AH208" s="55"/>
    </row>
    <row r="209" spans="1:34" ht="15.75">
      <c r="A209" s="39">
        <v>11.7181845</v>
      </c>
      <c r="B209" s="39">
        <v>12.0660194</v>
      </c>
      <c r="C209" s="39">
        <v>207</v>
      </c>
      <c r="D209">
        <v>207</v>
      </c>
      <c r="E209" s="10">
        <v>1418910</v>
      </c>
      <c r="F209" s="10">
        <v>1127530</v>
      </c>
      <c r="G209" s="10">
        <v>19518</v>
      </c>
      <c r="H209" s="10">
        <v>41988</v>
      </c>
      <c r="I209" s="10">
        <v>12430</v>
      </c>
      <c r="J209" s="10">
        <v>34159</v>
      </c>
      <c r="K209">
        <v>207</v>
      </c>
      <c r="L209" s="10">
        <v>3860</v>
      </c>
      <c r="M209" s="10">
        <v>445572</v>
      </c>
      <c r="N209" s="10">
        <v>4301</v>
      </c>
      <c r="O209">
        <v>-0.43903401965053357</v>
      </c>
      <c r="P209">
        <v>1.0257927031783107</v>
      </c>
      <c r="Q209">
        <v>-0.33268987486503404</v>
      </c>
      <c r="R209">
        <v>0.3326898748650341</v>
      </c>
      <c r="S209">
        <f t="shared" ref="S209:S272" si="40">LN(J209/I209)</f>
        <v>1.0109131889645735</v>
      </c>
      <c r="T209" s="148">
        <f t="shared" si="35"/>
        <v>1.0016869695239581</v>
      </c>
      <c r="U209">
        <f t="shared" ref="U209:U272" si="41">LN(M209/H209)</f>
        <v>2.361974986840444</v>
      </c>
      <c r="V209" s="55">
        <f t="shared" si="36"/>
        <v>2.349104295097876</v>
      </c>
      <c r="W209">
        <f t="shared" ref="W209:W272" si="42">LN(J209/G209)</f>
        <v>0.55968897776792381</v>
      </c>
      <c r="X209" s="55">
        <f t="shared" si="37"/>
        <v>0.58275844693247203</v>
      </c>
      <c r="Y209" s="149">
        <v>12.0660194</v>
      </c>
      <c r="Z209" s="55">
        <f t="shared" si="33"/>
        <v>3.8145326510159376E-3</v>
      </c>
      <c r="AA209" s="55">
        <f t="shared" si="38"/>
        <v>4.0320048372201912E-3</v>
      </c>
      <c r="AB209" s="55">
        <f t="shared" si="34"/>
        <v>-5.5689371247600628</v>
      </c>
      <c r="AC209" s="55">
        <f t="shared" si="39"/>
        <v>-5.5142592343659134</v>
      </c>
      <c r="AD209" s="55"/>
      <c r="AE209" s="55"/>
      <c r="AF209" s="55"/>
      <c r="AG209" s="55"/>
      <c r="AH209" s="55"/>
    </row>
    <row r="210" spans="1:34" ht="15.75">
      <c r="A210" s="39">
        <v>11.736087400000001</v>
      </c>
      <c r="B210" s="39">
        <v>12.084640800000001</v>
      </c>
      <c r="C210" s="39">
        <v>208</v>
      </c>
      <c r="D210">
        <v>208</v>
      </c>
      <c r="E210" s="10">
        <v>1418880</v>
      </c>
      <c r="F210" s="10">
        <v>1125780</v>
      </c>
      <c r="G210" s="10">
        <v>18838</v>
      </c>
      <c r="H210" s="10">
        <v>41847</v>
      </c>
      <c r="I210" s="10">
        <v>12596</v>
      </c>
      <c r="J210" s="10">
        <v>34098</v>
      </c>
      <c r="K210">
        <v>208</v>
      </c>
      <c r="L210" s="10">
        <v>1924</v>
      </c>
      <c r="M210" s="10">
        <v>440660</v>
      </c>
      <c r="N210" s="10">
        <v>4620</v>
      </c>
      <c r="O210">
        <v>-0.43249625446386769</v>
      </c>
      <c r="P210">
        <v>1.0224393011233321</v>
      </c>
      <c r="Q210">
        <v>-0.34662953643105443</v>
      </c>
      <c r="R210">
        <v>0.34662953643105443</v>
      </c>
      <c r="S210">
        <f t="shared" si="40"/>
        <v>0.99585942830426122</v>
      </c>
      <c r="T210" s="148">
        <f t="shared" si="35"/>
        <v>0.98869408120506774</v>
      </c>
      <c r="U210">
        <f t="shared" si="41"/>
        <v>2.354253493257835</v>
      </c>
      <c r="V210" s="55">
        <f t="shared" si="36"/>
        <v>2.3598178692344618</v>
      </c>
      <c r="W210">
        <f t="shared" si="42"/>
        <v>0.59336262514241411</v>
      </c>
      <c r="X210" s="55">
        <f t="shared" si="37"/>
        <v>0.58055628092968548</v>
      </c>
      <c r="Y210" s="149">
        <v>12.084640800000001</v>
      </c>
      <c r="Z210" s="55">
        <f t="shared" si="33"/>
        <v>4.1038213505302989E-3</v>
      </c>
      <c r="AA210" s="55">
        <f t="shared" si="38"/>
        <v>4.0967480174565968E-3</v>
      </c>
      <c r="AB210" s="55">
        <f t="shared" si="34"/>
        <v>-5.4958367026336905</v>
      </c>
      <c r="AC210" s="55">
        <f t="shared" si="39"/>
        <v>-5.4991112282876111</v>
      </c>
      <c r="AD210" s="55"/>
      <c r="AE210" s="55"/>
      <c r="AF210" s="55"/>
      <c r="AG210" s="55"/>
      <c r="AH210" s="55"/>
    </row>
    <row r="211" spans="1:34" ht="15.75">
      <c r="A211" s="39">
        <v>11.7539903</v>
      </c>
      <c r="B211" s="39">
        <v>12.1032621</v>
      </c>
      <c r="C211" s="39">
        <v>209</v>
      </c>
      <c r="D211">
        <v>209</v>
      </c>
      <c r="E211" s="10">
        <v>1402430</v>
      </c>
      <c r="F211" s="10">
        <v>1127430</v>
      </c>
      <c r="G211" s="10">
        <v>18186</v>
      </c>
      <c r="H211" s="10">
        <v>40455</v>
      </c>
      <c r="I211" s="10">
        <v>12553</v>
      </c>
      <c r="J211" s="10">
        <v>32762</v>
      </c>
      <c r="K211">
        <v>209</v>
      </c>
      <c r="L211" s="10">
        <v>1798</v>
      </c>
      <c r="M211" s="10">
        <v>429841</v>
      </c>
      <c r="N211" s="10">
        <v>4929</v>
      </c>
      <c r="O211">
        <v>-0.41662287715889812</v>
      </c>
      <c r="P211">
        <v>1.026335632414006</v>
      </c>
      <c r="Q211">
        <v>-0.34723501875730656</v>
      </c>
      <c r="R211">
        <v>0.34723501875730656</v>
      </c>
      <c r="S211">
        <f t="shared" si="40"/>
        <v>0.95930962634636829</v>
      </c>
      <c r="T211" s="148">
        <f t="shared" si="35"/>
        <v>0.96738378473984177</v>
      </c>
      <c r="U211">
        <f t="shared" si="41"/>
        <v>2.3632251276051068</v>
      </c>
      <c r="V211" s="55">
        <f t="shared" si="36"/>
        <v>2.3691894383812921</v>
      </c>
      <c r="W211">
        <f t="shared" si="42"/>
        <v>0.5886172398787185</v>
      </c>
      <c r="X211" s="55">
        <f t="shared" si="37"/>
        <v>0.60121467528411798</v>
      </c>
      <c r="Y211" s="149">
        <v>12.1032621</v>
      </c>
      <c r="Z211" s="55">
        <f t="shared" si="33"/>
        <v>4.3718900508235544E-3</v>
      </c>
      <c r="AA211" s="55">
        <f t="shared" si="38"/>
        <v>4.1612053505037765E-3</v>
      </c>
      <c r="AB211" s="55">
        <f t="shared" si="34"/>
        <v>-5.4325598574690792</v>
      </c>
      <c r="AC211" s="55">
        <f t="shared" si="39"/>
        <v>-5.4826277551553986</v>
      </c>
      <c r="AD211" s="55"/>
      <c r="AE211" s="55"/>
      <c r="AF211" s="55"/>
      <c r="AG211" s="55"/>
      <c r="AH211" s="55"/>
    </row>
    <row r="212" spans="1:34" ht="15.75">
      <c r="A212" s="39">
        <v>11.771893199999999</v>
      </c>
      <c r="B212" s="39">
        <v>12.121883499999999</v>
      </c>
      <c r="C212" s="39">
        <v>210</v>
      </c>
      <c r="D212">
        <v>210</v>
      </c>
      <c r="E212" s="10">
        <v>1409880</v>
      </c>
      <c r="F212" s="10">
        <v>1133510</v>
      </c>
      <c r="G212" s="10">
        <v>17706</v>
      </c>
      <c r="H212" s="10">
        <v>40151</v>
      </c>
      <c r="I212" s="10">
        <v>12789</v>
      </c>
      <c r="J212" s="10">
        <v>32969</v>
      </c>
      <c r="K212">
        <v>210</v>
      </c>
      <c r="L212" s="10">
        <v>2024</v>
      </c>
      <c r="M212" s="10">
        <v>438227</v>
      </c>
      <c r="N212" s="10">
        <v>4543</v>
      </c>
      <c r="O212">
        <v>-0.41126918716282357</v>
      </c>
      <c r="P212">
        <v>1.0380027654800401</v>
      </c>
      <c r="Q212">
        <v>-0.35557590639544512</v>
      </c>
      <c r="R212">
        <v>0.35557590639544512</v>
      </c>
      <c r="S212">
        <f t="shared" si="40"/>
        <v>0.94698229956889568</v>
      </c>
      <c r="T212" s="148">
        <f t="shared" si="35"/>
        <v>0.94360413430508583</v>
      </c>
      <c r="U212">
        <f t="shared" si="41"/>
        <v>2.3900896942809347</v>
      </c>
      <c r="V212" s="55">
        <f t="shared" si="36"/>
        <v>2.3740650188091994</v>
      </c>
      <c r="W212">
        <f t="shared" si="42"/>
        <v>0.62166416083122122</v>
      </c>
      <c r="X212" s="55">
        <f t="shared" si="37"/>
        <v>0.60909069540007654</v>
      </c>
      <c r="Y212" s="149">
        <v>12.121883499999999</v>
      </c>
      <c r="Z212" s="55">
        <f t="shared" si="33"/>
        <v>4.0079046501574752E-3</v>
      </c>
      <c r="AA212" s="55">
        <f t="shared" si="38"/>
        <v>4.098926184364012E-3</v>
      </c>
      <c r="AB212" s="55">
        <f t="shared" si="34"/>
        <v>-5.5194867053634269</v>
      </c>
      <c r="AC212" s="55">
        <f t="shared" si="39"/>
        <v>-5.4981599698846226</v>
      </c>
      <c r="AD212" s="55"/>
      <c r="AE212" s="55"/>
      <c r="AF212" s="55"/>
      <c r="AG212" s="55"/>
      <c r="AH212" s="55"/>
    </row>
    <row r="213" spans="1:34" ht="15.75">
      <c r="A213" s="129">
        <v>11.7897961</v>
      </c>
      <c r="B213" s="129">
        <v>12.1405049</v>
      </c>
      <c r="C213" s="129">
        <v>211</v>
      </c>
      <c r="D213" s="130">
        <v>211</v>
      </c>
      <c r="E213" s="131">
        <v>1402300</v>
      </c>
      <c r="F213" s="131">
        <v>1137610</v>
      </c>
      <c r="G213" s="131">
        <v>17742</v>
      </c>
      <c r="H213" s="131">
        <v>40543</v>
      </c>
      <c r="I213" s="131">
        <v>13045</v>
      </c>
      <c r="J213" s="131">
        <v>32882</v>
      </c>
      <c r="K213" s="130">
        <v>211</v>
      </c>
      <c r="L213" s="131">
        <v>2111</v>
      </c>
      <c r="M213" s="131">
        <v>433219</v>
      </c>
      <c r="N213" s="131">
        <v>4456</v>
      </c>
      <c r="O213" s="130">
        <v>-0.40151414156765941</v>
      </c>
      <c r="P213" s="130">
        <v>1.0287916141510789</v>
      </c>
      <c r="Q213" s="130">
        <v>-0.35891330647832775</v>
      </c>
      <c r="R213" s="130">
        <v>0.35891330647832775</v>
      </c>
      <c r="S213" s="130">
        <f t="shared" si="40"/>
        <v>0.92452047699999351</v>
      </c>
      <c r="T213" s="148">
        <f t="shared" si="35"/>
        <v>0.94352448319192384</v>
      </c>
      <c r="U213" s="130">
        <f t="shared" si="41"/>
        <v>2.3688802345415563</v>
      </c>
      <c r="V213" s="132">
        <f t="shared" si="36"/>
        <v>2.3743152995381434</v>
      </c>
      <c r="W213" s="130">
        <f t="shared" si="42"/>
        <v>0.61699068549029001</v>
      </c>
      <c r="X213" s="132">
        <f t="shared" si="37"/>
        <v>0.61342392686472769</v>
      </c>
      <c r="Y213" s="149">
        <v>12.1405049</v>
      </c>
      <c r="Z213" s="132">
        <f t="shared" si="33"/>
        <v>3.9169838521110048E-3</v>
      </c>
      <c r="AA213" s="132">
        <f t="shared" si="38"/>
        <v>3.9896202563867019E-3</v>
      </c>
      <c r="AB213" s="132">
        <f t="shared" si="34"/>
        <v>-5.5424333468213636</v>
      </c>
      <c r="AC213" s="132">
        <f t="shared" si="39"/>
        <v>-5.5241492959576872</v>
      </c>
      <c r="AD213" s="55"/>
      <c r="AE213" s="55"/>
      <c r="AF213" s="55"/>
      <c r="AG213" s="55"/>
      <c r="AH213" s="55"/>
    </row>
    <row r="214" spans="1:34" ht="15.75">
      <c r="A214" s="39">
        <v>11.807699</v>
      </c>
      <c r="B214" s="39">
        <v>12.159126199999999</v>
      </c>
      <c r="C214" s="39">
        <v>212</v>
      </c>
      <c r="D214">
        <v>212</v>
      </c>
      <c r="E214" s="10">
        <v>1415560</v>
      </c>
      <c r="F214" s="10">
        <v>1137990</v>
      </c>
      <c r="G214" s="10">
        <v>18167</v>
      </c>
      <c r="H214" s="10">
        <v>41147</v>
      </c>
      <c r="I214" s="10">
        <v>12707</v>
      </c>
      <c r="J214" s="10">
        <v>33156</v>
      </c>
      <c r="K214">
        <v>212</v>
      </c>
      <c r="L214" s="10">
        <v>1734</v>
      </c>
      <c r="M214" s="10">
        <v>437522</v>
      </c>
      <c r="N214" s="10">
        <v>4602</v>
      </c>
      <c r="O214">
        <v>-0.41651910104212703</v>
      </c>
      <c r="P214">
        <v>1.0266617190325273</v>
      </c>
      <c r="Q214">
        <v>-0.35505496039500239</v>
      </c>
      <c r="R214">
        <v>0.35505496039500239</v>
      </c>
      <c r="S214">
        <f t="shared" si="40"/>
        <v>0.95907067300688253</v>
      </c>
      <c r="T214" s="148">
        <f t="shared" si="35"/>
        <v>0.95873791818913789</v>
      </c>
      <c r="U214">
        <f t="shared" si="41"/>
        <v>2.3639759697919391</v>
      </c>
      <c r="V214" s="55">
        <f t="shared" si="36"/>
        <v>2.3577334414305193</v>
      </c>
      <c r="W214">
        <f t="shared" si="42"/>
        <v>0.60161693427267182</v>
      </c>
      <c r="X214" s="55">
        <f t="shared" si="37"/>
        <v>0.61444140014264692</v>
      </c>
      <c r="Y214" s="149">
        <v>12.159126199999999</v>
      </c>
      <c r="Z214" s="55">
        <f t="shared" si="33"/>
        <v>4.043972266891625E-3</v>
      </c>
      <c r="AA214" s="55">
        <f t="shared" si="38"/>
        <v>3.918681989295709E-3</v>
      </c>
      <c r="AB214" s="55">
        <f t="shared" si="34"/>
        <v>-5.5105278356882712</v>
      </c>
      <c r="AC214" s="55">
        <f t="shared" si="39"/>
        <v>-5.5423361251096841</v>
      </c>
      <c r="AD214" s="55"/>
      <c r="AE214" s="55"/>
      <c r="AF214" s="55"/>
      <c r="AG214" s="55"/>
      <c r="AH214" s="55"/>
    </row>
    <row r="215" spans="1:34" ht="15.75">
      <c r="A215" s="39">
        <v>11.825601900000001</v>
      </c>
      <c r="B215" s="39">
        <v>12.1777476</v>
      </c>
      <c r="C215" s="39">
        <v>213</v>
      </c>
      <c r="D215">
        <v>213</v>
      </c>
      <c r="E215" s="10">
        <v>1401110</v>
      </c>
      <c r="F215" s="10">
        <v>1133570</v>
      </c>
      <c r="G215" s="10">
        <v>17780</v>
      </c>
      <c r="H215" s="10">
        <v>40802</v>
      </c>
      <c r="I215" s="10">
        <v>12307</v>
      </c>
      <c r="J215" s="10">
        <v>33208</v>
      </c>
      <c r="K215">
        <v>213</v>
      </c>
      <c r="L215" s="10">
        <v>1747</v>
      </c>
      <c r="M215" s="10">
        <v>423721</v>
      </c>
      <c r="N215" s="10">
        <v>4302</v>
      </c>
      <c r="O215">
        <v>-0.43109051977307528</v>
      </c>
      <c r="P215">
        <v>1.0163985370525084</v>
      </c>
      <c r="Q215">
        <v>-0.36074969487910558</v>
      </c>
      <c r="R215">
        <v>0.36074969487910552</v>
      </c>
      <c r="S215">
        <f t="shared" si="40"/>
        <v>0.99262260456053797</v>
      </c>
      <c r="T215" s="148">
        <f t="shared" si="35"/>
        <v>0.96259604492548279</v>
      </c>
      <c r="U215">
        <f t="shared" si="41"/>
        <v>2.3403441199580621</v>
      </c>
      <c r="V215" s="55">
        <f t="shared" si="36"/>
        <v>2.3584559822432074</v>
      </c>
      <c r="W215">
        <f t="shared" si="42"/>
        <v>0.62471658066497915</v>
      </c>
      <c r="X215" s="55">
        <f t="shared" si="37"/>
        <v>0.62432385824691639</v>
      </c>
      <c r="Y215" s="149">
        <v>12.1777476</v>
      </c>
      <c r="Z215" s="55">
        <f t="shared" si="33"/>
        <v>3.7950898488844976E-3</v>
      </c>
      <c r="AA215" s="55">
        <f t="shared" si="38"/>
        <v>3.9584039932584738E-3</v>
      </c>
      <c r="AB215" s="55">
        <f t="shared" si="34"/>
        <v>-5.5740471928194184</v>
      </c>
      <c r="AC215" s="55">
        <f t="shared" si="39"/>
        <v>-5.5323463579581089</v>
      </c>
      <c r="AD215" s="55"/>
      <c r="AE215" s="55"/>
      <c r="AF215" s="55"/>
      <c r="AG215" s="55"/>
      <c r="AH215" s="55"/>
    </row>
    <row r="216" spans="1:34" ht="15.75">
      <c r="A216" s="39">
        <v>11.843504899999999</v>
      </c>
      <c r="B216" s="39">
        <v>12.1963689</v>
      </c>
      <c r="C216" s="39">
        <v>214</v>
      </c>
      <c r="D216">
        <v>214</v>
      </c>
      <c r="E216" s="10">
        <v>1417850</v>
      </c>
      <c r="F216" s="10">
        <v>1139700</v>
      </c>
      <c r="G216" s="10">
        <v>17483</v>
      </c>
      <c r="H216" s="10">
        <v>41034</v>
      </c>
      <c r="I216" s="10">
        <v>13089</v>
      </c>
      <c r="J216" s="10">
        <v>33377</v>
      </c>
      <c r="K216">
        <v>214</v>
      </c>
      <c r="L216" s="10">
        <v>1699</v>
      </c>
      <c r="M216" s="10">
        <v>439417</v>
      </c>
      <c r="N216" s="10">
        <v>4600</v>
      </c>
      <c r="O216">
        <v>-0.40654083102389316</v>
      </c>
      <c r="P216">
        <v>1.0297330006147798</v>
      </c>
      <c r="Q216">
        <v>-0.37052789654740825</v>
      </c>
      <c r="R216">
        <v>0.37052789654740825</v>
      </c>
      <c r="S216">
        <f t="shared" si="40"/>
        <v>0.93609485720902752</v>
      </c>
      <c r="T216" s="148">
        <f t="shared" si="35"/>
        <v>0.95372811457024242</v>
      </c>
      <c r="U216">
        <f t="shared" si="41"/>
        <v>2.3710478569796205</v>
      </c>
      <c r="V216" s="55">
        <f t="shared" si="36"/>
        <v>2.3565918236231691</v>
      </c>
      <c r="W216">
        <f t="shared" si="42"/>
        <v>0.64663805980309808</v>
      </c>
      <c r="X216" s="55">
        <f t="shared" si="37"/>
        <v>0.62765502856512967</v>
      </c>
      <c r="Y216" s="149">
        <v>12.1963689</v>
      </c>
      <c r="Z216" s="55">
        <f t="shared" si="33"/>
        <v>4.0361498639992985E-3</v>
      </c>
      <c r="AA216" s="55">
        <f t="shared" si="38"/>
        <v>3.9611257975915156E-3</v>
      </c>
      <c r="AB216" s="55">
        <f t="shared" si="34"/>
        <v>-5.5124640453666398</v>
      </c>
      <c r="AC216" s="55">
        <f t="shared" si="39"/>
        <v>-5.5316739843678802</v>
      </c>
      <c r="AD216" s="55"/>
      <c r="AE216" s="55"/>
      <c r="AF216" s="55"/>
      <c r="AG216" s="55"/>
      <c r="AH216" s="55"/>
    </row>
    <row r="217" spans="1:34" ht="15.75">
      <c r="A217" s="39">
        <v>11.8614078</v>
      </c>
      <c r="B217" s="39">
        <v>12.2149903</v>
      </c>
      <c r="C217" s="39">
        <v>215</v>
      </c>
      <c r="D217">
        <v>215</v>
      </c>
      <c r="E217" s="10">
        <v>1407010</v>
      </c>
      <c r="F217" s="10">
        <v>1142360</v>
      </c>
      <c r="G217" s="10">
        <v>17918</v>
      </c>
      <c r="H217" s="10">
        <v>40734</v>
      </c>
      <c r="I217" s="10">
        <v>13000</v>
      </c>
      <c r="J217" s="10">
        <v>33030</v>
      </c>
      <c r="K217">
        <v>215</v>
      </c>
      <c r="L217" s="10">
        <v>1993</v>
      </c>
      <c r="M217" s="10">
        <v>430715</v>
      </c>
      <c r="N217" s="10">
        <v>4629</v>
      </c>
      <c r="O217">
        <v>-0.40496522138457747</v>
      </c>
      <c r="P217">
        <v>1.0242329376263029</v>
      </c>
      <c r="Q217">
        <v>-0.35666752680323294</v>
      </c>
      <c r="R217">
        <v>0.35666752680323294</v>
      </c>
      <c r="S217">
        <f t="shared" si="40"/>
        <v>0.93246688194116156</v>
      </c>
      <c r="T217" s="148">
        <f t="shared" si="35"/>
        <v>0.92176562192507516</v>
      </c>
      <c r="U217">
        <f t="shared" si="41"/>
        <v>2.3583834939318251</v>
      </c>
      <c r="V217" s="55">
        <f t="shared" si="36"/>
        <v>2.3631851028614226</v>
      </c>
      <c r="W217">
        <f t="shared" si="42"/>
        <v>0.61161044522731156</v>
      </c>
      <c r="X217" s="55">
        <f t="shared" si="37"/>
        <v>0.61758853213082165</v>
      </c>
      <c r="Y217" s="149">
        <v>12.2149903</v>
      </c>
      <c r="Z217" s="55">
        <f t="shared" si="33"/>
        <v>4.0521376798907521E-3</v>
      </c>
      <c r="AA217" s="55">
        <f t="shared" si="38"/>
        <v>4.0968111442313314E-3</v>
      </c>
      <c r="AB217" s="55">
        <f t="shared" si="34"/>
        <v>-5.5085107149175796</v>
      </c>
      <c r="AC217" s="55">
        <f t="shared" si="39"/>
        <v>-5.4977115728498438</v>
      </c>
      <c r="AD217" s="55"/>
      <c r="AE217" s="55"/>
      <c r="AF217" s="55"/>
      <c r="AG217" s="55"/>
      <c r="AH217" s="55"/>
    </row>
    <row r="218" spans="1:34" ht="15.75">
      <c r="A218" s="39">
        <v>11.8793107</v>
      </c>
      <c r="B218" s="39">
        <v>12.233611700000001</v>
      </c>
      <c r="C218" s="39">
        <v>216</v>
      </c>
      <c r="D218">
        <v>216</v>
      </c>
      <c r="E218" s="10">
        <v>1389950</v>
      </c>
      <c r="F218" s="10">
        <v>1137990</v>
      </c>
      <c r="G218" s="10">
        <v>17786</v>
      </c>
      <c r="H218" s="10">
        <v>39945</v>
      </c>
      <c r="I218" s="10">
        <v>13147</v>
      </c>
      <c r="J218" s="10">
        <v>32231</v>
      </c>
      <c r="K218">
        <v>216</v>
      </c>
      <c r="L218" s="10">
        <v>1706</v>
      </c>
      <c r="M218" s="10">
        <v>423108</v>
      </c>
      <c r="N218" s="10">
        <v>4782</v>
      </c>
      <c r="O218">
        <v>-0.3894471172220671</v>
      </c>
      <c r="P218">
        <v>1.0249888114249703</v>
      </c>
      <c r="Q218">
        <v>-0.35138413751497743</v>
      </c>
      <c r="R218">
        <v>0.35138413751497749</v>
      </c>
      <c r="S218">
        <f t="shared" si="40"/>
        <v>0.89673512662503641</v>
      </c>
      <c r="T218" s="148">
        <f t="shared" si="35"/>
        <v>0.93454041442706559</v>
      </c>
      <c r="U218">
        <f t="shared" si="41"/>
        <v>2.3601239576728217</v>
      </c>
      <c r="V218" s="55">
        <f t="shared" si="36"/>
        <v>2.3635688725596373</v>
      </c>
      <c r="W218">
        <f t="shared" si="42"/>
        <v>0.59451709136205533</v>
      </c>
      <c r="X218" s="55">
        <f t="shared" si="37"/>
        <v>0.610493047777942</v>
      </c>
      <c r="Y218" s="149">
        <v>12.233611700000001</v>
      </c>
      <c r="Z218" s="55">
        <f t="shared" si="33"/>
        <v>4.2021458888039437E-3</v>
      </c>
      <c r="AA218" s="55">
        <f t="shared" si="38"/>
        <v>4.1253614694456856E-3</v>
      </c>
      <c r="AB218" s="55">
        <f t="shared" si="34"/>
        <v>-5.4721599582653129</v>
      </c>
      <c r="AC218" s="55">
        <f t="shared" si="39"/>
        <v>-5.4907119291006952</v>
      </c>
      <c r="AD218" s="55"/>
      <c r="AE218" s="55"/>
      <c r="AF218" s="55"/>
      <c r="AG218" s="55"/>
      <c r="AH218" s="55"/>
    </row>
    <row r="219" spans="1:34" ht="15.75">
      <c r="A219" s="39">
        <v>11.897213600000001</v>
      </c>
      <c r="B219" s="39">
        <v>12.252233</v>
      </c>
      <c r="C219" s="39">
        <v>217</v>
      </c>
      <c r="D219">
        <v>217</v>
      </c>
      <c r="E219" s="10">
        <v>1399800</v>
      </c>
      <c r="F219" s="10">
        <v>1138580</v>
      </c>
      <c r="G219" s="10">
        <v>17529</v>
      </c>
      <c r="H219" s="10">
        <v>40275</v>
      </c>
      <c r="I219" s="10">
        <v>12364</v>
      </c>
      <c r="J219" s="10">
        <v>32760</v>
      </c>
      <c r="K219">
        <v>217</v>
      </c>
      <c r="L219" s="10">
        <v>1664</v>
      </c>
      <c r="M219" s="10">
        <v>431786</v>
      </c>
      <c r="N219" s="10">
        <v>4693</v>
      </c>
      <c r="O219">
        <v>-0.42318489669711357</v>
      </c>
      <c r="P219">
        <v>1.0302330078015489</v>
      </c>
      <c r="Q219">
        <v>-0.36127840806132566</v>
      </c>
      <c r="R219">
        <v>0.36127840806132572</v>
      </c>
      <c r="S219">
        <f t="shared" si="40"/>
        <v>0.97441923471499881</v>
      </c>
      <c r="T219" s="148">
        <f t="shared" si="35"/>
        <v>0.94712314784483642</v>
      </c>
      <c r="U219">
        <f t="shared" si="41"/>
        <v>2.3721991660742652</v>
      </c>
      <c r="V219" s="55">
        <f t="shared" si="36"/>
        <v>2.3687906166698043</v>
      </c>
      <c r="W219">
        <f t="shared" si="42"/>
        <v>0.625351606744459</v>
      </c>
      <c r="X219" s="55">
        <f t="shared" si="37"/>
        <v>0.62326276928474755</v>
      </c>
      <c r="Y219" s="149">
        <v>12.252233</v>
      </c>
      <c r="Z219" s="55">
        <f t="shared" si="33"/>
        <v>4.1218008396423618E-3</v>
      </c>
      <c r="AA219" s="55">
        <f t="shared" si="38"/>
        <v>4.0046384020341755E-3</v>
      </c>
      <c r="AB219" s="55">
        <f t="shared" si="34"/>
        <v>-5.4914651141191957</v>
      </c>
      <c r="AC219" s="55">
        <f t="shared" si="39"/>
        <v>-5.5219208119970959</v>
      </c>
      <c r="AD219" s="55"/>
      <c r="AE219" s="55"/>
      <c r="AF219" s="55"/>
      <c r="AG219" s="55"/>
      <c r="AH219" s="55"/>
    </row>
    <row r="220" spans="1:34" ht="15.75">
      <c r="A220" s="39">
        <v>11.9151165</v>
      </c>
      <c r="B220" s="39">
        <v>12.270854399999999</v>
      </c>
      <c r="C220" s="39">
        <v>218</v>
      </c>
      <c r="D220">
        <v>218</v>
      </c>
      <c r="E220" s="10">
        <v>1400970</v>
      </c>
      <c r="F220" s="10">
        <v>1132530</v>
      </c>
      <c r="G220" s="10">
        <v>17255</v>
      </c>
      <c r="H220" s="10">
        <v>39879</v>
      </c>
      <c r="I220" s="10">
        <v>12526</v>
      </c>
      <c r="J220" s="10">
        <v>33050</v>
      </c>
      <c r="K220">
        <v>218</v>
      </c>
      <c r="L220" s="10">
        <v>1578</v>
      </c>
      <c r="M220" s="10">
        <v>428332</v>
      </c>
      <c r="N220" s="10">
        <v>4179</v>
      </c>
      <c r="O220">
        <v>-0.42135905645637006</v>
      </c>
      <c r="P220">
        <v>1.031036261585172</v>
      </c>
      <c r="Q220">
        <v>-0.36382929584343116</v>
      </c>
      <c r="R220">
        <v>0.36382929584343116</v>
      </c>
      <c r="S220">
        <f t="shared" si="40"/>
        <v>0.97021508219447417</v>
      </c>
      <c r="T220" s="148">
        <f t="shared" si="35"/>
        <v>0.96056328532646873</v>
      </c>
      <c r="U220">
        <f t="shared" si="41"/>
        <v>2.3740487262623269</v>
      </c>
      <c r="V220" s="55">
        <f t="shared" si="36"/>
        <v>2.3746053076640532</v>
      </c>
      <c r="W220">
        <f t="shared" si="42"/>
        <v>0.64991960974772855</v>
      </c>
      <c r="X220" s="55">
        <f t="shared" si="37"/>
        <v>0.6258990429863438</v>
      </c>
      <c r="Y220" s="149">
        <v>12.270854399999999</v>
      </c>
      <c r="Z220" s="55">
        <f t="shared" si="33"/>
        <v>3.6899684776562211E-3</v>
      </c>
      <c r="AA220" s="55">
        <f t="shared" si="38"/>
        <v>3.9194761476512114E-3</v>
      </c>
      <c r="AB220" s="55">
        <f t="shared" si="34"/>
        <v>-5.6021373636067802</v>
      </c>
      <c r="AC220" s="55">
        <f t="shared" si="39"/>
        <v>-5.5428294422171618</v>
      </c>
      <c r="AD220" s="55"/>
      <c r="AE220" s="55"/>
      <c r="AF220" s="55"/>
      <c r="AG220" s="55"/>
      <c r="AH220" s="55"/>
    </row>
    <row r="221" spans="1:34" ht="15.75">
      <c r="A221" s="39">
        <v>11.933019399999999</v>
      </c>
      <c r="B221" s="39">
        <v>12.289475700000001</v>
      </c>
      <c r="C221" s="39">
        <v>219</v>
      </c>
      <c r="D221">
        <v>219</v>
      </c>
      <c r="E221" s="10">
        <v>1406620</v>
      </c>
      <c r="F221" s="10">
        <v>1131590</v>
      </c>
      <c r="G221" s="10">
        <v>17676</v>
      </c>
      <c r="H221" s="10">
        <v>40286</v>
      </c>
      <c r="I221" s="10">
        <v>12649</v>
      </c>
      <c r="J221" s="10">
        <v>32286</v>
      </c>
      <c r="K221">
        <v>219</v>
      </c>
      <c r="L221" s="10">
        <v>1802</v>
      </c>
      <c r="M221" s="10">
        <v>434229</v>
      </c>
      <c r="N221" s="10">
        <v>4466</v>
      </c>
      <c r="O221">
        <v>-0.40695804985494882</v>
      </c>
      <c r="P221">
        <v>1.0325646760632943</v>
      </c>
      <c r="Q221">
        <v>-0.35777015550663477</v>
      </c>
      <c r="R221">
        <v>0.35777015550663477</v>
      </c>
      <c r="S221">
        <f t="shared" si="40"/>
        <v>0.93705553906993289</v>
      </c>
      <c r="T221" s="148">
        <f t="shared" si="35"/>
        <v>0.95771785593680836</v>
      </c>
      <c r="U221">
        <f t="shared" si="41"/>
        <v>2.3775680306555671</v>
      </c>
      <c r="V221" s="55">
        <f t="shared" si="36"/>
        <v>2.3860357134906436</v>
      </c>
      <c r="W221">
        <f t="shared" si="42"/>
        <v>0.60242591246684396</v>
      </c>
      <c r="X221" s="55">
        <f t="shared" si="37"/>
        <v>0.61779395855751296</v>
      </c>
      <c r="Y221" s="149">
        <v>12.289475700000001</v>
      </c>
      <c r="Z221" s="55">
        <f t="shared" si="33"/>
        <v>3.9466591256550514E-3</v>
      </c>
      <c r="AA221" s="55">
        <f t="shared" si="38"/>
        <v>3.9280675591093035E-3</v>
      </c>
      <c r="AB221" s="55">
        <f t="shared" si="34"/>
        <v>-5.5348858489255068</v>
      </c>
      <c r="AC221" s="55">
        <f t="shared" si="39"/>
        <v>-5.5407515491890207</v>
      </c>
      <c r="AD221" s="55"/>
      <c r="AE221" s="55"/>
      <c r="AF221" s="55"/>
      <c r="AG221" s="55"/>
      <c r="AH221" s="55"/>
    </row>
    <row r="222" spans="1:34" ht="15.75">
      <c r="A222" s="39">
        <v>11.9509223</v>
      </c>
      <c r="B222" s="39">
        <v>12.308097099999999</v>
      </c>
      <c r="C222" s="39">
        <v>220</v>
      </c>
      <c r="D222">
        <v>220</v>
      </c>
      <c r="E222" s="10">
        <v>1408610</v>
      </c>
      <c r="F222" s="10">
        <v>1134880</v>
      </c>
      <c r="G222" s="10">
        <v>17694</v>
      </c>
      <c r="H222" s="10">
        <v>39851</v>
      </c>
      <c r="I222" s="10">
        <v>12285</v>
      </c>
      <c r="J222" s="10">
        <v>32274</v>
      </c>
      <c r="K222">
        <v>220</v>
      </c>
      <c r="L222" s="10">
        <v>1759</v>
      </c>
      <c r="M222" s="10">
        <v>442145</v>
      </c>
      <c r="N222" s="10">
        <v>4707</v>
      </c>
      <c r="O222">
        <v>-0.41947763384938919</v>
      </c>
      <c r="P222">
        <v>1.045125494330758</v>
      </c>
      <c r="Q222">
        <v>-0.35261320089036274</v>
      </c>
      <c r="R222">
        <v>0.35261320089036269</v>
      </c>
      <c r="S222">
        <f t="shared" si="40"/>
        <v>0.96588294654601803</v>
      </c>
      <c r="T222" s="148">
        <f t="shared" si="35"/>
        <v>0.96107395684408081</v>
      </c>
      <c r="U222">
        <f t="shared" si="41"/>
        <v>2.4064903835540363</v>
      </c>
      <c r="V222" s="55">
        <f t="shared" si="36"/>
        <v>2.3877779967064559</v>
      </c>
      <c r="W222">
        <f t="shared" si="42"/>
        <v>0.60103635345796635</v>
      </c>
      <c r="X222" s="55">
        <f t="shared" si="37"/>
        <v>0.61285611920355332</v>
      </c>
      <c r="Y222" s="149">
        <v>12.308097099999999</v>
      </c>
      <c r="Z222" s="55">
        <f t="shared" si="33"/>
        <v>4.1475750740166363E-3</v>
      </c>
      <c r="AA222" s="55">
        <f t="shared" si="38"/>
        <v>3.9914575005436555E-3</v>
      </c>
      <c r="AB222" s="55">
        <f t="shared" si="34"/>
        <v>-5.4852314350347715</v>
      </c>
      <c r="AC222" s="55">
        <f t="shared" si="39"/>
        <v>-5.5240005883692094</v>
      </c>
      <c r="AD222" s="55"/>
      <c r="AE222" s="55"/>
      <c r="AF222" s="55"/>
      <c r="AG222" s="55"/>
      <c r="AH222" s="55"/>
    </row>
    <row r="223" spans="1:34" ht="15.75">
      <c r="A223" s="39">
        <v>11.968825199999999</v>
      </c>
      <c r="B223" s="39">
        <v>12.3267185</v>
      </c>
      <c r="C223" s="39">
        <v>221</v>
      </c>
      <c r="D223">
        <v>221</v>
      </c>
      <c r="E223" s="10">
        <v>1395100</v>
      </c>
      <c r="F223" s="10">
        <v>1119290</v>
      </c>
      <c r="G223" s="10">
        <v>17468</v>
      </c>
      <c r="H223" s="10">
        <v>40183</v>
      </c>
      <c r="I223" s="10">
        <v>12369</v>
      </c>
      <c r="J223" s="10">
        <v>32966</v>
      </c>
      <c r="K223">
        <v>221</v>
      </c>
      <c r="L223" s="10">
        <v>2034</v>
      </c>
      <c r="M223" s="10">
        <v>433859</v>
      </c>
      <c r="N223" s="10">
        <v>4343</v>
      </c>
      <c r="O223">
        <v>-0.42573166477058688</v>
      </c>
      <c r="P223">
        <v>1.0333062535447923</v>
      </c>
      <c r="Q223">
        <v>-0.36179917412083917</v>
      </c>
      <c r="R223">
        <v>0.36179917412083917</v>
      </c>
      <c r="S223">
        <f t="shared" si="40"/>
        <v>0.98028338491629152</v>
      </c>
      <c r="T223" s="148">
        <f t="shared" si="35"/>
        <v>0.96962095317644226</v>
      </c>
      <c r="U223">
        <f t="shared" si="41"/>
        <v>2.3792755759097646</v>
      </c>
      <c r="V223" s="55">
        <f t="shared" si="36"/>
        <v>2.3876517446746353</v>
      </c>
      <c r="W223">
        <f t="shared" si="42"/>
        <v>0.63510609168584975</v>
      </c>
      <c r="X223" s="55">
        <f t="shared" si="37"/>
        <v>0.60921494467792725</v>
      </c>
      <c r="Y223" s="149">
        <v>12.3267185</v>
      </c>
      <c r="Z223" s="55">
        <f t="shared" si="33"/>
        <v>3.8801383019592779E-3</v>
      </c>
      <c r="AA223" s="55">
        <f t="shared" si="38"/>
        <v>4.0159154487198001E-3</v>
      </c>
      <c r="AB223" s="55">
        <f t="shared" si="34"/>
        <v>-5.5518844811473516</v>
      </c>
      <c r="AC223" s="55">
        <f t="shared" si="39"/>
        <v>-5.5178603636762604</v>
      </c>
      <c r="AD223" s="55"/>
      <c r="AE223" s="55"/>
      <c r="AF223" s="55"/>
      <c r="AG223" s="55"/>
      <c r="AH223" s="55"/>
    </row>
    <row r="224" spans="1:34" ht="15.75">
      <c r="A224" s="39">
        <v>11.9867282</v>
      </c>
      <c r="B224" s="39">
        <v>12.3453398</v>
      </c>
      <c r="C224" s="39">
        <v>222</v>
      </c>
      <c r="D224">
        <v>222</v>
      </c>
      <c r="E224" s="10">
        <v>1385830</v>
      </c>
      <c r="F224" s="10">
        <v>1116160</v>
      </c>
      <c r="G224" s="10">
        <v>17998</v>
      </c>
      <c r="H224" s="10">
        <v>39907</v>
      </c>
      <c r="I224" s="10">
        <v>12417</v>
      </c>
      <c r="J224" s="10">
        <v>32517</v>
      </c>
      <c r="K224">
        <v>222</v>
      </c>
      <c r="L224" s="10">
        <v>1867</v>
      </c>
      <c r="M224" s="10">
        <v>429981</v>
      </c>
      <c r="N224" s="10">
        <v>4487</v>
      </c>
      <c r="O224">
        <v>-0.41809378988692469</v>
      </c>
      <c r="P224">
        <v>1.0324001843810484</v>
      </c>
      <c r="Q224">
        <v>-0.34582483353854515</v>
      </c>
      <c r="R224">
        <v>0.34582483353854515</v>
      </c>
      <c r="S224">
        <f t="shared" si="40"/>
        <v>0.96269652806701755</v>
      </c>
      <c r="T224" s="148">
        <f t="shared" si="35"/>
        <v>0.95672647398215505</v>
      </c>
      <c r="U224">
        <f t="shared" si="41"/>
        <v>2.3771892745601062</v>
      </c>
      <c r="V224" s="55">
        <f t="shared" si="36"/>
        <v>2.3806694018662693</v>
      </c>
      <c r="W224">
        <f t="shared" si="42"/>
        <v>0.59150238888996576</v>
      </c>
      <c r="X224" s="55">
        <f t="shared" si="37"/>
        <v>0.60592679009209183</v>
      </c>
      <c r="Y224" s="149">
        <v>12.3453398</v>
      </c>
      <c r="Z224" s="55">
        <f t="shared" si="33"/>
        <v>4.0200329701834863E-3</v>
      </c>
      <c r="AA224" s="55">
        <f t="shared" si="38"/>
        <v>3.9460820701473559E-3</v>
      </c>
      <c r="AB224" s="55">
        <f t="shared" si="34"/>
        <v>-5.5164651748466591</v>
      </c>
      <c r="AC224" s="55">
        <f t="shared" si="39"/>
        <v>-5.5351376418025637</v>
      </c>
      <c r="AD224" s="55"/>
      <c r="AE224" s="55"/>
      <c r="AF224" s="55"/>
      <c r="AG224" s="55"/>
      <c r="AH224" s="55"/>
    </row>
    <row r="225" spans="1:34" ht="15.75">
      <c r="A225" s="39">
        <v>12.004631099999999</v>
      </c>
      <c r="B225" s="39">
        <v>12.3639612</v>
      </c>
      <c r="C225" s="39">
        <v>223</v>
      </c>
      <c r="D225">
        <v>223</v>
      </c>
      <c r="E225" s="10">
        <v>1394910</v>
      </c>
      <c r="F225" s="10">
        <v>1114250</v>
      </c>
      <c r="G225" s="10">
        <v>17989</v>
      </c>
      <c r="H225" s="10">
        <v>40108</v>
      </c>
      <c r="I225" s="10">
        <v>12855</v>
      </c>
      <c r="J225" s="10">
        <v>32490</v>
      </c>
      <c r="K225">
        <v>223</v>
      </c>
      <c r="L225" s="10">
        <v>1711</v>
      </c>
      <c r="M225" s="10">
        <v>435772</v>
      </c>
      <c r="N225" s="10">
        <v>4388</v>
      </c>
      <c r="O225">
        <v>-0.40267763036610338</v>
      </c>
      <c r="P225">
        <v>1.0360283154734671</v>
      </c>
      <c r="Q225">
        <v>-0.34822398447760783</v>
      </c>
      <c r="R225">
        <v>0.34822398447760783</v>
      </c>
      <c r="S225">
        <f t="shared" si="40"/>
        <v>0.92719950896315606</v>
      </c>
      <c r="T225" s="148">
        <f t="shared" si="35"/>
        <v>0.93780568396649266</v>
      </c>
      <c r="U225">
        <f t="shared" si="41"/>
        <v>2.3855433551289376</v>
      </c>
      <c r="V225" s="55">
        <f t="shared" si="36"/>
        <v>2.375548033383875</v>
      </c>
      <c r="W225">
        <f t="shared" si="42"/>
        <v>0.59117188970045975</v>
      </c>
      <c r="X225" s="55">
        <f t="shared" si="37"/>
        <v>0.58009754096653754</v>
      </c>
      <c r="Y225" s="149">
        <v>12.3639612</v>
      </c>
      <c r="Z225" s="55">
        <f t="shared" si="33"/>
        <v>3.9380749382993043E-3</v>
      </c>
      <c r="AA225" s="55">
        <f t="shared" si="38"/>
        <v>3.9817466051409187E-3</v>
      </c>
      <c r="AB225" s="55">
        <f t="shared" si="34"/>
        <v>-5.5370632694136814</v>
      </c>
      <c r="AC225" s="55">
        <f t="shared" si="39"/>
        <v>-5.5260705237105663</v>
      </c>
      <c r="AD225" s="55"/>
      <c r="AE225" s="55"/>
      <c r="AF225" s="55"/>
      <c r="AG225" s="55"/>
      <c r="AH225" s="55"/>
    </row>
    <row r="226" spans="1:34" ht="15.75">
      <c r="A226" s="39">
        <v>12.022534</v>
      </c>
      <c r="B226" s="39">
        <v>12.3825825</v>
      </c>
      <c r="C226" s="39">
        <v>224</v>
      </c>
      <c r="D226">
        <v>224</v>
      </c>
      <c r="E226" s="10">
        <v>1382670</v>
      </c>
      <c r="F226" s="10">
        <v>1112830</v>
      </c>
      <c r="G226" s="10">
        <v>18399</v>
      </c>
      <c r="H226" s="10">
        <v>40020</v>
      </c>
      <c r="I226" s="10">
        <v>12761</v>
      </c>
      <c r="J226" s="10">
        <v>32134</v>
      </c>
      <c r="K226">
        <v>224</v>
      </c>
      <c r="L226" s="10">
        <v>2039</v>
      </c>
      <c r="M226" s="10">
        <v>425511</v>
      </c>
      <c r="N226" s="10">
        <v>4437</v>
      </c>
      <c r="O226">
        <v>-0.40108008067942974</v>
      </c>
      <c r="P226">
        <v>1.0266337073297009</v>
      </c>
      <c r="Q226">
        <v>-0.33748286489303719</v>
      </c>
      <c r="R226">
        <v>0.33748286489303725</v>
      </c>
      <c r="S226">
        <f t="shared" si="40"/>
        <v>0.92352101486930405</v>
      </c>
      <c r="T226" s="148">
        <f t="shared" si="35"/>
        <v>0.92264358911310851</v>
      </c>
      <c r="U226">
        <f t="shared" si="41"/>
        <v>2.3639114704625812</v>
      </c>
      <c r="V226" s="55">
        <f t="shared" si="36"/>
        <v>2.3721658444605667</v>
      </c>
      <c r="W226">
        <f t="shared" si="42"/>
        <v>0.557618344309187</v>
      </c>
      <c r="X226" s="55">
        <f t="shared" si="37"/>
        <v>0.57332825902248874</v>
      </c>
      <c r="Y226" s="149">
        <v>12.3825825</v>
      </c>
      <c r="Z226" s="55">
        <f t="shared" si="33"/>
        <v>3.9871319069399638E-3</v>
      </c>
      <c r="AA226" s="55">
        <f t="shared" si="38"/>
        <v>3.9318826589537252E-3</v>
      </c>
      <c r="AB226" s="55">
        <f t="shared" si="34"/>
        <v>-5.5246831268713592</v>
      </c>
      <c r="AC226" s="55">
        <f t="shared" si="39"/>
        <v>-5.5387110624074554</v>
      </c>
      <c r="AD226" s="55"/>
      <c r="AE226" s="55"/>
      <c r="AF226" s="55"/>
      <c r="AG226" s="55"/>
      <c r="AH226" s="55"/>
    </row>
    <row r="227" spans="1:34" ht="15.75">
      <c r="A227" s="39">
        <v>12.0404369</v>
      </c>
      <c r="B227" s="39">
        <v>12.401203900000001</v>
      </c>
      <c r="C227" s="39">
        <v>225</v>
      </c>
      <c r="D227">
        <v>225</v>
      </c>
      <c r="E227" s="10">
        <v>1378520</v>
      </c>
      <c r="F227" s="10">
        <v>1114860</v>
      </c>
      <c r="G227" s="10">
        <v>18130</v>
      </c>
      <c r="H227" s="10">
        <v>39399</v>
      </c>
      <c r="I227" s="10">
        <v>12827</v>
      </c>
      <c r="J227" s="10">
        <v>32097</v>
      </c>
      <c r="K227">
        <v>225</v>
      </c>
      <c r="L227" s="10">
        <v>1882</v>
      </c>
      <c r="M227" s="10">
        <v>420222</v>
      </c>
      <c r="N227" s="10">
        <v>4315</v>
      </c>
      <c r="O227">
        <v>-0.39833934750016958</v>
      </c>
      <c r="P227">
        <v>1.0279935864226071</v>
      </c>
      <c r="Q227">
        <v>-0.3370873948875947</v>
      </c>
      <c r="R227">
        <v>0.3370873948875947</v>
      </c>
      <c r="S227">
        <f t="shared" si="40"/>
        <v>0.91721024350686553</v>
      </c>
      <c r="T227" s="148">
        <f t="shared" si="35"/>
        <v>0.91635907832039198</v>
      </c>
      <c r="U227">
        <f t="shared" si="41"/>
        <v>2.3670427077901812</v>
      </c>
      <c r="V227" s="55">
        <f t="shared" si="36"/>
        <v>2.3713117582535261</v>
      </c>
      <c r="W227">
        <f t="shared" si="42"/>
        <v>0.57119454305781947</v>
      </c>
      <c r="X227" s="55">
        <f t="shared" si="37"/>
        <v>0.56280955843414304</v>
      </c>
      <c r="Y227" s="149">
        <v>12.401203900000001</v>
      </c>
      <c r="Z227" s="55">
        <f t="shared" si="33"/>
        <v>3.8704411316219079E-3</v>
      </c>
      <c r="AA227" s="55">
        <f t="shared" si="38"/>
        <v>3.9443339583028836E-3</v>
      </c>
      <c r="AB227" s="55">
        <f t="shared" si="34"/>
        <v>-5.5543867909373272</v>
      </c>
      <c r="AC227" s="55">
        <f t="shared" si="39"/>
        <v>-5.5355641903819466</v>
      </c>
      <c r="AD227" s="55"/>
      <c r="AE227" s="55"/>
      <c r="AF227" s="55"/>
      <c r="AG227" s="55"/>
      <c r="AH227" s="55"/>
    </row>
    <row r="228" spans="1:34" ht="15.75">
      <c r="A228" s="39">
        <v>12.058339800000001</v>
      </c>
      <c r="B228" s="39">
        <v>12.4198252</v>
      </c>
      <c r="C228" s="39">
        <v>226</v>
      </c>
      <c r="D228">
        <v>226</v>
      </c>
      <c r="E228" s="10">
        <v>1392960</v>
      </c>
      <c r="F228" s="10">
        <v>1121640</v>
      </c>
      <c r="G228" s="10">
        <v>18304</v>
      </c>
      <c r="H228" s="10">
        <v>39794</v>
      </c>
      <c r="I228" s="10">
        <v>12915</v>
      </c>
      <c r="J228" s="10">
        <v>32032</v>
      </c>
      <c r="K228">
        <v>226</v>
      </c>
      <c r="L228" s="10">
        <v>1813</v>
      </c>
      <c r="M228" s="10">
        <v>431254</v>
      </c>
      <c r="N228" s="10">
        <v>4459</v>
      </c>
      <c r="O228">
        <v>-0.39448964528988861</v>
      </c>
      <c r="P228">
        <v>1.034915540693105</v>
      </c>
      <c r="Q228">
        <v>-0.33727158849528649</v>
      </c>
      <c r="R228">
        <v>0.33727158849528649</v>
      </c>
      <c r="S228">
        <f t="shared" si="40"/>
        <v>0.90834597658500627</v>
      </c>
      <c r="T228" s="148">
        <f t="shared" si="35"/>
        <v>0.90267724694177265</v>
      </c>
      <c r="U228">
        <f t="shared" si="41"/>
        <v>2.3829810965078164</v>
      </c>
      <c r="V228" s="55">
        <f t="shared" si="36"/>
        <v>2.3800907899939876</v>
      </c>
      <c r="W228">
        <f t="shared" si="42"/>
        <v>0.55961578793542266</v>
      </c>
      <c r="X228" s="55">
        <f t="shared" si="37"/>
        <v>0.54367616975673194</v>
      </c>
      <c r="Y228" s="149">
        <v>12.4198252</v>
      </c>
      <c r="Z228" s="55">
        <f t="shared" si="33"/>
        <v>3.9754288363467779E-3</v>
      </c>
      <c r="AA228" s="55">
        <f t="shared" si="38"/>
        <v>3.9889800536201591E-3</v>
      </c>
      <c r="AB228" s="55">
        <f t="shared" si="34"/>
        <v>-5.5276226533371524</v>
      </c>
      <c r="AC228" s="55">
        <f t="shared" si="39"/>
        <v>-5.5245506126898514</v>
      </c>
      <c r="AD228" s="55"/>
      <c r="AE228" s="55"/>
      <c r="AF228" s="55"/>
      <c r="AG228" s="55"/>
      <c r="AH228" s="55"/>
    </row>
    <row r="229" spans="1:34" ht="15.75">
      <c r="A229" s="39">
        <v>12.0762427</v>
      </c>
      <c r="B229" s="39">
        <v>12.438446600000001</v>
      </c>
      <c r="C229" s="39">
        <v>227</v>
      </c>
      <c r="D229">
        <v>227</v>
      </c>
      <c r="E229" s="10">
        <v>1403270</v>
      </c>
      <c r="F229" s="10">
        <v>1135870</v>
      </c>
      <c r="G229" s="10">
        <v>19315</v>
      </c>
      <c r="H229" s="10">
        <v>39884</v>
      </c>
      <c r="I229" s="10">
        <v>13179</v>
      </c>
      <c r="J229" s="10">
        <v>31852</v>
      </c>
      <c r="K229">
        <v>227</v>
      </c>
      <c r="L229" s="10">
        <v>1522</v>
      </c>
      <c r="M229" s="10">
        <v>435382</v>
      </c>
      <c r="N229" s="10">
        <v>4681</v>
      </c>
      <c r="O229">
        <v>-0.38325424906923439</v>
      </c>
      <c r="P229">
        <v>1.0380717624537084</v>
      </c>
      <c r="Q229">
        <v>-0.31490399510294098</v>
      </c>
      <c r="R229">
        <v>0.31490399510294098</v>
      </c>
      <c r="S229">
        <f t="shared" si="40"/>
        <v>0.88247552073344626</v>
      </c>
      <c r="T229" s="148">
        <f t="shared" si="35"/>
        <v>0.8953322162424282</v>
      </c>
      <c r="U229">
        <f t="shared" si="41"/>
        <v>2.3902485656839652</v>
      </c>
      <c r="V229" s="55">
        <f t="shared" si="36"/>
        <v>2.3724221054493104</v>
      </c>
      <c r="W229">
        <f t="shared" si="42"/>
        <v>0.50021817827695381</v>
      </c>
      <c r="X229" s="55">
        <f t="shared" si="37"/>
        <v>0.51253328855592672</v>
      </c>
      <c r="Y229" s="149">
        <v>12.438446600000001</v>
      </c>
      <c r="Z229" s="55">
        <f t="shared" si="33"/>
        <v>4.1210701928917921E-3</v>
      </c>
      <c r="AA229" s="55">
        <f t="shared" si="38"/>
        <v>4.047075839971913E-3</v>
      </c>
      <c r="AB229" s="55">
        <f t="shared" si="34"/>
        <v>-5.4916423937950753</v>
      </c>
      <c r="AC229" s="55">
        <f t="shared" si="39"/>
        <v>-5.5098686333541993</v>
      </c>
      <c r="AD229" s="55"/>
      <c r="AE229" s="55"/>
      <c r="AF229" s="55"/>
      <c r="AG229" s="55"/>
      <c r="AH229" s="55"/>
    </row>
    <row r="230" spans="1:34" ht="15.75">
      <c r="A230" s="39">
        <v>12.094145599999999</v>
      </c>
      <c r="B230" s="39">
        <v>12.457068</v>
      </c>
      <c r="C230" s="39">
        <v>228</v>
      </c>
      <c r="D230">
        <v>228</v>
      </c>
      <c r="E230" s="10">
        <v>1406340</v>
      </c>
      <c r="F230" s="10">
        <v>1137530</v>
      </c>
      <c r="G230" s="10">
        <v>20677</v>
      </c>
      <c r="H230" s="10">
        <v>41082</v>
      </c>
      <c r="I230" s="10">
        <v>13621</v>
      </c>
      <c r="J230" s="10">
        <v>33341</v>
      </c>
      <c r="K230">
        <v>228</v>
      </c>
      <c r="L230" s="10">
        <v>1740</v>
      </c>
      <c r="M230" s="10">
        <v>428207</v>
      </c>
      <c r="N230" s="10">
        <v>4601</v>
      </c>
      <c r="O230">
        <v>-0.38876962859376374</v>
      </c>
      <c r="P230">
        <v>1.0180021842789773</v>
      </c>
      <c r="Q230">
        <v>-0.29816405050014078</v>
      </c>
      <c r="R230">
        <v>0.29816405050014078</v>
      </c>
      <c r="S230">
        <f t="shared" si="40"/>
        <v>0.89517515140883208</v>
      </c>
      <c r="T230" s="148">
        <f t="shared" si="35"/>
        <v>0.90146935762374236</v>
      </c>
      <c r="U230">
        <f t="shared" si="41"/>
        <v>2.3440366541561506</v>
      </c>
      <c r="V230" s="55">
        <f t="shared" si="36"/>
        <v>2.3571525426284894</v>
      </c>
      <c r="W230">
        <f t="shared" si="42"/>
        <v>0.47776589945540382</v>
      </c>
      <c r="X230" s="55">
        <f t="shared" si="37"/>
        <v>0.47633113797008836</v>
      </c>
      <c r="Y230" s="149">
        <v>12.457068</v>
      </c>
      <c r="Z230" s="55">
        <f t="shared" si="33"/>
        <v>4.0447284906771691E-3</v>
      </c>
      <c r="AA230" s="55">
        <f t="shared" si="38"/>
        <v>4.0963829539326273E-3</v>
      </c>
      <c r="AB230" s="55">
        <f t="shared" si="34"/>
        <v>-5.5103408529303692</v>
      </c>
      <c r="AC230" s="55">
        <f t="shared" si="39"/>
        <v>-5.4976908475726587</v>
      </c>
      <c r="AD230" s="55"/>
      <c r="AE230" s="55"/>
      <c r="AF230" s="55"/>
      <c r="AG230" s="55"/>
      <c r="AH230" s="55"/>
    </row>
    <row r="231" spans="1:34" ht="15.75">
      <c r="A231" s="39">
        <v>12.1120485</v>
      </c>
      <c r="B231" s="39">
        <v>12.475689300000001</v>
      </c>
      <c r="C231" s="39">
        <v>229</v>
      </c>
      <c r="D231">
        <v>229</v>
      </c>
      <c r="E231" s="10">
        <v>1429790</v>
      </c>
      <c r="F231" s="10">
        <v>1141790</v>
      </c>
      <c r="G231" s="10">
        <v>21718</v>
      </c>
      <c r="H231" s="10">
        <v>42279</v>
      </c>
      <c r="I231" s="10">
        <v>13496</v>
      </c>
      <c r="J231" s="10">
        <v>34095</v>
      </c>
      <c r="K231">
        <v>229</v>
      </c>
      <c r="L231" s="10">
        <v>2118</v>
      </c>
      <c r="M231" s="10">
        <v>437669</v>
      </c>
      <c r="N231" s="10">
        <v>4708</v>
      </c>
      <c r="O231">
        <v>-0.40248562519958325</v>
      </c>
      <c r="P231">
        <v>1.0150210800706319</v>
      </c>
      <c r="Q231">
        <v>-0.28930487785647174</v>
      </c>
      <c r="R231">
        <v>0.28930487785647174</v>
      </c>
      <c r="S231">
        <f t="shared" si="40"/>
        <v>0.92675740072894897</v>
      </c>
      <c r="T231" s="148">
        <f t="shared" si="35"/>
        <v>0.91295716383998526</v>
      </c>
      <c r="U231">
        <f t="shared" si="41"/>
        <v>2.3371724080453524</v>
      </c>
      <c r="V231" s="55">
        <f t="shared" si="36"/>
        <v>2.339722998540124</v>
      </c>
      <c r="W231">
        <f t="shared" si="42"/>
        <v>0.45100933617790745</v>
      </c>
      <c r="X231" s="55">
        <f t="shared" si="37"/>
        <v>0.472178696722658</v>
      </c>
      <c r="Y231" s="149">
        <v>12.475689300000001</v>
      </c>
      <c r="Z231" s="55">
        <f t="shared" si="33"/>
        <v>4.1233501782289217E-3</v>
      </c>
      <c r="AA231" s="55">
        <f t="shared" si="38"/>
        <v>4.108928391314816E-3</v>
      </c>
      <c r="AB231" s="55">
        <f t="shared" si="34"/>
        <v>-5.4910892959925324</v>
      </c>
      <c r="AC231" s="55">
        <f t="shared" si="39"/>
        <v>-5.494660446090478</v>
      </c>
      <c r="AD231" s="55"/>
      <c r="AE231" s="55"/>
      <c r="AF231" s="55"/>
      <c r="AG231" s="55"/>
      <c r="AH231" s="55"/>
    </row>
    <row r="232" spans="1:34" ht="15.75">
      <c r="A232" s="39">
        <v>12.1237254</v>
      </c>
      <c r="B232" s="39">
        <v>12.486911900000001</v>
      </c>
      <c r="C232" s="39">
        <v>230</v>
      </c>
      <c r="D232">
        <v>230</v>
      </c>
      <c r="E232" s="10">
        <v>1428747.5</v>
      </c>
      <c r="F232" s="10">
        <v>1139136.25</v>
      </c>
      <c r="G232" s="10">
        <v>20845.75</v>
      </c>
      <c r="H232" s="10">
        <v>42159.875</v>
      </c>
      <c r="I232" s="10">
        <v>13571.5</v>
      </c>
      <c r="J232" s="10">
        <v>33950.75</v>
      </c>
      <c r="K232">
        <v>230</v>
      </c>
      <c r="L232" s="10">
        <v>2084</v>
      </c>
      <c r="M232" s="10">
        <v>436779.6667</v>
      </c>
      <c r="N232" s="10">
        <v>4737.3333329999996</v>
      </c>
      <c r="O232">
        <v>-0.39822152161589891</v>
      </c>
      <c r="P232">
        <v>1.0153630979947088</v>
      </c>
      <c r="Q232">
        <v>-0.30588178953268025</v>
      </c>
      <c r="R232">
        <v>0.30588178953268025</v>
      </c>
      <c r="S232">
        <f t="shared" si="40"/>
        <v>0.91693893938217497</v>
      </c>
      <c r="T232" s="148">
        <f t="shared" si="35"/>
        <v>0.91036318902447799</v>
      </c>
      <c r="U232">
        <f t="shared" si="41"/>
        <v>2.3379599334188685</v>
      </c>
      <c r="V232" s="55">
        <f t="shared" si="36"/>
        <v>2.3578778891803673</v>
      </c>
      <c r="W232">
        <f t="shared" si="42"/>
        <v>0.48776085453466272</v>
      </c>
      <c r="X232" s="55">
        <f t="shared" si="37"/>
        <v>0.48040613178028985</v>
      </c>
      <c r="Y232" s="149">
        <v>12.486911900000001</v>
      </c>
      <c r="Z232" s="55">
        <f t="shared" si="33"/>
        <v>4.1587065050383565E-3</v>
      </c>
      <c r="AA232" s="55">
        <f t="shared" si="38"/>
        <v>4.057533955065998E-3</v>
      </c>
      <c r="AB232" s="55">
        <f t="shared" si="34"/>
        <v>-5.4825511893485324</v>
      </c>
      <c r="AC232" s="55">
        <f t="shared" si="39"/>
        <v>-5.5076154889720996</v>
      </c>
      <c r="AD232" s="55"/>
      <c r="AE232" s="55"/>
      <c r="AF232" s="55"/>
      <c r="AG232" s="55"/>
      <c r="AH232" s="55"/>
    </row>
    <row r="233" spans="1:34" ht="15.75">
      <c r="A233" s="39">
        <v>12.1291762</v>
      </c>
      <c r="B233" s="39">
        <v>12.4907358</v>
      </c>
      <c r="C233" s="39">
        <v>231</v>
      </c>
      <c r="D233">
        <v>231</v>
      </c>
      <c r="E233" s="10">
        <v>1443210</v>
      </c>
      <c r="F233" s="10">
        <v>1147140</v>
      </c>
      <c r="G233" s="10">
        <v>20162</v>
      </c>
      <c r="H233" s="10">
        <v>41238</v>
      </c>
      <c r="I233" s="10">
        <v>13720</v>
      </c>
      <c r="J233" s="10">
        <v>33323</v>
      </c>
      <c r="K233">
        <v>231</v>
      </c>
      <c r="L233" s="10">
        <v>1839</v>
      </c>
      <c r="M233" s="10">
        <v>453893</v>
      </c>
      <c r="N233" s="10">
        <v>4463</v>
      </c>
      <c r="O233">
        <v>-0.38538998174805111</v>
      </c>
      <c r="P233">
        <v>1.0416558907528217</v>
      </c>
      <c r="Q233">
        <v>-0.31076398388618587</v>
      </c>
      <c r="R233">
        <v>0.31076398388618587</v>
      </c>
      <c r="S233">
        <f t="shared" si="40"/>
        <v>0.88739322696230993</v>
      </c>
      <c r="T233" s="148">
        <f t="shared" si="35"/>
        <v>0.91566022533385338</v>
      </c>
      <c r="U233">
        <f t="shared" si="41"/>
        <v>2.3985013260768815</v>
      </c>
      <c r="V233" s="55">
        <f t="shared" si="36"/>
        <v>2.3722743800508073</v>
      </c>
      <c r="W233">
        <f t="shared" si="42"/>
        <v>0.50244820462829931</v>
      </c>
      <c r="X233" s="55">
        <f t="shared" si="37"/>
        <v>0.50177257532705832</v>
      </c>
      <c r="Y233" s="149">
        <v>12.4907358</v>
      </c>
      <c r="Z233" s="55">
        <f t="shared" si="33"/>
        <v>3.8905451819307144E-3</v>
      </c>
      <c r="AA233" s="55">
        <f t="shared" si="38"/>
        <v>3.9904327280075825E-3</v>
      </c>
      <c r="AB233" s="55">
        <f t="shared" si="34"/>
        <v>-5.549205981575235</v>
      </c>
      <c r="AC233" s="55">
        <f t="shared" si="39"/>
        <v>-5.5242996222524789</v>
      </c>
      <c r="AD233" s="55"/>
      <c r="AE233" s="55"/>
      <c r="AF233" s="55"/>
      <c r="AG233" s="55"/>
      <c r="AH233" s="55"/>
    </row>
    <row r="234" spans="1:34" ht="15.75">
      <c r="A234" s="39">
        <v>12.134626900000001</v>
      </c>
      <c r="B234" s="39">
        <v>12.494559600000001</v>
      </c>
      <c r="C234" s="39">
        <v>232</v>
      </c>
      <c r="D234">
        <v>232</v>
      </c>
      <c r="E234" s="10">
        <v>1437780</v>
      </c>
      <c r="F234" s="10">
        <v>1148890</v>
      </c>
      <c r="G234" s="10">
        <v>20176</v>
      </c>
      <c r="H234" s="10">
        <v>41708</v>
      </c>
      <c r="I234" s="10">
        <v>13157</v>
      </c>
      <c r="J234" s="10">
        <v>33771</v>
      </c>
      <c r="K234">
        <v>232</v>
      </c>
      <c r="L234" s="10">
        <v>2366</v>
      </c>
      <c r="M234" s="10">
        <v>450814</v>
      </c>
      <c r="N234" s="10">
        <v>4506</v>
      </c>
      <c r="O234">
        <v>-0.40938704611839211</v>
      </c>
      <c r="P234">
        <v>1.0337780297020391</v>
      </c>
      <c r="Q234">
        <v>-0.3153842956398662</v>
      </c>
      <c r="R234">
        <v>0.31538429563986625</v>
      </c>
      <c r="S234">
        <f t="shared" si="40"/>
        <v>0.94264850965707547</v>
      </c>
      <c r="T234" s="148">
        <f t="shared" si="35"/>
        <v>0.8977764898817292</v>
      </c>
      <c r="U234">
        <f t="shared" si="41"/>
        <v>2.3803618806566713</v>
      </c>
      <c r="V234" s="55">
        <f t="shared" si="36"/>
        <v>2.3760551764128137</v>
      </c>
      <c r="W234">
        <f t="shared" si="42"/>
        <v>0.51510866681821288</v>
      </c>
      <c r="X234" s="55">
        <f t="shared" si="37"/>
        <v>0.51057725235787121</v>
      </c>
      <c r="Y234" s="149">
        <v>12.494559600000001</v>
      </c>
      <c r="Z234" s="55">
        <f t="shared" si="33"/>
        <v>3.9220464970536779E-3</v>
      </c>
      <c r="AA234" s="55">
        <f t="shared" si="38"/>
        <v>3.8744167965816239E-3</v>
      </c>
      <c r="AB234" s="55">
        <f t="shared" si="34"/>
        <v>-5.5411416958336686</v>
      </c>
      <c r="AC234" s="55">
        <f t="shared" si="39"/>
        <v>-5.5534336307442658</v>
      </c>
      <c r="AD234" s="55"/>
      <c r="AE234" s="55"/>
      <c r="AF234" s="55"/>
      <c r="AG234" s="55"/>
      <c r="AH234" s="55"/>
    </row>
    <row r="235" spans="1:34" ht="15.75">
      <c r="A235" s="39">
        <v>12.140077700000001</v>
      </c>
      <c r="B235" s="39">
        <v>12.4983834</v>
      </c>
      <c r="C235" s="39">
        <v>233</v>
      </c>
      <c r="D235">
        <v>233</v>
      </c>
      <c r="E235" s="10">
        <v>1435370</v>
      </c>
      <c r="F235" s="10">
        <v>1149670</v>
      </c>
      <c r="G235" s="10">
        <v>20269</v>
      </c>
      <c r="H235" s="10">
        <v>42013</v>
      </c>
      <c r="I235" s="10">
        <v>14296</v>
      </c>
      <c r="J235" s="10">
        <v>33895</v>
      </c>
      <c r="K235">
        <v>233</v>
      </c>
      <c r="L235" s="10">
        <v>2130</v>
      </c>
      <c r="M235" s="10">
        <v>440223</v>
      </c>
      <c r="N235" s="10">
        <v>4381</v>
      </c>
      <c r="O235">
        <v>-0.37492109874787344</v>
      </c>
      <c r="P235">
        <v>1.0202890349863667</v>
      </c>
      <c r="Q235">
        <v>-0.31655137139652173</v>
      </c>
      <c r="R235">
        <v>0.31655137139652173</v>
      </c>
      <c r="S235">
        <f t="shared" si="40"/>
        <v>0.86328773302580197</v>
      </c>
      <c r="T235" s="148">
        <f t="shared" si="35"/>
        <v>0.89148136600109096</v>
      </c>
      <c r="U235">
        <f t="shared" si="41"/>
        <v>2.3493023225048884</v>
      </c>
      <c r="V235" s="55">
        <f t="shared" si="36"/>
        <v>2.3584577022940887</v>
      </c>
      <c r="W235">
        <f t="shared" si="42"/>
        <v>0.51417488562710145</v>
      </c>
      <c r="X235" s="55">
        <f t="shared" si="37"/>
        <v>0.50976176047917754</v>
      </c>
      <c r="Y235" s="149">
        <v>12.4983834</v>
      </c>
      <c r="Z235" s="55">
        <f t="shared" si="33"/>
        <v>3.8106587107604793E-3</v>
      </c>
      <c r="AA235" s="55">
        <f t="shared" si="38"/>
        <v>3.8625143590340807E-3</v>
      </c>
      <c r="AB235" s="55">
        <f t="shared" si="34"/>
        <v>-5.5699532148238946</v>
      </c>
      <c r="AC235" s="55">
        <f t="shared" si="39"/>
        <v>-5.556507080254085</v>
      </c>
      <c r="AD235" s="55"/>
      <c r="AE235" s="55"/>
      <c r="AF235" s="55"/>
      <c r="AG235" s="55"/>
      <c r="AH235" s="55"/>
    </row>
    <row r="236" spans="1:34" ht="15.75">
      <c r="A236" s="39">
        <v>12.145528499999999</v>
      </c>
      <c r="B236" s="39">
        <v>12.5022073</v>
      </c>
      <c r="C236" s="39">
        <v>234</v>
      </c>
      <c r="D236">
        <v>234</v>
      </c>
      <c r="E236" s="10">
        <v>1438420</v>
      </c>
      <c r="F236" s="10">
        <v>1151540</v>
      </c>
      <c r="G236" s="10">
        <v>20770</v>
      </c>
      <c r="H236" s="10">
        <v>42172</v>
      </c>
      <c r="I236" s="10">
        <v>14368</v>
      </c>
      <c r="J236" s="10">
        <v>34244</v>
      </c>
      <c r="K236">
        <v>234</v>
      </c>
      <c r="L236" s="10">
        <v>2081</v>
      </c>
      <c r="M236" s="10">
        <v>440304</v>
      </c>
      <c r="N236" s="10">
        <v>4439</v>
      </c>
      <c r="O236">
        <v>-0.37718816905527552</v>
      </c>
      <c r="P236">
        <v>1.018728433037229</v>
      </c>
      <c r="Q236">
        <v>-0.30758770131085611</v>
      </c>
      <c r="R236">
        <v>0.30758770131085605</v>
      </c>
      <c r="S236">
        <f t="shared" si="40"/>
        <v>0.86850785532039543</v>
      </c>
      <c r="T236" s="148">
        <f t="shared" si="35"/>
        <v>0.85793069901060337</v>
      </c>
      <c r="U236">
        <f t="shared" si="41"/>
        <v>2.3457089037207064</v>
      </c>
      <c r="V236" s="55">
        <f t="shared" si="36"/>
        <v>2.363236246820676</v>
      </c>
      <c r="W236">
        <f t="shared" si="42"/>
        <v>0.50000172899221829</v>
      </c>
      <c r="X236" s="55">
        <f t="shared" si="37"/>
        <v>0.50649408727771783</v>
      </c>
      <c r="Y236" s="149">
        <v>12.5022073</v>
      </c>
      <c r="Z236" s="55">
        <f t="shared" si="33"/>
        <v>3.8548378692880836E-3</v>
      </c>
      <c r="AA236" s="55">
        <f t="shared" si="38"/>
        <v>3.8589075363072169E-3</v>
      </c>
      <c r="AB236" s="55">
        <f t="shared" si="34"/>
        <v>-5.558426330104691</v>
      </c>
      <c r="AC236" s="55">
        <f t="shared" si="39"/>
        <v>-5.5574279788974073</v>
      </c>
      <c r="AD236" s="55"/>
      <c r="AE236" s="55"/>
      <c r="AF236" s="55"/>
      <c r="AG236" s="55"/>
      <c r="AH236" s="55"/>
    </row>
    <row r="237" spans="1:34" ht="15.75">
      <c r="A237" s="39">
        <v>12.150979299999999</v>
      </c>
      <c r="B237" s="39">
        <v>12.5060311</v>
      </c>
      <c r="C237" s="39">
        <v>235</v>
      </c>
      <c r="D237">
        <v>235</v>
      </c>
      <c r="E237" s="10">
        <v>1448500</v>
      </c>
      <c r="F237" s="10">
        <v>1160250</v>
      </c>
      <c r="G237" s="10">
        <v>20128</v>
      </c>
      <c r="H237" s="10">
        <v>41288</v>
      </c>
      <c r="I237" s="10">
        <v>14374</v>
      </c>
      <c r="J237" s="10">
        <v>33362</v>
      </c>
      <c r="K237">
        <v>235</v>
      </c>
      <c r="L237" s="10">
        <v>2017</v>
      </c>
      <c r="M237" s="10">
        <v>452718</v>
      </c>
      <c r="N237" s="10">
        <v>4538</v>
      </c>
      <c r="O237">
        <v>-0.36567443750396506</v>
      </c>
      <c r="P237">
        <v>1.040003916260317</v>
      </c>
      <c r="Q237">
        <v>-0.31202322229672053</v>
      </c>
      <c r="R237">
        <v>0.31202322229672053</v>
      </c>
      <c r="S237">
        <f t="shared" si="40"/>
        <v>0.84199650868561282</v>
      </c>
      <c r="T237" s="148">
        <f t="shared" si="35"/>
        <v>0.84907075895531159</v>
      </c>
      <c r="U237">
        <f t="shared" si="41"/>
        <v>2.3946975142364337</v>
      </c>
      <c r="V237" s="55">
        <f t="shared" si="36"/>
        <v>2.3649646488324323</v>
      </c>
      <c r="W237">
        <f t="shared" si="42"/>
        <v>0.50530564721383364</v>
      </c>
      <c r="X237" s="55">
        <f t="shared" si="37"/>
        <v>0.50446657150377028</v>
      </c>
      <c r="Y237" s="149">
        <v>12.5060311</v>
      </c>
      <c r="Z237" s="55">
        <f t="shared" si="33"/>
        <v>3.9112260288730874E-3</v>
      </c>
      <c r="AA237" s="55">
        <f t="shared" si="38"/>
        <v>3.9126923649695812E-3</v>
      </c>
      <c r="AB237" s="55">
        <f t="shared" si="34"/>
        <v>-5.5439043917636353</v>
      </c>
      <c r="AC237" s="55">
        <f t="shared" si="39"/>
        <v>-5.5436043107430182</v>
      </c>
      <c r="AD237" s="55"/>
      <c r="AE237" s="55"/>
      <c r="AF237" s="55"/>
      <c r="AG237" s="55"/>
      <c r="AH237" s="55"/>
    </row>
    <row r="238" spans="1:34" ht="15.75">
      <c r="A238" s="39">
        <v>12.1564301</v>
      </c>
      <c r="B238" s="39">
        <v>12.509854900000001</v>
      </c>
      <c r="C238" s="39">
        <v>236</v>
      </c>
      <c r="D238">
        <v>236</v>
      </c>
      <c r="E238" s="10">
        <v>1423670</v>
      </c>
      <c r="F238" s="10">
        <v>1154830</v>
      </c>
      <c r="G238" s="10">
        <v>19930</v>
      </c>
      <c r="H238" s="10">
        <v>41751</v>
      </c>
      <c r="I238" s="10">
        <v>14348</v>
      </c>
      <c r="J238" s="10">
        <v>33126</v>
      </c>
      <c r="K238">
        <v>236</v>
      </c>
      <c r="L238" s="10">
        <v>2104</v>
      </c>
      <c r="M238" s="10">
        <v>439752</v>
      </c>
      <c r="N238" s="10">
        <v>4587</v>
      </c>
      <c r="O238">
        <v>-0.36337762951985292</v>
      </c>
      <c r="P238">
        <v>1.0225409413550155</v>
      </c>
      <c r="Q238">
        <v>-0.32115958325759686</v>
      </c>
      <c r="R238">
        <v>0.32115958325759691</v>
      </c>
      <c r="S238">
        <f t="shared" si="40"/>
        <v>0.83670791285992641</v>
      </c>
      <c r="T238" s="148">
        <f t="shared" si="35"/>
        <v>0.83370285470200056</v>
      </c>
      <c r="U238">
        <f t="shared" si="41"/>
        <v>2.3544875285401576</v>
      </c>
      <c r="V238" s="55">
        <f t="shared" si="36"/>
        <v>2.3634153376082705</v>
      </c>
      <c r="W238">
        <f t="shared" si="42"/>
        <v>0.50809233830525913</v>
      </c>
      <c r="X238" s="55">
        <f t="shared" si="37"/>
        <v>0.49726696039894369</v>
      </c>
      <c r="Y238" s="149">
        <v>12.509854900000001</v>
      </c>
      <c r="Z238" s="55">
        <f t="shared" si="33"/>
        <v>3.972013196747573E-3</v>
      </c>
      <c r="AA238" s="55">
        <f t="shared" si="38"/>
        <v>4.0284471915137893E-3</v>
      </c>
      <c r="AB238" s="55">
        <f t="shared" si="34"/>
        <v>-5.5284822103607292</v>
      </c>
      <c r="AC238" s="55">
        <f t="shared" si="39"/>
        <v>-5.5148523072627809</v>
      </c>
      <c r="AD238" s="55"/>
      <c r="AE238" s="55"/>
      <c r="AF238" s="55"/>
      <c r="AG238" s="55"/>
      <c r="AH238" s="55"/>
    </row>
    <row r="239" spans="1:34" ht="15.75">
      <c r="A239" s="39">
        <v>12.1618808</v>
      </c>
      <c r="B239" s="39">
        <v>12.513678799999999</v>
      </c>
      <c r="C239" s="39">
        <v>237</v>
      </c>
      <c r="D239">
        <v>237</v>
      </c>
      <c r="E239" s="10">
        <v>1414300</v>
      </c>
      <c r="F239" s="10">
        <v>1155850</v>
      </c>
      <c r="G239" s="10">
        <v>20318</v>
      </c>
      <c r="H239" s="10">
        <v>41093</v>
      </c>
      <c r="I239" s="10">
        <v>14404</v>
      </c>
      <c r="J239" s="10">
        <v>32783</v>
      </c>
      <c r="K239">
        <v>237</v>
      </c>
      <c r="L239" s="10">
        <v>1710</v>
      </c>
      <c r="M239" s="10">
        <v>427049</v>
      </c>
      <c r="N239" s="10">
        <v>4857</v>
      </c>
      <c r="O239">
        <v>-0.35716558100838414</v>
      </c>
      <c r="P239">
        <v>1.0167098610910159</v>
      </c>
      <c r="Q239">
        <v>-0.30588689215816339</v>
      </c>
      <c r="R239">
        <v>0.30588689215816339</v>
      </c>
      <c r="S239">
        <f t="shared" si="40"/>
        <v>0.82240414256046257</v>
      </c>
      <c r="T239" s="148">
        <f t="shared" si="35"/>
        <v>0.81495376865144298</v>
      </c>
      <c r="U239">
        <f t="shared" si="41"/>
        <v>2.3410609700482201</v>
      </c>
      <c r="V239" s="55">
        <f t="shared" si="36"/>
        <v>2.3717678601293066</v>
      </c>
      <c r="W239">
        <f t="shared" si="42"/>
        <v>0.47840289567773814</v>
      </c>
      <c r="X239" s="55">
        <f t="shared" si="37"/>
        <v>0.4913811177531513</v>
      </c>
      <c r="Y239" s="149">
        <v>12.513678799999999</v>
      </c>
      <c r="Z239" s="55">
        <f t="shared" si="33"/>
        <v>4.2021023489207075E-3</v>
      </c>
      <c r="AA239" s="55">
        <f t="shared" si="38"/>
        <v>4.0173828713891049E-3</v>
      </c>
      <c r="AB239" s="55">
        <f t="shared" si="34"/>
        <v>-5.4721703196639782</v>
      </c>
      <c r="AC239" s="55">
        <f t="shared" si="39"/>
        <v>-5.517693241672748</v>
      </c>
      <c r="AD239" s="55"/>
      <c r="AE239" s="55"/>
      <c r="AF239" s="55"/>
      <c r="AG239" s="55"/>
      <c r="AH239" s="55"/>
    </row>
    <row r="240" spans="1:34" ht="15.75">
      <c r="A240" s="39">
        <v>12.167331600000001</v>
      </c>
      <c r="B240" s="39">
        <v>12.5175026</v>
      </c>
      <c r="C240" s="39">
        <v>238</v>
      </c>
      <c r="D240">
        <v>238</v>
      </c>
      <c r="E240" s="10">
        <v>1428670</v>
      </c>
      <c r="F240" s="10">
        <v>1164250</v>
      </c>
      <c r="G240" s="10">
        <v>19746</v>
      </c>
      <c r="H240" s="10">
        <v>40176</v>
      </c>
      <c r="I240" s="10">
        <v>14656</v>
      </c>
      <c r="J240" s="10">
        <v>32156</v>
      </c>
      <c r="K240">
        <v>238</v>
      </c>
      <c r="L240" s="10">
        <v>2003</v>
      </c>
      <c r="M240" s="10">
        <v>451703</v>
      </c>
      <c r="N240" s="10">
        <v>4515</v>
      </c>
      <c r="O240">
        <v>-0.34124656366650585</v>
      </c>
      <c r="P240">
        <v>1.0508862795828926</v>
      </c>
      <c r="Q240">
        <v>-0.30848756269083</v>
      </c>
      <c r="R240">
        <v>0.30848756269083</v>
      </c>
      <c r="S240">
        <f t="shared" si="40"/>
        <v>0.78574925053393985</v>
      </c>
      <c r="T240" s="148">
        <f t="shared" si="35"/>
        <v>0.80169594809912681</v>
      </c>
      <c r="U240">
        <f t="shared" si="41"/>
        <v>2.4197550817995417</v>
      </c>
      <c r="V240" s="55">
        <f t="shared" si="36"/>
        <v>2.3833198065549008</v>
      </c>
      <c r="W240">
        <f t="shared" si="42"/>
        <v>0.48764811927645646</v>
      </c>
      <c r="X240" s="55">
        <f t="shared" si="37"/>
        <v>0.48053264656232381</v>
      </c>
      <c r="Y240" s="149">
        <v>12.5175026</v>
      </c>
      <c r="Z240" s="55">
        <f t="shared" si="33"/>
        <v>3.8780330684990336E-3</v>
      </c>
      <c r="AA240" s="55">
        <f t="shared" si="38"/>
        <v>4.0146386185829818E-3</v>
      </c>
      <c r="AB240" s="55">
        <f t="shared" si="34"/>
        <v>-5.5524271949935375</v>
      </c>
      <c r="AC240" s="55">
        <f t="shared" si="39"/>
        <v>-5.5183848558746318</v>
      </c>
      <c r="AD240" s="55"/>
      <c r="AE240" s="55"/>
      <c r="AF240" s="55"/>
      <c r="AG240" s="55"/>
      <c r="AH240" s="55"/>
    </row>
    <row r="241" spans="1:34" ht="15.75">
      <c r="A241" s="39">
        <v>12.172782399999999</v>
      </c>
      <c r="B241" s="39">
        <v>12.5213264</v>
      </c>
      <c r="C241" s="39">
        <v>239</v>
      </c>
      <c r="D241">
        <v>239</v>
      </c>
      <c r="E241" s="10">
        <v>1443620</v>
      </c>
      <c r="F241" s="10">
        <v>1158490</v>
      </c>
      <c r="G241" s="10">
        <v>20396</v>
      </c>
      <c r="H241" s="10">
        <v>41262</v>
      </c>
      <c r="I241" s="10">
        <v>14790</v>
      </c>
      <c r="J241" s="10">
        <v>32815</v>
      </c>
      <c r="K241">
        <v>239</v>
      </c>
      <c r="L241" s="10">
        <v>2534</v>
      </c>
      <c r="M241" s="10">
        <v>449927</v>
      </c>
      <c r="N241" s="10">
        <v>4592</v>
      </c>
      <c r="O241">
        <v>-0.3461042345960495</v>
      </c>
      <c r="P241">
        <v>1.0375917811186488</v>
      </c>
      <c r="Q241">
        <v>-0.30600527143023015</v>
      </c>
      <c r="R241">
        <v>0.30600527143023015</v>
      </c>
      <c r="S241">
        <f t="shared" si="40"/>
        <v>0.79693445120297768</v>
      </c>
      <c r="T241" s="148">
        <f t="shared" si="35"/>
        <v>0.79897565813806537</v>
      </c>
      <c r="U241">
        <f t="shared" si="41"/>
        <v>2.3891433678169411</v>
      </c>
      <c r="V241" s="55">
        <f t="shared" si="36"/>
        <v>2.397297274062939</v>
      </c>
      <c r="W241">
        <f t="shared" si="42"/>
        <v>0.47554692473277682</v>
      </c>
      <c r="X241" s="55">
        <f t="shared" si="37"/>
        <v>0.4932870083151763</v>
      </c>
      <c r="Y241" s="149">
        <v>12.5213264</v>
      </c>
      <c r="Z241" s="55">
        <f t="shared" si="33"/>
        <v>3.9637804383292046E-3</v>
      </c>
      <c r="AA241" s="55">
        <f t="shared" si="38"/>
        <v>3.8472163819272685E-3</v>
      </c>
      <c r="AB241" s="55">
        <f t="shared" si="34"/>
        <v>-5.5305570529663788</v>
      </c>
      <c r="AC241" s="55">
        <f t="shared" si="39"/>
        <v>-5.5608170433943327</v>
      </c>
      <c r="AD241" s="55"/>
      <c r="AE241" s="55"/>
      <c r="AF241" s="55"/>
      <c r="AG241" s="55"/>
      <c r="AH241" s="55"/>
    </row>
    <row r="242" spans="1:34" ht="15.75">
      <c r="A242" s="39">
        <v>12.178233199999999</v>
      </c>
      <c r="B242" s="39">
        <v>12.5251503</v>
      </c>
      <c r="C242" s="39">
        <v>240</v>
      </c>
      <c r="D242">
        <v>240</v>
      </c>
      <c r="E242" s="10">
        <v>1456490</v>
      </c>
      <c r="F242" s="10">
        <v>1168160</v>
      </c>
      <c r="G242" s="10">
        <v>19838</v>
      </c>
      <c r="H242" s="10">
        <v>42076</v>
      </c>
      <c r="I242" s="10">
        <v>14732</v>
      </c>
      <c r="J242" s="10">
        <v>33257</v>
      </c>
      <c r="K242">
        <v>240</v>
      </c>
      <c r="L242" s="10">
        <v>2730</v>
      </c>
      <c r="M242" s="10">
        <v>455990</v>
      </c>
      <c r="N242" s="10">
        <v>4322</v>
      </c>
      <c r="O242">
        <v>-0.35362136025058694</v>
      </c>
      <c r="P242">
        <v>1.034920872120185</v>
      </c>
      <c r="Q242">
        <v>-0.32653656051232416</v>
      </c>
      <c r="R242">
        <v>0.3265365605123241</v>
      </c>
      <c r="S242">
        <f t="shared" si="40"/>
        <v>0.81424327267727881</v>
      </c>
      <c r="T242" s="148">
        <f t="shared" si="35"/>
        <v>0.79874346098173732</v>
      </c>
      <c r="U242">
        <f t="shared" si="41"/>
        <v>2.3829933725723347</v>
      </c>
      <c r="V242" s="55">
        <f t="shared" si="36"/>
        <v>2.3802909484582018</v>
      </c>
      <c r="W242">
        <f t="shared" si="42"/>
        <v>0.51666598093629557</v>
      </c>
      <c r="X242" s="55">
        <f t="shared" si="37"/>
        <v>0.49817628110976608</v>
      </c>
      <c r="Y242" s="149">
        <v>12.5251503</v>
      </c>
      <c r="Z242" s="55">
        <f t="shared" si="33"/>
        <v>3.6998356389535678E-3</v>
      </c>
      <c r="AA242" s="55">
        <f t="shared" si="38"/>
        <v>3.9879952224265549E-3</v>
      </c>
      <c r="AB242" s="55">
        <f t="shared" si="34"/>
        <v>-5.5994668822230818</v>
      </c>
      <c r="AC242" s="55">
        <f t="shared" si="39"/>
        <v>-5.5263594146678665</v>
      </c>
      <c r="AD242" s="55"/>
      <c r="AE242" s="55"/>
      <c r="AF242" s="55"/>
      <c r="AG242" s="55"/>
      <c r="AH242" s="55"/>
    </row>
    <row r="243" spans="1:34" ht="15.75">
      <c r="A243" s="39">
        <v>12.1836839</v>
      </c>
      <c r="B243" s="39">
        <v>12.528974099999999</v>
      </c>
      <c r="C243" s="39">
        <v>241</v>
      </c>
      <c r="D243">
        <v>241</v>
      </c>
      <c r="E243" s="10">
        <v>1466400</v>
      </c>
      <c r="F243" s="10">
        <v>1158040</v>
      </c>
      <c r="G243" s="10">
        <v>20440</v>
      </c>
      <c r="H243" s="10">
        <v>42892</v>
      </c>
      <c r="I243" s="10">
        <v>15406</v>
      </c>
      <c r="J243" s="10">
        <v>33778</v>
      </c>
      <c r="K243">
        <v>241</v>
      </c>
      <c r="L243" s="10">
        <v>2223</v>
      </c>
      <c r="M243" s="10">
        <v>458253</v>
      </c>
      <c r="N243" s="10">
        <v>4980</v>
      </c>
      <c r="O243">
        <v>-0.34094403783538502</v>
      </c>
      <c r="P243">
        <v>1.0287290194801308</v>
      </c>
      <c r="Q243">
        <v>-0.32189540585387266</v>
      </c>
      <c r="R243">
        <v>0.32189540585387272</v>
      </c>
      <c r="S243">
        <f t="shared" si="40"/>
        <v>0.78505265906495547</v>
      </c>
      <c r="T243" s="148">
        <f t="shared" si="35"/>
        <v>0.78367772521203027</v>
      </c>
      <c r="U243">
        <f t="shared" si="41"/>
        <v>2.3687361049853304</v>
      </c>
      <c r="V243" s="55">
        <f t="shared" si="36"/>
        <v>2.3719780828583503</v>
      </c>
      <c r="W243">
        <f t="shared" si="42"/>
        <v>0.50231593766022586</v>
      </c>
      <c r="X243" s="55">
        <f t="shared" si="37"/>
        <v>0.50730999602555527</v>
      </c>
      <c r="Y243" s="149">
        <v>12.528974099999999</v>
      </c>
      <c r="Z243" s="55">
        <f t="shared" si="33"/>
        <v>4.3003695899968917E-3</v>
      </c>
      <c r="AA243" s="55">
        <f t="shared" si="38"/>
        <v>3.9694486338061356E-3</v>
      </c>
      <c r="AB243" s="55">
        <f t="shared" si="34"/>
        <v>-5.4490543088141417</v>
      </c>
      <c r="AC243" s="55">
        <f t="shared" si="39"/>
        <v>-5.5310715801536974</v>
      </c>
      <c r="AD243" s="55"/>
      <c r="AE243" s="55"/>
      <c r="AF243" s="55"/>
      <c r="AG243" s="55"/>
      <c r="AH243" s="55"/>
    </row>
    <row r="244" spans="1:34" ht="15.75">
      <c r="A244" s="39">
        <v>12.1891347</v>
      </c>
      <c r="B244" s="39">
        <v>12.5327979</v>
      </c>
      <c r="C244" s="39">
        <v>242</v>
      </c>
      <c r="D244">
        <v>242</v>
      </c>
      <c r="E244" s="10">
        <v>1461780</v>
      </c>
      <c r="F244" s="10">
        <v>1165260</v>
      </c>
      <c r="G244" s="10">
        <v>20340</v>
      </c>
      <c r="H244" s="10">
        <v>42684</v>
      </c>
      <c r="I244" s="10">
        <v>15860</v>
      </c>
      <c r="J244" s="10">
        <v>33634</v>
      </c>
      <c r="K244">
        <v>242</v>
      </c>
      <c r="L244" s="10">
        <v>1797</v>
      </c>
      <c r="M244" s="10">
        <v>453969</v>
      </c>
      <c r="N244" s="10">
        <v>4554</v>
      </c>
      <c r="O244">
        <v>-0.32647533686426078</v>
      </c>
      <c r="P244">
        <v>1.0267610861421916</v>
      </c>
      <c r="Q244">
        <v>-0.32191416264667938</v>
      </c>
      <c r="R244">
        <v>0.32191416264667932</v>
      </c>
      <c r="S244">
        <f t="shared" si="40"/>
        <v>0.75173724389385632</v>
      </c>
      <c r="T244" s="148">
        <f t="shared" si="35"/>
        <v>0.75870253006031552</v>
      </c>
      <c r="U244">
        <f t="shared" si="41"/>
        <v>2.3642047710173859</v>
      </c>
      <c r="V244" s="55">
        <f t="shared" si="36"/>
        <v>2.3836228243472903</v>
      </c>
      <c r="W244">
        <f t="shared" si="42"/>
        <v>0.50294806948014426</v>
      </c>
      <c r="X244" s="55">
        <f t="shared" si="37"/>
        <v>0.50893502228684218</v>
      </c>
      <c r="Y244" s="149">
        <v>12.5327979</v>
      </c>
      <c r="Z244" s="55">
        <f t="shared" si="33"/>
        <v>3.9081406724679468E-3</v>
      </c>
      <c r="AA244" s="55">
        <f t="shared" si="38"/>
        <v>4.0554298014686815E-3</v>
      </c>
      <c r="AB244" s="55">
        <f t="shared" si="34"/>
        <v>-5.5446935494238669</v>
      </c>
      <c r="AC244" s="55">
        <f t="shared" si="39"/>
        <v>-5.5086066973385917</v>
      </c>
      <c r="AD244" s="55"/>
      <c r="AE244" s="55"/>
      <c r="AF244" s="55"/>
      <c r="AG244" s="55"/>
      <c r="AH244" s="55"/>
    </row>
    <row r="245" spans="1:34" ht="15.75">
      <c r="A245" s="39">
        <v>12.194585500000001</v>
      </c>
      <c r="B245" s="39">
        <v>12.536621800000001</v>
      </c>
      <c r="C245" s="39">
        <v>243</v>
      </c>
      <c r="D245">
        <v>243</v>
      </c>
      <c r="E245" s="10">
        <v>1470190</v>
      </c>
      <c r="F245" s="10">
        <v>1172880</v>
      </c>
      <c r="G245" s="10">
        <v>19326</v>
      </c>
      <c r="H245" s="10">
        <v>40970</v>
      </c>
      <c r="I245" s="10">
        <v>15544</v>
      </c>
      <c r="J245" s="10">
        <v>32557</v>
      </c>
      <c r="K245">
        <v>243</v>
      </c>
      <c r="L245" s="10">
        <v>2477</v>
      </c>
      <c r="M245" s="10">
        <v>459789</v>
      </c>
      <c r="N245" s="10">
        <v>4642</v>
      </c>
      <c r="O245">
        <v>-0.32108159193404723</v>
      </c>
      <c r="P245">
        <v>1.0500926130356945</v>
      </c>
      <c r="Q245">
        <v>-0.32632398874980728</v>
      </c>
      <c r="R245">
        <v>0.32632398874980728</v>
      </c>
      <c r="S245">
        <f t="shared" si="40"/>
        <v>0.73931768722213431</v>
      </c>
      <c r="T245" s="148">
        <f t="shared" si="35"/>
        <v>0.65977303434593704</v>
      </c>
      <c r="U245">
        <f t="shared" si="41"/>
        <v>2.4179275970391552</v>
      </c>
      <c r="V245" s="55">
        <f t="shared" si="36"/>
        <v>2.3868275100259142</v>
      </c>
      <c r="W245">
        <f t="shared" si="42"/>
        <v>0.52154105972015641</v>
      </c>
      <c r="X245" s="55">
        <f t="shared" si="37"/>
        <v>0.51825082778060039</v>
      </c>
      <c r="Y245" s="149">
        <v>12.536621800000001</v>
      </c>
      <c r="Z245" s="55">
        <f t="shared" si="33"/>
        <v>3.9577791419412043E-3</v>
      </c>
      <c r="AA245" s="55">
        <f t="shared" si="38"/>
        <v>4.0315904146226355E-3</v>
      </c>
      <c r="AB245" s="55">
        <f t="shared" si="34"/>
        <v>-5.5320722337777637</v>
      </c>
      <c r="AC245" s="55">
        <f t="shared" si="39"/>
        <v>-5.5141968785584057</v>
      </c>
      <c r="AD245" s="55"/>
      <c r="AE245" s="55"/>
      <c r="AF245" s="55"/>
      <c r="AG245" s="55"/>
      <c r="AH245" s="55"/>
    </row>
    <row r="246" spans="1:34" ht="15.75">
      <c r="A246" s="39">
        <v>12.200036300000001</v>
      </c>
      <c r="B246" s="39">
        <v>12.5404456</v>
      </c>
      <c r="C246" s="39">
        <v>244</v>
      </c>
      <c r="D246">
        <v>244</v>
      </c>
      <c r="E246" s="10">
        <v>1439180</v>
      </c>
      <c r="F246" s="10">
        <v>1159180</v>
      </c>
      <c r="G246" s="10">
        <v>19187</v>
      </c>
      <c r="H246" s="10">
        <v>40670</v>
      </c>
      <c r="I246" s="10">
        <v>20010</v>
      </c>
      <c r="J246" s="10">
        <v>32606</v>
      </c>
      <c r="K246">
        <v>244</v>
      </c>
      <c r="L246" s="10">
        <v>2191</v>
      </c>
      <c r="M246" s="10">
        <v>438711</v>
      </c>
      <c r="N246" s="10">
        <v>4902</v>
      </c>
      <c r="O246">
        <v>-0.21205043557670736</v>
      </c>
      <c r="P246">
        <v>1.0329043513995131</v>
      </c>
      <c r="Q246">
        <v>-0.32626709685083238</v>
      </c>
      <c r="R246">
        <v>0.32626709685083233</v>
      </c>
      <c r="S246">
        <f t="shared" si="40"/>
        <v>0.48826417192182053</v>
      </c>
      <c r="T246" s="148">
        <f t="shared" si="35"/>
        <v>0.62685132541054811</v>
      </c>
      <c r="U246">
        <f t="shared" si="41"/>
        <v>2.378350162021202</v>
      </c>
      <c r="V246" s="55">
        <f t="shared" si="36"/>
        <v>2.4000216442776954</v>
      </c>
      <c r="W246">
        <f t="shared" si="42"/>
        <v>0.5302633541415005</v>
      </c>
      <c r="X246" s="55">
        <f t="shared" si="37"/>
        <v>0.52332571327847022</v>
      </c>
      <c r="Y246" s="149">
        <v>12.5404456</v>
      </c>
      <c r="Z246" s="55">
        <f t="shared" si="33"/>
        <v>4.2288514294587555E-3</v>
      </c>
      <c r="AA246" s="55">
        <f t="shared" si="38"/>
        <v>4.024803201266039E-3</v>
      </c>
      <c r="AB246" s="55">
        <f t="shared" si="34"/>
        <v>-5.4658248524735891</v>
      </c>
      <c r="AC246" s="55">
        <f t="shared" si="39"/>
        <v>-5.5159381044937641</v>
      </c>
      <c r="AD246" s="55"/>
      <c r="AE246" s="55"/>
      <c r="AF246" s="55"/>
      <c r="AG246" s="55"/>
      <c r="AH246" s="55"/>
    </row>
    <row r="247" spans="1:34" ht="15.75">
      <c r="A247" s="39">
        <v>12.205487099999999</v>
      </c>
      <c r="B247" s="39">
        <v>12.544269399999999</v>
      </c>
      <c r="C247" s="39">
        <v>245</v>
      </c>
      <c r="D247">
        <v>245</v>
      </c>
      <c r="E247" s="10">
        <v>1440390</v>
      </c>
      <c r="F247" s="10">
        <v>1151300</v>
      </c>
      <c r="G247" s="10">
        <v>18714</v>
      </c>
      <c r="H247" s="10">
        <v>40614</v>
      </c>
      <c r="I247" s="10">
        <v>16354</v>
      </c>
      <c r="J247" s="10">
        <v>31420</v>
      </c>
      <c r="K247">
        <v>245</v>
      </c>
      <c r="L247" s="10">
        <v>2149</v>
      </c>
      <c r="M247" s="10">
        <v>449394</v>
      </c>
      <c r="N247" s="10">
        <v>4476</v>
      </c>
      <c r="O247">
        <v>-0.28358218728786766</v>
      </c>
      <c r="P247">
        <v>1.0439515052393096</v>
      </c>
      <c r="Q247">
        <v>-0.33650913934011473</v>
      </c>
      <c r="R247">
        <v>0.33650913934011473</v>
      </c>
      <c r="S247">
        <f t="shared" si="40"/>
        <v>0.65297211708768954</v>
      </c>
      <c r="T247" s="148">
        <f t="shared" si="35"/>
        <v>0.59399610269560477</v>
      </c>
      <c r="U247">
        <f t="shared" si="41"/>
        <v>2.4037871737727294</v>
      </c>
      <c r="V247" s="55">
        <f t="shared" si="36"/>
        <v>2.3810598256855049</v>
      </c>
      <c r="W247">
        <f t="shared" si="42"/>
        <v>0.51817272597375386</v>
      </c>
      <c r="X247" s="55">
        <f t="shared" si="37"/>
        <v>0.52622679898723113</v>
      </c>
      <c r="Y247" s="149">
        <v>12.544269399999999</v>
      </c>
      <c r="Z247" s="55">
        <f t="shared" si="33"/>
        <v>3.8877790323981584E-3</v>
      </c>
      <c r="AA247" s="55">
        <f t="shared" si="38"/>
        <v>3.9875834909217991E-3</v>
      </c>
      <c r="AB247" s="55">
        <f t="shared" si="34"/>
        <v>-5.5499172272299404</v>
      </c>
      <c r="AC247" s="55">
        <f t="shared" si="39"/>
        <v>-5.5254775026405154</v>
      </c>
      <c r="AD247" s="55"/>
      <c r="AE247" s="55"/>
      <c r="AF247" s="55"/>
      <c r="AG247" s="55"/>
      <c r="AH247" s="55"/>
    </row>
    <row r="248" spans="1:34" ht="15.75">
      <c r="A248" s="39">
        <v>12.2109378</v>
      </c>
      <c r="B248" s="39">
        <v>12.5480933</v>
      </c>
      <c r="C248" s="39">
        <v>246</v>
      </c>
      <c r="D248">
        <v>246</v>
      </c>
      <c r="E248" s="10">
        <v>1428100</v>
      </c>
      <c r="F248" s="10">
        <v>1136730</v>
      </c>
      <c r="G248" s="10">
        <v>19002</v>
      </c>
      <c r="H248" s="10">
        <v>41615</v>
      </c>
      <c r="I248" s="10">
        <v>17014</v>
      </c>
      <c r="J248" s="10">
        <v>32291</v>
      </c>
      <c r="K248">
        <v>246</v>
      </c>
      <c r="L248" s="10">
        <v>2746</v>
      </c>
      <c r="M248" s="10">
        <v>441202</v>
      </c>
      <c r="N248" s="10">
        <v>4372</v>
      </c>
      <c r="O248">
        <v>-0.27827506615364034</v>
      </c>
      <c r="P248">
        <v>1.0253875734913778</v>
      </c>
      <c r="Q248">
        <v>-0.34045058521341165</v>
      </c>
      <c r="R248">
        <v>0.34045058521341165</v>
      </c>
      <c r="S248">
        <f t="shared" si="40"/>
        <v>0.64075201907730417</v>
      </c>
      <c r="T248" s="148">
        <f t="shared" si="35"/>
        <v>0.65270483782799793</v>
      </c>
      <c r="U248">
        <f t="shared" si="41"/>
        <v>2.3610421412625828</v>
      </c>
      <c r="V248" s="55">
        <f t="shared" si="36"/>
        <v>2.3794236393392176</v>
      </c>
      <c r="W248">
        <f t="shared" si="42"/>
        <v>0.53024431684643902</v>
      </c>
      <c r="X248" s="55">
        <f t="shared" si="37"/>
        <v>0.53529498912072826</v>
      </c>
      <c r="Y248" s="149">
        <v>12.5480933</v>
      </c>
      <c r="Z248" s="55">
        <f t="shared" si="33"/>
        <v>3.8461200109084831E-3</v>
      </c>
      <c r="AA248" s="55">
        <f t="shared" si="38"/>
        <v>3.8769668698189334E-3</v>
      </c>
      <c r="AB248" s="55">
        <f t="shared" si="34"/>
        <v>-5.5606904282180176</v>
      </c>
      <c r="AC248" s="55">
        <f t="shared" si="39"/>
        <v>-5.5527185020624996</v>
      </c>
      <c r="AD248" s="55"/>
      <c r="AE248" s="55"/>
      <c r="AF248" s="55"/>
      <c r="AG248" s="55"/>
      <c r="AH248" s="55"/>
    </row>
    <row r="249" spans="1:34" ht="15.75">
      <c r="A249" s="39">
        <v>12.2163886</v>
      </c>
      <c r="B249" s="39">
        <v>12.551917100000001</v>
      </c>
      <c r="C249" s="39">
        <v>247</v>
      </c>
      <c r="D249">
        <v>247</v>
      </c>
      <c r="E249" s="10">
        <v>1421260</v>
      </c>
      <c r="F249" s="10">
        <v>1142930</v>
      </c>
      <c r="G249" s="10">
        <v>18510</v>
      </c>
      <c r="H249" s="10">
        <v>40914</v>
      </c>
      <c r="I249" s="10">
        <v>16633</v>
      </c>
      <c r="J249" s="10">
        <v>32323</v>
      </c>
      <c r="K249">
        <v>247</v>
      </c>
      <c r="L249" s="10">
        <v>3071</v>
      </c>
      <c r="M249" s="10">
        <v>439182</v>
      </c>
      <c r="N249" s="10">
        <v>4454</v>
      </c>
      <c r="O249">
        <v>-0.28854107469926105</v>
      </c>
      <c r="P249">
        <v>1.0307725912948396</v>
      </c>
      <c r="Q249">
        <v>-0.34446552207537273</v>
      </c>
      <c r="R249">
        <v>0.34446552207537279</v>
      </c>
      <c r="S249">
        <f t="shared" si="40"/>
        <v>0.66439037731899997</v>
      </c>
      <c r="T249" s="148">
        <f t="shared" si="35"/>
        <v>0.64202284989173164</v>
      </c>
      <c r="U249">
        <f t="shared" si="41"/>
        <v>2.3734416029823415</v>
      </c>
      <c r="V249" s="55">
        <f t="shared" si="36"/>
        <v>2.3796461979486154</v>
      </c>
      <c r="W249">
        <f t="shared" si="42"/>
        <v>0.55746792454199168</v>
      </c>
      <c r="X249" s="55">
        <f t="shared" si="37"/>
        <v>0.54614405455787274</v>
      </c>
      <c r="Y249" s="149">
        <v>12.551917100000001</v>
      </c>
      <c r="Z249" s="55">
        <f t="shared" si="33"/>
        <v>3.8970015661501578E-3</v>
      </c>
      <c r="AA249" s="55">
        <f t="shared" si="38"/>
        <v>3.8883388536758885E-3</v>
      </c>
      <c r="AB249" s="55">
        <f t="shared" si="34"/>
        <v>-5.547547850739539</v>
      </c>
      <c r="AC249" s="55">
        <f t="shared" si="39"/>
        <v>-5.5498062022221832</v>
      </c>
      <c r="AD249" s="55"/>
      <c r="AE249" s="55"/>
      <c r="AF249" s="55"/>
      <c r="AG249" s="55"/>
      <c r="AH249" s="55"/>
    </row>
    <row r="250" spans="1:34" ht="15.75">
      <c r="A250" s="39">
        <v>12.2218394</v>
      </c>
      <c r="B250" s="39">
        <v>12.5557409</v>
      </c>
      <c r="C250" s="39">
        <v>248</v>
      </c>
      <c r="D250">
        <v>248</v>
      </c>
      <c r="E250" s="10">
        <v>1436980</v>
      </c>
      <c r="F250" s="10">
        <v>1141540</v>
      </c>
      <c r="G250" s="10">
        <v>18437</v>
      </c>
      <c r="H250" s="10">
        <v>40681</v>
      </c>
      <c r="I250" s="10">
        <v>17187</v>
      </c>
      <c r="J250" s="10">
        <v>31979</v>
      </c>
      <c r="K250">
        <v>248</v>
      </c>
      <c r="L250" s="10">
        <v>3120</v>
      </c>
      <c r="M250" s="10">
        <v>450436</v>
      </c>
      <c r="N250" s="10">
        <v>4477</v>
      </c>
      <c r="O250">
        <v>-0.26966480203843501</v>
      </c>
      <c r="P250">
        <v>1.0442414731671938</v>
      </c>
      <c r="Q250">
        <v>-0.34370136430664588</v>
      </c>
      <c r="R250">
        <v>0.34370136430664588</v>
      </c>
      <c r="S250">
        <f t="shared" si="40"/>
        <v>0.62092615327889067</v>
      </c>
      <c r="T250" s="148">
        <f t="shared" si="35"/>
        <v>0.62760935168450704</v>
      </c>
      <c r="U250">
        <f t="shared" si="41"/>
        <v>2.4044548496009224</v>
      </c>
      <c r="V250" s="55">
        <f t="shared" si="36"/>
        <v>2.3936440461279509</v>
      </c>
      <c r="W250">
        <f t="shared" si="42"/>
        <v>0.5507199222851874</v>
      </c>
      <c r="X250" s="55">
        <f t="shared" si="37"/>
        <v>0.55729729973860886</v>
      </c>
      <c r="Y250" s="149">
        <v>12.5557409</v>
      </c>
      <c r="Z250" s="55">
        <f t="shared" si="33"/>
        <v>3.9218949839690239E-3</v>
      </c>
      <c r="AA250" s="55">
        <f t="shared" si="38"/>
        <v>3.929753042098417E-3</v>
      </c>
      <c r="AB250" s="55">
        <f t="shared" si="34"/>
        <v>-5.541180327708993</v>
      </c>
      <c r="AC250" s="55">
        <f t="shared" si="39"/>
        <v>-5.5392086792967348</v>
      </c>
      <c r="AD250" s="55"/>
      <c r="AE250" s="55"/>
      <c r="AF250" s="55"/>
      <c r="AG250" s="55"/>
      <c r="AH250" s="55"/>
    </row>
    <row r="251" spans="1:34" ht="15.75">
      <c r="A251" s="39">
        <v>12.227290200000001</v>
      </c>
      <c r="B251" s="39">
        <v>12.5595648</v>
      </c>
      <c r="C251" s="39">
        <v>249</v>
      </c>
      <c r="D251">
        <v>249</v>
      </c>
      <c r="E251" s="10">
        <v>1427700</v>
      </c>
      <c r="F251" s="10">
        <v>1140450</v>
      </c>
      <c r="G251" s="10">
        <v>17959</v>
      </c>
      <c r="H251" s="10">
        <v>40642</v>
      </c>
      <c r="I251" s="10">
        <v>17362</v>
      </c>
      <c r="J251" s="10">
        <v>31557</v>
      </c>
      <c r="K251">
        <v>249</v>
      </c>
      <c r="L251" s="10">
        <v>2499</v>
      </c>
      <c r="M251" s="10">
        <v>449366</v>
      </c>
      <c r="N251" s="10">
        <v>4528</v>
      </c>
      <c r="O251">
        <v>-0.25949595794468028</v>
      </c>
      <c r="P251">
        <v>1.0436251381597921</v>
      </c>
      <c r="Q251">
        <v>-0.35469292105908029</v>
      </c>
      <c r="R251">
        <v>0.35469292105908035</v>
      </c>
      <c r="S251">
        <f t="shared" si="40"/>
        <v>0.59751152445563049</v>
      </c>
      <c r="T251" s="148">
        <f t="shared" si="35"/>
        <v>0.60458372240668989</v>
      </c>
      <c r="U251">
        <f t="shared" si="41"/>
        <v>2.4030356858005884</v>
      </c>
      <c r="V251" s="55">
        <f t="shared" si="36"/>
        <v>2.4088365623593879</v>
      </c>
      <c r="W251">
        <f t="shared" si="42"/>
        <v>0.5637040523886474</v>
      </c>
      <c r="X251" s="55">
        <f t="shared" si="37"/>
        <v>0.55515291230567587</v>
      </c>
      <c r="Y251" s="149">
        <v>12.5595648</v>
      </c>
      <c r="Z251" s="55">
        <f t="shared" si="33"/>
        <v>3.9703625761760711E-3</v>
      </c>
      <c r="AA251" s="55">
        <f t="shared" si="38"/>
        <v>3.8978192518419126E-3</v>
      </c>
      <c r="AB251" s="55">
        <f t="shared" si="34"/>
        <v>-5.5288978594416731</v>
      </c>
      <c r="AC251" s="55">
        <f t="shared" si="39"/>
        <v>-5.5475055361260184</v>
      </c>
      <c r="AD251" s="55"/>
      <c r="AE251" s="55"/>
      <c r="AF251" s="55"/>
      <c r="AG251" s="55"/>
      <c r="AH251" s="55"/>
    </row>
    <row r="252" spans="1:34" ht="15.75">
      <c r="A252" s="39">
        <v>12.2327409</v>
      </c>
      <c r="B252" s="39">
        <v>12.5633886</v>
      </c>
      <c r="C252" s="39">
        <v>250</v>
      </c>
      <c r="D252">
        <v>250</v>
      </c>
      <c r="E252" s="10">
        <v>1436840</v>
      </c>
      <c r="F252" s="10">
        <v>1146480</v>
      </c>
      <c r="G252" s="10">
        <v>18124</v>
      </c>
      <c r="H252" s="10">
        <v>40420</v>
      </c>
      <c r="I252" s="10">
        <v>17339</v>
      </c>
      <c r="J252" s="10">
        <v>31446</v>
      </c>
      <c r="K252">
        <v>250</v>
      </c>
      <c r="L252" s="10">
        <v>2824</v>
      </c>
      <c r="M252" s="10">
        <v>454112</v>
      </c>
      <c r="N252" s="10">
        <v>4358</v>
      </c>
      <c r="O252">
        <v>-0.25854136348614315</v>
      </c>
      <c r="P252">
        <v>1.0505666691914552</v>
      </c>
      <c r="Q252">
        <v>-0.348342255672137</v>
      </c>
      <c r="R252">
        <v>0.348342255672137</v>
      </c>
      <c r="S252">
        <f t="shared" si="40"/>
        <v>0.59531348948554841</v>
      </c>
      <c r="T252" s="148">
        <f t="shared" si="35"/>
        <v>0.58813391306405549</v>
      </c>
      <c r="U252">
        <f t="shared" si="41"/>
        <v>2.4190191516766522</v>
      </c>
      <c r="V252" s="55">
        <f t="shared" si="36"/>
        <v>2.40982630891587</v>
      </c>
      <c r="W252">
        <f t="shared" si="42"/>
        <v>0.55103476224319248</v>
      </c>
      <c r="X252" s="55">
        <f t="shared" si="37"/>
        <v>0.54112338772275248</v>
      </c>
      <c r="Y252" s="149">
        <v>12.5633886</v>
      </c>
      <c r="Z252" s="55">
        <f t="shared" si="33"/>
        <v>3.8012001953806433E-3</v>
      </c>
      <c r="AA252" s="55">
        <f t="shared" si="38"/>
        <v>3.9669364437500687E-3</v>
      </c>
      <c r="AB252" s="55">
        <f t="shared" si="34"/>
        <v>-5.5724384212273881</v>
      </c>
      <c r="AC252" s="55">
        <f t="shared" si="39"/>
        <v>-5.5303322001292594</v>
      </c>
      <c r="AD252" s="55"/>
      <c r="AE252" s="55"/>
      <c r="AF252" s="55"/>
      <c r="AG252" s="55"/>
      <c r="AH252" s="55"/>
    </row>
    <row r="253" spans="1:34" ht="15.75">
      <c r="A253" s="39">
        <v>12.2381917</v>
      </c>
      <c r="B253" s="39">
        <v>12.567212400000001</v>
      </c>
      <c r="C253" s="39">
        <v>251</v>
      </c>
      <c r="D253">
        <v>251</v>
      </c>
      <c r="E253" s="10">
        <v>1434170</v>
      </c>
      <c r="F253" s="10">
        <v>1137980</v>
      </c>
      <c r="G253" s="10">
        <v>18523</v>
      </c>
      <c r="H253" s="10">
        <v>40335</v>
      </c>
      <c r="I253" s="10">
        <v>17393</v>
      </c>
      <c r="J253" s="10">
        <v>30804</v>
      </c>
      <c r="K253">
        <v>251</v>
      </c>
      <c r="L253" s="10">
        <v>2639</v>
      </c>
      <c r="M253" s="10">
        <v>447933</v>
      </c>
      <c r="N253" s="10">
        <v>4699</v>
      </c>
      <c r="O253">
        <v>-0.24823261776083488</v>
      </c>
      <c r="P253">
        <v>1.0455309975710825</v>
      </c>
      <c r="Q253">
        <v>-0.33797073455229049</v>
      </c>
      <c r="R253">
        <v>0.33797073455229049</v>
      </c>
      <c r="S253">
        <f t="shared" si="40"/>
        <v>0.57157672525098746</v>
      </c>
      <c r="T253" s="148">
        <f t="shared" si="35"/>
        <v>0.58478470202050492</v>
      </c>
      <c r="U253">
        <f t="shared" si="41"/>
        <v>2.4074240892703687</v>
      </c>
      <c r="V253" s="55">
        <f t="shared" si="36"/>
        <v>2.4066185733198329</v>
      </c>
      <c r="W253">
        <f t="shared" si="42"/>
        <v>0.50863134853641767</v>
      </c>
      <c r="X253" s="55">
        <f t="shared" si="37"/>
        <v>0.53050876295156557</v>
      </c>
      <c r="Y253" s="149">
        <v>12.567212400000001</v>
      </c>
      <c r="Z253" s="55">
        <f t="shared" si="33"/>
        <v>4.1292465596934917E-3</v>
      </c>
      <c r="AA253" s="55">
        <f t="shared" si="38"/>
        <v>4.0169787588608735E-3</v>
      </c>
      <c r="AB253" s="55">
        <f t="shared" si="34"/>
        <v>-5.4896603197187179</v>
      </c>
      <c r="AC253" s="55">
        <f t="shared" si="39"/>
        <v>-5.5179606825749135</v>
      </c>
      <c r="AD253" s="55"/>
      <c r="AE253" s="55"/>
      <c r="AF253" s="55"/>
      <c r="AG253" s="55"/>
      <c r="AH253" s="55"/>
    </row>
    <row r="254" spans="1:34" ht="15.75">
      <c r="A254" s="39">
        <v>12.2436425</v>
      </c>
      <c r="B254" s="39">
        <v>12.571036299999999</v>
      </c>
      <c r="C254" s="39">
        <v>252</v>
      </c>
      <c r="D254">
        <v>252</v>
      </c>
      <c r="E254" s="10">
        <v>1436890</v>
      </c>
      <c r="F254" s="10">
        <v>1142340</v>
      </c>
      <c r="G254" s="10">
        <v>18563</v>
      </c>
      <c r="H254" s="10">
        <v>40894</v>
      </c>
      <c r="I254" s="10">
        <v>17559</v>
      </c>
      <c r="J254" s="10">
        <v>31596</v>
      </c>
      <c r="K254">
        <v>252</v>
      </c>
      <c r="L254" s="10">
        <v>2782</v>
      </c>
      <c r="M254" s="10">
        <v>447822</v>
      </c>
      <c r="N254" s="10">
        <v>4707</v>
      </c>
      <c r="O254">
        <v>-0.25513232631985</v>
      </c>
      <c r="P254">
        <v>1.0394458325535019</v>
      </c>
      <c r="Q254">
        <v>-0.34301142798018575</v>
      </c>
      <c r="R254">
        <v>0.34301142798018575</v>
      </c>
      <c r="S254">
        <f t="shared" si="40"/>
        <v>0.58746389132497912</v>
      </c>
      <c r="T254" s="148">
        <f t="shared" si="35"/>
        <v>0.5817032524329625</v>
      </c>
      <c r="U254">
        <f t="shared" si="41"/>
        <v>2.3934124790124787</v>
      </c>
      <c r="V254" s="55">
        <f t="shared" si="36"/>
        <v>2.3907760549351083</v>
      </c>
      <c r="W254">
        <f t="shared" si="42"/>
        <v>0.53186017807508656</v>
      </c>
      <c r="X254" s="55">
        <f t="shared" si="37"/>
        <v>0.53180955630658355</v>
      </c>
      <c r="Y254" s="149">
        <v>12.571036299999999</v>
      </c>
      <c r="Z254" s="55">
        <f t="shared" si="33"/>
        <v>4.1204895215084828E-3</v>
      </c>
      <c r="AA254" s="55">
        <f t="shared" si="38"/>
        <v>4.0860916602109042E-3</v>
      </c>
      <c r="AB254" s="55">
        <f t="shared" si="34"/>
        <v>-5.4917833067786352</v>
      </c>
      <c r="AC254" s="55">
        <f t="shared" si="39"/>
        <v>-5.5002573649298405</v>
      </c>
      <c r="AD254" s="55"/>
      <c r="AE254" s="55"/>
      <c r="AF254" s="55"/>
      <c r="AG254" s="55"/>
      <c r="AH254" s="55"/>
    </row>
    <row r="255" spans="1:34" ht="15.75">
      <c r="A255" s="39">
        <v>12.2490933</v>
      </c>
      <c r="B255" s="39">
        <v>12.5748601</v>
      </c>
      <c r="C255" s="39">
        <v>253</v>
      </c>
      <c r="D255">
        <v>253</v>
      </c>
      <c r="E255" s="10">
        <v>1424750</v>
      </c>
      <c r="F255" s="10">
        <v>1138320</v>
      </c>
      <c r="G255" s="10">
        <v>18302</v>
      </c>
      <c r="H255" s="10">
        <v>40912</v>
      </c>
      <c r="I255" s="10">
        <v>17741</v>
      </c>
      <c r="J255" s="10">
        <v>31879</v>
      </c>
      <c r="K255">
        <v>253</v>
      </c>
      <c r="L255" s="10">
        <v>2875</v>
      </c>
      <c r="M255" s="10">
        <v>438305</v>
      </c>
      <c r="N255" s="10">
        <v>4563</v>
      </c>
      <c r="O255">
        <v>-0.25452659382974502</v>
      </c>
      <c r="P255">
        <v>1.0299257142496452</v>
      </c>
      <c r="Q255">
        <v>-0.34935215966749272</v>
      </c>
      <c r="R255">
        <v>0.34935215966749272</v>
      </c>
      <c r="S255">
        <f t="shared" si="40"/>
        <v>0.58606914072292104</v>
      </c>
      <c r="T255" s="148">
        <f t="shared" si="35"/>
        <v>0.57525989453575754</v>
      </c>
      <c r="U255">
        <f t="shared" si="41"/>
        <v>2.3714915965224783</v>
      </c>
      <c r="V255" s="55">
        <f t="shared" si="36"/>
        <v>2.3780654363849942</v>
      </c>
      <c r="W255">
        <f t="shared" si="42"/>
        <v>0.55493714230824631</v>
      </c>
      <c r="X255" s="55">
        <f t="shared" si="37"/>
        <v>0.54119499754999068</v>
      </c>
      <c r="Y255" s="149">
        <v>12.5748601</v>
      </c>
      <c r="Z255" s="55">
        <f t="shared" si="33"/>
        <v>4.0085388994307398E-3</v>
      </c>
      <c r="AA255" s="55">
        <f t="shared" si="38"/>
        <v>4.1057295260495848E-3</v>
      </c>
      <c r="AB255" s="55">
        <f t="shared" si="34"/>
        <v>-5.5193284682921702</v>
      </c>
      <c r="AC255" s="55">
        <f t="shared" si="39"/>
        <v>-5.4955351732814188</v>
      </c>
      <c r="AD255" s="55"/>
      <c r="AE255" s="55"/>
      <c r="AF255" s="55"/>
      <c r="AG255" s="55"/>
      <c r="AH255" s="55"/>
    </row>
    <row r="256" spans="1:34" ht="15.75">
      <c r="A256" s="39">
        <v>12.254543999999999</v>
      </c>
      <c r="B256" s="39">
        <v>12.5786839</v>
      </c>
      <c r="C256" s="39">
        <v>254</v>
      </c>
      <c r="D256">
        <v>254</v>
      </c>
      <c r="E256" s="10">
        <v>1422470</v>
      </c>
      <c r="F256" s="10">
        <v>1139880</v>
      </c>
      <c r="G256" s="10">
        <v>18318</v>
      </c>
      <c r="H256" s="10">
        <v>41125</v>
      </c>
      <c r="I256" s="10">
        <v>18037</v>
      </c>
      <c r="J256" s="10">
        <v>31333</v>
      </c>
      <c r="K256">
        <v>254</v>
      </c>
      <c r="L256" s="10">
        <v>2386</v>
      </c>
      <c r="M256" s="10">
        <v>439619</v>
      </c>
      <c r="N256" s="10">
        <v>4774</v>
      </c>
      <c r="O256">
        <v>-0.23983767342178333</v>
      </c>
      <c r="P256">
        <v>1.0289705430774072</v>
      </c>
      <c r="Q256">
        <v>-0.35122785627572528</v>
      </c>
      <c r="R256">
        <v>0.35122785627572523</v>
      </c>
      <c r="S256">
        <f t="shared" si="40"/>
        <v>0.55224665155937258</v>
      </c>
      <c r="T256" s="148">
        <f t="shared" si="35"/>
        <v>0.56549171800983522</v>
      </c>
      <c r="U256">
        <f t="shared" si="41"/>
        <v>2.3692922336200253</v>
      </c>
      <c r="V256" s="55">
        <f t="shared" si="36"/>
        <v>2.3690734950155035</v>
      </c>
      <c r="W256">
        <f t="shared" si="42"/>
        <v>0.53678767226663893</v>
      </c>
      <c r="X256" s="55">
        <f t="shared" si="37"/>
        <v>0.54643309196078649</v>
      </c>
      <c r="Y256" s="149">
        <v>12.5786839</v>
      </c>
      <c r="Z256" s="55">
        <f t="shared" si="33"/>
        <v>4.1881601572095308E-3</v>
      </c>
      <c r="AA256" s="55">
        <f t="shared" si="38"/>
        <v>4.162052520279313E-3</v>
      </c>
      <c r="AB256" s="55">
        <f t="shared" si="34"/>
        <v>-5.4754937447734529</v>
      </c>
      <c r="AC256" s="55">
        <f t="shared" si="39"/>
        <v>-5.4821389966241156</v>
      </c>
      <c r="AD256" s="55"/>
      <c r="AE256" s="55"/>
      <c r="AF256" s="55"/>
      <c r="AG256" s="55"/>
      <c r="AH256" s="55"/>
    </row>
    <row r="257" spans="1:34" ht="15.75">
      <c r="A257" s="39">
        <v>12.259994799999999</v>
      </c>
      <c r="B257" s="39">
        <v>12.5825078</v>
      </c>
      <c r="C257" s="39">
        <v>255</v>
      </c>
      <c r="D257">
        <v>255</v>
      </c>
      <c r="E257" s="10">
        <v>1419632.5</v>
      </c>
      <c r="F257" s="10">
        <v>1136196.25</v>
      </c>
      <c r="G257" s="10">
        <v>18104.625</v>
      </c>
      <c r="H257" s="10">
        <v>41046.375</v>
      </c>
      <c r="I257" s="10">
        <v>17914</v>
      </c>
      <c r="J257" s="10">
        <v>31303.875</v>
      </c>
      <c r="K257">
        <v>255</v>
      </c>
      <c r="L257" s="10">
        <v>3080</v>
      </c>
      <c r="M257" s="10">
        <v>437527.3333</v>
      </c>
      <c r="N257" s="10">
        <v>4873.6666670000004</v>
      </c>
      <c r="O257">
        <v>-0.24240553082945512</v>
      </c>
      <c r="P257">
        <v>1.0277303809984</v>
      </c>
      <c r="Q257">
        <v>-0.35548527481315206</v>
      </c>
      <c r="R257">
        <v>0.35548527481315206</v>
      </c>
      <c r="S257">
        <f t="shared" si="40"/>
        <v>0.55815936174721192</v>
      </c>
      <c r="T257" s="148">
        <f t="shared" si="35"/>
        <v>0.55986899438856985</v>
      </c>
      <c r="U257">
        <f t="shared" si="41"/>
        <v>2.3664366549040068</v>
      </c>
      <c r="V257" s="55">
        <f t="shared" si="36"/>
        <v>2.3620132155424316</v>
      </c>
      <c r="W257">
        <f t="shared" si="42"/>
        <v>0.54757446130747434</v>
      </c>
      <c r="X257" s="55">
        <f t="shared" si="37"/>
        <v>0.54833265958954358</v>
      </c>
      <c r="Y257" s="149">
        <v>12.5825078</v>
      </c>
      <c r="Z257" s="55">
        <f t="shared" si="33"/>
        <v>4.2894585041976683E-3</v>
      </c>
      <c r="AA257" s="55">
        <f t="shared" si="38"/>
        <v>4.1754491149341363E-3</v>
      </c>
      <c r="AB257" s="55">
        <f t="shared" si="34"/>
        <v>-5.4515947768067257</v>
      </c>
      <c r="AC257" s="55">
        <f t="shared" si="39"/>
        <v>-5.4788136246856594</v>
      </c>
      <c r="AD257" s="55"/>
      <c r="AE257" s="55"/>
      <c r="AF257" s="55"/>
      <c r="AG257" s="55"/>
      <c r="AH257" s="55"/>
    </row>
    <row r="258" spans="1:34" ht="15.75">
      <c r="A258" s="39">
        <v>12.2654456</v>
      </c>
      <c r="B258" s="39">
        <v>12.586331599999999</v>
      </c>
      <c r="C258" s="39">
        <v>256</v>
      </c>
      <c r="D258">
        <v>256</v>
      </c>
      <c r="E258" s="10">
        <v>1417110</v>
      </c>
      <c r="F258" s="10">
        <v>1139370</v>
      </c>
      <c r="G258" s="10">
        <v>18057</v>
      </c>
      <c r="H258" s="10">
        <v>41356</v>
      </c>
      <c r="I258" s="10">
        <v>17903</v>
      </c>
      <c r="J258" s="10">
        <v>31632</v>
      </c>
      <c r="K258">
        <v>256</v>
      </c>
      <c r="L258" s="10">
        <v>2656</v>
      </c>
      <c r="M258" s="10">
        <v>433776</v>
      </c>
      <c r="N258" s="10">
        <v>4613</v>
      </c>
      <c r="O258">
        <v>-0.24720084030379716</v>
      </c>
      <c r="P258">
        <v>1.0207269930020957</v>
      </c>
      <c r="Q258">
        <v>-0.35989292860971633</v>
      </c>
      <c r="R258">
        <v>0.35989292860971639</v>
      </c>
      <c r="S258">
        <f t="shared" si="40"/>
        <v>0.56920096985912516</v>
      </c>
      <c r="T258" s="148">
        <f t="shared" si="35"/>
        <v>0.56355141610614723</v>
      </c>
      <c r="U258">
        <f t="shared" si="41"/>
        <v>2.3503107581032632</v>
      </c>
      <c r="V258" s="55">
        <f t="shared" si="36"/>
        <v>2.3554142177237387</v>
      </c>
      <c r="W258">
        <f t="shared" si="42"/>
        <v>0.56063584519451759</v>
      </c>
      <c r="X258" s="55">
        <f t="shared" si="37"/>
        <v>0.54961562524273677</v>
      </c>
      <c r="Y258" s="149">
        <v>12.586331599999999</v>
      </c>
      <c r="Z258" s="55">
        <f t="shared" si="33"/>
        <v>4.0487286833952099E-3</v>
      </c>
      <c r="AA258" s="55">
        <f t="shared" si="38"/>
        <v>4.1549267674556752E-3</v>
      </c>
      <c r="AB258" s="55">
        <f t="shared" si="34"/>
        <v>-5.5093523524767978</v>
      </c>
      <c r="AC258" s="55">
        <f t="shared" si="39"/>
        <v>-5.4837500844655152</v>
      </c>
      <c r="AD258" s="55"/>
      <c r="AE258" s="55"/>
      <c r="AF258" s="55"/>
      <c r="AG258" s="55"/>
      <c r="AH258" s="55"/>
    </row>
    <row r="259" spans="1:34" ht="15.75">
      <c r="A259" s="39">
        <v>12.2708964</v>
      </c>
      <c r="B259" s="39">
        <v>12.5901554</v>
      </c>
      <c r="C259" s="39">
        <v>257</v>
      </c>
      <c r="D259">
        <v>257</v>
      </c>
      <c r="E259" s="10">
        <v>1411830</v>
      </c>
      <c r="F259" s="10">
        <v>1144770</v>
      </c>
      <c r="G259" s="10">
        <v>18480</v>
      </c>
      <c r="H259" s="10">
        <v>41097</v>
      </c>
      <c r="I259" s="10">
        <v>18066</v>
      </c>
      <c r="J259" s="10">
        <v>31732</v>
      </c>
      <c r="K259">
        <v>257</v>
      </c>
      <c r="L259" s="10">
        <v>3046</v>
      </c>
      <c r="M259" s="10">
        <v>430708</v>
      </c>
      <c r="N259" s="10">
        <v>4724</v>
      </c>
      <c r="O259">
        <v>-0.24463543971773696</v>
      </c>
      <c r="P259">
        <v>1.0203728180611569</v>
      </c>
      <c r="Q259">
        <v>-0.34710815350783253</v>
      </c>
      <c r="R259">
        <v>0.34710815350783247</v>
      </c>
      <c r="S259">
        <f t="shared" si="40"/>
        <v>0.56329391671210471</v>
      </c>
      <c r="T259" s="148">
        <f t="shared" si="35"/>
        <v>0.55217118057260561</v>
      </c>
      <c r="U259">
        <f t="shared" si="41"/>
        <v>2.3494952401639457</v>
      </c>
      <c r="V259" s="55">
        <f t="shared" si="36"/>
        <v>2.3535637706317112</v>
      </c>
      <c r="W259">
        <f t="shared" si="42"/>
        <v>0.54063656922621839</v>
      </c>
      <c r="X259" s="55">
        <f t="shared" si="37"/>
        <v>0.54361635373574491</v>
      </c>
      <c r="Y259" s="149">
        <v>12.5901554</v>
      </c>
      <c r="Z259" s="55">
        <f t="shared" ref="Z259:Z322" si="43">N259/F259</f>
        <v>4.1265931147741464E-3</v>
      </c>
      <c r="AA259" s="55">
        <f t="shared" si="38"/>
        <v>4.060567164697877E-3</v>
      </c>
      <c r="AB259" s="55">
        <f t="shared" ref="AB259:AB322" si="44">LN(Z259)</f>
        <v>-5.4903031241130229</v>
      </c>
      <c r="AC259" s="55">
        <f t="shared" si="39"/>
        <v>-5.5065075803371615</v>
      </c>
      <c r="AD259" s="55"/>
      <c r="AE259" s="55"/>
      <c r="AF259" s="55"/>
      <c r="AG259" s="55"/>
      <c r="AH259" s="55"/>
    </row>
    <row r="260" spans="1:34" ht="15.75">
      <c r="A260" s="39">
        <v>12.2763472</v>
      </c>
      <c r="B260" s="39">
        <v>12.593979300000001</v>
      </c>
      <c r="C260" s="39">
        <v>258</v>
      </c>
      <c r="D260">
        <v>258</v>
      </c>
      <c r="E260" s="10">
        <v>1423580</v>
      </c>
      <c r="F260" s="10">
        <v>1153660</v>
      </c>
      <c r="G260" s="10">
        <v>18301</v>
      </c>
      <c r="H260" s="10">
        <v>40974</v>
      </c>
      <c r="I260" s="10">
        <v>18403</v>
      </c>
      <c r="J260" s="10">
        <v>31079</v>
      </c>
      <c r="K260">
        <v>258</v>
      </c>
      <c r="L260" s="10">
        <v>2350</v>
      </c>
      <c r="M260" s="10">
        <v>434338</v>
      </c>
      <c r="N260" s="10">
        <v>4622</v>
      </c>
      <c r="O260">
        <v>-0.22757841034452564</v>
      </c>
      <c r="P260">
        <v>1.0253194641150356</v>
      </c>
      <c r="Q260">
        <v>-0.35003354208110743</v>
      </c>
      <c r="R260">
        <v>0.35003354208110743</v>
      </c>
      <c r="S260">
        <f t="shared" si="40"/>
        <v>0.52401865514658674</v>
      </c>
      <c r="T260" s="148">
        <f t="shared" ref="T260:T323" si="45">AVERAGE(S259:S261)</f>
        <v>0.54652890334709658</v>
      </c>
      <c r="U260">
        <f t="shared" si="41"/>
        <v>2.3608853136279242</v>
      </c>
      <c r="V260" s="55">
        <f t="shared" ref="V260:V323" si="46">AVERAGE(U259:U261)</f>
        <v>2.3427757518173609</v>
      </c>
      <c r="W260">
        <f t="shared" si="42"/>
        <v>0.52957664678649896</v>
      </c>
      <c r="X260" s="55">
        <f t="shared" ref="X260:X323" si="47">AVERAGE(W259:W261)</f>
        <v>0.52529552647483391</v>
      </c>
      <c r="Y260" s="149">
        <v>12.593979300000001</v>
      </c>
      <c r="Z260" s="55">
        <f t="shared" si="43"/>
        <v>4.0063796959242757E-3</v>
      </c>
      <c r="AA260" s="55">
        <f t="shared" ref="AA260:AA323" si="48">AVERAGE(Z259:Z261)</f>
        <v>4.1376643337049787E-3</v>
      </c>
      <c r="AB260" s="55">
        <f t="shared" si="44"/>
        <v>-5.5198672644216655</v>
      </c>
      <c r="AC260" s="55">
        <f t="shared" ref="AC260:AC323" si="49">AVERAGE(AB259:AB261)</f>
        <v>-5.4879893135157376</v>
      </c>
      <c r="AD260" s="55"/>
      <c r="AE260" s="55"/>
      <c r="AF260" s="55"/>
      <c r="AG260" s="55"/>
      <c r="AH260" s="55"/>
    </row>
    <row r="261" spans="1:34" ht="15.75">
      <c r="A261" s="39">
        <v>12.281797900000001</v>
      </c>
      <c r="B261" s="39">
        <v>12.5978031</v>
      </c>
      <c r="C261" s="39">
        <v>259</v>
      </c>
      <c r="D261">
        <v>259</v>
      </c>
      <c r="E261" s="10">
        <v>1422160</v>
      </c>
      <c r="F261" s="10">
        <v>1149060</v>
      </c>
      <c r="G261" s="10">
        <v>19459</v>
      </c>
      <c r="H261" s="10">
        <v>42409</v>
      </c>
      <c r="I261" s="10">
        <v>18573</v>
      </c>
      <c r="J261" s="10">
        <v>32265</v>
      </c>
      <c r="K261">
        <v>259</v>
      </c>
      <c r="L261" s="10">
        <v>2705</v>
      </c>
      <c r="M261" s="10">
        <v>430655</v>
      </c>
      <c r="N261" s="10">
        <v>4918</v>
      </c>
      <c r="O261">
        <v>-0.23984961071057642</v>
      </c>
      <c r="P261">
        <v>1.0066714618768735</v>
      </c>
      <c r="Q261">
        <v>-0.33833751389182809</v>
      </c>
      <c r="R261">
        <v>0.33833751389182815</v>
      </c>
      <c r="S261">
        <f t="shared" si="40"/>
        <v>0.5522741381825983</v>
      </c>
      <c r="T261" s="148">
        <f t="shared" si="45"/>
        <v>0.5019671742871602</v>
      </c>
      <c r="U261">
        <f t="shared" si="41"/>
        <v>2.3179467016602127</v>
      </c>
      <c r="V261" s="55">
        <f t="shared" si="46"/>
        <v>2.3830929578226629</v>
      </c>
      <c r="W261">
        <f t="shared" si="42"/>
        <v>0.50567336341178426</v>
      </c>
      <c r="X261" s="55">
        <f t="shared" si="47"/>
        <v>0.5240501789651475</v>
      </c>
      <c r="Y261" s="149">
        <v>12.5978031</v>
      </c>
      <c r="Z261" s="55">
        <f t="shared" si="43"/>
        <v>4.280020190416514E-3</v>
      </c>
      <c r="AA261" s="55">
        <f t="shared" si="48"/>
        <v>4.1574586185793337E-3</v>
      </c>
      <c r="AB261" s="55">
        <f t="shared" si="44"/>
        <v>-5.4537975520125226</v>
      </c>
      <c r="AC261" s="55">
        <f t="shared" si="49"/>
        <v>-5.4832267373722594</v>
      </c>
      <c r="AD261" s="55"/>
      <c r="AE261" s="55"/>
      <c r="AF261" s="55"/>
      <c r="AG261" s="55"/>
      <c r="AH261" s="55"/>
    </row>
    <row r="262" spans="1:34" ht="15.75">
      <c r="A262" s="39">
        <v>12.287248699999999</v>
      </c>
      <c r="B262" s="39">
        <v>12.601626899999999</v>
      </c>
      <c r="C262" s="39">
        <v>260</v>
      </c>
      <c r="D262">
        <v>260</v>
      </c>
      <c r="E262" s="10">
        <v>1503350</v>
      </c>
      <c r="F262" s="10">
        <v>1186820</v>
      </c>
      <c r="G262" s="10">
        <v>17950</v>
      </c>
      <c r="H262" s="10">
        <v>40727</v>
      </c>
      <c r="I262" s="10">
        <v>19983</v>
      </c>
      <c r="J262" s="10">
        <v>30707</v>
      </c>
      <c r="K262">
        <v>260</v>
      </c>
      <c r="L262" s="10">
        <v>2292</v>
      </c>
      <c r="M262" s="10">
        <v>481708</v>
      </c>
      <c r="N262" s="10">
        <v>4968</v>
      </c>
      <c r="O262">
        <v>-0.18657670061334244</v>
      </c>
      <c r="P262">
        <v>1.0729014383427351</v>
      </c>
      <c r="Q262">
        <v>-0.35581796769386659</v>
      </c>
      <c r="R262">
        <v>0.35581796769386659</v>
      </c>
      <c r="S262">
        <f t="shared" si="40"/>
        <v>0.42960872953229545</v>
      </c>
      <c r="T262" s="148">
        <f t="shared" si="45"/>
        <v>0.48581046426371138</v>
      </c>
      <c r="U262">
        <f t="shared" si="41"/>
        <v>2.470446858179852</v>
      </c>
      <c r="V262" s="55">
        <f t="shared" si="46"/>
        <v>2.3700739946167837</v>
      </c>
      <c r="W262">
        <f t="shared" si="42"/>
        <v>0.53690052669715949</v>
      </c>
      <c r="X262" s="55">
        <f t="shared" si="47"/>
        <v>0.50575642662043796</v>
      </c>
      <c r="Y262" s="149">
        <v>12.601626899999999</v>
      </c>
      <c r="Z262" s="55">
        <f t="shared" si="43"/>
        <v>4.1859759693972124E-3</v>
      </c>
      <c r="AA262" s="55">
        <f t="shared" si="48"/>
        <v>4.1801054862969219E-3</v>
      </c>
      <c r="AB262" s="55">
        <f t="shared" si="44"/>
        <v>-5.4760153956825919</v>
      </c>
      <c r="AC262" s="55">
        <f t="shared" si="49"/>
        <v>-5.4776214305564084</v>
      </c>
      <c r="AD262" s="55"/>
      <c r="AE262" s="55"/>
      <c r="AF262" s="55"/>
      <c r="AG262" s="55"/>
      <c r="AH262" s="55"/>
    </row>
    <row r="263" spans="1:34" ht="15.75">
      <c r="A263" s="39">
        <v>12.292699499999999</v>
      </c>
      <c r="B263" s="39">
        <v>12.6054508</v>
      </c>
      <c r="C263" s="39">
        <v>261</v>
      </c>
      <c r="D263">
        <v>261</v>
      </c>
      <c r="E263" s="10">
        <v>1438390</v>
      </c>
      <c r="F263" s="10">
        <v>1158230</v>
      </c>
      <c r="G263" s="10">
        <v>19935</v>
      </c>
      <c r="H263" s="10">
        <v>42888</v>
      </c>
      <c r="I263" s="10">
        <v>19918</v>
      </c>
      <c r="J263" s="10">
        <v>32046</v>
      </c>
      <c r="K263">
        <v>261</v>
      </c>
      <c r="L263" s="10">
        <v>3495</v>
      </c>
      <c r="M263" s="10">
        <v>437213</v>
      </c>
      <c r="N263" s="10">
        <v>4719</v>
      </c>
      <c r="O263">
        <v>-0.20652810031784141</v>
      </c>
      <c r="P263">
        <v>1.0083572724737908</v>
      </c>
      <c r="Q263">
        <v>-0.33271955421883703</v>
      </c>
      <c r="R263">
        <v>0.33271955421883703</v>
      </c>
      <c r="S263">
        <f t="shared" si="40"/>
        <v>0.4755485250762404</v>
      </c>
      <c r="T263" s="148">
        <f t="shared" si="45"/>
        <v>0.44587693077173823</v>
      </c>
      <c r="U263">
        <f t="shared" si="41"/>
        <v>2.321828424010286</v>
      </c>
      <c r="V263" s="55">
        <f t="shared" si="46"/>
        <v>2.3737252892987493</v>
      </c>
      <c r="W263">
        <f t="shared" si="42"/>
        <v>0.47469538975236991</v>
      </c>
      <c r="X263" s="55">
        <f t="shared" si="47"/>
        <v>0.50255277694984801</v>
      </c>
      <c r="Y263" s="149">
        <v>12.6054508</v>
      </c>
      <c r="Z263" s="55">
        <f t="shared" si="43"/>
        <v>4.0743202990770402E-3</v>
      </c>
      <c r="AA263" s="55">
        <f t="shared" si="48"/>
        <v>4.0341433910200371E-3</v>
      </c>
      <c r="AB263" s="55">
        <f t="shared" si="44"/>
        <v>-5.5030513439741116</v>
      </c>
      <c r="AC263" s="55">
        <f t="shared" si="49"/>
        <v>-5.513598034022146</v>
      </c>
      <c r="AD263" s="55"/>
      <c r="AE263" s="55"/>
      <c r="AF263" s="55"/>
      <c r="AG263" s="55"/>
      <c r="AH263" s="55"/>
    </row>
    <row r="264" spans="1:34" ht="15.75">
      <c r="A264" s="39">
        <v>12.2981503</v>
      </c>
      <c r="B264" s="39">
        <v>12.609274599999999</v>
      </c>
      <c r="C264" s="39">
        <v>262</v>
      </c>
      <c r="D264">
        <v>262</v>
      </c>
      <c r="E264" s="10">
        <v>1443490</v>
      </c>
      <c r="F264" s="10">
        <v>1157690</v>
      </c>
      <c r="G264" s="10">
        <v>19161</v>
      </c>
      <c r="H264" s="10">
        <v>42918</v>
      </c>
      <c r="I264" s="10">
        <v>20419</v>
      </c>
      <c r="J264" s="10">
        <v>31467</v>
      </c>
      <c r="K264">
        <v>262</v>
      </c>
      <c r="L264" s="10">
        <v>2962</v>
      </c>
      <c r="M264" s="10">
        <v>440624</v>
      </c>
      <c r="N264" s="10">
        <v>4448</v>
      </c>
      <c r="O264">
        <v>-0.18782087099518852</v>
      </c>
      <c r="P264">
        <v>1.0114286732734148</v>
      </c>
      <c r="Q264">
        <v>-0.3502213045504266</v>
      </c>
      <c r="R264">
        <v>0.35022130455042655</v>
      </c>
      <c r="S264">
        <f t="shared" si="40"/>
        <v>0.4324735377066789</v>
      </c>
      <c r="T264" s="148">
        <f t="shared" si="45"/>
        <v>0.31689972972762936</v>
      </c>
      <c r="U264">
        <f t="shared" si="41"/>
        <v>2.3289005857061098</v>
      </c>
      <c r="V264" s="55">
        <f t="shared" si="46"/>
        <v>2.3310829411118266</v>
      </c>
      <c r="W264">
        <f t="shared" si="42"/>
        <v>0.49606241440001475</v>
      </c>
      <c r="X264" s="55">
        <f t="shared" si="47"/>
        <v>0.50052667550776964</v>
      </c>
      <c r="Y264" s="149">
        <v>12.609274599999999</v>
      </c>
      <c r="Z264" s="55">
        <f t="shared" si="43"/>
        <v>3.8421339045858565E-3</v>
      </c>
      <c r="AA264" s="55">
        <f t="shared" si="48"/>
        <v>3.9899805742198416E-3</v>
      </c>
      <c r="AB264" s="55">
        <f t="shared" si="44"/>
        <v>-5.5617273624097354</v>
      </c>
      <c r="AC264" s="55">
        <f t="shared" si="49"/>
        <v>-5.5243187863311354</v>
      </c>
      <c r="AD264" s="55"/>
      <c r="AE264" s="55"/>
      <c r="AF264" s="55"/>
      <c r="AG264" s="55"/>
      <c r="AH264" s="55"/>
    </row>
    <row r="265" spans="1:34" ht="15.75">
      <c r="A265" s="39">
        <v>12.303601</v>
      </c>
      <c r="B265" s="39">
        <v>12.6130985</v>
      </c>
      <c r="C265" s="39">
        <v>263</v>
      </c>
      <c r="D265">
        <v>263</v>
      </c>
      <c r="E265" s="10">
        <v>1449680</v>
      </c>
      <c r="F265" s="10">
        <v>1144940</v>
      </c>
      <c r="G265" s="10">
        <v>18497</v>
      </c>
      <c r="H265" s="10">
        <v>42486</v>
      </c>
      <c r="I265" s="10">
        <v>30137</v>
      </c>
      <c r="J265" s="10">
        <v>31451</v>
      </c>
      <c r="K265">
        <v>263</v>
      </c>
      <c r="L265" s="10">
        <v>2720</v>
      </c>
      <c r="M265" s="10">
        <v>442170</v>
      </c>
      <c r="N265" s="10">
        <v>4641</v>
      </c>
      <c r="O265">
        <v>-1.853444049899405E-2</v>
      </c>
      <c r="P265">
        <v>1.0173434288038024</v>
      </c>
      <c r="Q265">
        <v>-0.36114454821037545</v>
      </c>
      <c r="R265">
        <v>0.36114454821037539</v>
      </c>
      <c r="S265">
        <f t="shared" si="40"/>
        <v>4.267712639996879E-2</v>
      </c>
      <c r="T265" s="148">
        <f t="shared" si="45"/>
        <v>0.13575758141160243</v>
      </c>
      <c r="U265">
        <f t="shared" si="41"/>
        <v>2.3425198136190843</v>
      </c>
      <c r="V265" s="55">
        <f t="shared" si="46"/>
        <v>2.3293936490696896</v>
      </c>
      <c r="W265">
        <f t="shared" si="42"/>
        <v>0.53082222237092425</v>
      </c>
      <c r="X265" s="55">
        <f t="shared" si="47"/>
        <v>0.51083061803950114</v>
      </c>
      <c r="Y265" s="149">
        <v>12.6130985</v>
      </c>
      <c r="Z265" s="55">
        <f t="shared" si="43"/>
        <v>4.0534875189966284E-3</v>
      </c>
      <c r="AA265" s="55">
        <f t="shared" si="48"/>
        <v>3.9032212240835396E-3</v>
      </c>
      <c r="AB265" s="55">
        <f t="shared" si="44"/>
        <v>-5.5081776526095574</v>
      </c>
      <c r="AC265" s="55">
        <f t="shared" si="49"/>
        <v>-5.5463235698749829</v>
      </c>
      <c r="AD265" s="55"/>
      <c r="AE265" s="55"/>
      <c r="AF265" s="55"/>
      <c r="AG265" s="55"/>
      <c r="AH265" s="55"/>
    </row>
    <row r="266" spans="1:34" ht="15.75">
      <c r="A266" s="39">
        <v>12.309051800000001</v>
      </c>
      <c r="B266" s="39">
        <v>12.616922300000001</v>
      </c>
      <c r="C266" s="39">
        <v>264</v>
      </c>
      <c r="D266">
        <v>264</v>
      </c>
      <c r="E266" s="10">
        <v>1444620</v>
      </c>
      <c r="F266" s="10">
        <v>1131870</v>
      </c>
      <c r="G266" s="10">
        <v>18944</v>
      </c>
      <c r="H266" s="10">
        <v>42959</v>
      </c>
      <c r="I266" s="10">
        <v>33615</v>
      </c>
      <c r="J266" s="10">
        <v>31409</v>
      </c>
      <c r="K266">
        <v>264</v>
      </c>
      <c r="L266" s="10">
        <v>2996</v>
      </c>
      <c r="M266" s="10">
        <v>435723</v>
      </c>
      <c r="N266" s="10">
        <v>4317</v>
      </c>
      <c r="O266">
        <v>2.9479006043411398E-2</v>
      </c>
      <c r="P266">
        <v>1.0061563218371206</v>
      </c>
      <c r="Q266">
        <v>-0.35558247825536293</v>
      </c>
      <c r="R266">
        <v>0.35558247825536288</v>
      </c>
      <c r="S266">
        <f t="shared" si="40"/>
        <v>-6.78779198718404E-2</v>
      </c>
      <c r="T266" s="148">
        <f t="shared" si="45"/>
        <v>-3.1248578873288895E-2</v>
      </c>
      <c r="U266">
        <f t="shared" si="41"/>
        <v>2.3167605478838733</v>
      </c>
      <c r="V266" s="55">
        <f t="shared" si="46"/>
        <v>2.3221091151287898</v>
      </c>
      <c r="W266">
        <f t="shared" si="42"/>
        <v>0.50560721734756442</v>
      </c>
      <c r="X266" s="55">
        <f t="shared" si="47"/>
        <v>0.51241330491280845</v>
      </c>
      <c r="Y266" s="149">
        <v>12.616922300000001</v>
      </c>
      <c r="Z266" s="55">
        <f t="shared" si="43"/>
        <v>3.8140422486681331E-3</v>
      </c>
      <c r="AA266" s="55">
        <f t="shared" si="48"/>
        <v>3.9616520097511638E-3</v>
      </c>
      <c r="AB266" s="55">
        <f t="shared" si="44"/>
        <v>-5.5690656946056576</v>
      </c>
      <c r="AC266" s="55">
        <f t="shared" si="49"/>
        <v>-5.5314523873463353</v>
      </c>
      <c r="AD266" s="55"/>
      <c r="AE266" s="55"/>
      <c r="AF266" s="55"/>
      <c r="AG266" s="55"/>
      <c r="AH266" s="55"/>
    </row>
    <row r="267" spans="1:34" ht="15.75">
      <c r="A267" s="39">
        <v>12.314502600000001</v>
      </c>
      <c r="B267" s="39">
        <v>12.6207461</v>
      </c>
      <c r="C267" s="39">
        <v>265</v>
      </c>
      <c r="D267">
        <v>265</v>
      </c>
      <c r="E267" s="10">
        <v>1423850</v>
      </c>
      <c r="F267" s="10">
        <v>1129330</v>
      </c>
      <c r="G267" s="10">
        <v>18946</v>
      </c>
      <c r="H267" s="10">
        <v>42555</v>
      </c>
      <c r="I267" s="10">
        <v>33480</v>
      </c>
      <c r="J267" s="10">
        <v>31262</v>
      </c>
      <c r="K267">
        <v>265</v>
      </c>
      <c r="L267" s="10">
        <v>2451</v>
      </c>
      <c r="M267" s="10">
        <v>427453</v>
      </c>
      <c r="N267" s="10">
        <v>4537</v>
      </c>
      <c r="O267">
        <v>2.9768690571546377E-2</v>
      </c>
      <c r="P267">
        <v>1.0019377745921056</v>
      </c>
      <c r="Q267">
        <v>-0.3514330618823624</v>
      </c>
      <c r="R267">
        <v>0.3514330618823624</v>
      </c>
      <c r="S267">
        <f t="shared" si="40"/>
        <v>-6.8544943147995072E-2</v>
      </c>
      <c r="T267" s="148">
        <f t="shared" si="45"/>
        <v>-9.4097683178200678E-2</v>
      </c>
      <c r="U267">
        <f t="shared" si="41"/>
        <v>2.3070469838834109</v>
      </c>
      <c r="V267" s="55">
        <f t="shared" si="46"/>
        <v>2.3140777088493656</v>
      </c>
      <c r="W267">
        <f t="shared" si="42"/>
        <v>0.50081047501993681</v>
      </c>
      <c r="X267" s="55">
        <f t="shared" si="47"/>
        <v>0.49872703970177246</v>
      </c>
      <c r="Y267" s="149">
        <v>12.6207461</v>
      </c>
      <c r="Z267" s="55">
        <f t="shared" si="43"/>
        <v>4.01742626158873E-3</v>
      </c>
      <c r="AA267" s="55">
        <f t="shared" si="48"/>
        <v>3.9793175555055274E-3</v>
      </c>
      <c r="AB267" s="55">
        <f t="shared" si="44"/>
        <v>-5.5171138148237917</v>
      </c>
      <c r="AC267" s="55">
        <f t="shared" si="49"/>
        <v>-5.52712252081038</v>
      </c>
      <c r="AD267" s="55"/>
      <c r="AE267" s="55"/>
      <c r="AF267" s="55"/>
      <c r="AG267" s="55"/>
      <c r="AH267" s="55"/>
    </row>
    <row r="268" spans="1:34" ht="15.75">
      <c r="A268" s="39">
        <v>12.319953399999999</v>
      </c>
      <c r="B268" s="39">
        <v>12.62457</v>
      </c>
      <c r="C268" s="39">
        <v>266</v>
      </c>
      <c r="D268">
        <v>266</v>
      </c>
      <c r="E268" s="10">
        <v>1417870</v>
      </c>
      <c r="F268" s="10">
        <v>1125050</v>
      </c>
      <c r="G268" s="10">
        <v>18885</v>
      </c>
      <c r="H268" s="10">
        <v>41831</v>
      </c>
      <c r="I268" s="10">
        <v>35659</v>
      </c>
      <c r="J268" s="10">
        <v>30819</v>
      </c>
      <c r="K268">
        <v>266</v>
      </c>
      <c r="L268" s="10">
        <v>2848</v>
      </c>
      <c r="M268" s="10">
        <v>424989</v>
      </c>
      <c r="N268" s="10">
        <v>4620</v>
      </c>
      <c r="O268">
        <v>6.3350617077561275E-2</v>
      </c>
      <c r="P268">
        <v>1.0068794425165712</v>
      </c>
      <c r="Q268">
        <v>-0.34538125766166689</v>
      </c>
      <c r="R268">
        <v>0.34538125766166683</v>
      </c>
      <c r="S268">
        <f t="shared" si="40"/>
        <v>-0.14587018651476658</v>
      </c>
      <c r="T268" s="148">
        <f t="shared" si="45"/>
        <v>-9.7365520383539406E-2</v>
      </c>
      <c r="U268">
        <f t="shared" si="41"/>
        <v>2.3184255947808121</v>
      </c>
      <c r="V268" s="55">
        <f t="shared" si="46"/>
        <v>2.324519892793615</v>
      </c>
      <c r="W268">
        <f t="shared" si="42"/>
        <v>0.48976342673781609</v>
      </c>
      <c r="X268" s="55">
        <f t="shared" si="47"/>
        <v>0.4935827168429352</v>
      </c>
      <c r="Y268" s="149">
        <v>12.62457</v>
      </c>
      <c r="Z268" s="55">
        <f t="shared" si="43"/>
        <v>4.1064841562597218E-3</v>
      </c>
      <c r="AA268" s="55">
        <f t="shared" si="48"/>
        <v>3.9957803293176756E-3</v>
      </c>
      <c r="AB268" s="55">
        <f t="shared" si="44"/>
        <v>-5.4951880530016926</v>
      </c>
      <c r="AC268" s="55">
        <f t="shared" si="49"/>
        <v>-5.5228338697674788</v>
      </c>
      <c r="AD268" s="55"/>
      <c r="AE268" s="55"/>
      <c r="AF268" s="55"/>
      <c r="AG268" s="55"/>
      <c r="AH268" s="55"/>
    </row>
    <row r="269" spans="1:34" ht="15.75">
      <c r="A269" s="39">
        <v>12.325404199999999</v>
      </c>
      <c r="B269" s="39">
        <v>12.6283938</v>
      </c>
      <c r="C269" s="39">
        <v>267</v>
      </c>
      <c r="D269">
        <v>267</v>
      </c>
      <c r="E269" s="10">
        <v>1421280</v>
      </c>
      <c r="F269" s="10">
        <v>1126460</v>
      </c>
      <c r="G269" s="10">
        <v>18699</v>
      </c>
      <c r="H269" s="10">
        <v>41211</v>
      </c>
      <c r="I269" s="10">
        <v>32994</v>
      </c>
      <c r="J269" s="10">
        <v>30528</v>
      </c>
      <c r="K269">
        <v>267</v>
      </c>
      <c r="L269" s="10">
        <v>2592</v>
      </c>
      <c r="M269" s="10">
        <v>431295</v>
      </c>
      <c r="N269" s="10">
        <v>4352</v>
      </c>
      <c r="O269">
        <v>3.3736617041521658E-2</v>
      </c>
      <c r="P269">
        <v>1.01976127043514</v>
      </c>
      <c r="Q269">
        <v>-0.34319477135536114</v>
      </c>
      <c r="R269">
        <v>0.34319477135536119</v>
      </c>
      <c r="S269">
        <f t="shared" si="40"/>
        <v>-7.7681431487856584E-2</v>
      </c>
      <c r="T269" s="148">
        <f t="shared" si="45"/>
        <v>-9.6671026376118893E-2</v>
      </c>
      <c r="U269">
        <f t="shared" si="41"/>
        <v>2.348087099716623</v>
      </c>
      <c r="V269" s="55">
        <f t="shared" si="46"/>
        <v>2.3200380524119084</v>
      </c>
      <c r="W269">
        <f t="shared" si="42"/>
        <v>0.49017424877105287</v>
      </c>
      <c r="X269" s="55">
        <f t="shared" si="47"/>
        <v>0.48897797874010046</v>
      </c>
      <c r="Y269" s="149">
        <v>12.6283938</v>
      </c>
      <c r="Z269" s="55">
        <f t="shared" si="43"/>
        <v>3.8634305701045753E-3</v>
      </c>
      <c r="AA269" s="55">
        <f t="shared" si="48"/>
        <v>3.9309320909264069E-3</v>
      </c>
      <c r="AB269" s="55">
        <f t="shared" si="44"/>
        <v>-5.5561997414769522</v>
      </c>
      <c r="AC269" s="55">
        <f t="shared" si="49"/>
        <v>-5.5393795345616974</v>
      </c>
      <c r="AD269" s="55"/>
      <c r="AE269" s="55"/>
      <c r="AF269" s="55"/>
      <c r="AG269" s="55"/>
      <c r="AH269" s="55"/>
    </row>
    <row r="270" spans="1:34" ht="15.75">
      <c r="A270" s="39">
        <v>12.3308549</v>
      </c>
      <c r="B270" s="39">
        <v>12.632217600000001</v>
      </c>
      <c r="C270" s="39">
        <v>268</v>
      </c>
      <c r="D270">
        <v>268</v>
      </c>
      <c r="E270" s="10">
        <v>1398320</v>
      </c>
      <c r="F270" s="10">
        <v>1112250</v>
      </c>
      <c r="G270" s="10">
        <v>19314</v>
      </c>
      <c r="H270" s="10">
        <v>42154</v>
      </c>
      <c r="I270" s="10">
        <v>33592</v>
      </c>
      <c r="J270" s="10">
        <v>31432</v>
      </c>
      <c r="K270">
        <v>268</v>
      </c>
      <c r="L270" s="10">
        <v>2960</v>
      </c>
      <c r="M270" s="10">
        <v>417770</v>
      </c>
      <c r="N270" s="10">
        <v>4252</v>
      </c>
      <c r="O270">
        <v>2.8863845826133588E-2</v>
      </c>
      <c r="P270">
        <v>0.99609845895246618</v>
      </c>
      <c r="Q270">
        <v>-0.33896656412174014</v>
      </c>
      <c r="R270">
        <v>0.3389665641217402</v>
      </c>
      <c r="S270">
        <f t="shared" si="40"/>
        <v>-6.6461461125733506E-2</v>
      </c>
      <c r="T270" s="148">
        <f t="shared" si="45"/>
        <v>-8.792470453817984E-2</v>
      </c>
      <c r="U270">
        <f t="shared" si="41"/>
        <v>2.2936014627382901</v>
      </c>
      <c r="V270" s="55">
        <f t="shared" si="46"/>
        <v>2.3356976664372939</v>
      </c>
      <c r="W270">
        <f t="shared" si="42"/>
        <v>0.48699626071143254</v>
      </c>
      <c r="X270" s="55">
        <f t="shared" si="47"/>
        <v>0.4897662328417049</v>
      </c>
      <c r="Y270" s="149">
        <v>12.632217600000001</v>
      </c>
      <c r="Z270" s="55">
        <f t="shared" si="43"/>
        <v>3.8228815464149248E-3</v>
      </c>
      <c r="AA270" s="55">
        <f t="shared" si="48"/>
        <v>3.8155760137703939E-3</v>
      </c>
      <c r="AB270" s="55">
        <f t="shared" si="44"/>
        <v>-5.5667508092064493</v>
      </c>
      <c r="AC270" s="55">
        <f t="shared" si="49"/>
        <v>-5.5687254200286098</v>
      </c>
      <c r="AD270" s="55"/>
      <c r="AE270" s="55"/>
      <c r="AF270" s="55"/>
      <c r="AG270" s="55"/>
      <c r="AH270" s="55"/>
    </row>
    <row r="271" spans="1:34" ht="15.75">
      <c r="A271" s="39">
        <v>12.3363057</v>
      </c>
      <c r="B271" s="39">
        <v>12.636041499999999</v>
      </c>
      <c r="C271" s="39">
        <v>269</v>
      </c>
      <c r="D271">
        <v>269</v>
      </c>
      <c r="E271" s="10">
        <v>1426940</v>
      </c>
      <c r="F271" s="10">
        <v>1123280</v>
      </c>
      <c r="G271" s="10">
        <v>18506</v>
      </c>
      <c r="H271" s="10">
        <v>41680</v>
      </c>
      <c r="I271" s="10">
        <v>34119</v>
      </c>
      <c r="J271" s="10">
        <v>30272</v>
      </c>
      <c r="K271">
        <v>269</v>
      </c>
      <c r="L271" s="10">
        <v>3256</v>
      </c>
      <c r="M271" s="10">
        <v>443823</v>
      </c>
      <c r="N271" s="10">
        <v>4224</v>
      </c>
      <c r="O271">
        <v>5.1955179144060719E-2</v>
      </c>
      <c r="P271">
        <v>1.02728209439645</v>
      </c>
      <c r="Q271">
        <v>-0.35261515246002356</v>
      </c>
      <c r="R271">
        <v>0.35261515246002362</v>
      </c>
      <c r="S271">
        <f t="shared" si="40"/>
        <v>-0.11963122100094939</v>
      </c>
      <c r="T271" s="148">
        <f t="shared" si="45"/>
        <v>-0.10715412494041489</v>
      </c>
      <c r="U271">
        <f t="shared" si="41"/>
        <v>2.3654044368569678</v>
      </c>
      <c r="V271" s="55">
        <f t="shared" si="46"/>
        <v>2.3350378353942447</v>
      </c>
      <c r="W271">
        <f t="shared" si="42"/>
        <v>0.49212818904262923</v>
      </c>
      <c r="X271" s="55">
        <f t="shared" si="47"/>
        <v>0.49025734301160734</v>
      </c>
      <c r="Y271" s="149">
        <v>12.636041499999999</v>
      </c>
      <c r="Z271" s="55">
        <f t="shared" si="43"/>
        <v>3.7604159247916816E-3</v>
      </c>
      <c r="AA271" s="55">
        <f t="shared" si="48"/>
        <v>3.8979454328216417E-3</v>
      </c>
      <c r="AB271" s="55">
        <f t="shared" si="44"/>
        <v>-5.5832257094024262</v>
      </c>
      <c r="AC271" s="55">
        <f t="shared" si="49"/>
        <v>-5.5480592253844057</v>
      </c>
      <c r="AD271" s="55"/>
      <c r="AE271" s="55"/>
      <c r="AF271" s="55"/>
      <c r="AG271" s="55"/>
      <c r="AH271" s="55"/>
    </row>
    <row r="272" spans="1:34" ht="15.75">
      <c r="A272" s="39">
        <v>12.341756500000001</v>
      </c>
      <c r="B272" s="39">
        <v>12.6398653</v>
      </c>
      <c r="C272" s="39">
        <v>270</v>
      </c>
      <c r="D272">
        <v>270</v>
      </c>
      <c r="E272" s="10">
        <v>1415030</v>
      </c>
      <c r="F272" s="10">
        <v>1110560</v>
      </c>
      <c r="G272" s="10">
        <v>18573</v>
      </c>
      <c r="H272" s="10">
        <v>41811</v>
      </c>
      <c r="I272" s="10">
        <v>34769</v>
      </c>
      <c r="J272" s="10">
        <v>30367</v>
      </c>
      <c r="K272">
        <v>270</v>
      </c>
      <c r="L272" s="10">
        <v>3018</v>
      </c>
      <c r="M272" s="10">
        <v>436709</v>
      </c>
      <c r="N272" s="10">
        <v>4565</v>
      </c>
      <c r="O272">
        <v>5.8790310554187139E-2</v>
      </c>
      <c r="P272">
        <v>1.0189015874921861</v>
      </c>
      <c r="Q272">
        <v>-0.35240849602876145</v>
      </c>
      <c r="R272">
        <v>0.3524084960287614</v>
      </c>
      <c r="S272">
        <f t="shared" si="40"/>
        <v>-0.13536969269456178</v>
      </c>
      <c r="T272" s="148">
        <f t="shared" si="45"/>
        <v>-0.16386763600766938</v>
      </c>
      <c r="U272">
        <f t="shared" si="41"/>
        <v>2.3461076065874762</v>
      </c>
      <c r="V272" s="55">
        <f t="shared" si="46"/>
        <v>2.3634375175479403</v>
      </c>
      <c r="W272">
        <f t="shared" si="42"/>
        <v>0.49164757928076025</v>
      </c>
      <c r="X272" s="55">
        <f t="shared" si="47"/>
        <v>0.50788186060482798</v>
      </c>
      <c r="Y272" s="149">
        <v>12.6398653</v>
      </c>
      <c r="Z272" s="55">
        <f t="shared" si="43"/>
        <v>4.1105388272583204E-3</v>
      </c>
      <c r="AA272" s="55">
        <f t="shared" si="48"/>
        <v>4.0168271288790547E-3</v>
      </c>
      <c r="AB272" s="55">
        <f t="shared" si="44"/>
        <v>-5.4942011575443415</v>
      </c>
      <c r="AC272" s="55">
        <f t="shared" si="49"/>
        <v>-5.5183280503730172</v>
      </c>
      <c r="AD272" s="55"/>
      <c r="AE272" s="55"/>
      <c r="AF272" s="55"/>
      <c r="AG272" s="55"/>
      <c r="AH272" s="55"/>
    </row>
    <row r="273" spans="1:34" ht="15.75">
      <c r="A273" s="39">
        <v>12.347207300000001</v>
      </c>
      <c r="B273" s="39">
        <v>12.6436891</v>
      </c>
      <c r="C273" s="39">
        <v>271</v>
      </c>
      <c r="D273">
        <v>271</v>
      </c>
      <c r="E273" s="10">
        <v>1426020</v>
      </c>
      <c r="F273" s="10">
        <v>1124290</v>
      </c>
      <c r="G273" s="10">
        <v>17550</v>
      </c>
      <c r="H273" s="10">
        <v>40846</v>
      </c>
      <c r="I273" s="10">
        <v>38150</v>
      </c>
      <c r="J273" s="10">
        <v>30112</v>
      </c>
      <c r="K273">
        <v>271</v>
      </c>
      <c r="L273" s="10">
        <v>2425</v>
      </c>
      <c r="M273" s="10">
        <v>440808</v>
      </c>
      <c r="N273" s="10">
        <v>4699</v>
      </c>
      <c r="O273">
        <v>0.10275494054373641</v>
      </c>
      <c r="P273">
        <v>1.0330999346939354</v>
      </c>
      <c r="Q273">
        <v>-0.36687241220894845</v>
      </c>
      <c r="R273">
        <v>0.3668724122089484</v>
      </c>
      <c r="S273">
        <f t="shared" ref="S273:S336" si="50">LN(J273/I273)</f>
        <v>-0.23660199432749696</v>
      </c>
      <c r="T273" s="148">
        <f t="shared" si="45"/>
        <v>-0.18325024668303172</v>
      </c>
      <c r="U273">
        <f t="shared" ref="U273:U336" si="51">LN(M273/H273)</f>
        <v>2.3788005091993774</v>
      </c>
      <c r="V273" s="55">
        <f t="shared" si="46"/>
        <v>2.3487565462432758</v>
      </c>
      <c r="W273">
        <f t="shared" ref="W273:W336" si="52">LN(J273/G273)</f>
        <v>0.53986981349109431</v>
      </c>
      <c r="X273" s="55">
        <f t="shared" si="47"/>
        <v>0.5061398482166265</v>
      </c>
      <c r="Y273" s="149">
        <v>12.6436891</v>
      </c>
      <c r="Z273" s="55">
        <f t="shared" si="43"/>
        <v>4.1795266345871617E-3</v>
      </c>
      <c r="AA273" s="55">
        <f t="shared" si="48"/>
        <v>4.0654152892320968E-3</v>
      </c>
      <c r="AB273" s="55">
        <f t="shared" si="44"/>
        <v>-5.477557284172283</v>
      </c>
      <c r="AC273" s="55">
        <f t="shared" si="49"/>
        <v>-5.5056512341523627</v>
      </c>
      <c r="AD273" s="55"/>
      <c r="AE273" s="55"/>
      <c r="AF273" s="55"/>
      <c r="AG273" s="55"/>
      <c r="AH273" s="55"/>
    </row>
    <row r="274" spans="1:34" ht="15.75">
      <c r="A274" s="39">
        <v>12.352658</v>
      </c>
      <c r="B274" s="39">
        <v>12.647513</v>
      </c>
      <c r="C274" s="39">
        <v>272</v>
      </c>
      <c r="D274">
        <v>272</v>
      </c>
      <c r="E274" s="10">
        <v>1419910</v>
      </c>
      <c r="F274" s="10">
        <v>1122580</v>
      </c>
      <c r="G274" s="10">
        <v>18689</v>
      </c>
      <c r="H274" s="10">
        <v>42287</v>
      </c>
      <c r="I274" s="10">
        <v>36329</v>
      </c>
      <c r="J274" s="10">
        <v>30412</v>
      </c>
      <c r="K274">
        <v>272</v>
      </c>
      <c r="L274" s="10">
        <v>2421</v>
      </c>
      <c r="M274" s="10">
        <v>430885</v>
      </c>
      <c r="N274" s="10">
        <v>4385</v>
      </c>
      <c r="O274">
        <v>7.7208461727627548E-2</v>
      </c>
      <c r="P274">
        <v>1.0081544999166625</v>
      </c>
      <c r="Q274">
        <v>-0.3546208117164526</v>
      </c>
      <c r="R274">
        <v>0.3546208117164526</v>
      </c>
      <c r="S274">
        <f t="shared" si="50"/>
        <v>-0.17777905302703645</v>
      </c>
      <c r="T274" s="148">
        <f t="shared" si="45"/>
        <v>-0.20957086494358315</v>
      </c>
      <c r="U274">
        <f t="shared" si="51"/>
        <v>2.3213615229429743</v>
      </c>
      <c r="V274" s="55">
        <f t="shared" si="46"/>
        <v>2.3418805206259745</v>
      </c>
      <c r="W274">
        <f t="shared" si="52"/>
        <v>0.48690215187802471</v>
      </c>
      <c r="X274" s="55">
        <f t="shared" si="47"/>
        <v>0.50547638823254382</v>
      </c>
      <c r="Y274" s="149">
        <v>12.647513</v>
      </c>
      <c r="Z274" s="55">
        <f t="shared" si="43"/>
        <v>3.9061804058508078E-3</v>
      </c>
      <c r="AA274" s="55">
        <f t="shared" si="48"/>
        <v>3.9104445955955381E-3</v>
      </c>
      <c r="AB274" s="55">
        <f t="shared" si="44"/>
        <v>-5.5451952607404644</v>
      </c>
      <c r="AC274" s="55">
        <f t="shared" si="49"/>
        <v>-5.5456598421144596</v>
      </c>
      <c r="AD274" s="55"/>
      <c r="AE274" s="55"/>
      <c r="AF274" s="55"/>
      <c r="AG274" s="55"/>
      <c r="AH274" s="55"/>
    </row>
    <row r="275" spans="1:34" ht="15.75">
      <c r="A275" s="39">
        <v>12.3581088</v>
      </c>
      <c r="B275" s="39">
        <v>12.651336799999999</v>
      </c>
      <c r="C275" s="39">
        <v>273</v>
      </c>
      <c r="D275">
        <v>273</v>
      </c>
      <c r="E275" s="10">
        <v>1444230</v>
      </c>
      <c r="F275" s="10">
        <v>1134510</v>
      </c>
      <c r="G275" s="10">
        <v>18944</v>
      </c>
      <c r="H275" s="10">
        <v>43362</v>
      </c>
      <c r="I275" s="10">
        <v>38301</v>
      </c>
      <c r="J275" s="10">
        <v>30912</v>
      </c>
      <c r="K275">
        <v>273</v>
      </c>
      <c r="L275" s="10">
        <v>2309</v>
      </c>
      <c r="M275" s="10">
        <v>443662</v>
      </c>
      <c r="N275" s="10">
        <v>4136</v>
      </c>
      <c r="O275">
        <v>9.3083008366705411E-2</v>
      </c>
      <c r="P275">
        <v>1.0099429275431278</v>
      </c>
      <c r="Q275">
        <v>-0.35963762005882366</v>
      </c>
      <c r="R275">
        <v>0.35963762005882371</v>
      </c>
      <c r="S275">
        <f t="shared" si="50"/>
        <v>-0.21433154747621602</v>
      </c>
      <c r="T275" s="148">
        <f t="shared" si="45"/>
        <v>-0.21782545167678521</v>
      </c>
      <c r="U275">
        <f t="shared" si="51"/>
        <v>2.3254795297355715</v>
      </c>
      <c r="V275" s="55">
        <f t="shared" si="46"/>
        <v>2.3305275415212616</v>
      </c>
      <c r="W275">
        <f t="shared" si="52"/>
        <v>0.48965719932851232</v>
      </c>
      <c r="X275" s="55">
        <f t="shared" si="47"/>
        <v>0.48677711988662925</v>
      </c>
      <c r="Y275" s="149">
        <v>12.651336799999999</v>
      </c>
      <c r="Z275" s="55">
        <f t="shared" si="43"/>
        <v>3.6456267463486438E-3</v>
      </c>
      <c r="AA275" s="55">
        <f t="shared" si="48"/>
        <v>3.7396040163954203E-3</v>
      </c>
      <c r="AB275" s="55">
        <f t="shared" si="44"/>
        <v>-5.6142269814306287</v>
      </c>
      <c r="AC275" s="55">
        <f t="shared" si="49"/>
        <v>-5.5892674322148252</v>
      </c>
      <c r="AD275" s="55"/>
      <c r="AE275" s="55"/>
      <c r="AF275" s="55"/>
      <c r="AG275" s="55"/>
      <c r="AH275" s="55"/>
    </row>
    <row r="276" spans="1:34" ht="15.75">
      <c r="A276" s="39">
        <v>12.3635596</v>
      </c>
      <c r="B276" s="39">
        <v>12.6551606</v>
      </c>
      <c r="C276" s="39">
        <v>274</v>
      </c>
      <c r="D276">
        <v>274</v>
      </c>
      <c r="E276" s="10">
        <v>1455520</v>
      </c>
      <c r="F276" s="10">
        <v>1133350</v>
      </c>
      <c r="G276" s="10">
        <v>18673</v>
      </c>
      <c r="H276" s="10">
        <v>43098</v>
      </c>
      <c r="I276" s="10">
        <v>39339</v>
      </c>
      <c r="J276" s="10">
        <v>30291</v>
      </c>
      <c r="K276">
        <v>274</v>
      </c>
      <c r="L276" s="10">
        <v>2618</v>
      </c>
      <c r="M276" s="10">
        <v>449537</v>
      </c>
      <c r="N276" s="10">
        <v>4156</v>
      </c>
      <c r="O276">
        <v>0.11350970494960078</v>
      </c>
      <c r="P276">
        <v>1.0183083261589161</v>
      </c>
      <c r="Q276">
        <v>-0.3632430196081094</v>
      </c>
      <c r="R276">
        <v>0.3632430196081094</v>
      </c>
      <c r="S276">
        <f t="shared" si="50"/>
        <v>-0.26136575452710314</v>
      </c>
      <c r="T276" s="148">
        <f t="shared" si="45"/>
        <v>-0.23241940411054404</v>
      </c>
      <c r="U276">
        <f t="shared" si="51"/>
        <v>2.3447415718852387</v>
      </c>
      <c r="V276" s="55">
        <f t="shared" si="46"/>
        <v>2.3342700409945256</v>
      </c>
      <c r="W276">
        <f t="shared" si="52"/>
        <v>0.48377200845335078</v>
      </c>
      <c r="X276" s="55">
        <f t="shared" si="47"/>
        <v>0.48276445089728126</v>
      </c>
      <c r="Y276" s="149">
        <v>12.6551606</v>
      </c>
      <c r="Z276" s="55">
        <f t="shared" si="43"/>
        <v>3.6670048969868092E-3</v>
      </c>
      <c r="AA276" s="55">
        <f t="shared" si="48"/>
        <v>3.6939941461351642E-3</v>
      </c>
      <c r="AB276" s="55">
        <f t="shared" si="44"/>
        <v>-5.6083800544733844</v>
      </c>
      <c r="AC276" s="55">
        <f t="shared" si="49"/>
        <v>-5.6011531770513487</v>
      </c>
      <c r="AD276" s="55"/>
      <c r="AE276" s="55"/>
      <c r="AF276" s="55"/>
      <c r="AG276" s="55"/>
      <c r="AH276" s="55"/>
    </row>
    <row r="277" spans="1:34" ht="15.75">
      <c r="A277" s="39">
        <v>12.369010400000001</v>
      </c>
      <c r="B277" s="39">
        <v>12.658984500000001</v>
      </c>
      <c r="C277" s="39">
        <v>275</v>
      </c>
      <c r="D277">
        <v>275</v>
      </c>
      <c r="E277" s="10">
        <v>1448520</v>
      </c>
      <c r="F277" s="10">
        <v>1140780</v>
      </c>
      <c r="G277" s="10">
        <v>19036</v>
      </c>
      <c r="H277" s="10">
        <v>42566</v>
      </c>
      <c r="I277" s="10">
        <v>38197</v>
      </c>
      <c r="J277" s="10">
        <v>30606</v>
      </c>
      <c r="K277">
        <v>275</v>
      </c>
      <c r="L277" s="10">
        <v>2844</v>
      </c>
      <c r="M277" s="10">
        <v>438625</v>
      </c>
      <c r="N277" s="10">
        <v>4300</v>
      </c>
      <c r="O277">
        <v>9.6222680761047508E-2</v>
      </c>
      <c r="P277">
        <v>1.0130305405259561</v>
      </c>
      <c r="Q277">
        <v>-0.3494871445707865</v>
      </c>
      <c r="R277">
        <v>0.34948714457078656</v>
      </c>
      <c r="S277">
        <f t="shared" si="50"/>
        <v>-0.22156091032831293</v>
      </c>
      <c r="T277" s="148">
        <f t="shared" si="45"/>
        <v>-0.24693068953668598</v>
      </c>
      <c r="U277">
        <f t="shared" si="51"/>
        <v>2.3325890213627671</v>
      </c>
      <c r="V277" s="55">
        <f t="shared" si="46"/>
        <v>2.3246320187903096</v>
      </c>
      <c r="W277">
        <f t="shared" si="52"/>
        <v>0.47486414490998052</v>
      </c>
      <c r="X277" s="55">
        <f t="shared" si="47"/>
        <v>0.48346523470759611</v>
      </c>
      <c r="Y277" s="149">
        <v>12.658984500000001</v>
      </c>
      <c r="Z277" s="55">
        <f t="shared" si="43"/>
        <v>3.7693507950700396E-3</v>
      </c>
      <c r="AA277" s="55">
        <f t="shared" si="48"/>
        <v>3.7195377516544225E-3</v>
      </c>
      <c r="AB277" s="55">
        <f t="shared" si="44"/>
        <v>-5.5808524952500331</v>
      </c>
      <c r="AC277" s="55">
        <f t="shared" si="49"/>
        <v>-5.5942191575812181</v>
      </c>
      <c r="AD277" s="55"/>
      <c r="AE277" s="55"/>
      <c r="AF277" s="55"/>
      <c r="AG277" s="55"/>
      <c r="AH277" s="55"/>
    </row>
    <row r="278" spans="1:34" ht="15.75">
      <c r="A278" s="39">
        <v>12.3744611</v>
      </c>
      <c r="B278" s="39">
        <v>12.6628083</v>
      </c>
      <c r="C278" s="39">
        <v>276</v>
      </c>
      <c r="D278">
        <v>276</v>
      </c>
      <c r="E278" s="10">
        <v>1445630</v>
      </c>
      <c r="F278" s="10">
        <v>1131840</v>
      </c>
      <c r="G278" s="10">
        <v>19147</v>
      </c>
      <c r="H278" s="10">
        <v>43922</v>
      </c>
      <c r="I278" s="10">
        <v>40519</v>
      </c>
      <c r="J278" s="10">
        <v>31309</v>
      </c>
      <c r="K278">
        <v>276</v>
      </c>
      <c r="L278" s="10">
        <v>2404</v>
      </c>
      <c r="M278" s="10">
        <v>436584</v>
      </c>
      <c r="N278" s="10">
        <v>4213</v>
      </c>
      <c r="O278">
        <v>0.11198952192439503</v>
      </c>
      <c r="P278">
        <v>0.9973857079638716</v>
      </c>
      <c r="Q278">
        <v>-0.36058137032166582</v>
      </c>
      <c r="R278">
        <v>0.36058137032166576</v>
      </c>
      <c r="S278">
        <f t="shared" si="50"/>
        <v>-0.25786540375464195</v>
      </c>
      <c r="T278" s="148">
        <f t="shared" si="45"/>
        <v>-0.23556274535824684</v>
      </c>
      <c r="U278">
        <f t="shared" si="51"/>
        <v>2.2965654631229233</v>
      </c>
      <c r="V278" s="55">
        <f t="shared" si="46"/>
        <v>2.30350565366482</v>
      </c>
      <c r="W278">
        <f t="shared" si="52"/>
        <v>0.4917595507594571</v>
      </c>
      <c r="X278" s="55">
        <f t="shared" si="47"/>
        <v>0.48384620331233069</v>
      </c>
      <c r="Y278" s="149">
        <v>12.6628083</v>
      </c>
      <c r="Z278" s="55">
        <f t="shared" si="43"/>
        <v>3.7222575629064177E-3</v>
      </c>
      <c r="AA278" s="55">
        <f t="shared" si="48"/>
        <v>3.8014101907897098E-3</v>
      </c>
      <c r="AB278" s="55">
        <f t="shared" si="44"/>
        <v>-5.593424923020236</v>
      </c>
      <c r="AC278" s="55">
        <f t="shared" si="49"/>
        <v>-5.5726083016561736</v>
      </c>
      <c r="AD278" s="55"/>
      <c r="AE278" s="55"/>
      <c r="AF278" s="55"/>
      <c r="AG278" s="55"/>
      <c r="AH278" s="55"/>
    </row>
    <row r="279" spans="1:34" ht="15.75">
      <c r="A279" s="39">
        <v>12.3799119</v>
      </c>
      <c r="B279" s="39">
        <v>12.666632099999999</v>
      </c>
      <c r="C279" s="39">
        <v>277</v>
      </c>
      <c r="D279">
        <v>277</v>
      </c>
      <c r="E279" s="10">
        <v>1439850</v>
      </c>
      <c r="F279" s="10">
        <v>1135300</v>
      </c>
      <c r="G279" s="10">
        <v>19337</v>
      </c>
      <c r="H279" s="10">
        <v>44064</v>
      </c>
      <c r="I279" s="10">
        <v>39417</v>
      </c>
      <c r="J279" s="10">
        <v>31404</v>
      </c>
      <c r="K279">
        <v>277</v>
      </c>
      <c r="L279" s="10">
        <v>2847</v>
      </c>
      <c r="M279" s="10">
        <v>431387</v>
      </c>
      <c r="N279" s="10">
        <v>4442</v>
      </c>
      <c r="O279">
        <v>9.8698598667759818E-2</v>
      </c>
      <c r="P279">
        <v>0.9907831347688959</v>
      </c>
      <c r="Q279">
        <v>-0.3576948213483111</v>
      </c>
      <c r="R279">
        <v>0.35769482134831115</v>
      </c>
      <c r="S279">
        <f t="shared" si="50"/>
        <v>-0.22726192199178566</v>
      </c>
      <c r="T279" s="148">
        <f t="shared" si="45"/>
        <v>-0.25209986307813215</v>
      </c>
      <c r="U279">
        <f t="shared" si="51"/>
        <v>2.2813624765087703</v>
      </c>
      <c r="V279" s="55">
        <f t="shared" si="46"/>
        <v>2.2894542809086906</v>
      </c>
      <c r="W279">
        <f t="shared" si="52"/>
        <v>0.48491491426755434</v>
      </c>
      <c r="X279" s="55">
        <f t="shared" si="47"/>
        <v>0.48830230397477542</v>
      </c>
      <c r="Y279" s="149">
        <v>12.666632099999999</v>
      </c>
      <c r="Z279" s="55">
        <f t="shared" si="43"/>
        <v>3.9126222143926713E-3</v>
      </c>
      <c r="AA279" s="55">
        <f t="shared" si="48"/>
        <v>3.8577786247376831E-3</v>
      </c>
      <c r="AB279" s="55">
        <f t="shared" si="44"/>
        <v>-5.5435474866982526</v>
      </c>
      <c r="AC279" s="55">
        <f t="shared" si="49"/>
        <v>-5.5579796319201975</v>
      </c>
      <c r="AD279" s="55"/>
      <c r="AE279" s="55"/>
      <c r="AF279" s="55"/>
      <c r="AG279" s="55"/>
      <c r="AH279" s="55"/>
    </row>
    <row r="280" spans="1:34" ht="15.75">
      <c r="A280" s="39">
        <v>12.3853627</v>
      </c>
      <c r="B280" s="39">
        <v>12.670456</v>
      </c>
      <c r="C280" s="39">
        <v>278</v>
      </c>
      <c r="D280">
        <v>278</v>
      </c>
      <c r="E280" s="10">
        <v>1435030</v>
      </c>
      <c r="F280" s="10">
        <v>1130900</v>
      </c>
      <c r="G280" s="10">
        <v>18890</v>
      </c>
      <c r="H280" s="10">
        <v>43613</v>
      </c>
      <c r="I280" s="10">
        <v>40368</v>
      </c>
      <c r="J280" s="10">
        <v>30780</v>
      </c>
      <c r="K280">
        <v>278</v>
      </c>
      <c r="L280" s="10">
        <v>2544</v>
      </c>
      <c r="M280" s="10">
        <v>430863</v>
      </c>
      <c r="N280" s="10">
        <v>4454</v>
      </c>
      <c r="O280">
        <v>0.11776861767803952</v>
      </c>
      <c r="P280">
        <v>0.99472323957249742</v>
      </c>
      <c r="Q280">
        <v>-0.36338400351962935</v>
      </c>
      <c r="R280">
        <v>0.36338400351962935</v>
      </c>
      <c r="S280">
        <f t="shared" si="50"/>
        <v>-0.2711722634879688</v>
      </c>
      <c r="T280" s="148">
        <f t="shared" si="45"/>
        <v>-0.26235451974119034</v>
      </c>
      <c r="U280">
        <f t="shared" si="51"/>
        <v>2.2904349030943774</v>
      </c>
      <c r="V280" s="55">
        <f t="shared" si="46"/>
        <v>2.3059499772627103</v>
      </c>
      <c r="W280">
        <f t="shared" si="52"/>
        <v>0.48823244689731504</v>
      </c>
      <c r="X280" s="55">
        <f t="shared" si="47"/>
        <v>0.48047722823060607</v>
      </c>
      <c r="Y280" s="149">
        <v>12.670456</v>
      </c>
      <c r="Z280" s="55">
        <f t="shared" si="43"/>
        <v>3.938456096913962E-3</v>
      </c>
      <c r="AA280" s="55">
        <f t="shared" si="48"/>
        <v>3.8415398824867817E-3</v>
      </c>
      <c r="AB280" s="55">
        <f t="shared" si="44"/>
        <v>-5.5369664860421057</v>
      </c>
      <c r="AC280" s="55">
        <f t="shared" si="49"/>
        <v>-5.5623710377272531</v>
      </c>
      <c r="AD280" s="55"/>
      <c r="AE280" s="55"/>
      <c r="AF280" s="55"/>
      <c r="AG280" s="55"/>
      <c r="AH280" s="55"/>
    </row>
    <row r="281" spans="1:34" ht="15.75">
      <c r="A281" s="39">
        <v>12.3908135</v>
      </c>
      <c r="B281" s="39">
        <v>12.674279800000001</v>
      </c>
      <c r="C281" s="39">
        <v>279</v>
      </c>
      <c r="D281">
        <v>279</v>
      </c>
      <c r="E281" s="10">
        <v>1452830</v>
      </c>
      <c r="F281" s="10">
        <v>1134600</v>
      </c>
      <c r="G281" s="10">
        <v>18992</v>
      </c>
      <c r="H281" s="10">
        <v>42788</v>
      </c>
      <c r="I281" s="10">
        <v>40485</v>
      </c>
      <c r="J281" s="10">
        <v>30335</v>
      </c>
      <c r="K281">
        <v>279</v>
      </c>
      <c r="L281" s="10">
        <v>2628</v>
      </c>
      <c r="M281" s="10">
        <v>446889</v>
      </c>
      <c r="N281" s="10">
        <v>4168</v>
      </c>
      <c r="O281">
        <v>0.12535014433213085</v>
      </c>
      <c r="P281">
        <v>1.0188776776689792</v>
      </c>
      <c r="Q281">
        <v>-0.3527512855216216</v>
      </c>
      <c r="R281">
        <v>0.3527512855216216</v>
      </c>
      <c r="S281">
        <f t="shared" si="50"/>
        <v>-0.28862937374381648</v>
      </c>
      <c r="T281" s="148">
        <f t="shared" si="45"/>
        <v>-0.29583723873842616</v>
      </c>
      <c r="U281">
        <f t="shared" si="51"/>
        <v>2.3460525521849838</v>
      </c>
      <c r="V281" s="55">
        <f t="shared" si="46"/>
        <v>2.3220196189087541</v>
      </c>
      <c r="W281">
        <f t="shared" si="52"/>
        <v>0.46828432352694899</v>
      </c>
      <c r="X281" s="55">
        <f t="shared" si="47"/>
        <v>0.48132554267120903</v>
      </c>
      <c r="Y281" s="149">
        <v>12.674279800000001</v>
      </c>
      <c r="Z281" s="55">
        <f t="shared" si="43"/>
        <v>3.6735413361537106E-3</v>
      </c>
      <c r="AA281" s="55">
        <f t="shared" si="48"/>
        <v>3.8377774756041573E-3</v>
      </c>
      <c r="AB281" s="55">
        <f t="shared" si="44"/>
        <v>-5.6065991404414008</v>
      </c>
      <c r="AC281" s="55">
        <f t="shared" si="49"/>
        <v>-5.5633340349383325</v>
      </c>
      <c r="AD281" s="55"/>
      <c r="AE281" s="55"/>
      <c r="AF281" s="55"/>
      <c r="AG281" s="55"/>
      <c r="AH281" s="55"/>
    </row>
    <row r="282" spans="1:34" ht="15.75">
      <c r="A282" s="39">
        <v>12.3962643</v>
      </c>
      <c r="B282" s="39">
        <v>12.6781036</v>
      </c>
      <c r="C282" s="39">
        <v>280</v>
      </c>
      <c r="D282">
        <v>280</v>
      </c>
      <c r="E282" s="10">
        <v>1455511.25</v>
      </c>
      <c r="F282" s="10">
        <v>1134056.25</v>
      </c>
      <c r="G282" s="10">
        <v>18773.625</v>
      </c>
      <c r="H282" s="10">
        <v>42938.375</v>
      </c>
      <c r="I282" s="10">
        <v>42420.125</v>
      </c>
      <c r="J282" s="10">
        <v>30566.75</v>
      </c>
      <c r="K282">
        <v>280</v>
      </c>
      <c r="L282" s="10">
        <v>2569.666667</v>
      </c>
      <c r="M282" s="10">
        <v>441129</v>
      </c>
      <c r="N282" s="10">
        <v>4424.3333329999996</v>
      </c>
      <c r="O282">
        <v>0.14232267896660986</v>
      </c>
      <c r="P282">
        <v>1.0117200048480139</v>
      </c>
      <c r="Q282">
        <v>-0.35929746590761363</v>
      </c>
      <c r="R282">
        <v>0.35929746590761363</v>
      </c>
      <c r="S282">
        <f t="shared" si="50"/>
        <v>-0.32771007898349314</v>
      </c>
      <c r="T282" s="148">
        <f t="shared" si="45"/>
        <v>-0.31250249118071527</v>
      </c>
      <c r="U282">
        <f t="shared" si="51"/>
        <v>2.3295714014469007</v>
      </c>
      <c r="V282" s="55">
        <f t="shared" si="46"/>
        <v>2.3324516125961972</v>
      </c>
      <c r="W282">
        <f t="shared" si="52"/>
        <v>0.48745985758936305</v>
      </c>
      <c r="X282" s="55">
        <f t="shared" si="47"/>
        <v>0.48914528003970353</v>
      </c>
      <c r="Y282" s="149">
        <v>12.6781036</v>
      </c>
      <c r="Z282" s="55">
        <f t="shared" si="43"/>
        <v>3.9013349937447985E-3</v>
      </c>
      <c r="AA282" s="55">
        <f t="shared" si="48"/>
        <v>3.8102726203933846E-3</v>
      </c>
      <c r="AB282" s="55">
        <f t="shared" si="44"/>
        <v>-5.546436478331489</v>
      </c>
      <c r="AC282" s="55">
        <f t="shared" si="49"/>
        <v>-5.5703918947236843</v>
      </c>
      <c r="AD282" s="55"/>
      <c r="AE282" s="55"/>
      <c r="AF282" s="55"/>
      <c r="AG282" s="55"/>
      <c r="AH282" s="55"/>
    </row>
    <row r="283" spans="1:34" ht="15.75">
      <c r="A283" s="129">
        <v>12.401714999999999</v>
      </c>
      <c r="B283" s="129">
        <v>12.6819275</v>
      </c>
      <c r="C283" s="129">
        <v>281</v>
      </c>
      <c r="D283" s="130">
        <v>281</v>
      </c>
      <c r="E283" s="131">
        <v>1459360</v>
      </c>
      <c r="F283" s="131">
        <v>1135650</v>
      </c>
      <c r="G283" s="131">
        <v>18467</v>
      </c>
      <c r="H283" s="131">
        <v>43419</v>
      </c>
      <c r="I283" s="131">
        <v>42472</v>
      </c>
      <c r="J283" s="131">
        <v>30805</v>
      </c>
      <c r="K283" s="130">
        <v>281</v>
      </c>
      <c r="L283" s="131">
        <v>2367</v>
      </c>
      <c r="M283" s="131">
        <v>442583</v>
      </c>
      <c r="N283" s="131">
        <v>4379</v>
      </c>
      <c r="O283" s="130">
        <v>0.13948149920367217</v>
      </c>
      <c r="P283" s="130">
        <v>1.0083149114536156</v>
      </c>
      <c r="Q283" s="130">
        <v>-0.37128346763862785</v>
      </c>
      <c r="R283" s="130">
        <v>0.3712834676386278</v>
      </c>
      <c r="S283" s="130">
        <f t="shared" si="50"/>
        <v>-0.32116802081483625</v>
      </c>
      <c r="T283" s="148">
        <f t="shared" si="45"/>
        <v>-0.35183242952405053</v>
      </c>
      <c r="U283" s="130">
        <f t="shared" si="51"/>
        <v>2.3217308841567066</v>
      </c>
      <c r="V283" s="132">
        <f t="shared" si="46"/>
        <v>2.333192660470504</v>
      </c>
      <c r="W283" s="130">
        <f t="shared" si="52"/>
        <v>0.51169165900279845</v>
      </c>
      <c r="X283" s="132">
        <f t="shared" si="47"/>
        <v>0.52088937551232883</v>
      </c>
      <c r="Y283" s="149">
        <v>12.6819275</v>
      </c>
      <c r="Z283" s="132">
        <f t="shared" si="43"/>
        <v>3.8559415312816449E-3</v>
      </c>
      <c r="AA283" s="132">
        <f t="shared" si="48"/>
        <v>3.8620498419666954E-3</v>
      </c>
      <c r="AB283" s="132">
        <f t="shared" si="44"/>
        <v>-5.5581400653981641</v>
      </c>
      <c r="AC283" s="132">
        <f t="shared" si="49"/>
        <v>-5.5565871061558312</v>
      </c>
      <c r="AD283" s="55"/>
      <c r="AE283" s="55"/>
      <c r="AF283" s="55"/>
      <c r="AG283" s="55"/>
      <c r="AH283" s="55"/>
    </row>
    <row r="284" spans="1:34" ht="15.75">
      <c r="A284" s="39">
        <v>12.4071658</v>
      </c>
      <c r="B284" s="39">
        <v>12.6857513</v>
      </c>
      <c r="C284" s="39">
        <v>282</v>
      </c>
      <c r="D284">
        <v>282</v>
      </c>
      <c r="E284" s="10">
        <v>1467900</v>
      </c>
      <c r="F284" s="10">
        <v>1121740</v>
      </c>
      <c r="G284" s="10">
        <v>17581</v>
      </c>
      <c r="H284" s="10">
        <v>42068</v>
      </c>
      <c r="I284" s="10">
        <v>46384</v>
      </c>
      <c r="J284" s="10">
        <v>30887</v>
      </c>
      <c r="K284">
        <v>282</v>
      </c>
      <c r="L284" s="10">
        <v>1991</v>
      </c>
      <c r="M284" s="10">
        <v>440347</v>
      </c>
      <c r="N284" s="10">
        <v>4295</v>
      </c>
      <c r="O284">
        <v>0.17659246992044764</v>
      </c>
      <c r="P284">
        <v>1.0198431766768921</v>
      </c>
      <c r="Q284">
        <v>-0.37890829131646148</v>
      </c>
      <c r="R284">
        <v>0.37890829131646148</v>
      </c>
      <c r="S284">
        <f t="shared" si="50"/>
        <v>-0.40661918877382214</v>
      </c>
      <c r="T284" s="148">
        <f t="shared" si="45"/>
        <v>-0.44953506518488112</v>
      </c>
      <c r="U284">
        <f t="shared" si="51"/>
        <v>2.3482756958079043</v>
      </c>
      <c r="V284" s="55">
        <f t="shared" si="46"/>
        <v>2.3245889928042263</v>
      </c>
      <c r="W284">
        <f t="shared" si="52"/>
        <v>0.563516609944825</v>
      </c>
      <c r="X284" s="55">
        <f t="shared" si="47"/>
        <v>0.54135519070841254</v>
      </c>
      <c r="Y284" s="149">
        <v>12.6857513</v>
      </c>
      <c r="Z284" s="55">
        <f t="shared" si="43"/>
        <v>3.8288730008736427E-3</v>
      </c>
      <c r="AA284" s="55">
        <f t="shared" si="48"/>
        <v>3.9142870883332641E-3</v>
      </c>
      <c r="AB284" s="55">
        <f t="shared" si="44"/>
        <v>-5.5651847747378387</v>
      </c>
      <c r="AC284" s="55">
        <f t="shared" si="49"/>
        <v>-5.5434594538516597</v>
      </c>
      <c r="AD284" s="55"/>
      <c r="AE284" s="55"/>
      <c r="AF284" s="55"/>
      <c r="AG284" s="55"/>
      <c r="AH284" s="55"/>
    </row>
    <row r="285" spans="1:34" ht="15.75">
      <c r="A285" s="39">
        <v>12.4126166</v>
      </c>
      <c r="B285" s="39">
        <v>12.689575100000001</v>
      </c>
      <c r="C285" s="39">
        <v>283</v>
      </c>
      <c r="D285">
        <v>283</v>
      </c>
      <c r="E285" s="10">
        <v>1448790</v>
      </c>
      <c r="F285" s="10">
        <v>1110140</v>
      </c>
      <c r="G285" s="10">
        <v>17769</v>
      </c>
      <c r="H285" s="10">
        <v>42177</v>
      </c>
      <c r="I285" s="10">
        <v>57233</v>
      </c>
      <c r="J285" s="10">
        <v>30763</v>
      </c>
      <c r="K285">
        <v>283</v>
      </c>
      <c r="L285" s="10">
        <v>2609</v>
      </c>
      <c r="M285" s="10">
        <v>422266</v>
      </c>
      <c r="N285" s="10">
        <v>4505</v>
      </c>
      <c r="O285">
        <v>0.26961782557131775</v>
      </c>
      <c r="P285">
        <v>1.0005104286732327</v>
      </c>
      <c r="Q285">
        <v>-0.37541269828987706</v>
      </c>
      <c r="R285">
        <v>0.37541269828987711</v>
      </c>
      <c r="S285">
        <f t="shared" si="50"/>
        <v>-0.62081798596598503</v>
      </c>
      <c r="T285" s="148">
        <f t="shared" si="45"/>
        <v>-0.55957397244821061</v>
      </c>
      <c r="U285">
        <f t="shared" si="51"/>
        <v>2.3037603984480679</v>
      </c>
      <c r="V285" s="55">
        <f t="shared" si="46"/>
        <v>2.3153946818011648</v>
      </c>
      <c r="W285">
        <f t="shared" si="52"/>
        <v>0.54885730317761416</v>
      </c>
      <c r="X285" s="55">
        <f t="shared" si="47"/>
        <v>0.55945381903374669</v>
      </c>
      <c r="Y285" s="149">
        <v>12.689575100000001</v>
      </c>
      <c r="Z285" s="55">
        <f t="shared" si="43"/>
        <v>4.0580467328445065E-3</v>
      </c>
      <c r="AA285" s="55">
        <f t="shared" si="48"/>
        <v>4.0559123432438457E-3</v>
      </c>
      <c r="AB285" s="55">
        <f t="shared" si="44"/>
        <v>-5.5070535214189738</v>
      </c>
      <c r="AC285" s="55">
        <f t="shared" si="49"/>
        <v>-5.5086165422542459</v>
      </c>
      <c r="AD285" s="55"/>
      <c r="AE285" s="55"/>
      <c r="AF285" s="55"/>
      <c r="AG285" s="55"/>
      <c r="AH285" s="55"/>
    </row>
    <row r="286" spans="1:34" ht="15.75">
      <c r="A286" s="39">
        <v>12.4180674</v>
      </c>
      <c r="B286" s="39">
        <v>12.693398999999999</v>
      </c>
      <c r="C286" s="39">
        <v>284</v>
      </c>
      <c r="D286">
        <v>284</v>
      </c>
      <c r="E286" s="10">
        <v>1443920</v>
      </c>
      <c r="F286" s="10">
        <v>1111470</v>
      </c>
      <c r="G286" s="10">
        <v>17097</v>
      </c>
      <c r="H286" s="10">
        <v>42206</v>
      </c>
      <c r="I286" s="10">
        <v>57753</v>
      </c>
      <c r="J286" s="10">
        <v>30111</v>
      </c>
      <c r="K286">
        <v>284</v>
      </c>
      <c r="L286" s="10">
        <v>2316</v>
      </c>
      <c r="M286" s="10">
        <v>418514</v>
      </c>
      <c r="N286" s="10">
        <v>4758</v>
      </c>
      <c r="O286">
        <v>0.28284936986105508</v>
      </c>
      <c r="P286">
        <v>0.99633579585302001</v>
      </c>
      <c r="Q286">
        <v>-0.39245428290952883</v>
      </c>
      <c r="R286">
        <v>0.39245428290952883</v>
      </c>
      <c r="S286">
        <f t="shared" si="50"/>
        <v>-0.65128474260482472</v>
      </c>
      <c r="T286" s="148">
        <f t="shared" si="45"/>
        <v>-0.59237905456824735</v>
      </c>
      <c r="U286">
        <f t="shared" si="51"/>
        <v>2.2941479511475227</v>
      </c>
      <c r="V286" s="55">
        <f t="shared" si="46"/>
        <v>2.3361462504660993</v>
      </c>
      <c r="W286">
        <f t="shared" si="52"/>
        <v>0.5659875439788008</v>
      </c>
      <c r="X286" s="55">
        <f t="shared" si="47"/>
        <v>0.54845130263929531</v>
      </c>
      <c r="Y286" s="149">
        <v>12.693398999999999</v>
      </c>
      <c r="Z286" s="55">
        <f t="shared" si="43"/>
        <v>4.2808172960133875E-3</v>
      </c>
      <c r="AA286" s="55">
        <f t="shared" si="48"/>
        <v>4.0331911257865611E-3</v>
      </c>
      <c r="AB286" s="55">
        <f t="shared" si="44"/>
        <v>-5.4536113306059271</v>
      </c>
      <c r="AC286" s="55">
        <f t="shared" si="49"/>
        <v>-5.5146041782940678</v>
      </c>
      <c r="AD286" s="55"/>
      <c r="AE286" s="55"/>
      <c r="AF286" s="55"/>
      <c r="AG286" s="55"/>
      <c r="AH286" s="55"/>
    </row>
    <row r="287" spans="1:34" ht="15.75">
      <c r="A287" s="39">
        <v>12.423518100000001</v>
      </c>
      <c r="B287" s="39">
        <v>12.6972228</v>
      </c>
      <c r="C287" s="39">
        <v>285</v>
      </c>
      <c r="D287">
        <v>285</v>
      </c>
      <c r="E287" s="10">
        <v>1504130</v>
      </c>
      <c r="F287" s="10">
        <v>1135690</v>
      </c>
      <c r="G287" s="10">
        <v>17768</v>
      </c>
      <c r="H287" s="10">
        <v>41725</v>
      </c>
      <c r="I287" s="10">
        <v>50046</v>
      </c>
      <c r="J287" s="10">
        <v>30202</v>
      </c>
      <c r="K287">
        <v>285</v>
      </c>
      <c r="L287" s="10">
        <v>2882</v>
      </c>
      <c r="M287" s="10">
        <v>464811</v>
      </c>
      <c r="N287" s="10">
        <v>4271</v>
      </c>
      <c r="O287">
        <v>0.21933366834979259</v>
      </c>
      <c r="P287">
        <v>1.0468800519629446</v>
      </c>
      <c r="Q287">
        <v>-0.37075779981086676</v>
      </c>
      <c r="R287">
        <v>0.37075779981086682</v>
      </c>
      <c r="S287">
        <f t="shared" si="50"/>
        <v>-0.50503443513393242</v>
      </c>
      <c r="T287" s="148">
        <f t="shared" si="45"/>
        <v>-0.51165057037208783</v>
      </c>
      <c r="U287">
        <f t="shared" si="51"/>
        <v>2.4105304018027085</v>
      </c>
      <c r="V287" s="55">
        <f t="shared" si="46"/>
        <v>2.3527877246560993</v>
      </c>
      <c r="W287">
        <f t="shared" si="52"/>
        <v>0.53050906076147109</v>
      </c>
      <c r="X287" s="55">
        <f t="shared" si="47"/>
        <v>0.52714146988024002</v>
      </c>
      <c r="Y287" s="149">
        <v>12.6972228</v>
      </c>
      <c r="Z287" s="55">
        <f t="shared" si="43"/>
        <v>3.7607093485017918E-3</v>
      </c>
      <c r="AA287" s="55">
        <f t="shared" si="48"/>
        <v>3.912326850730073E-3</v>
      </c>
      <c r="AB287" s="55">
        <f t="shared" si="44"/>
        <v>-5.5831476828573026</v>
      </c>
      <c r="AC287" s="55">
        <f t="shared" si="49"/>
        <v>-5.5458036339449306</v>
      </c>
      <c r="AD287" s="55"/>
      <c r="AE287" s="55"/>
      <c r="AF287" s="55"/>
      <c r="AG287" s="55"/>
      <c r="AH287" s="55"/>
    </row>
    <row r="288" spans="1:34" ht="15.75">
      <c r="A288" s="39">
        <v>12.428968899999999</v>
      </c>
      <c r="B288" s="39">
        <v>12.7010466</v>
      </c>
      <c r="C288" s="39">
        <v>286</v>
      </c>
      <c r="D288">
        <v>286</v>
      </c>
      <c r="E288" s="10">
        <v>1479430</v>
      </c>
      <c r="F288" s="10">
        <v>1140320</v>
      </c>
      <c r="G288" s="10">
        <v>18838</v>
      </c>
      <c r="H288" s="10">
        <v>42651</v>
      </c>
      <c r="I288" s="10">
        <v>44676</v>
      </c>
      <c r="J288" s="10">
        <v>30594</v>
      </c>
      <c r="K288">
        <v>286</v>
      </c>
      <c r="L288" s="10">
        <v>2486</v>
      </c>
      <c r="M288" s="10">
        <v>448871</v>
      </c>
      <c r="N288" s="10">
        <v>4214</v>
      </c>
      <c r="O288">
        <v>0.16443801991489984</v>
      </c>
      <c r="P288">
        <v>1.0221923299075888</v>
      </c>
      <c r="Q288">
        <v>-0.3548944255773302</v>
      </c>
      <c r="R288">
        <v>0.3548944255773302</v>
      </c>
      <c r="S288">
        <f t="shared" si="50"/>
        <v>-0.37863253337750641</v>
      </c>
      <c r="T288" s="148">
        <f t="shared" si="45"/>
        <v>-0.41494749675282039</v>
      </c>
      <c r="U288">
        <f t="shared" si="51"/>
        <v>2.3536848210180659</v>
      </c>
      <c r="V288" s="55">
        <f t="shared" si="46"/>
        <v>2.3757605810121381</v>
      </c>
      <c r="W288">
        <f t="shared" si="52"/>
        <v>0.48492780490044823</v>
      </c>
      <c r="X288" s="55">
        <f t="shared" si="47"/>
        <v>0.51139775283968014</v>
      </c>
      <c r="Y288" s="149">
        <v>12.7010466</v>
      </c>
      <c r="Z288" s="55">
        <f t="shared" si="43"/>
        <v>3.6954539076750384E-3</v>
      </c>
      <c r="AA288" s="55">
        <f t="shared" si="48"/>
        <v>3.7126168426274545E-3</v>
      </c>
      <c r="AB288" s="55">
        <f t="shared" si="44"/>
        <v>-5.600651888371563</v>
      </c>
      <c r="AC288" s="55">
        <f t="shared" si="49"/>
        <v>-5.5960612351206889</v>
      </c>
      <c r="AD288" s="55"/>
      <c r="AE288" s="55"/>
      <c r="AF288" s="55"/>
      <c r="AG288" s="55"/>
      <c r="AH288" s="55"/>
    </row>
    <row r="289" spans="1:34" ht="15.75">
      <c r="A289" s="39">
        <v>12.434419699999999</v>
      </c>
      <c r="B289" s="39">
        <v>12.7048705</v>
      </c>
      <c r="C289" s="39">
        <v>287</v>
      </c>
      <c r="D289">
        <v>287</v>
      </c>
      <c r="E289" s="10">
        <v>1475000</v>
      </c>
      <c r="F289" s="10">
        <v>1138880</v>
      </c>
      <c r="G289" s="10">
        <v>18462</v>
      </c>
      <c r="H289" s="10">
        <v>42890</v>
      </c>
      <c r="I289" s="10">
        <v>44507</v>
      </c>
      <c r="J289" s="10">
        <v>31015</v>
      </c>
      <c r="K289">
        <v>287</v>
      </c>
      <c r="L289" s="10">
        <v>2879</v>
      </c>
      <c r="M289" s="10">
        <v>455641</v>
      </c>
      <c r="N289" s="10">
        <v>4193</v>
      </c>
      <c r="O289">
        <v>0.15685653609325972</v>
      </c>
      <c r="P289">
        <v>1.0262667500999714</v>
      </c>
      <c r="Q289">
        <v>-0.36607729960797109</v>
      </c>
      <c r="R289">
        <v>0.36607729960797114</v>
      </c>
      <c r="S289">
        <f t="shared" si="50"/>
        <v>-0.36117552174702228</v>
      </c>
      <c r="T289" s="148">
        <f t="shared" si="45"/>
        <v>-0.35058675226774111</v>
      </c>
      <c r="U289">
        <f t="shared" si="51"/>
        <v>2.3630665202156398</v>
      </c>
      <c r="V289" s="55">
        <f t="shared" si="46"/>
        <v>2.3307879837837615</v>
      </c>
      <c r="W289">
        <f t="shared" si="52"/>
        <v>0.51875639285712105</v>
      </c>
      <c r="X289" s="55">
        <f t="shared" si="47"/>
        <v>0.50489158999251404</v>
      </c>
      <c r="Y289" s="149">
        <v>12.7048705</v>
      </c>
      <c r="Z289" s="55">
        <f t="shared" si="43"/>
        <v>3.6816872717055351E-3</v>
      </c>
      <c r="AA289" s="55">
        <f t="shared" si="48"/>
        <v>3.7336321720677704E-3</v>
      </c>
      <c r="AB289" s="55">
        <f t="shared" si="44"/>
        <v>-5.6043841341332019</v>
      </c>
      <c r="AC289" s="55">
        <f t="shared" si="49"/>
        <v>-5.5905194297670038</v>
      </c>
      <c r="AD289" s="55"/>
      <c r="AE289" s="55"/>
      <c r="AF289" s="55"/>
      <c r="AG289" s="55"/>
      <c r="AH289" s="55"/>
    </row>
    <row r="290" spans="1:34" ht="15.75">
      <c r="A290" s="39">
        <v>12.4398705</v>
      </c>
      <c r="B290" s="39">
        <v>12.708694299999999</v>
      </c>
      <c r="C290" s="39">
        <v>288</v>
      </c>
      <c r="D290">
        <v>288</v>
      </c>
      <c r="E290" s="10">
        <v>1423700</v>
      </c>
      <c r="F290" s="10">
        <v>1119580</v>
      </c>
      <c r="G290" s="10">
        <v>18186</v>
      </c>
      <c r="H290" s="10">
        <v>43394</v>
      </c>
      <c r="I290" s="10">
        <v>41413</v>
      </c>
      <c r="J290" s="10">
        <v>30315</v>
      </c>
      <c r="K290">
        <v>288</v>
      </c>
      <c r="L290" s="10">
        <v>2203</v>
      </c>
      <c r="M290" s="10">
        <v>422392</v>
      </c>
      <c r="N290" s="10">
        <v>4281</v>
      </c>
      <c r="O290">
        <v>0.13547911980662747</v>
      </c>
      <c r="P290">
        <v>0.98828599952352081</v>
      </c>
      <c r="Q290">
        <v>-0.37769249789879877</v>
      </c>
      <c r="R290">
        <v>0.37769249789879877</v>
      </c>
      <c r="S290">
        <f t="shared" si="50"/>
        <v>-0.31195220167869475</v>
      </c>
      <c r="T290" s="148">
        <f t="shared" si="45"/>
        <v>-0.34179121874799923</v>
      </c>
      <c r="U290">
        <f t="shared" si="51"/>
        <v>2.2756126101175798</v>
      </c>
      <c r="V290" s="55">
        <f t="shared" si="46"/>
        <v>2.3070294554986184</v>
      </c>
      <c r="W290">
        <f t="shared" si="52"/>
        <v>0.51099057221997291</v>
      </c>
      <c r="X290" s="55">
        <f t="shared" si="47"/>
        <v>0.55300911604315772</v>
      </c>
      <c r="Y290" s="149">
        <v>12.708694299999999</v>
      </c>
      <c r="Z290" s="55">
        <f t="shared" si="43"/>
        <v>3.8237553368227371E-3</v>
      </c>
      <c r="AA290" s="55">
        <f t="shared" si="48"/>
        <v>3.8151599981398783E-3</v>
      </c>
      <c r="AB290" s="55">
        <f t="shared" si="44"/>
        <v>-5.5665222667962482</v>
      </c>
      <c r="AC290" s="55">
        <f t="shared" si="49"/>
        <v>-5.5691571559472832</v>
      </c>
      <c r="AD290" s="55"/>
      <c r="AE290" s="55"/>
      <c r="AF290" s="55"/>
      <c r="AG290" s="55"/>
      <c r="AH290" s="55"/>
    </row>
    <row r="291" spans="1:34" ht="15.75">
      <c r="A291" s="39">
        <v>12.4453212</v>
      </c>
      <c r="B291" s="39">
        <v>12.7125181</v>
      </c>
      <c r="C291" s="39">
        <v>289</v>
      </c>
      <c r="D291">
        <v>289</v>
      </c>
      <c r="E291" s="10">
        <v>1377790</v>
      </c>
      <c r="F291" s="10">
        <v>1102020</v>
      </c>
      <c r="G291" s="10">
        <v>15775</v>
      </c>
      <c r="H291" s="10">
        <v>40283</v>
      </c>
      <c r="I291" s="10">
        <v>42096</v>
      </c>
      <c r="J291" s="10">
        <v>29598</v>
      </c>
      <c r="K291">
        <v>289</v>
      </c>
      <c r="L291" s="10">
        <v>2061</v>
      </c>
      <c r="M291" s="10">
        <v>394784</v>
      </c>
      <c r="N291" s="10">
        <v>4342</v>
      </c>
      <c r="O291">
        <v>0.15297846489584288</v>
      </c>
      <c r="P291">
        <v>0.99123773671044857</v>
      </c>
      <c r="Q291">
        <v>-0.40715243842741489</v>
      </c>
      <c r="R291">
        <v>0.40715243842741489</v>
      </c>
      <c r="S291">
        <f t="shared" si="50"/>
        <v>-0.3522459328182807</v>
      </c>
      <c r="T291" s="148">
        <f t="shared" si="45"/>
        <v>-0.37014080018029621</v>
      </c>
      <c r="U291">
        <f t="shared" si="51"/>
        <v>2.2824092361626356</v>
      </c>
      <c r="V291" s="55">
        <f t="shared" si="46"/>
        <v>2.2827235386083866</v>
      </c>
      <c r="W291">
        <f t="shared" si="52"/>
        <v>0.62928038305237932</v>
      </c>
      <c r="X291" s="55">
        <f t="shared" si="47"/>
        <v>0.55462794356421219</v>
      </c>
      <c r="Y291" s="149">
        <v>12.7125181</v>
      </c>
      <c r="Z291" s="55">
        <f t="shared" si="43"/>
        <v>3.9400373858913635E-3</v>
      </c>
      <c r="AA291" s="55">
        <f t="shared" si="48"/>
        <v>3.9466039833532191E-3</v>
      </c>
      <c r="AB291" s="55">
        <f t="shared" si="44"/>
        <v>-5.5365650669123987</v>
      </c>
      <c r="AC291" s="55">
        <f t="shared" si="49"/>
        <v>-5.535240593377341</v>
      </c>
      <c r="AD291" s="55"/>
      <c r="AE291" s="55"/>
      <c r="AF291" s="55"/>
      <c r="AG291" s="55"/>
      <c r="AH291" s="55"/>
    </row>
    <row r="292" spans="1:34" ht="15.75">
      <c r="A292" s="39">
        <v>12.450772000000001</v>
      </c>
      <c r="B292" s="39">
        <v>12.716341999999999</v>
      </c>
      <c r="C292" s="39">
        <v>290</v>
      </c>
      <c r="D292">
        <v>290</v>
      </c>
      <c r="E292" s="10">
        <v>1434970</v>
      </c>
      <c r="F292" s="10">
        <v>1123400</v>
      </c>
      <c r="G292" s="10">
        <v>18478</v>
      </c>
      <c r="H292" s="10">
        <v>42381</v>
      </c>
      <c r="I292" s="10">
        <v>48736</v>
      </c>
      <c r="J292" s="10">
        <v>31193</v>
      </c>
      <c r="K292">
        <v>290</v>
      </c>
      <c r="L292" s="10">
        <v>2257</v>
      </c>
      <c r="M292" s="10">
        <v>418572</v>
      </c>
      <c r="N292" s="10">
        <v>4579</v>
      </c>
      <c r="O292">
        <v>0.1937927364342002</v>
      </c>
      <c r="P292">
        <v>0.9945989733508912</v>
      </c>
      <c r="Q292">
        <v>-0.36051623710882336</v>
      </c>
      <c r="R292">
        <v>0.36051623710882336</v>
      </c>
      <c r="S292">
        <f t="shared" si="50"/>
        <v>-0.44622426604391341</v>
      </c>
      <c r="T292" s="148">
        <f t="shared" si="45"/>
        <v>-0.39236495635103469</v>
      </c>
      <c r="U292">
        <f t="shared" si="51"/>
        <v>2.2901487695449445</v>
      </c>
      <c r="V292" s="55">
        <f t="shared" si="46"/>
        <v>2.2835080008763184</v>
      </c>
      <c r="W292">
        <f t="shared" si="52"/>
        <v>0.52361287542028445</v>
      </c>
      <c r="X292" s="55">
        <f t="shared" si="47"/>
        <v>0.55927555539196883</v>
      </c>
      <c r="Y292" s="149">
        <v>12.716341999999999</v>
      </c>
      <c r="Z292" s="55">
        <f t="shared" si="43"/>
        <v>4.0760192273455583E-3</v>
      </c>
      <c r="AA292" s="55">
        <f t="shared" si="48"/>
        <v>4.0139718761563149E-3</v>
      </c>
      <c r="AB292" s="55">
        <f t="shared" si="44"/>
        <v>-5.5026344464233743</v>
      </c>
      <c r="AC292" s="55">
        <f t="shared" si="49"/>
        <v>-5.5180721614282531</v>
      </c>
      <c r="AD292" s="55"/>
      <c r="AE292" s="55"/>
      <c r="AF292" s="55"/>
      <c r="AG292" s="55"/>
      <c r="AH292" s="55"/>
    </row>
    <row r="293" spans="1:34" ht="15.75">
      <c r="A293" s="39">
        <v>12.456222800000001</v>
      </c>
      <c r="B293" s="39">
        <v>12.7201658</v>
      </c>
      <c r="C293" s="39">
        <v>291</v>
      </c>
      <c r="D293">
        <v>291</v>
      </c>
      <c r="E293" s="10">
        <v>1442340</v>
      </c>
      <c r="F293" s="10">
        <v>1129200</v>
      </c>
      <c r="G293" s="10">
        <v>18511</v>
      </c>
      <c r="H293" s="10">
        <v>43288</v>
      </c>
      <c r="I293" s="10">
        <v>45692</v>
      </c>
      <c r="J293" s="10">
        <v>31290</v>
      </c>
      <c r="K293">
        <v>291</v>
      </c>
      <c r="L293" s="10">
        <v>2691</v>
      </c>
      <c r="M293" s="10">
        <v>422353</v>
      </c>
      <c r="N293" s="10">
        <v>4546</v>
      </c>
      <c r="O293">
        <v>0.16443460497635082</v>
      </c>
      <c r="P293">
        <v>0.98930806242619351</v>
      </c>
      <c r="Q293">
        <v>-0.36893764011052027</v>
      </c>
      <c r="R293">
        <v>0.36893764011052022</v>
      </c>
      <c r="S293">
        <f t="shared" si="50"/>
        <v>-0.3786246701909099</v>
      </c>
      <c r="T293" s="148">
        <f t="shared" si="45"/>
        <v>-0.41392595783253511</v>
      </c>
      <c r="U293">
        <f t="shared" si="51"/>
        <v>2.2779659969213757</v>
      </c>
      <c r="V293" s="55">
        <f t="shared" si="46"/>
        <v>2.2910494000866115</v>
      </c>
      <c r="W293">
        <f t="shared" si="52"/>
        <v>0.5249334077032427</v>
      </c>
      <c r="X293" s="55">
        <f t="shared" si="47"/>
        <v>0.51809518736657723</v>
      </c>
      <c r="Y293" s="149">
        <v>12.7201658</v>
      </c>
      <c r="Z293" s="55">
        <f t="shared" si="43"/>
        <v>4.0258590152320228E-3</v>
      </c>
      <c r="AA293" s="55">
        <f t="shared" si="48"/>
        <v>3.9454685003131483E-3</v>
      </c>
      <c r="AB293" s="55">
        <f t="shared" si="44"/>
        <v>-5.5150169709489827</v>
      </c>
      <c r="AC293" s="55">
        <f t="shared" si="49"/>
        <v>-5.535928485500059</v>
      </c>
      <c r="AD293" s="55"/>
      <c r="AE293" s="55"/>
      <c r="AF293" s="55"/>
      <c r="AG293" s="55"/>
      <c r="AH293" s="55"/>
    </row>
    <row r="294" spans="1:34" ht="15.75">
      <c r="A294" s="39">
        <v>12.461673599999999</v>
      </c>
      <c r="B294" s="39">
        <v>12.723989599999999</v>
      </c>
      <c r="C294" s="39">
        <v>292</v>
      </c>
      <c r="D294">
        <v>292</v>
      </c>
      <c r="E294" s="10">
        <v>1462650</v>
      </c>
      <c r="F294" s="10">
        <v>1139100</v>
      </c>
      <c r="G294" s="10">
        <v>18725</v>
      </c>
      <c r="H294" s="10">
        <v>43568</v>
      </c>
      <c r="I294" s="10">
        <v>47112</v>
      </c>
      <c r="J294" s="10">
        <v>31050</v>
      </c>
      <c r="K294">
        <v>292</v>
      </c>
      <c r="L294" s="10">
        <v>2476</v>
      </c>
      <c r="M294" s="10">
        <v>436748</v>
      </c>
      <c r="N294" s="10">
        <v>4254</v>
      </c>
      <c r="O294">
        <v>0.18106993679901326</v>
      </c>
      <c r="P294">
        <v>1.0010633008990275</v>
      </c>
      <c r="Q294">
        <v>-0.36674579762438531</v>
      </c>
      <c r="R294">
        <v>0.36674579762438525</v>
      </c>
      <c r="S294">
        <f t="shared" si="50"/>
        <v>-0.41692893726278191</v>
      </c>
      <c r="T294" s="148">
        <f t="shared" si="45"/>
        <v>-0.43173783278288691</v>
      </c>
      <c r="U294">
        <f t="shared" si="51"/>
        <v>2.3050334337935139</v>
      </c>
      <c r="V294" s="55">
        <f t="shared" si="46"/>
        <v>2.2904064842618159</v>
      </c>
      <c r="W294">
        <f t="shared" si="52"/>
        <v>0.50573927897620452</v>
      </c>
      <c r="X294" s="55">
        <f t="shared" si="47"/>
        <v>0.52367697339551167</v>
      </c>
      <c r="Y294" s="149">
        <v>12.723989599999999</v>
      </c>
      <c r="Z294" s="55">
        <f t="shared" si="43"/>
        <v>3.7345272583618645E-3</v>
      </c>
      <c r="AA294" s="55">
        <f t="shared" si="48"/>
        <v>3.8406879868566105E-3</v>
      </c>
      <c r="AB294" s="55">
        <f t="shared" si="44"/>
        <v>-5.5901340391278209</v>
      </c>
      <c r="AC294" s="55">
        <f t="shared" si="49"/>
        <v>-5.5626804126090406</v>
      </c>
      <c r="AD294" s="55"/>
      <c r="AE294" s="55"/>
      <c r="AF294" s="55"/>
      <c r="AG294" s="55"/>
      <c r="AH294" s="55"/>
    </row>
    <row r="295" spans="1:34" ht="15.75">
      <c r="A295" s="39">
        <v>12.467124399999999</v>
      </c>
      <c r="B295" s="39">
        <v>12.7278135</v>
      </c>
      <c r="C295" s="39">
        <v>293</v>
      </c>
      <c r="D295">
        <v>293</v>
      </c>
      <c r="E295" s="10">
        <v>1455700</v>
      </c>
      <c r="F295" s="10">
        <v>1128220</v>
      </c>
      <c r="G295" s="10">
        <v>18163</v>
      </c>
      <c r="H295" s="10">
        <v>43478</v>
      </c>
      <c r="I295" s="10">
        <v>51388</v>
      </c>
      <c r="J295" s="10">
        <v>31179</v>
      </c>
      <c r="K295">
        <v>293</v>
      </c>
      <c r="L295" s="10">
        <v>2710</v>
      </c>
      <c r="M295" s="10">
        <v>428579</v>
      </c>
      <c r="N295" s="10">
        <v>4244</v>
      </c>
      <c r="O295">
        <v>0.21699953344406586</v>
      </c>
      <c r="P295">
        <v>0.99376132896578095</v>
      </c>
      <c r="Q295">
        <v>-0.37908197526489334</v>
      </c>
      <c r="R295">
        <v>0.37908197526489329</v>
      </c>
      <c r="S295">
        <f t="shared" si="50"/>
        <v>-0.49965989089496893</v>
      </c>
      <c r="T295" s="148">
        <f t="shared" si="45"/>
        <v>-0.5149022093990453</v>
      </c>
      <c r="U295">
        <f t="shared" si="51"/>
        <v>2.2882200220705591</v>
      </c>
      <c r="V295" s="55">
        <f t="shared" si="46"/>
        <v>2.3048902510892741</v>
      </c>
      <c r="W295">
        <f t="shared" si="52"/>
        <v>0.540358233507088</v>
      </c>
      <c r="X295" s="55">
        <f t="shared" si="47"/>
        <v>0.53666581000373659</v>
      </c>
      <c r="Y295" s="149">
        <v>12.7278135</v>
      </c>
      <c r="Z295" s="55">
        <f t="shared" si="43"/>
        <v>3.7616776869759446E-3</v>
      </c>
      <c r="AA295" s="55">
        <f t="shared" si="48"/>
        <v>3.923784730806565E-3</v>
      </c>
      <c r="AB295" s="55">
        <f t="shared" si="44"/>
        <v>-5.5828902277503172</v>
      </c>
      <c r="AC295" s="55">
        <f t="shared" si="49"/>
        <v>-5.5426535108276154</v>
      </c>
      <c r="AD295" s="55"/>
      <c r="AE295" s="55"/>
      <c r="AF295" s="55"/>
      <c r="AG295" s="55"/>
      <c r="AH295" s="55"/>
    </row>
    <row r="296" spans="1:34" ht="15.75">
      <c r="A296" s="39">
        <v>12.4725751</v>
      </c>
      <c r="B296" s="39">
        <v>12.731637299999999</v>
      </c>
      <c r="C296" s="39">
        <v>294</v>
      </c>
      <c r="D296">
        <v>294</v>
      </c>
      <c r="E296" s="10">
        <v>1459300</v>
      </c>
      <c r="F296" s="10">
        <v>1122300</v>
      </c>
      <c r="G296" s="10">
        <v>17469</v>
      </c>
      <c r="H296" s="10">
        <v>42634</v>
      </c>
      <c r="I296" s="10">
        <v>57538</v>
      </c>
      <c r="J296" s="10">
        <v>30702</v>
      </c>
      <c r="K296">
        <v>294</v>
      </c>
      <c r="L296" s="10">
        <v>2253</v>
      </c>
      <c r="M296" s="10">
        <v>434445</v>
      </c>
      <c r="N296" s="10">
        <v>4798</v>
      </c>
      <c r="O296">
        <v>0.27278809454231501</v>
      </c>
      <c r="P296">
        <v>1.0081787224572087</v>
      </c>
      <c r="Q296">
        <v>-0.38748803603507803</v>
      </c>
      <c r="R296">
        <v>0.38748803603507798</v>
      </c>
      <c r="S296">
        <f t="shared" si="50"/>
        <v>-0.62811780003938489</v>
      </c>
      <c r="T296" s="148">
        <f t="shared" si="45"/>
        <v>-0.59053697219747336</v>
      </c>
      <c r="U296">
        <f t="shared" si="51"/>
        <v>2.3214172974037504</v>
      </c>
      <c r="V296" s="55">
        <f t="shared" si="46"/>
        <v>2.3046258145968501</v>
      </c>
      <c r="W296">
        <f t="shared" si="52"/>
        <v>0.56389991752791713</v>
      </c>
      <c r="X296" s="55">
        <f t="shared" si="47"/>
        <v>0.56205364155238102</v>
      </c>
      <c r="Y296" s="149">
        <v>12.731637299999999</v>
      </c>
      <c r="Z296" s="55">
        <f t="shared" si="43"/>
        <v>4.2751492470818851E-3</v>
      </c>
      <c r="AA296" s="55">
        <f t="shared" si="48"/>
        <v>4.0672792215081357E-3</v>
      </c>
      <c r="AB296" s="55">
        <f t="shared" si="44"/>
        <v>-5.4549362656047071</v>
      </c>
      <c r="AC296" s="55">
        <f t="shared" si="49"/>
        <v>-5.5062876401263852</v>
      </c>
      <c r="AD296" s="55"/>
      <c r="AE296" s="55"/>
      <c r="AF296" s="55"/>
      <c r="AG296" s="55"/>
      <c r="AH296" s="55"/>
    </row>
    <row r="297" spans="1:34" ht="15.75">
      <c r="A297" s="39">
        <v>12.4780259</v>
      </c>
      <c r="B297" s="39">
        <v>12.7354611</v>
      </c>
      <c r="C297" s="39">
        <v>295</v>
      </c>
      <c r="D297">
        <v>295</v>
      </c>
      <c r="E297" s="10">
        <v>1461080</v>
      </c>
      <c r="F297" s="10">
        <v>1132290</v>
      </c>
      <c r="G297" s="10">
        <v>17235</v>
      </c>
      <c r="H297" s="10">
        <v>42864</v>
      </c>
      <c r="I297" s="10">
        <v>58714</v>
      </c>
      <c r="J297" s="10">
        <v>30841</v>
      </c>
      <c r="K297">
        <v>295</v>
      </c>
      <c r="L297" s="10">
        <v>1842</v>
      </c>
      <c r="M297" s="10">
        <v>429350</v>
      </c>
      <c r="N297" s="10">
        <v>4716</v>
      </c>
      <c r="O297">
        <v>0.27961321716926923</v>
      </c>
      <c r="P297">
        <v>1.0007187709706065</v>
      </c>
      <c r="Q297">
        <v>-0.39568140852016725</v>
      </c>
      <c r="R297">
        <v>0.39568140852016725</v>
      </c>
      <c r="S297">
        <f t="shared" si="50"/>
        <v>-0.64383322565806622</v>
      </c>
      <c r="T297" s="148">
        <f t="shared" si="45"/>
        <v>-0.61030779105552113</v>
      </c>
      <c r="U297">
        <f t="shared" si="51"/>
        <v>2.3042401243162409</v>
      </c>
      <c r="V297" s="55">
        <f t="shared" si="46"/>
        <v>2.3038111365412033</v>
      </c>
      <c r="W297">
        <f t="shared" si="52"/>
        <v>0.58190277362213794</v>
      </c>
      <c r="X297" s="55">
        <f t="shared" si="47"/>
        <v>0.56699121263041652</v>
      </c>
      <c r="Y297" s="149">
        <v>12.7354611</v>
      </c>
      <c r="Z297" s="55">
        <f t="shared" si="43"/>
        <v>4.1650107304665764E-3</v>
      </c>
      <c r="AA297" s="55">
        <f t="shared" si="48"/>
        <v>4.1214419130379638E-3</v>
      </c>
      <c r="AB297" s="55">
        <f t="shared" si="44"/>
        <v>-5.4810364270241347</v>
      </c>
      <c r="AC297" s="55">
        <f t="shared" si="49"/>
        <v>-5.4921913959305177</v>
      </c>
      <c r="AD297" s="55"/>
      <c r="AE297" s="55"/>
      <c r="AF297" s="55"/>
      <c r="AG297" s="55"/>
      <c r="AH297" s="55"/>
    </row>
    <row r="298" spans="1:34" ht="15.75">
      <c r="A298" s="39">
        <v>12.483476700000001</v>
      </c>
      <c r="B298" s="39">
        <v>12.739285000000001</v>
      </c>
      <c r="C298" s="39">
        <v>296</v>
      </c>
      <c r="D298">
        <v>296</v>
      </c>
      <c r="E298" s="10">
        <v>1454100</v>
      </c>
      <c r="F298" s="10">
        <v>1132470</v>
      </c>
      <c r="G298" s="10">
        <v>17974</v>
      </c>
      <c r="H298" s="10">
        <v>42655</v>
      </c>
      <c r="I298" s="10">
        <v>54766</v>
      </c>
      <c r="J298" s="10">
        <v>31315</v>
      </c>
      <c r="K298">
        <v>296</v>
      </c>
      <c r="L298" s="10">
        <v>2497</v>
      </c>
      <c r="M298" s="10">
        <v>419440</v>
      </c>
      <c r="N298" s="10">
        <v>4444</v>
      </c>
      <c r="O298">
        <v>0.24275860604234262</v>
      </c>
      <c r="P298">
        <v>0.99269989841349593</v>
      </c>
      <c r="Q298">
        <v>-0.37532520893754923</v>
      </c>
      <c r="R298">
        <v>0.37532520893754917</v>
      </c>
      <c r="S298">
        <f t="shared" si="50"/>
        <v>-0.5589723474691124</v>
      </c>
      <c r="T298" s="148">
        <f t="shared" si="45"/>
        <v>-0.5842148326298231</v>
      </c>
      <c r="U298">
        <f t="shared" si="51"/>
        <v>2.285775987903619</v>
      </c>
      <c r="V298" s="55">
        <f t="shared" si="46"/>
        <v>2.2917630426683391</v>
      </c>
      <c r="W298">
        <f t="shared" si="52"/>
        <v>0.55517094674119438</v>
      </c>
      <c r="X298" s="55">
        <f t="shared" si="47"/>
        <v>0.56720117436706141</v>
      </c>
      <c r="Y298" s="149">
        <v>12.739285000000001</v>
      </c>
      <c r="Z298" s="55">
        <f t="shared" si="43"/>
        <v>3.9241657615654282E-3</v>
      </c>
      <c r="AA298" s="55">
        <f t="shared" si="48"/>
        <v>4.0840251991579911E-3</v>
      </c>
      <c r="AB298" s="55">
        <f t="shared" si="44"/>
        <v>-5.5406014951627123</v>
      </c>
      <c r="AC298" s="55">
        <f t="shared" si="49"/>
        <v>-5.5010604897571573</v>
      </c>
      <c r="AD298" s="55"/>
      <c r="AE298" s="55"/>
      <c r="AF298" s="55"/>
      <c r="AG298" s="55"/>
      <c r="AH298" s="55"/>
    </row>
    <row r="299" spans="1:34" ht="15.75">
      <c r="A299" s="39">
        <v>12.488927500000001</v>
      </c>
      <c r="B299" s="39">
        <v>12.7431088</v>
      </c>
      <c r="C299" s="39">
        <v>297</v>
      </c>
      <c r="D299">
        <v>297</v>
      </c>
      <c r="E299" s="10">
        <v>1451030</v>
      </c>
      <c r="F299" s="10">
        <v>1139110</v>
      </c>
      <c r="G299" s="10">
        <v>17400</v>
      </c>
      <c r="H299" s="10">
        <v>42941</v>
      </c>
      <c r="I299" s="10">
        <v>53029</v>
      </c>
      <c r="J299" s="10">
        <v>30600</v>
      </c>
      <c r="K299">
        <v>297</v>
      </c>
      <c r="L299" s="10">
        <v>2074</v>
      </c>
      <c r="M299" s="10">
        <v>422040</v>
      </c>
      <c r="N299" s="10">
        <v>4742</v>
      </c>
      <c r="O299">
        <v>0.23879201095988001</v>
      </c>
      <c r="P299">
        <v>0.9924814603978962</v>
      </c>
      <c r="Q299">
        <v>-0.39232290568407147</v>
      </c>
      <c r="R299">
        <v>0.39232290568407152</v>
      </c>
      <c r="S299">
        <f t="shared" si="50"/>
        <v>-0.54983892476229057</v>
      </c>
      <c r="T299" s="148">
        <f t="shared" si="45"/>
        <v>-0.57994941802895461</v>
      </c>
      <c r="U299">
        <f t="shared" si="51"/>
        <v>2.285273015785156</v>
      </c>
      <c r="V299" s="55">
        <f t="shared" si="46"/>
        <v>2.2873723038495495</v>
      </c>
      <c r="W299">
        <f t="shared" si="52"/>
        <v>0.56452980273785169</v>
      </c>
      <c r="X299" s="55">
        <f t="shared" si="47"/>
        <v>0.53980328938982136</v>
      </c>
      <c r="Y299" s="149">
        <v>12.7431088</v>
      </c>
      <c r="Z299" s="55">
        <f t="shared" si="43"/>
        <v>4.1628991054419679E-3</v>
      </c>
      <c r="AA299" s="55">
        <f t="shared" si="48"/>
        <v>4.1367278833941276E-3</v>
      </c>
      <c r="AB299" s="55">
        <f t="shared" si="44"/>
        <v>-5.4815435470846223</v>
      </c>
      <c r="AC299" s="55">
        <f t="shared" si="49"/>
        <v>-5.4886410796324698</v>
      </c>
      <c r="AD299" s="55"/>
      <c r="AE299" s="55"/>
      <c r="AF299" s="55"/>
      <c r="AG299" s="55"/>
      <c r="AH299" s="55"/>
    </row>
    <row r="300" spans="1:34" ht="15.75">
      <c r="A300" s="39">
        <v>12.4943782</v>
      </c>
      <c r="B300" s="39">
        <v>12.746932599999999</v>
      </c>
      <c r="C300" s="39">
        <v>298</v>
      </c>
      <c r="D300">
        <v>298</v>
      </c>
      <c r="E300" s="10">
        <v>1412950</v>
      </c>
      <c r="F300" s="10">
        <v>1120950</v>
      </c>
      <c r="G300" s="10">
        <v>18200</v>
      </c>
      <c r="H300" s="10">
        <v>41568</v>
      </c>
      <c r="I300" s="10">
        <v>56383</v>
      </c>
      <c r="J300" s="10">
        <v>29998</v>
      </c>
      <c r="K300">
        <v>298</v>
      </c>
      <c r="L300" s="10">
        <v>2198</v>
      </c>
      <c r="M300" s="10">
        <v>410920</v>
      </c>
      <c r="N300" s="10">
        <v>4846</v>
      </c>
      <c r="O300">
        <v>0.27405587909670914</v>
      </c>
      <c r="P300">
        <v>0.99499815004917103</v>
      </c>
      <c r="Q300">
        <v>-0.35868774140785908</v>
      </c>
      <c r="R300">
        <v>0.35868774140785908</v>
      </c>
      <c r="S300">
        <f t="shared" si="50"/>
        <v>-0.63103698185546098</v>
      </c>
      <c r="T300" s="148">
        <f t="shared" si="45"/>
        <v>-0.63083295100431813</v>
      </c>
      <c r="U300">
        <f t="shared" si="51"/>
        <v>2.2910679078598739</v>
      </c>
      <c r="V300" s="55">
        <f t="shared" si="46"/>
        <v>2.2894400641373025</v>
      </c>
      <c r="W300">
        <f t="shared" si="52"/>
        <v>0.49970911869041812</v>
      </c>
      <c r="X300" s="55">
        <f t="shared" si="47"/>
        <v>0.53759986490853129</v>
      </c>
      <c r="Y300" s="149">
        <v>12.746932599999999</v>
      </c>
      <c r="Z300" s="55">
        <f t="shared" si="43"/>
        <v>4.3231187831749857E-3</v>
      </c>
      <c r="AA300" s="55">
        <f t="shared" si="48"/>
        <v>4.3391599189686273E-3</v>
      </c>
      <c r="AB300" s="55">
        <f t="shared" si="44"/>
        <v>-5.4437781966500749</v>
      </c>
      <c r="AC300" s="55">
        <f t="shared" si="49"/>
        <v>-5.440677475683148</v>
      </c>
      <c r="AD300" s="55"/>
      <c r="AE300" s="55"/>
      <c r="AF300" s="55"/>
      <c r="AG300" s="55"/>
      <c r="AH300" s="55"/>
    </row>
    <row r="301" spans="1:34" ht="15.75">
      <c r="A301" s="39">
        <v>12.499829</v>
      </c>
      <c r="B301" s="39">
        <v>12.7507565</v>
      </c>
      <c r="C301" s="39">
        <v>299</v>
      </c>
      <c r="D301">
        <v>299</v>
      </c>
      <c r="E301" s="10">
        <v>1374650</v>
      </c>
      <c r="F301" s="10">
        <v>1091480</v>
      </c>
      <c r="G301" s="10">
        <v>16840</v>
      </c>
      <c r="H301" s="10">
        <v>40598</v>
      </c>
      <c r="I301" s="10">
        <v>59379</v>
      </c>
      <c r="J301" s="10">
        <v>29146</v>
      </c>
      <c r="K301">
        <v>299</v>
      </c>
      <c r="L301" s="10">
        <v>2206</v>
      </c>
      <c r="M301" s="10">
        <v>401697</v>
      </c>
      <c r="N301" s="10">
        <v>4946</v>
      </c>
      <c r="O301">
        <v>0.30905391881517019</v>
      </c>
      <c r="P301">
        <v>0.99539394906210499</v>
      </c>
      <c r="Q301">
        <v>-0.3821625520697623</v>
      </c>
      <c r="R301">
        <v>0.3821625520697623</v>
      </c>
      <c r="S301">
        <f t="shared" si="50"/>
        <v>-0.71162294639520285</v>
      </c>
      <c r="T301" s="148">
        <f t="shared" si="45"/>
        <v>-0.67146414290417622</v>
      </c>
      <c r="U301">
        <f t="shared" si="51"/>
        <v>2.2919792687668776</v>
      </c>
      <c r="V301" s="55">
        <f t="shared" si="46"/>
        <v>2.3005914395945797</v>
      </c>
      <c r="W301">
        <f t="shared" si="52"/>
        <v>0.54856067329732416</v>
      </c>
      <c r="X301" s="55">
        <f t="shared" si="47"/>
        <v>0.55583892049304306</v>
      </c>
      <c r="Y301" s="149">
        <v>12.7507565</v>
      </c>
      <c r="Z301" s="55">
        <f t="shared" si="43"/>
        <v>4.5314618682889291E-3</v>
      </c>
      <c r="AA301" s="55">
        <f t="shared" si="48"/>
        <v>4.4168211949428765E-3</v>
      </c>
      <c r="AB301" s="55">
        <f t="shared" si="44"/>
        <v>-5.396710683314744</v>
      </c>
      <c r="AC301" s="55">
        <f t="shared" si="49"/>
        <v>-5.4225252510076594</v>
      </c>
      <c r="AD301" s="55"/>
      <c r="AE301" s="55"/>
      <c r="AF301" s="55"/>
      <c r="AG301" s="55"/>
      <c r="AH301" s="55"/>
    </row>
    <row r="302" spans="1:34" ht="15.75">
      <c r="A302" s="39">
        <v>12.5052798</v>
      </c>
      <c r="B302" s="39">
        <v>12.754580300000001</v>
      </c>
      <c r="C302" s="39">
        <v>300</v>
      </c>
      <c r="D302">
        <v>300</v>
      </c>
      <c r="E302" s="10">
        <v>1427490</v>
      </c>
      <c r="F302" s="10">
        <v>1104670</v>
      </c>
      <c r="G302" s="10">
        <v>15919</v>
      </c>
      <c r="H302" s="10">
        <v>41240</v>
      </c>
      <c r="I302" s="10">
        <v>57887</v>
      </c>
      <c r="J302" s="10">
        <v>29570</v>
      </c>
      <c r="K302">
        <v>300</v>
      </c>
      <c r="L302" s="10">
        <v>2327</v>
      </c>
      <c r="M302" s="10">
        <v>419111</v>
      </c>
      <c r="N302" s="10">
        <v>4856</v>
      </c>
      <c r="O302">
        <v>0.29172971826566146</v>
      </c>
      <c r="P302">
        <v>1.0070104028780766</v>
      </c>
      <c r="Q302">
        <v>-0.41340287387078201</v>
      </c>
      <c r="R302">
        <v>0.41340287387078201</v>
      </c>
      <c r="S302">
        <f t="shared" si="50"/>
        <v>-0.67173250046186483</v>
      </c>
      <c r="T302" s="148">
        <f t="shared" si="45"/>
        <v>-0.71786586585061318</v>
      </c>
      <c r="U302">
        <f t="shared" si="51"/>
        <v>2.3187271421569875</v>
      </c>
      <c r="V302" s="55">
        <f t="shared" si="46"/>
        <v>2.3069505800621961</v>
      </c>
      <c r="W302">
        <f t="shared" si="52"/>
        <v>0.61924696949138691</v>
      </c>
      <c r="X302" s="55">
        <f t="shared" si="47"/>
        <v>0.59922185847529352</v>
      </c>
      <c r="Y302" s="149">
        <v>12.754580300000001</v>
      </c>
      <c r="Z302" s="55">
        <f t="shared" si="43"/>
        <v>4.3958829333647156E-3</v>
      </c>
      <c r="AA302" s="55">
        <f t="shared" si="48"/>
        <v>4.4753667253909224E-3</v>
      </c>
      <c r="AB302" s="55">
        <f t="shared" si="44"/>
        <v>-5.4270868730581574</v>
      </c>
      <c r="AC302" s="55">
        <f t="shared" si="49"/>
        <v>-5.4092506867584049</v>
      </c>
      <c r="AD302" s="55"/>
      <c r="AE302" s="55"/>
      <c r="AF302" s="55"/>
      <c r="AG302" s="55"/>
      <c r="AH302" s="55"/>
    </row>
    <row r="303" spans="1:34" ht="15.75">
      <c r="A303" s="39">
        <v>12.5107306</v>
      </c>
      <c r="B303" s="39">
        <v>12.758404199999999</v>
      </c>
      <c r="C303" s="39">
        <v>301</v>
      </c>
      <c r="D303">
        <v>301</v>
      </c>
      <c r="E303" s="10">
        <v>1435270</v>
      </c>
      <c r="F303" s="10">
        <v>1104750</v>
      </c>
      <c r="G303" s="10">
        <v>15466</v>
      </c>
      <c r="H303" s="10">
        <v>41429</v>
      </c>
      <c r="I303" s="10">
        <v>62724</v>
      </c>
      <c r="J303" s="10">
        <v>29035</v>
      </c>
      <c r="K303">
        <v>301</v>
      </c>
      <c r="L303" s="10">
        <v>2065</v>
      </c>
      <c r="M303" s="10">
        <v>417434</v>
      </c>
      <c r="N303" s="10">
        <v>4970</v>
      </c>
      <c r="O303">
        <v>0.3345119157760324</v>
      </c>
      <c r="P303">
        <v>1.0032833688933716</v>
      </c>
      <c r="Q303">
        <v>-0.42792644472096802</v>
      </c>
      <c r="R303">
        <v>0.42792644472096802</v>
      </c>
      <c r="S303">
        <f t="shared" si="50"/>
        <v>-0.77024215069477198</v>
      </c>
      <c r="T303" s="148">
        <f t="shared" si="45"/>
        <v>-0.75861414227686519</v>
      </c>
      <c r="U303">
        <f t="shared" si="51"/>
        <v>2.3101453292627236</v>
      </c>
      <c r="V303" s="55">
        <f t="shared" si="46"/>
        <v>2.3111886342665162</v>
      </c>
      <c r="W303">
        <f t="shared" si="52"/>
        <v>0.62985793263716949</v>
      </c>
      <c r="X303" s="55">
        <f t="shared" si="47"/>
        <v>0.62006704925795986</v>
      </c>
      <c r="Y303" s="149">
        <v>12.758404199999999</v>
      </c>
      <c r="Z303" s="55">
        <f t="shared" si="43"/>
        <v>4.4987553745191216E-3</v>
      </c>
      <c r="AA303" s="55">
        <f t="shared" si="48"/>
        <v>4.4450069882189048E-3</v>
      </c>
      <c r="AB303" s="55">
        <f t="shared" si="44"/>
        <v>-5.4039545039023125</v>
      </c>
      <c r="AC303" s="55">
        <f t="shared" si="49"/>
        <v>-5.4160186997514144</v>
      </c>
      <c r="AD303" s="55"/>
      <c r="AE303" s="55"/>
      <c r="AF303" s="55"/>
      <c r="AG303" s="55"/>
      <c r="AH303" s="55"/>
    </row>
    <row r="304" spans="1:34" ht="15.75">
      <c r="A304" s="39">
        <v>12.516181400000001</v>
      </c>
      <c r="B304" s="39">
        <v>12.762228</v>
      </c>
      <c r="C304" s="39">
        <v>302</v>
      </c>
      <c r="D304">
        <v>302</v>
      </c>
      <c r="E304" s="10">
        <v>1435980</v>
      </c>
      <c r="F304" s="10">
        <v>1099680</v>
      </c>
      <c r="G304" s="10">
        <v>15722</v>
      </c>
      <c r="H304" s="10">
        <v>41316</v>
      </c>
      <c r="I304" s="10">
        <v>66688</v>
      </c>
      <c r="J304" s="10">
        <v>28967</v>
      </c>
      <c r="K304">
        <v>302</v>
      </c>
      <c r="L304" s="10">
        <v>1915</v>
      </c>
      <c r="M304" s="10">
        <v>414032</v>
      </c>
      <c r="N304" s="10">
        <v>4883</v>
      </c>
      <c r="O304">
        <v>0.36214417361213902</v>
      </c>
      <c r="P304">
        <v>1.0009156397269341</v>
      </c>
      <c r="Q304">
        <v>-0.41961047681260255</v>
      </c>
      <c r="R304">
        <v>0.4196104768126025</v>
      </c>
      <c r="S304">
        <f t="shared" si="50"/>
        <v>-0.83386777567395909</v>
      </c>
      <c r="T304" s="148">
        <f t="shared" si="45"/>
        <v>-0.81756898384441179</v>
      </c>
      <c r="U304">
        <f t="shared" si="51"/>
        <v>2.3046934313798375</v>
      </c>
      <c r="V304" s="55">
        <f t="shared" si="46"/>
        <v>2.3238219156188138</v>
      </c>
      <c r="W304">
        <f t="shared" si="52"/>
        <v>0.61109624564532328</v>
      </c>
      <c r="X304" s="55">
        <f t="shared" si="47"/>
        <v>0.60813140252780296</v>
      </c>
      <c r="Y304" s="149">
        <v>12.762228</v>
      </c>
      <c r="Z304" s="55">
        <f t="shared" si="43"/>
        <v>4.4403826567728797E-3</v>
      </c>
      <c r="AA304" s="55">
        <f t="shared" si="48"/>
        <v>4.4684523584239471E-3</v>
      </c>
      <c r="AB304" s="55">
        <f t="shared" si="44"/>
        <v>-5.4170147222937715</v>
      </c>
      <c r="AC304" s="55">
        <f t="shared" si="49"/>
        <v>-5.4107274353151977</v>
      </c>
      <c r="AD304" s="55"/>
      <c r="AE304" s="55"/>
      <c r="AF304" s="55"/>
      <c r="AG304" s="55"/>
      <c r="AH304" s="55"/>
    </row>
    <row r="305" spans="1:34" ht="15.75">
      <c r="A305" s="39">
        <v>12.5216321</v>
      </c>
      <c r="B305" s="39">
        <v>12.7660518</v>
      </c>
      <c r="C305" s="39">
        <v>303</v>
      </c>
      <c r="D305">
        <v>303</v>
      </c>
      <c r="E305" s="10">
        <v>1331150</v>
      </c>
      <c r="F305" s="10">
        <v>1099140</v>
      </c>
      <c r="G305" s="10">
        <v>14961</v>
      </c>
      <c r="H305" s="10">
        <v>37820</v>
      </c>
      <c r="I305" s="10">
        <v>62645</v>
      </c>
      <c r="J305" s="10">
        <v>26813</v>
      </c>
      <c r="K305">
        <v>303</v>
      </c>
      <c r="L305" s="10">
        <v>2017</v>
      </c>
      <c r="M305" s="10">
        <v>399201</v>
      </c>
      <c r="N305" s="10">
        <v>4909</v>
      </c>
      <c r="O305">
        <v>0.36854100538845919</v>
      </c>
      <c r="P305">
        <v>1.0234700960169789</v>
      </c>
      <c r="Q305">
        <v>-0.40276090157099548</v>
      </c>
      <c r="R305">
        <v>0.40276090157099542</v>
      </c>
      <c r="S305">
        <f t="shared" si="50"/>
        <v>-0.84859702516450441</v>
      </c>
      <c r="T305" s="148">
        <f t="shared" si="45"/>
        <v>-0.85077189102756101</v>
      </c>
      <c r="U305">
        <f t="shared" si="51"/>
        <v>2.3566269862138802</v>
      </c>
      <c r="V305" s="55">
        <f t="shared" si="46"/>
        <v>2.3228107040183925</v>
      </c>
      <c r="W305">
        <f t="shared" si="52"/>
        <v>0.58344002930091632</v>
      </c>
      <c r="X305" s="55">
        <f t="shared" si="47"/>
        <v>0.57874166618086187</v>
      </c>
      <c r="Y305" s="149">
        <v>12.7660518</v>
      </c>
      <c r="Z305" s="55">
        <f t="shared" si="43"/>
        <v>4.4662190439798384E-3</v>
      </c>
      <c r="AA305" s="55">
        <f t="shared" si="48"/>
        <v>4.4135082889356992E-3</v>
      </c>
      <c r="AB305" s="55">
        <f t="shared" si="44"/>
        <v>-5.4112130797495075</v>
      </c>
      <c r="AC305" s="55">
        <f t="shared" si="49"/>
        <v>-5.4231699687505035</v>
      </c>
      <c r="AD305" s="55"/>
      <c r="AE305" s="55"/>
      <c r="AF305" s="55"/>
      <c r="AG305" s="55"/>
      <c r="AH305" s="55"/>
    </row>
    <row r="306" spans="1:34" ht="15.75">
      <c r="A306" s="39">
        <v>12.5270829</v>
      </c>
      <c r="B306" s="39">
        <v>12.7698757</v>
      </c>
      <c r="C306" s="39">
        <v>304</v>
      </c>
      <c r="D306">
        <v>304</v>
      </c>
      <c r="E306" s="10">
        <v>1365180</v>
      </c>
      <c r="F306" s="10">
        <v>1113310</v>
      </c>
      <c r="G306" s="10">
        <v>16105</v>
      </c>
      <c r="H306" s="10">
        <v>39675</v>
      </c>
      <c r="I306" s="10">
        <v>66067</v>
      </c>
      <c r="J306" s="10">
        <v>27683</v>
      </c>
      <c r="K306">
        <v>304</v>
      </c>
      <c r="L306" s="10">
        <v>2364</v>
      </c>
      <c r="M306" s="10">
        <v>398550</v>
      </c>
      <c r="N306" s="10">
        <v>4825</v>
      </c>
      <c r="O306">
        <v>0.37777143389439516</v>
      </c>
      <c r="P306">
        <v>1.001965878039073</v>
      </c>
      <c r="Q306">
        <v>-0.39155620627117566</v>
      </c>
      <c r="R306">
        <v>0.39155620627117554</v>
      </c>
      <c r="S306">
        <f t="shared" si="50"/>
        <v>-0.86985087224421975</v>
      </c>
      <c r="T306" s="148">
        <f t="shared" si="45"/>
        <v>-0.87394211131719757</v>
      </c>
      <c r="U306">
        <f t="shared" si="51"/>
        <v>2.3071116944614594</v>
      </c>
      <c r="V306" s="55">
        <f t="shared" si="46"/>
        <v>2.3160367499458516</v>
      </c>
      <c r="W306">
        <f t="shared" si="52"/>
        <v>0.54168872359634601</v>
      </c>
      <c r="X306" s="55">
        <f t="shared" si="47"/>
        <v>0.55822385949613818</v>
      </c>
      <c r="Y306" s="149">
        <v>12.7698757</v>
      </c>
      <c r="Z306" s="55">
        <f t="shared" si="43"/>
        <v>4.3339231660543785E-3</v>
      </c>
      <c r="AA306" s="55">
        <f t="shared" si="48"/>
        <v>4.4364505791084502E-3</v>
      </c>
      <c r="AB306" s="55">
        <f t="shared" si="44"/>
        <v>-5.4412821042082307</v>
      </c>
      <c r="AC306" s="55">
        <f t="shared" si="49"/>
        <v>-5.4180428652992267</v>
      </c>
      <c r="AD306" s="55"/>
      <c r="AE306" s="55"/>
      <c r="AF306" s="55"/>
      <c r="AG306" s="55"/>
      <c r="AH306" s="55"/>
    </row>
    <row r="307" spans="1:34" ht="15.75">
      <c r="A307" s="39">
        <v>12.5325337</v>
      </c>
      <c r="B307" s="39">
        <v>12.773699499999999</v>
      </c>
      <c r="C307" s="39">
        <v>305</v>
      </c>
      <c r="D307">
        <v>305</v>
      </c>
      <c r="E307" s="10">
        <v>1407433.75</v>
      </c>
      <c r="F307" s="10">
        <v>1111281.25</v>
      </c>
      <c r="G307" s="10">
        <v>16589.625</v>
      </c>
      <c r="H307" s="10">
        <v>41315.625</v>
      </c>
      <c r="I307" s="10">
        <v>70930.375</v>
      </c>
      <c r="J307" s="10">
        <v>28740.875</v>
      </c>
      <c r="K307">
        <v>305</v>
      </c>
      <c r="L307" s="10">
        <v>2413</v>
      </c>
      <c r="M307" s="10">
        <v>405699.3333</v>
      </c>
      <c r="N307" s="10">
        <v>5011</v>
      </c>
      <c r="O307">
        <v>0.39233227006095467</v>
      </c>
      <c r="P307">
        <v>0.99208996710382258</v>
      </c>
      <c r="Q307">
        <v>-0.39627775777931035</v>
      </c>
      <c r="R307">
        <v>0.3962777577793104</v>
      </c>
      <c r="S307">
        <f t="shared" si="50"/>
        <v>-0.90337843654286842</v>
      </c>
      <c r="T307" s="148">
        <f t="shared" si="45"/>
        <v>-0.88248865200093674</v>
      </c>
      <c r="U307">
        <f t="shared" si="51"/>
        <v>2.2843715691622153</v>
      </c>
      <c r="V307" s="55">
        <f t="shared" si="46"/>
        <v>2.2822882915736806</v>
      </c>
      <c r="W307">
        <f t="shared" si="52"/>
        <v>0.5495428255911522</v>
      </c>
      <c r="X307" s="55">
        <f t="shared" si="47"/>
        <v>0.55548650641411468</v>
      </c>
      <c r="Y307" s="149">
        <v>12.773699499999999</v>
      </c>
      <c r="Z307" s="55">
        <f t="shared" si="43"/>
        <v>4.5092095272911336E-3</v>
      </c>
      <c r="AA307" s="55">
        <f t="shared" si="48"/>
        <v>4.4175586960432563E-3</v>
      </c>
      <c r="AB307" s="55">
        <f t="shared" si="44"/>
        <v>-5.4016334119399394</v>
      </c>
      <c r="AC307" s="55">
        <f t="shared" si="49"/>
        <v>-5.4222998832099059</v>
      </c>
      <c r="AD307" s="55"/>
      <c r="AE307" s="55"/>
      <c r="AF307" s="55"/>
      <c r="AG307" s="55"/>
      <c r="AH307" s="55"/>
    </row>
    <row r="308" spans="1:34" ht="15.75">
      <c r="A308" s="39">
        <v>12.5379845</v>
      </c>
      <c r="B308" s="39">
        <v>12.7775233</v>
      </c>
      <c r="C308" s="39">
        <v>306</v>
      </c>
      <c r="D308">
        <v>306</v>
      </c>
      <c r="E308" s="10">
        <v>1422790</v>
      </c>
      <c r="F308" s="10">
        <v>1098980</v>
      </c>
      <c r="G308" s="10">
        <v>16524</v>
      </c>
      <c r="H308" s="10">
        <v>42278</v>
      </c>
      <c r="I308" s="10">
        <v>70406</v>
      </c>
      <c r="J308" s="10">
        <v>29372</v>
      </c>
      <c r="K308">
        <v>306</v>
      </c>
      <c r="L308" s="10">
        <v>2481</v>
      </c>
      <c r="M308" s="10">
        <v>403287</v>
      </c>
      <c r="N308" s="10">
        <v>4846</v>
      </c>
      <c r="O308">
        <v>0.37967615176338809</v>
      </c>
      <c r="P308">
        <v>0.97949978828565287</v>
      </c>
      <c r="Q308">
        <v>-0.40799924811352262</v>
      </c>
      <c r="R308">
        <v>0.40799924811352256</v>
      </c>
      <c r="S308">
        <f t="shared" si="50"/>
        <v>-0.87423664721572225</v>
      </c>
      <c r="T308" s="148">
        <f t="shared" si="45"/>
        <v>-0.89998887228076319</v>
      </c>
      <c r="U308">
        <f t="shared" si="51"/>
        <v>2.2553816110973681</v>
      </c>
      <c r="V308" s="55">
        <f t="shared" si="46"/>
        <v>2.29097522889613</v>
      </c>
      <c r="W308">
        <f t="shared" si="52"/>
        <v>0.57522797005484594</v>
      </c>
      <c r="X308" s="55">
        <f t="shared" si="47"/>
        <v>0.58294256210227846</v>
      </c>
      <c r="Y308" s="149">
        <v>12.7775233</v>
      </c>
      <c r="Z308" s="55">
        <f t="shared" si="43"/>
        <v>4.4095433947842549E-3</v>
      </c>
      <c r="AA308" s="55">
        <f t="shared" si="48"/>
        <v>4.4772903588121945E-3</v>
      </c>
      <c r="AB308" s="55">
        <f t="shared" si="44"/>
        <v>-5.4239841334815475</v>
      </c>
      <c r="AC308" s="55">
        <f t="shared" si="49"/>
        <v>-5.4087948410034832</v>
      </c>
      <c r="AD308" s="55"/>
      <c r="AE308" s="55"/>
      <c r="AF308" s="55"/>
      <c r="AG308" s="55"/>
      <c r="AH308" s="55"/>
    </row>
    <row r="309" spans="1:34" ht="15.75">
      <c r="A309" s="39">
        <v>12.543435199999999</v>
      </c>
      <c r="B309" s="39">
        <v>12.781347200000001</v>
      </c>
      <c r="C309" s="39">
        <v>307</v>
      </c>
      <c r="D309">
        <v>307</v>
      </c>
      <c r="E309" s="10">
        <v>1431660</v>
      </c>
      <c r="F309" s="10">
        <v>1099240</v>
      </c>
      <c r="G309" s="10">
        <v>14665</v>
      </c>
      <c r="H309" s="10">
        <v>39707</v>
      </c>
      <c r="I309" s="10">
        <v>68846</v>
      </c>
      <c r="J309" s="10">
        <v>27372</v>
      </c>
      <c r="K309">
        <v>307</v>
      </c>
      <c r="L309" s="10">
        <v>1985</v>
      </c>
      <c r="M309" s="10">
        <v>409403</v>
      </c>
      <c r="N309" s="10">
        <v>4961</v>
      </c>
      <c r="O309">
        <v>0.40057218119325511</v>
      </c>
      <c r="P309">
        <v>1.0132839448704101</v>
      </c>
      <c r="Q309">
        <v>-0.43258500854955012</v>
      </c>
      <c r="R309">
        <v>0.43258500854955007</v>
      </c>
      <c r="S309">
        <f t="shared" si="50"/>
        <v>-0.92235153308369899</v>
      </c>
      <c r="T309" s="148">
        <f t="shared" si="45"/>
        <v>-0.89272449432829093</v>
      </c>
      <c r="U309">
        <f t="shared" si="51"/>
        <v>2.3331725064288067</v>
      </c>
      <c r="V309" s="55">
        <f t="shared" si="46"/>
        <v>2.2982343552745115</v>
      </c>
      <c r="W309">
        <f t="shared" si="52"/>
        <v>0.62405689066083692</v>
      </c>
      <c r="X309" s="55">
        <f t="shared" si="47"/>
        <v>0.57670662742870205</v>
      </c>
      <c r="Y309" s="149">
        <v>12.781347200000001</v>
      </c>
      <c r="Z309" s="55">
        <f t="shared" si="43"/>
        <v>4.5131181543611948E-3</v>
      </c>
      <c r="AA309" s="55">
        <f t="shared" si="48"/>
        <v>4.4653732290329011E-3</v>
      </c>
      <c r="AB309" s="55">
        <f t="shared" si="44"/>
        <v>-5.4007669775889617</v>
      </c>
      <c r="AC309" s="55">
        <f t="shared" si="49"/>
        <v>-5.4114482159583064</v>
      </c>
      <c r="AD309" s="55"/>
      <c r="AE309" s="55"/>
      <c r="AF309" s="55"/>
      <c r="AG309" s="55"/>
      <c r="AH309" s="55"/>
    </row>
    <row r="310" spans="1:34" ht="15.75">
      <c r="A310" s="39">
        <v>12.548886</v>
      </c>
      <c r="B310" s="39">
        <v>12.785171</v>
      </c>
      <c r="C310" s="39">
        <v>308</v>
      </c>
      <c r="D310">
        <v>308</v>
      </c>
      <c r="E310" s="10">
        <v>1410440</v>
      </c>
      <c r="F310" s="10">
        <v>1117480</v>
      </c>
      <c r="G310" s="10">
        <v>16783</v>
      </c>
      <c r="H310" s="10">
        <v>41146</v>
      </c>
      <c r="I310" s="10">
        <v>68909</v>
      </c>
      <c r="J310" s="10">
        <v>28537</v>
      </c>
      <c r="K310">
        <v>308</v>
      </c>
      <c r="L310" s="10">
        <v>2032</v>
      </c>
      <c r="M310" s="10">
        <v>412929</v>
      </c>
      <c r="N310" s="10">
        <v>4999</v>
      </c>
      <c r="O310">
        <v>0.38286763228329956</v>
      </c>
      <c r="P310">
        <v>1.0015477626925307</v>
      </c>
      <c r="Q310">
        <v>-0.38945802717759348</v>
      </c>
      <c r="R310">
        <v>0.38945802717759348</v>
      </c>
      <c r="S310">
        <f t="shared" si="50"/>
        <v>-0.88158530268545143</v>
      </c>
      <c r="T310" s="148">
        <f t="shared" si="45"/>
        <v>-0.91314543411212934</v>
      </c>
      <c r="U310">
        <f t="shared" si="51"/>
        <v>2.3061489482973592</v>
      </c>
      <c r="V310" s="55">
        <f t="shared" si="46"/>
        <v>2.3055667623598084</v>
      </c>
      <c r="W310">
        <f t="shared" si="52"/>
        <v>0.5308350215704235</v>
      </c>
      <c r="X310" s="55">
        <f t="shared" si="47"/>
        <v>0.54771471938291361</v>
      </c>
      <c r="Y310" s="149">
        <v>12.785171</v>
      </c>
      <c r="Z310" s="55">
        <f t="shared" si="43"/>
        <v>4.4734581379532517E-3</v>
      </c>
      <c r="AA310" s="55">
        <f t="shared" si="48"/>
        <v>4.5738733668125196E-3</v>
      </c>
      <c r="AB310" s="55">
        <f t="shared" si="44"/>
        <v>-5.4095935368044135</v>
      </c>
      <c r="AC310" s="55">
        <f t="shared" si="49"/>
        <v>-5.3877082716002436</v>
      </c>
      <c r="AD310" s="55"/>
      <c r="AE310" s="55"/>
      <c r="AF310" s="55"/>
      <c r="AG310" s="55"/>
      <c r="AH310" s="55"/>
    </row>
    <row r="311" spans="1:34" ht="15.75">
      <c r="A311" s="39">
        <v>12.5543368</v>
      </c>
      <c r="B311" s="39">
        <v>12.788994799999999</v>
      </c>
      <c r="C311" s="39">
        <v>309</v>
      </c>
      <c r="D311">
        <v>309</v>
      </c>
      <c r="E311" s="10">
        <v>1398580</v>
      </c>
      <c r="F311" s="10">
        <v>1115090</v>
      </c>
      <c r="G311" s="10">
        <v>17410</v>
      </c>
      <c r="H311" s="10">
        <v>40914</v>
      </c>
      <c r="I311" s="10">
        <v>72298</v>
      </c>
      <c r="J311" s="10">
        <v>28369</v>
      </c>
      <c r="K311">
        <v>309</v>
      </c>
      <c r="L311" s="10">
        <v>2168</v>
      </c>
      <c r="M311" s="10">
        <v>398956</v>
      </c>
      <c r="N311" s="10">
        <v>5280</v>
      </c>
      <c r="O311">
        <v>0.40628225615358671</v>
      </c>
      <c r="P311">
        <v>0.98905306009429106</v>
      </c>
      <c r="Q311">
        <v>-0.37107316971094573</v>
      </c>
      <c r="R311">
        <v>0.37107316971094567</v>
      </c>
      <c r="S311">
        <f t="shared" si="50"/>
        <v>-0.93549946656723726</v>
      </c>
      <c r="T311" s="148">
        <f t="shared" si="45"/>
        <v>-0.94636907833445783</v>
      </c>
      <c r="U311">
        <f t="shared" si="51"/>
        <v>2.2773788323532589</v>
      </c>
      <c r="V311" s="55">
        <f t="shared" si="46"/>
        <v>2.2937126859346653</v>
      </c>
      <c r="W311">
        <f t="shared" si="52"/>
        <v>0.48825224591748051</v>
      </c>
      <c r="X311" s="55">
        <f t="shared" si="47"/>
        <v>0.51845881697642671</v>
      </c>
      <c r="Y311" s="149">
        <v>12.788994799999999</v>
      </c>
      <c r="Z311" s="55">
        <f t="shared" si="43"/>
        <v>4.7350438081231114E-3</v>
      </c>
      <c r="AA311" s="55">
        <f t="shared" si="48"/>
        <v>4.5424822760812365E-3</v>
      </c>
      <c r="AB311" s="55">
        <f t="shared" si="44"/>
        <v>-5.3527643004073573</v>
      </c>
      <c r="AC311" s="55">
        <f t="shared" si="49"/>
        <v>-5.3947373876809683</v>
      </c>
      <c r="AD311" s="55"/>
      <c r="AE311" s="55"/>
      <c r="AF311" s="55"/>
      <c r="AG311" s="55"/>
      <c r="AH311" s="55"/>
    </row>
    <row r="312" spans="1:34" ht="15.75">
      <c r="A312" s="39">
        <v>12.5597876</v>
      </c>
      <c r="B312" s="39">
        <v>12.7928187</v>
      </c>
      <c r="C312" s="39">
        <v>310</v>
      </c>
      <c r="D312">
        <v>310</v>
      </c>
      <c r="E312" s="10">
        <v>1489560</v>
      </c>
      <c r="F312" s="10">
        <v>1134660</v>
      </c>
      <c r="G312" s="10">
        <v>17014</v>
      </c>
      <c r="H312" s="10">
        <v>43023</v>
      </c>
      <c r="I312" s="10">
        <v>80830</v>
      </c>
      <c r="J312" s="10">
        <v>29088</v>
      </c>
      <c r="K312">
        <v>310</v>
      </c>
      <c r="L312" s="10">
        <v>2265</v>
      </c>
      <c r="M312" s="10">
        <v>428095</v>
      </c>
      <c r="N312" s="10">
        <v>5014</v>
      </c>
      <c r="O312">
        <v>0.44385871725667753</v>
      </c>
      <c r="P312">
        <v>0.99783946493191278</v>
      </c>
      <c r="Q312">
        <v>-0.40289426205535295</v>
      </c>
      <c r="R312">
        <v>0.402894262055353</v>
      </c>
      <c r="S312">
        <f t="shared" si="50"/>
        <v>-1.0220224657506847</v>
      </c>
      <c r="T312" s="148">
        <f t="shared" si="45"/>
        <v>-0.97537441924500456</v>
      </c>
      <c r="U312">
        <f t="shared" si="51"/>
        <v>2.2976102771533773</v>
      </c>
      <c r="V312" s="55">
        <f t="shared" si="46"/>
        <v>2.2882778556134031</v>
      </c>
      <c r="W312">
        <f t="shared" si="52"/>
        <v>0.53628918344137577</v>
      </c>
      <c r="X312" s="55">
        <f t="shared" si="47"/>
        <v>0.52869012039074648</v>
      </c>
      <c r="Y312" s="149">
        <v>12.7928187</v>
      </c>
      <c r="Z312" s="55">
        <f t="shared" si="43"/>
        <v>4.4189448821673454E-3</v>
      </c>
      <c r="AA312" s="55">
        <f t="shared" si="48"/>
        <v>4.660746344949983E-3</v>
      </c>
      <c r="AB312" s="55">
        <f t="shared" si="44"/>
        <v>-5.4218543258311351</v>
      </c>
      <c r="AC312" s="55">
        <f t="shared" si="49"/>
        <v>-5.3692965835622779</v>
      </c>
      <c r="AD312" s="55"/>
      <c r="AE312" s="55"/>
      <c r="AF312" s="55"/>
      <c r="AG312" s="55"/>
      <c r="AH312" s="55"/>
    </row>
    <row r="313" spans="1:34" ht="15.75">
      <c r="A313" s="39">
        <v>12.565238300000001</v>
      </c>
      <c r="B313" s="39">
        <v>12.796642500000001</v>
      </c>
      <c r="C313" s="39">
        <v>311</v>
      </c>
      <c r="D313">
        <v>311</v>
      </c>
      <c r="E313" s="10">
        <v>1493620</v>
      </c>
      <c r="F313" s="10">
        <v>1131880</v>
      </c>
      <c r="G313" s="10">
        <v>17158</v>
      </c>
      <c r="H313" s="10">
        <v>43800</v>
      </c>
      <c r="I313" s="10">
        <v>79249</v>
      </c>
      <c r="J313" s="10">
        <v>30084</v>
      </c>
      <c r="K313">
        <v>311</v>
      </c>
      <c r="L313" s="10">
        <v>2477</v>
      </c>
      <c r="M313" s="10">
        <v>432455</v>
      </c>
      <c r="N313" s="10">
        <v>5465</v>
      </c>
      <c r="O313">
        <v>0.42065821079281901</v>
      </c>
      <c r="P313">
        <v>0.99446681223671707</v>
      </c>
      <c r="Q313">
        <v>-0.4070074470138379</v>
      </c>
      <c r="R313">
        <v>0.40700744701383784</v>
      </c>
      <c r="S313">
        <f t="shared" si="50"/>
        <v>-0.96860132541709199</v>
      </c>
      <c r="T313" s="148">
        <f t="shared" si="45"/>
        <v>-0.99242757088149514</v>
      </c>
      <c r="U313">
        <f t="shared" si="51"/>
        <v>2.2898444573335732</v>
      </c>
      <c r="V313" s="55">
        <f t="shared" si="46"/>
        <v>2.2902398414120371</v>
      </c>
      <c r="W313">
        <f t="shared" si="52"/>
        <v>0.56152893181338315</v>
      </c>
      <c r="X313" s="55">
        <f t="shared" si="47"/>
        <v>0.5596123186132832</v>
      </c>
      <c r="Y313" s="149">
        <v>12.796642500000001</v>
      </c>
      <c r="Z313" s="55">
        <f t="shared" si="43"/>
        <v>4.8282503445594939E-3</v>
      </c>
      <c r="AA313" s="55">
        <f t="shared" si="48"/>
        <v>4.5709363129153675E-3</v>
      </c>
      <c r="AB313" s="55">
        <f t="shared" si="44"/>
        <v>-5.3332711244483422</v>
      </c>
      <c r="AC313" s="55">
        <f t="shared" si="49"/>
        <v>-5.3888246916260245</v>
      </c>
      <c r="AD313" s="55"/>
      <c r="AE313" s="55"/>
      <c r="AF313" s="55"/>
      <c r="AG313" s="55"/>
      <c r="AH313" s="55"/>
    </row>
    <row r="314" spans="1:34" ht="15.75">
      <c r="A314" s="39">
        <v>12.570689099999999</v>
      </c>
      <c r="B314" s="39">
        <v>12.8004663</v>
      </c>
      <c r="C314" s="39">
        <v>312</v>
      </c>
      <c r="D314">
        <v>312</v>
      </c>
      <c r="E314" s="10">
        <v>1497120</v>
      </c>
      <c r="F314" s="10">
        <v>1129520</v>
      </c>
      <c r="G314" s="10">
        <v>16885</v>
      </c>
      <c r="H314" s="10">
        <v>43993</v>
      </c>
      <c r="I314" s="10">
        <v>80972</v>
      </c>
      <c r="J314" s="10">
        <v>30188</v>
      </c>
      <c r="K314">
        <v>312</v>
      </c>
      <c r="L314" s="10">
        <v>2277</v>
      </c>
      <c r="M314" s="10">
        <v>431512</v>
      </c>
      <c r="N314" s="10">
        <v>5044</v>
      </c>
      <c r="O314">
        <v>0.42850052511794856</v>
      </c>
      <c r="P314">
        <v>0.99160929891204908</v>
      </c>
      <c r="Q314">
        <v>-0.41588251371425627</v>
      </c>
      <c r="R314">
        <v>0.41588251371425627</v>
      </c>
      <c r="S314">
        <f t="shared" si="50"/>
        <v>-0.98665892147670897</v>
      </c>
      <c r="T314" s="148">
        <f t="shared" si="45"/>
        <v>-1.0124835735694504</v>
      </c>
      <c r="U314">
        <f t="shared" si="51"/>
        <v>2.2832647897491611</v>
      </c>
      <c r="V314" s="55">
        <f t="shared" si="46"/>
        <v>2.2841528402751607</v>
      </c>
      <c r="W314">
        <f t="shared" si="52"/>
        <v>0.5810188405850909</v>
      </c>
      <c r="X314" s="55">
        <f t="shared" si="47"/>
        <v>0.56161543681547699</v>
      </c>
      <c r="Y314" s="149">
        <v>12.8004663</v>
      </c>
      <c r="Z314" s="55">
        <f t="shared" si="43"/>
        <v>4.4656137120192649E-3</v>
      </c>
      <c r="AA314" s="55">
        <f t="shared" si="48"/>
        <v>4.6282690879947712E-3</v>
      </c>
      <c r="AB314" s="55">
        <f t="shared" si="44"/>
        <v>-5.4113486245985962</v>
      </c>
      <c r="AC314" s="55">
        <f t="shared" si="49"/>
        <v>-5.376096511085894</v>
      </c>
      <c r="AD314" s="55"/>
      <c r="AE314" s="55"/>
      <c r="AF314" s="55"/>
      <c r="AG314" s="55"/>
      <c r="AH314" s="55"/>
    </row>
    <row r="315" spans="1:34" ht="15.75">
      <c r="A315" s="39">
        <v>12.576139899999999</v>
      </c>
      <c r="B315" s="39">
        <v>12.804290200000001</v>
      </c>
      <c r="C315" s="39">
        <v>313</v>
      </c>
      <c r="D315">
        <v>313</v>
      </c>
      <c r="E315" s="10">
        <v>1488490</v>
      </c>
      <c r="F315" s="10">
        <v>1119160</v>
      </c>
      <c r="G315" s="10">
        <v>17158</v>
      </c>
      <c r="H315" s="10">
        <v>43552</v>
      </c>
      <c r="I315" s="10">
        <v>87091</v>
      </c>
      <c r="J315" s="10">
        <v>29511</v>
      </c>
      <c r="K315">
        <v>313</v>
      </c>
      <c r="L315" s="10">
        <v>2730</v>
      </c>
      <c r="M315" s="10">
        <v>425517</v>
      </c>
      <c r="N315" s="10">
        <v>5138</v>
      </c>
      <c r="O315">
        <v>0.46998935114592494</v>
      </c>
      <c r="P315">
        <v>0.98990881191666014</v>
      </c>
      <c r="Q315">
        <v>-0.40454144003297898</v>
      </c>
      <c r="R315">
        <v>0.40454144003297898</v>
      </c>
      <c r="S315">
        <f t="shared" si="50"/>
        <v>-1.0821904738145507</v>
      </c>
      <c r="T315" s="148">
        <f t="shared" si="45"/>
        <v>-1.0296925632311276</v>
      </c>
      <c r="U315">
        <f t="shared" si="51"/>
        <v>2.2793492737427483</v>
      </c>
      <c r="V315" s="55">
        <f t="shared" si="46"/>
        <v>2.2749535694631642</v>
      </c>
      <c r="W315">
        <f t="shared" si="52"/>
        <v>0.54229853804795713</v>
      </c>
      <c r="X315" s="55">
        <f t="shared" si="47"/>
        <v>0.56321893418995328</v>
      </c>
      <c r="Y315" s="149">
        <v>12.804290200000001</v>
      </c>
      <c r="Z315" s="55">
        <f t="shared" si="43"/>
        <v>4.5909432074055538E-3</v>
      </c>
      <c r="AA315" s="55">
        <f t="shared" si="48"/>
        <v>4.537453825076458E-3</v>
      </c>
      <c r="AB315" s="55">
        <f t="shared" si="44"/>
        <v>-5.3836697842107446</v>
      </c>
      <c r="AC315" s="55">
        <f t="shared" si="49"/>
        <v>-5.3954571804419578</v>
      </c>
      <c r="AD315" s="55"/>
      <c r="AE315" s="55"/>
      <c r="AF315" s="55"/>
      <c r="AG315" s="55"/>
      <c r="AH315" s="55"/>
    </row>
    <row r="316" spans="1:34" ht="15.75">
      <c r="A316" s="39">
        <v>12.5815907</v>
      </c>
      <c r="B316" s="39">
        <v>12.808114</v>
      </c>
      <c r="C316" s="39">
        <v>314</v>
      </c>
      <c r="D316">
        <v>314</v>
      </c>
      <c r="E316" s="10">
        <v>1478360</v>
      </c>
      <c r="F316" s="10">
        <v>1111110</v>
      </c>
      <c r="G316" s="10">
        <v>16877</v>
      </c>
      <c r="H316" s="10">
        <v>43634</v>
      </c>
      <c r="I316" s="10">
        <v>82477</v>
      </c>
      <c r="J316" s="10">
        <v>29734</v>
      </c>
      <c r="K316">
        <v>314</v>
      </c>
      <c r="L316" s="10">
        <v>2394</v>
      </c>
      <c r="M316" s="10">
        <v>419089</v>
      </c>
      <c r="N316" s="10">
        <v>5062</v>
      </c>
      <c r="O316">
        <v>0.4430795185404085</v>
      </c>
      <c r="P316">
        <v>0.98248123458316505</v>
      </c>
      <c r="Q316">
        <v>-0.41252977690407616</v>
      </c>
      <c r="R316">
        <v>0.41252977690407622</v>
      </c>
      <c r="S316">
        <f t="shared" si="50"/>
        <v>-1.0202282944021235</v>
      </c>
      <c r="T316" s="148">
        <f t="shared" si="45"/>
        <v>-1.081737501084528</v>
      </c>
      <c r="U316">
        <f t="shared" si="51"/>
        <v>2.2622466448975822</v>
      </c>
      <c r="V316" s="55">
        <f t="shared" si="46"/>
        <v>2.2699798562984239</v>
      </c>
      <c r="W316">
        <f t="shared" si="52"/>
        <v>0.5663394239368118</v>
      </c>
      <c r="X316" s="55">
        <f t="shared" si="47"/>
        <v>0.54081303240532097</v>
      </c>
      <c r="Y316" s="149">
        <v>12.808114</v>
      </c>
      <c r="Z316" s="55">
        <f t="shared" si="43"/>
        <v>4.5558045558045561E-3</v>
      </c>
      <c r="AA316" s="55">
        <f t="shared" si="48"/>
        <v>4.5625889725096217E-3</v>
      </c>
      <c r="AB316" s="55">
        <f t="shared" si="44"/>
        <v>-5.3913531325165307</v>
      </c>
      <c r="AC316" s="55">
        <f t="shared" si="49"/>
        <v>-5.3898755751728826</v>
      </c>
      <c r="AD316" s="55"/>
      <c r="AE316" s="55"/>
      <c r="AF316" s="55"/>
      <c r="AG316" s="55"/>
      <c r="AH316" s="55"/>
    </row>
    <row r="317" spans="1:34" ht="15.75">
      <c r="A317" s="39">
        <v>12.5870415</v>
      </c>
      <c r="B317" s="39">
        <v>12.811937800000001</v>
      </c>
      <c r="C317" s="39">
        <v>315</v>
      </c>
      <c r="D317">
        <v>315</v>
      </c>
      <c r="E317" s="10">
        <v>1484750</v>
      </c>
      <c r="F317" s="10">
        <v>1106800</v>
      </c>
      <c r="G317" s="10">
        <v>17450</v>
      </c>
      <c r="H317" s="10">
        <v>43429</v>
      </c>
      <c r="I317" s="10">
        <v>91463</v>
      </c>
      <c r="J317" s="10">
        <v>29170</v>
      </c>
      <c r="K317">
        <v>315</v>
      </c>
      <c r="L317" s="10">
        <v>2843</v>
      </c>
      <c r="M317" s="10">
        <v>419671</v>
      </c>
      <c r="N317" s="10">
        <v>5026</v>
      </c>
      <c r="O317">
        <v>0.49630901308013675</v>
      </c>
      <c r="P317">
        <v>0.98512913036600103</v>
      </c>
      <c r="Q317">
        <v>-0.39598439807895958</v>
      </c>
      <c r="R317">
        <v>0.39598439807895952</v>
      </c>
      <c r="S317">
        <f t="shared" si="50"/>
        <v>-1.1427937350369097</v>
      </c>
      <c r="T317" s="148">
        <f t="shared" si="45"/>
        <v>-1.0967172824447062</v>
      </c>
      <c r="U317">
        <f t="shared" si="51"/>
        <v>2.2683436502549417</v>
      </c>
      <c r="V317" s="55">
        <f t="shared" si="46"/>
        <v>2.2774466473026806</v>
      </c>
      <c r="W317">
        <f t="shared" si="52"/>
        <v>0.51380113523119386</v>
      </c>
      <c r="X317" s="55">
        <f t="shared" si="47"/>
        <v>0.54806846755050309</v>
      </c>
      <c r="Y317" s="149">
        <v>12.811937800000001</v>
      </c>
      <c r="Z317" s="55">
        <f t="shared" si="43"/>
        <v>4.5410191543187569E-3</v>
      </c>
      <c r="AA317" s="55">
        <f t="shared" si="48"/>
        <v>4.4901925421288284E-3</v>
      </c>
      <c r="AB317" s="55">
        <f t="shared" si="44"/>
        <v>-5.3946038087913708</v>
      </c>
      <c r="AC317" s="55">
        <f t="shared" si="49"/>
        <v>-5.4060301867296614</v>
      </c>
      <c r="AD317" s="55"/>
      <c r="AE317" s="55"/>
      <c r="AF317" s="55"/>
      <c r="AG317" s="55"/>
      <c r="AH317" s="55"/>
    </row>
    <row r="318" spans="1:34" ht="15.75">
      <c r="A318" s="39">
        <v>12.592492200000001</v>
      </c>
      <c r="B318" s="39">
        <v>12.815761699999999</v>
      </c>
      <c r="C318" s="39">
        <v>316</v>
      </c>
      <c r="D318">
        <v>316</v>
      </c>
      <c r="E318" s="10">
        <v>1499330</v>
      </c>
      <c r="F318" s="10">
        <v>1123520</v>
      </c>
      <c r="G318" s="10">
        <v>16788</v>
      </c>
      <c r="H318" s="10">
        <v>42989</v>
      </c>
      <c r="I318" s="10">
        <v>91091</v>
      </c>
      <c r="J318" s="10">
        <v>29510</v>
      </c>
      <c r="K318">
        <v>316</v>
      </c>
      <c r="L318" s="10">
        <v>2450</v>
      </c>
      <c r="M318" s="10">
        <v>429531</v>
      </c>
      <c r="N318" s="10">
        <v>4914</v>
      </c>
      <c r="O318">
        <v>0.4895062603004528</v>
      </c>
      <c r="P318">
        <v>0.99963717030868049</v>
      </c>
      <c r="Q318">
        <v>-0.40835838223903176</v>
      </c>
      <c r="R318">
        <v>0.40835838223903176</v>
      </c>
      <c r="S318">
        <f t="shared" si="50"/>
        <v>-1.1271298178950855</v>
      </c>
      <c r="T318" s="148">
        <f t="shared" si="45"/>
        <v>-1.0963374514194901</v>
      </c>
      <c r="U318">
        <f t="shared" si="51"/>
        <v>2.3017496467555176</v>
      </c>
      <c r="V318" s="55">
        <f t="shared" si="46"/>
        <v>2.2871369997537752</v>
      </c>
      <c r="W318">
        <f t="shared" si="52"/>
        <v>0.56406484348350361</v>
      </c>
      <c r="X318" s="55">
        <f t="shared" si="47"/>
        <v>0.54671752532044504</v>
      </c>
      <c r="Y318" s="149">
        <v>12.815761699999999</v>
      </c>
      <c r="Z318" s="55">
        <f t="shared" si="43"/>
        <v>4.3737539162631732E-3</v>
      </c>
      <c r="AA318" s="55">
        <f t="shared" si="48"/>
        <v>4.5549183741387441E-3</v>
      </c>
      <c r="AB318" s="55">
        <f t="shared" si="44"/>
        <v>-5.43213361888108</v>
      </c>
      <c r="AC318" s="55">
        <f t="shared" si="49"/>
        <v>-5.3921172890587927</v>
      </c>
      <c r="AD318" s="55"/>
      <c r="AE318" s="55"/>
      <c r="AF318" s="55"/>
      <c r="AG318" s="55"/>
      <c r="AH318" s="55"/>
    </row>
    <row r="319" spans="1:34" ht="15.75">
      <c r="A319" s="39">
        <v>12.597943000000001</v>
      </c>
      <c r="B319" s="39">
        <v>12.819585500000001</v>
      </c>
      <c r="C319" s="39">
        <v>317</v>
      </c>
      <c r="D319">
        <v>317</v>
      </c>
      <c r="E319" s="10">
        <v>1460840</v>
      </c>
      <c r="F319" s="10">
        <v>1114320</v>
      </c>
      <c r="G319" s="10">
        <v>16399</v>
      </c>
      <c r="H319" s="10">
        <v>42395</v>
      </c>
      <c r="I319" s="10">
        <v>79726</v>
      </c>
      <c r="J319" s="10">
        <v>28775</v>
      </c>
      <c r="K319">
        <v>317</v>
      </c>
      <c r="L319" s="10">
        <v>2272</v>
      </c>
      <c r="M319" s="10">
        <v>419200</v>
      </c>
      <c r="N319" s="10">
        <v>5293</v>
      </c>
      <c r="O319">
        <v>0.4425846429854875</v>
      </c>
      <c r="P319">
        <v>0.9951066343747893</v>
      </c>
      <c r="Q319">
        <v>-0.41249727373142248</v>
      </c>
      <c r="R319">
        <v>0.41249727373142248</v>
      </c>
      <c r="S319">
        <f t="shared" si="50"/>
        <v>-1.0190888013264754</v>
      </c>
      <c r="T319" s="148">
        <f t="shared" si="45"/>
        <v>-1.0700136083879006</v>
      </c>
      <c r="U319">
        <f t="shared" si="51"/>
        <v>2.2913177022508662</v>
      </c>
      <c r="V319" s="55">
        <f t="shared" si="46"/>
        <v>2.2892506140445215</v>
      </c>
      <c r="W319">
        <f t="shared" si="52"/>
        <v>0.56228659724663776</v>
      </c>
      <c r="X319" s="55">
        <f t="shared" si="47"/>
        <v>0.54967192121333708</v>
      </c>
      <c r="Y319" s="149">
        <v>12.819585500000001</v>
      </c>
      <c r="Z319" s="55">
        <f t="shared" si="43"/>
        <v>4.7499820518343023E-3</v>
      </c>
      <c r="AA319" s="55">
        <f t="shared" si="48"/>
        <v>4.5491732635934206E-3</v>
      </c>
      <c r="AB319" s="55">
        <f t="shared" si="44"/>
        <v>-5.3496144395039256</v>
      </c>
      <c r="AC319" s="55">
        <f t="shared" si="49"/>
        <v>-5.3933848549359551</v>
      </c>
      <c r="AD319" s="55"/>
      <c r="AE319" s="55"/>
      <c r="AF319" s="55"/>
      <c r="AG319" s="55"/>
      <c r="AH319" s="55"/>
    </row>
    <row r="320" spans="1:34" ht="15.75">
      <c r="A320" s="39">
        <v>12.603393799999999</v>
      </c>
      <c r="B320" s="39">
        <v>12.8234093</v>
      </c>
      <c r="C320" s="39">
        <v>318</v>
      </c>
      <c r="D320">
        <v>318</v>
      </c>
      <c r="E320" s="10">
        <v>1450660</v>
      </c>
      <c r="F320" s="10">
        <v>1111680</v>
      </c>
      <c r="G320" s="10">
        <v>17197</v>
      </c>
      <c r="H320" s="10">
        <v>42744</v>
      </c>
      <c r="I320" s="10">
        <v>84034</v>
      </c>
      <c r="J320" s="10">
        <v>29003</v>
      </c>
      <c r="K320">
        <v>318</v>
      </c>
      <c r="L320" s="10">
        <v>2546</v>
      </c>
      <c r="M320" s="10">
        <v>415679</v>
      </c>
      <c r="N320" s="10">
        <v>5029</v>
      </c>
      <c r="O320">
        <v>0.46201211376681672</v>
      </c>
      <c r="P320">
        <v>0.98788292343603012</v>
      </c>
      <c r="Q320">
        <v>-0.39542246991163088</v>
      </c>
      <c r="R320">
        <v>0.39542246991163083</v>
      </c>
      <c r="S320">
        <f t="shared" si="50"/>
        <v>-1.0638222059421412</v>
      </c>
      <c r="T320" s="148">
        <f t="shared" si="45"/>
        <v>-1.0445942032212594</v>
      </c>
      <c r="U320">
        <f t="shared" si="51"/>
        <v>2.274684493127181</v>
      </c>
      <c r="V320" s="55">
        <f t="shared" si="46"/>
        <v>2.271910148384372</v>
      </c>
      <c r="W320">
        <f t="shared" si="52"/>
        <v>0.52266432290986975</v>
      </c>
      <c r="X320" s="55">
        <f t="shared" si="47"/>
        <v>0.54022884160159113</v>
      </c>
      <c r="Y320" s="149">
        <v>12.8234093</v>
      </c>
      <c r="Z320" s="55">
        <f t="shared" si="43"/>
        <v>4.5237838226827864E-3</v>
      </c>
      <c r="AA320" s="55">
        <f t="shared" si="48"/>
        <v>4.661137386508884E-3</v>
      </c>
      <c r="AB320" s="55">
        <f t="shared" si="44"/>
        <v>-5.3984065064228579</v>
      </c>
      <c r="AC320" s="55">
        <f t="shared" si="49"/>
        <v>-5.3687211394749097</v>
      </c>
      <c r="AD320" s="55"/>
      <c r="AE320" s="55"/>
      <c r="AF320" s="55"/>
      <c r="AG320" s="55"/>
      <c r="AH320" s="55"/>
    </row>
    <row r="321" spans="1:34" ht="15.75">
      <c r="A321" s="39">
        <v>12.608844599999999</v>
      </c>
      <c r="B321" s="39">
        <v>12.8272332</v>
      </c>
      <c r="C321" s="39">
        <v>319</v>
      </c>
      <c r="D321">
        <v>319</v>
      </c>
      <c r="E321" s="10">
        <v>1474310</v>
      </c>
      <c r="F321" s="10">
        <v>1118980</v>
      </c>
      <c r="G321" s="10">
        <v>17278</v>
      </c>
      <c r="H321" s="10">
        <v>43289</v>
      </c>
      <c r="I321" s="10">
        <v>84440</v>
      </c>
      <c r="J321" s="10">
        <v>29523</v>
      </c>
      <c r="K321">
        <v>319</v>
      </c>
      <c r="L321" s="10">
        <v>2847</v>
      </c>
      <c r="M321" s="10">
        <v>410603</v>
      </c>
      <c r="N321" s="10">
        <v>5270</v>
      </c>
      <c r="O321">
        <v>0.45638773810904681</v>
      </c>
      <c r="P321">
        <v>0.97704456465917278</v>
      </c>
      <c r="Q321">
        <v>-0.39888408381599044</v>
      </c>
      <c r="R321">
        <v>0.3988840838159905</v>
      </c>
      <c r="S321">
        <f t="shared" si="50"/>
        <v>-1.0508716023951616</v>
      </c>
      <c r="T321" s="148">
        <f t="shared" si="45"/>
        <v>-1.0531391390914719</v>
      </c>
      <c r="U321">
        <f t="shared" si="51"/>
        <v>2.2497282497750684</v>
      </c>
      <c r="V321" s="55">
        <f t="shared" si="46"/>
        <v>2.2637974936640153</v>
      </c>
      <c r="W321">
        <f t="shared" si="52"/>
        <v>0.53573560464826575</v>
      </c>
      <c r="X321" s="55">
        <f t="shared" si="47"/>
        <v>0.52973297959602184</v>
      </c>
      <c r="Y321" s="149">
        <v>12.8272332</v>
      </c>
      <c r="Z321" s="55">
        <f t="shared" si="43"/>
        <v>4.7096462850095624E-3</v>
      </c>
      <c r="AA321" s="55">
        <f t="shared" si="48"/>
        <v>4.5776580846648568E-3</v>
      </c>
      <c r="AB321" s="55">
        <f t="shared" si="44"/>
        <v>-5.3581424724979456</v>
      </c>
      <c r="AC321" s="55">
        <f t="shared" si="49"/>
        <v>-5.3867760556932227</v>
      </c>
      <c r="AD321" s="55"/>
      <c r="AE321" s="55"/>
      <c r="AF321" s="55"/>
      <c r="AG321" s="55"/>
      <c r="AH321" s="55"/>
    </row>
    <row r="322" spans="1:34" ht="15.75">
      <c r="A322" s="39">
        <v>12.6142953</v>
      </c>
      <c r="B322" s="39">
        <v>12.831056999999999</v>
      </c>
      <c r="C322" s="39">
        <v>320</v>
      </c>
      <c r="D322">
        <v>320</v>
      </c>
      <c r="E322" s="10">
        <v>1483870</v>
      </c>
      <c r="F322" s="10">
        <v>1118780</v>
      </c>
      <c r="G322" s="10">
        <v>17567</v>
      </c>
      <c r="H322" s="10">
        <v>43449</v>
      </c>
      <c r="I322" s="10">
        <v>84906</v>
      </c>
      <c r="J322" s="10">
        <v>29869</v>
      </c>
      <c r="K322">
        <v>320</v>
      </c>
      <c r="L322" s="10">
        <v>2630</v>
      </c>
      <c r="M322" s="10">
        <v>419292</v>
      </c>
      <c r="N322" s="10">
        <v>5034</v>
      </c>
      <c r="O322">
        <v>0.45371769847543897</v>
      </c>
      <c r="P322">
        <v>0.98453679083887746</v>
      </c>
      <c r="Q322">
        <v>-0.39328218410294585</v>
      </c>
      <c r="R322">
        <v>0.39328218410294591</v>
      </c>
      <c r="S322">
        <f t="shared" si="50"/>
        <v>-1.044723608937113</v>
      </c>
      <c r="T322" s="148">
        <f t="shared" si="45"/>
        <v>-1.0387302095360491</v>
      </c>
      <c r="U322">
        <f t="shared" si="51"/>
        <v>2.266979738089796</v>
      </c>
      <c r="V322" s="55">
        <f t="shared" si="46"/>
        <v>2.2550914093853716</v>
      </c>
      <c r="W322">
        <f t="shared" si="52"/>
        <v>0.53079901122993023</v>
      </c>
      <c r="X322" s="55">
        <f t="shared" si="47"/>
        <v>0.54147830372620065</v>
      </c>
      <c r="Y322" s="149">
        <v>12.831056999999999</v>
      </c>
      <c r="Z322" s="55">
        <f t="shared" si="43"/>
        <v>4.4995441463022224E-3</v>
      </c>
      <c r="AA322" s="55">
        <f t="shared" si="48"/>
        <v>4.5448216699982315E-3</v>
      </c>
      <c r="AB322" s="55">
        <f t="shared" si="44"/>
        <v>-5.4037791881588664</v>
      </c>
      <c r="AC322" s="55">
        <f t="shared" si="49"/>
        <v>-5.3941148704748088</v>
      </c>
      <c r="AD322" s="55"/>
      <c r="AE322" s="55"/>
      <c r="AF322" s="55"/>
      <c r="AG322" s="55"/>
      <c r="AH322" s="55"/>
    </row>
    <row r="323" spans="1:34" ht="15.75">
      <c r="A323" s="39">
        <v>12.6197461</v>
      </c>
      <c r="B323" s="39">
        <v>12.834880800000001</v>
      </c>
      <c r="C323" s="39">
        <v>321</v>
      </c>
      <c r="D323">
        <v>321</v>
      </c>
      <c r="E323" s="10">
        <v>1483510</v>
      </c>
      <c r="F323" s="10">
        <v>1124450</v>
      </c>
      <c r="G323" s="10">
        <v>17336</v>
      </c>
      <c r="H323" s="10">
        <v>43875</v>
      </c>
      <c r="I323" s="10">
        <v>84039</v>
      </c>
      <c r="J323" s="10">
        <v>30286</v>
      </c>
      <c r="K323">
        <v>321</v>
      </c>
      <c r="L323" s="10">
        <v>2445</v>
      </c>
      <c r="M323" s="10">
        <v>415678</v>
      </c>
      <c r="N323" s="10">
        <v>4976</v>
      </c>
      <c r="O323">
        <v>0.44323895797865814</v>
      </c>
      <c r="P323">
        <v>0.97653991035243148</v>
      </c>
      <c r="Q323">
        <v>-0.40326823116211896</v>
      </c>
      <c r="R323">
        <v>0.40326823116211896</v>
      </c>
      <c r="S323">
        <f t="shared" si="50"/>
        <v>-1.0205954172758724</v>
      </c>
      <c r="T323" s="148">
        <f t="shared" si="45"/>
        <v>-1.0528492100257492</v>
      </c>
      <c r="U323">
        <f t="shared" si="51"/>
        <v>2.2485662402912503</v>
      </c>
      <c r="V323" s="55">
        <f t="shared" si="46"/>
        <v>2.260848130339784</v>
      </c>
      <c r="W323">
        <f t="shared" si="52"/>
        <v>0.55790029530040586</v>
      </c>
      <c r="X323" s="55">
        <f t="shared" si="47"/>
        <v>0.53844978199934257</v>
      </c>
      <c r="Y323" s="149">
        <v>12.834880800000001</v>
      </c>
      <c r="Z323" s="55">
        <f t="shared" ref="Z323:Z386" si="53">N323/F323</f>
        <v>4.4252745786829114E-3</v>
      </c>
      <c r="AA323" s="55">
        <f t="shared" si="48"/>
        <v>4.5374534625260412E-3</v>
      </c>
      <c r="AB323" s="55">
        <f t="shared" ref="AB323:AB386" si="54">LN(Z323)</f>
        <v>-5.420422950767616</v>
      </c>
      <c r="AC323" s="55">
        <f t="shared" si="49"/>
        <v>-5.3956830462105829</v>
      </c>
      <c r="AD323" s="55"/>
      <c r="AE323" s="55"/>
      <c r="AF323" s="55"/>
      <c r="AG323" s="55"/>
      <c r="AH323" s="55"/>
    </row>
    <row r="324" spans="1:34" ht="15.75">
      <c r="A324" s="39">
        <v>12.625196900000001</v>
      </c>
      <c r="B324" s="39">
        <v>12.838704699999999</v>
      </c>
      <c r="C324" s="39">
        <v>322</v>
      </c>
      <c r="D324">
        <v>322</v>
      </c>
      <c r="E324" s="10">
        <v>1491050</v>
      </c>
      <c r="F324" s="10">
        <v>1125110</v>
      </c>
      <c r="G324" s="10">
        <v>17379</v>
      </c>
      <c r="H324" s="10">
        <v>42988</v>
      </c>
      <c r="I324" s="10">
        <v>87807</v>
      </c>
      <c r="J324" s="10">
        <v>29427</v>
      </c>
      <c r="K324">
        <v>322</v>
      </c>
      <c r="L324" s="10">
        <v>3054</v>
      </c>
      <c r="M324" s="10">
        <v>414851</v>
      </c>
      <c r="N324" s="10">
        <v>5274</v>
      </c>
      <c r="O324">
        <v>0.47478315011704531</v>
      </c>
      <c r="P324">
        <v>0.98454490109224702</v>
      </c>
      <c r="Q324">
        <v>-0.39332245698624091</v>
      </c>
      <c r="R324">
        <v>0.39332245698624091</v>
      </c>
      <c r="S324">
        <f t="shared" si="50"/>
        <v>-1.0932286038642627</v>
      </c>
      <c r="T324" s="148">
        <f t="shared" ref="T324:T387" si="55">AVERAGE(S323:S325)</f>
        <v>-1.0365728934965726</v>
      </c>
      <c r="U324">
        <f t="shared" si="51"/>
        <v>2.2669984126383049</v>
      </c>
      <c r="V324" s="55">
        <f t="shared" ref="V324:V387" si="56">AVERAGE(U323:U325)</f>
        <v>2.2560240011856867</v>
      </c>
      <c r="W324">
        <f t="shared" si="52"/>
        <v>0.52665003946769151</v>
      </c>
      <c r="X324" s="55">
        <f t="shared" ref="X324:X387" si="57">AVERAGE(W323:W325)</f>
        <v>0.53827988674039795</v>
      </c>
      <c r="Y324" s="149">
        <v>12.838704699999999</v>
      </c>
      <c r="Z324" s="55">
        <f t="shared" si="53"/>
        <v>4.6875416625929908E-3</v>
      </c>
      <c r="AA324" s="55">
        <f t="shared" ref="AA324:AA387" si="58">AVERAGE(Z323:Z325)</f>
        <v>4.5281914203933425E-3</v>
      </c>
      <c r="AB324" s="55">
        <f t="shared" si="54"/>
        <v>-5.3628469997052681</v>
      </c>
      <c r="AC324" s="55">
        <f t="shared" ref="AC324:AC387" si="59">AVERAGE(AB323:AB325)</f>
        <v>-5.3977478683685183</v>
      </c>
      <c r="AD324" s="55"/>
      <c r="AE324" s="55"/>
      <c r="AF324" s="55"/>
      <c r="AG324" s="55"/>
      <c r="AH324" s="55"/>
    </row>
    <row r="325" spans="1:34" ht="15.75">
      <c r="A325" s="39">
        <v>12.630647700000001</v>
      </c>
      <c r="B325" s="39">
        <v>12.8425285</v>
      </c>
      <c r="C325" s="39">
        <v>323</v>
      </c>
      <c r="D325">
        <v>323</v>
      </c>
      <c r="E325" s="10">
        <v>1482820</v>
      </c>
      <c r="F325" s="10">
        <v>1124390</v>
      </c>
      <c r="G325" s="10">
        <v>17706</v>
      </c>
      <c r="H325" s="10">
        <v>43878</v>
      </c>
      <c r="I325" s="10">
        <v>81458</v>
      </c>
      <c r="J325" s="10">
        <v>30090</v>
      </c>
      <c r="K325">
        <v>323</v>
      </c>
      <c r="L325" s="10">
        <v>2652</v>
      </c>
      <c r="M325" s="10">
        <v>417348</v>
      </c>
      <c r="N325" s="10">
        <v>5028</v>
      </c>
      <c r="O325">
        <v>0.4325115551124426</v>
      </c>
      <c r="P325">
        <v>0.97825151282403877</v>
      </c>
      <c r="Q325">
        <v>-0.39412636392428796</v>
      </c>
      <c r="R325">
        <v>0.39412636392428801</v>
      </c>
      <c r="S325">
        <f t="shared" si="50"/>
        <v>-0.99589465934958288</v>
      </c>
      <c r="T325" s="148">
        <f t="shared" si="55"/>
        <v>-1.0332580492508801</v>
      </c>
      <c r="U325">
        <f t="shared" si="51"/>
        <v>2.2525073506275053</v>
      </c>
      <c r="V325" s="55">
        <f t="shared" si="56"/>
        <v>2.2736939955417514</v>
      </c>
      <c r="W325">
        <f t="shared" si="52"/>
        <v>0.53028932545309648</v>
      </c>
      <c r="X325" s="55">
        <f t="shared" si="57"/>
        <v>0.53741512989141393</v>
      </c>
      <c r="Y325" s="149">
        <v>12.8425285</v>
      </c>
      <c r="Z325" s="55">
        <f t="shared" si="53"/>
        <v>4.4717580199041254E-3</v>
      </c>
      <c r="AA325" s="55">
        <f t="shared" si="58"/>
        <v>4.5354873118929086E-3</v>
      </c>
      <c r="AB325" s="55">
        <f t="shared" si="54"/>
        <v>-5.409973654632668</v>
      </c>
      <c r="AC325" s="55">
        <f t="shared" si="59"/>
        <v>-5.3961032454902309</v>
      </c>
      <c r="AD325" s="55"/>
      <c r="AE325" s="55"/>
      <c r="AF325" s="55"/>
      <c r="AG325" s="55"/>
      <c r="AH325" s="55"/>
    </row>
    <row r="326" spans="1:34" ht="15.75">
      <c r="A326" s="39">
        <v>12.636098499999999</v>
      </c>
      <c r="B326" s="39">
        <v>12.8463523</v>
      </c>
      <c r="C326" s="39">
        <v>324</v>
      </c>
      <c r="D326">
        <v>324</v>
      </c>
      <c r="E326" s="10">
        <v>1503680</v>
      </c>
      <c r="F326" s="10">
        <v>1128360</v>
      </c>
      <c r="G326" s="10">
        <v>17307</v>
      </c>
      <c r="H326" s="10">
        <v>43536</v>
      </c>
      <c r="I326" s="10">
        <v>82853</v>
      </c>
      <c r="J326" s="10">
        <v>30157</v>
      </c>
      <c r="K326">
        <v>324</v>
      </c>
      <c r="L326" s="10">
        <v>2411</v>
      </c>
      <c r="M326" s="10">
        <v>434921</v>
      </c>
      <c r="N326" s="10">
        <v>5018</v>
      </c>
      <c r="O326">
        <v>0.43892010228583889</v>
      </c>
      <c r="P326">
        <v>0.99956185348473303</v>
      </c>
      <c r="Q326">
        <v>-0.40062673075787769</v>
      </c>
      <c r="R326">
        <v>0.40062673075787769</v>
      </c>
      <c r="S326">
        <f t="shared" si="50"/>
        <v>-1.0106508845387943</v>
      </c>
      <c r="T326" s="148">
        <f t="shared" si="55"/>
        <v>-1.0098173408498912</v>
      </c>
      <c r="U326">
        <f t="shared" si="51"/>
        <v>2.3015762233594446</v>
      </c>
      <c r="V326" s="55">
        <f t="shared" si="56"/>
        <v>2.2786172570800431</v>
      </c>
      <c r="W326">
        <f t="shared" si="52"/>
        <v>0.5553060247534537</v>
      </c>
      <c r="X326" s="55">
        <f t="shared" si="57"/>
        <v>0.53474020616567719</v>
      </c>
      <c r="Y326" s="149">
        <v>12.8463523</v>
      </c>
      <c r="Z326" s="55">
        <f t="shared" si="53"/>
        <v>4.4471622531816087E-3</v>
      </c>
      <c r="AA326" s="55">
        <f t="shared" si="58"/>
        <v>4.4976442441268839E-3</v>
      </c>
      <c r="AB326" s="55">
        <f t="shared" si="54"/>
        <v>-5.4154890821327557</v>
      </c>
      <c r="AC326" s="55">
        <f t="shared" si="59"/>
        <v>-5.4042757320707109</v>
      </c>
      <c r="AD326" s="55"/>
      <c r="AE326" s="55"/>
      <c r="AF326" s="55"/>
      <c r="AG326" s="55"/>
      <c r="AH326" s="55"/>
    </row>
    <row r="327" spans="1:34" ht="15.75">
      <c r="A327" s="39">
        <v>12.6415492</v>
      </c>
      <c r="B327" s="39">
        <v>12.8501762</v>
      </c>
      <c r="C327" s="39">
        <v>325</v>
      </c>
      <c r="D327">
        <v>325</v>
      </c>
      <c r="E327" s="10">
        <v>1494910</v>
      </c>
      <c r="F327" s="10">
        <v>1130080</v>
      </c>
      <c r="G327" s="10">
        <v>17803</v>
      </c>
      <c r="H327" s="10">
        <v>43841</v>
      </c>
      <c r="I327" s="10">
        <v>83171</v>
      </c>
      <c r="J327" s="10">
        <v>29904</v>
      </c>
      <c r="K327">
        <v>325</v>
      </c>
      <c r="L327" s="10">
        <v>2547</v>
      </c>
      <c r="M327" s="10">
        <v>429378</v>
      </c>
      <c r="N327" s="10">
        <v>5169</v>
      </c>
      <c r="O327">
        <v>0.44424263918568746</v>
      </c>
      <c r="P327">
        <v>0.99095933704938666</v>
      </c>
      <c r="Q327">
        <v>-0.39138725987495743</v>
      </c>
      <c r="R327">
        <v>0.39138725987495737</v>
      </c>
      <c r="S327">
        <f t="shared" si="50"/>
        <v>-1.0229064786612965</v>
      </c>
      <c r="T327" s="148">
        <f t="shared" si="55"/>
        <v>-1.0809753916973186</v>
      </c>
      <c r="U327">
        <f t="shared" si="51"/>
        <v>2.2817681972531796</v>
      </c>
      <c r="V327" s="55">
        <f t="shared" si="56"/>
        <v>2.2844496920258477</v>
      </c>
      <c r="W327">
        <f t="shared" si="52"/>
        <v>0.51862526829048139</v>
      </c>
      <c r="X327" s="55">
        <f t="shared" si="57"/>
        <v>0.52606354687454171</v>
      </c>
      <c r="Y327" s="149">
        <v>12.8501762</v>
      </c>
      <c r="Z327" s="55">
        <f t="shared" si="53"/>
        <v>4.5740124592949169E-3</v>
      </c>
      <c r="AA327" s="55">
        <f t="shared" si="58"/>
        <v>4.4374136906111033E-3</v>
      </c>
      <c r="AB327" s="55">
        <f t="shared" si="54"/>
        <v>-5.3873644594467098</v>
      </c>
      <c r="AC327" s="55">
        <f t="shared" si="59"/>
        <v>-5.4180245166317009</v>
      </c>
      <c r="AD327" s="55"/>
      <c r="AE327" s="55"/>
      <c r="AF327" s="55"/>
      <c r="AG327" s="55"/>
      <c r="AH327" s="55"/>
    </row>
    <row r="328" spans="1:34" ht="15.75">
      <c r="A328" s="39">
        <v>12.647</v>
      </c>
      <c r="B328" s="39">
        <v>12.853999999999999</v>
      </c>
      <c r="C328" s="39">
        <v>326</v>
      </c>
      <c r="D328">
        <v>326</v>
      </c>
      <c r="E328" s="10">
        <v>1501470</v>
      </c>
      <c r="F328" s="10">
        <v>1123730</v>
      </c>
      <c r="G328" s="10">
        <v>17938</v>
      </c>
      <c r="H328" s="10">
        <v>43456</v>
      </c>
      <c r="I328" s="10">
        <v>99539</v>
      </c>
      <c r="J328" s="10">
        <v>29701</v>
      </c>
      <c r="K328">
        <v>326</v>
      </c>
      <c r="L328" s="10">
        <v>2716</v>
      </c>
      <c r="M328" s="10">
        <v>420630</v>
      </c>
      <c r="N328" s="10">
        <v>4822</v>
      </c>
      <c r="O328">
        <v>0.52522220159052901</v>
      </c>
      <c r="P328">
        <v>0.98585049576310668</v>
      </c>
      <c r="Q328">
        <v>-0.38427572858550935</v>
      </c>
      <c r="R328">
        <v>0.38427572858550929</v>
      </c>
      <c r="S328">
        <f t="shared" si="50"/>
        <v>-1.2093688118918655</v>
      </c>
      <c r="T328" s="148">
        <f t="shared" si="55"/>
        <v>-1.071892472546395</v>
      </c>
      <c r="U328">
        <f t="shared" si="51"/>
        <v>2.2700046554649189</v>
      </c>
      <c r="V328" s="55">
        <f t="shared" si="56"/>
        <v>2.2725326612767422</v>
      </c>
      <c r="W328">
        <f t="shared" si="52"/>
        <v>0.50425934757968982</v>
      </c>
      <c r="X328" s="55">
        <f t="shared" si="57"/>
        <v>0.51913270507820231</v>
      </c>
      <c r="Y328" s="149">
        <v>12.853999999999999</v>
      </c>
      <c r="Z328" s="55">
        <f t="shared" si="53"/>
        <v>4.2910663593567853E-3</v>
      </c>
      <c r="AA328" s="55">
        <f t="shared" si="58"/>
        <v>4.398327684204075E-3</v>
      </c>
      <c r="AB328" s="55">
        <f t="shared" si="54"/>
        <v>-5.4512200083156355</v>
      </c>
      <c r="AC328" s="55">
        <f t="shared" si="59"/>
        <v>-5.4269314406143012</v>
      </c>
      <c r="AD328" s="55"/>
      <c r="AE328" s="55"/>
      <c r="AF328" s="55"/>
      <c r="AG328" s="55"/>
      <c r="AH328" s="55"/>
    </row>
    <row r="329" spans="1:34" ht="15.75">
      <c r="A329" s="39">
        <v>12.651517</v>
      </c>
      <c r="B329" s="39">
        <v>12.859033999999999</v>
      </c>
      <c r="C329" s="39">
        <v>327</v>
      </c>
      <c r="D329">
        <v>327</v>
      </c>
      <c r="E329" s="10">
        <v>1488760</v>
      </c>
      <c r="F329" s="10">
        <v>1125660</v>
      </c>
      <c r="G329" s="10">
        <v>17997</v>
      </c>
      <c r="H329" s="10">
        <v>43624</v>
      </c>
      <c r="I329" s="10">
        <v>82115</v>
      </c>
      <c r="J329" s="10">
        <v>30714</v>
      </c>
      <c r="K329">
        <v>327</v>
      </c>
      <c r="L329" s="10">
        <v>2756</v>
      </c>
      <c r="M329" s="10">
        <v>420495</v>
      </c>
      <c r="N329" s="10">
        <v>4874</v>
      </c>
      <c r="O329">
        <v>0.42708611728538015</v>
      </c>
      <c r="P329">
        <v>0.9840353513997091</v>
      </c>
      <c r="Q329">
        <v>-0.38452536802164744</v>
      </c>
      <c r="R329">
        <v>0.3845253680216475</v>
      </c>
      <c r="S329">
        <f t="shared" si="50"/>
        <v>-0.98340212708602315</v>
      </c>
      <c r="T329" s="148">
        <f t="shared" si="55"/>
        <v>-1.0593204038979953</v>
      </c>
      <c r="U329">
        <f t="shared" si="51"/>
        <v>2.2658251311121278</v>
      </c>
      <c r="V329" s="55">
        <f t="shared" si="56"/>
        <v>2.2671425177749831</v>
      </c>
      <c r="W329">
        <f t="shared" si="52"/>
        <v>0.53451349936443548</v>
      </c>
      <c r="X329" s="55">
        <f t="shared" si="57"/>
        <v>0.52252565238790727</v>
      </c>
      <c r="Y329" s="149">
        <v>12.859033999999999</v>
      </c>
      <c r="Z329" s="55">
        <f t="shared" si="53"/>
        <v>4.329904233960521E-3</v>
      </c>
      <c r="AA329" s="55">
        <f t="shared" si="58"/>
        <v>4.4396862556882154E-3</v>
      </c>
      <c r="AB329" s="55">
        <f t="shared" si="54"/>
        <v>-5.4422098540805601</v>
      </c>
      <c r="AC329" s="55">
        <f t="shared" si="59"/>
        <v>-5.4180098289864747</v>
      </c>
      <c r="AD329" s="55"/>
      <c r="AE329" s="55"/>
      <c r="AF329" s="55"/>
      <c r="AG329" s="55"/>
      <c r="AH329" s="55"/>
    </row>
    <row r="330" spans="1:34" ht="15.75">
      <c r="A330" s="39">
        <v>12.656034</v>
      </c>
      <c r="B330" s="39">
        <v>12.864068</v>
      </c>
      <c r="C330" s="39">
        <v>328</v>
      </c>
      <c r="D330">
        <v>328</v>
      </c>
      <c r="E330" s="10">
        <v>1484330</v>
      </c>
      <c r="F330" s="10">
        <v>1123010</v>
      </c>
      <c r="G330" s="10">
        <v>17849</v>
      </c>
      <c r="H330" s="10">
        <v>43369</v>
      </c>
      <c r="I330" s="10">
        <v>81121</v>
      </c>
      <c r="J330" s="10">
        <v>30288</v>
      </c>
      <c r="K330">
        <v>328</v>
      </c>
      <c r="L330" s="10">
        <v>2631</v>
      </c>
      <c r="M330" s="10">
        <v>417942</v>
      </c>
      <c r="N330" s="10">
        <v>5276</v>
      </c>
      <c r="O330">
        <v>0.42786269906536101</v>
      </c>
      <c r="P330">
        <v>0.98393660831094487</v>
      </c>
      <c r="Q330">
        <v>-0.38556551878250844</v>
      </c>
      <c r="R330">
        <v>0.38556551878250839</v>
      </c>
      <c r="S330">
        <f t="shared" si="50"/>
        <v>-0.98519027271609749</v>
      </c>
      <c r="T330" s="148">
        <f t="shared" si="55"/>
        <v>-0.98855236391926915</v>
      </c>
      <c r="U330">
        <f t="shared" si="51"/>
        <v>2.265597766747903</v>
      </c>
      <c r="V330" s="55">
        <f t="shared" si="56"/>
        <v>2.2577042882061207</v>
      </c>
      <c r="W330">
        <f t="shared" si="52"/>
        <v>0.52880411021959639</v>
      </c>
      <c r="X330" s="55">
        <f t="shared" si="57"/>
        <v>0.516620423723953</v>
      </c>
      <c r="Y330" s="149">
        <v>12.864068</v>
      </c>
      <c r="Z330" s="55">
        <f t="shared" si="53"/>
        <v>4.6980881737473399E-3</v>
      </c>
      <c r="AA330" s="55">
        <f t="shared" si="58"/>
        <v>4.5349177091826322E-3</v>
      </c>
      <c r="AB330" s="55">
        <f t="shared" si="54"/>
        <v>-5.3605996245632292</v>
      </c>
      <c r="AC330" s="55">
        <f t="shared" si="59"/>
        <v>-5.3965244253803952</v>
      </c>
      <c r="AD330" s="55"/>
      <c r="AE330" s="55"/>
      <c r="AF330" s="55"/>
      <c r="AG330" s="55"/>
      <c r="AH330" s="55"/>
    </row>
    <row r="331" spans="1:34" ht="15.75">
      <c r="A331" s="39">
        <v>12.660551</v>
      </c>
      <c r="B331" s="39">
        <v>12.869102</v>
      </c>
      <c r="C331" s="39">
        <v>329</v>
      </c>
      <c r="D331">
        <v>329</v>
      </c>
      <c r="E331" s="10">
        <v>1470990</v>
      </c>
      <c r="F331" s="10">
        <v>1125250</v>
      </c>
      <c r="G331" s="10">
        <v>18333</v>
      </c>
      <c r="H331" s="10">
        <v>43605</v>
      </c>
      <c r="I331" s="10">
        <v>80827</v>
      </c>
      <c r="J331" s="10">
        <v>29822</v>
      </c>
      <c r="K331">
        <v>329</v>
      </c>
      <c r="L331" s="10">
        <v>2549</v>
      </c>
      <c r="M331" s="10">
        <v>410289</v>
      </c>
      <c r="N331" s="10">
        <v>5150</v>
      </c>
      <c r="O331">
        <v>0.43301969381692029</v>
      </c>
      <c r="P331">
        <v>0.97355358270102754</v>
      </c>
      <c r="Q331">
        <v>-0.37630275238661998</v>
      </c>
      <c r="R331">
        <v>0.37630275238662003</v>
      </c>
      <c r="S331">
        <f t="shared" si="50"/>
        <v>-0.99706469195568659</v>
      </c>
      <c r="T331" s="148">
        <f t="shared" si="55"/>
        <v>-1.000826450544136</v>
      </c>
      <c r="U331">
        <f t="shared" si="51"/>
        <v>2.2416899667583317</v>
      </c>
      <c r="V331" s="55">
        <f t="shared" si="56"/>
        <v>2.2478574150558948</v>
      </c>
      <c r="W331">
        <f t="shared" si="52"/>
        <v>0.48654366158782747</v>
      </c>
      <c r="X331" s="55">
        <f t="shared" si="57"/>
        <v>0.50272372564008372</v>
      </c>
      <c r="Y331" s="149">
        <v>12.869102</v>
      </c>
      <c r="Z331" s="55">
        <f t="shared" si="53"/>
        <v>4.5767607198400357E-3</v>
      </c>
      <c r="AA331" s="55">
        <f t="shared" si="58"/>
        <v>4.6207010830743691E-3</v>
      </c>
      <c r="AB331" s="55">
        <f t="shared" si="54"/>
        <v>-5.3867637974973972</v>
      </c>
      <c r="AC331" s="55">
        <f t="shared" si="59"/>
        <v>-5.3772790118503879</v>
      </c>
      <c r="AD331" s="55"/>
      <c r="AE331" s="55"/>
      <c r="AF331" s="55"/>
      <c r="AG331" s="55"/>
      <c r="AH331" s="55"/>
    </row>
    <row r="332" spans="1:34" ht="15.75">
      <c r="A332" s="39">
        <v>12.665068</v>
      </c>
      <c r="B332" s="39">
        <v>12.874136099999999</v>
      </c>
      <c r="C332" s="39">
        <v>330</v>
      </c>
      <c r="D332">
        <v>330</v>
      </c>
      <c r="E332" s="10">
        <v>1474117.5</v>
      </c>
      <c r="F332" s="10">
        <v>1126672.5</v>
      </c>
      <c r="G332" s="10">
        <v>18112.625</v>
      </c>
      <c r="H332" s="10">
        <v>43134</v>
      </c>
      <c r="I332" s="10">
        <v>82241.25</v>
      </c>
      <c r="J332" s="10">
        <v>29649.125</v>
      </c>
      <c r="K332">
        <v>330</v>
      </c>
      <c r="L332" s="10">
        <v>2383.666667</v>
      </c>
      <c r="M332" s="10">
        <v>403669.3333</v>
      </c>
      <c r="N332" s="10">
        <v>5168.3333329999996</v>
      </c>
      <c r="O332">
        <v>0.44307782156012693</v>
      </c>
      <c r="P332">
        <v>0.97120602338027562</v>
      </c>
      <c r="Q332">
        <v>-0.37683833832489655</v>
      </c>
      <c r="R332">
        <v>0.37683833832489655</v>
      </c>
      <c r="S332">
        <f t="shared" si="50"/>
        <v>-1.0202243869606242</v>
      </c>
      <c r="T332" s="148">
        <f t="shared" si="55"/>
        <v>-1.0020236223896759</v>
      </c>
      <c r="U332">
        <f t="shared" si="51"/>
        <v>2.2362845116614491</v>
      </c>
      <c r="V332" s="55">
        <f t="shared" si="56"/>
        <v>2.2491771991641811</v>
      </c>
      <c r="W332">
        <f t="shared" si="52"/>
        <v>0.4928234051128273</v>
      </c>
      <c r="X332" s="55">
        <f t="shared" si="57"/>
        <v>0.48432804532027801</v>
      </c>
      <c r="Y332" s="149">
        <v>12.874136099999999</v>
      </c>
      <c r="Z332" s="55">
        <f t="shared" si="53"/>
        <v>4.5872543556357325E-3</v>
      </c>
      <c r="AA332" s="55">
        <f t="shared" si="58"/>
        <v>4.5558172330603178E-3</v>
      </c>
      <c r="AB332" s="55">
        <f t="shared" si="54"/>
        <v>-5.3844736134905373</v>
      </c>
      <c r="AC332" s="55">
        <f t="shared" si="59"/>
        <v>-5.3913839635010303</v>
      </c>
      <c r="AD332" s="55"/>
      <c r="AE332" s="55"/>
      <c r="AF332" s="55"/>
      <c r="AG332" s="55"/>
      <c r="AH332" s="55"/>
    </row>
    <row r="333" spans="1:34" ht="15.75">
      <c r="A333" s="39">
        <v>12.669585</v>
      </c>
      <c r="B333" s="39">
        <v>12.8791701</v>
      </c>
      <c r="C333" s="39">
        <v>331</v>
      </c>
      <c r="D333">
        <v>331</v>
      </c>
      <c r="E333" s="10">
        <v>1487610</v>
      </c>
      <c r="F333" s="10">
        <v>1130470</v>
      </c>
      <c r="G333" s="10">
        <v>18612</v>
      </c>
      <c r="H333" s="10">
        <v>43283</v>
      </c>
      <c r="I333" s="10">
        <v>80335</v>
      </c>
      <c r="J333" s="10">
        <v>29887</v>
      </c>
      <c r="K333">
        <v>331</v>
      </c>
      <c r="L333" s="10">
        <v>2932</v>
      </c>
      <c r="M333" s="10">
        <v>418768</v>
      </c>
      <c r="N333" s="10">
        <v>5091</v>
      </c>
      <c r="O333">
        <v>0.42942247444458465</v>
      </c>
      <c r="P333">
        <v>0.9856561331775423</v>
      </c>
      <c r="Q333">
        <v>-0.36652431078562914</v>
      </c>
      <c r="R333">
        <v>0.36652431078562908</v>
      </c>
      <c r="S333">
        <f t="shared" si="50"/>
        <v>-0.98878178825271712</v>
      </c>
      <c r="T333" s="148">
        <f t="shared" si="55"/>
        <v>-1.0083153042280613</v>
      </c>
      <c r="U333">
        <f t="shared" si="51"/>
        <v>2.2695571190727626</v>
      </c>
      <c r="V333" s="55">
        <f t="shared" si="56"/>
        <v>2.2581016744019089</v>
      </c>
      <c r="W333">
        <f t="shared" si="52"/>
        <v>0.4736170692601791</v>
      </c>
      <c r="X333" s="55">
        <f t="shared" si="57"/>
        <v>0.48468665210332501</v>
      </c>
      <c r="Y333" s="149">
        <v>12.8791701</v>
      </c>
      <c r="Z333" s="55">
        <f t="shared" si="53"/>
        <v>4.5034366237051843E-3</v>
      </c>
      <c r="AA333" s="55">
        <f t="shared" si="58"/>
        <v>4.514309241192129E-3</v>
      </c>
      <c r="AB333" s="55">
        <f t="shared" si="54"/>
        <v>-5.4029144795151538</v>
      </c>
      <c r="AC333" s="55">
        <f t="shared" si="59"/>
        <v>-5.4005789209787958</v>
      </c>
      <c r="AD333" s="55"/>
      <c r="AE333" s="55"/>
      <c r="AF333" s="55"/>
      <c r="AG333" s="55"/>
      <c r="AH333" s="55"/>
    </row>
    <row r="334" spans="1:34" ht="15.75">
      <c r="A334" s="39">
        <v>12.674102</v>
      </c>
      <c r="B334" s="39">
        <v>12.8842041</v>
      </c>
      <c r="C334" s="39">
        <v>332</v>
      </c>
      <c r="D334">
        <v>332</v>
      </c>
      <c r="E334" s="10">
        <v>1488990</v>
      </c>
      <c r="F334" s="10">
        <v>1129320</v>
      </c>
      <c r="G334" s="10">
        <v>18231</v>
      </c>
      <c r="H334" s="10">
        <v>43549</v>
      </c>
      <c r="I334" s="10">
        <v>81997</v>
      </c>
      <c r="J334" s="10">
        <v>29688</v>
      </c>
      <c r="K334">
        <v>332</v>
      </c>
      <c r="L334" s="10">
        <v>2480</v>
      </c>
      <c r="M334" s="10">
        <v>420881</v>
      </c>
      <c r="N334" s="10">
        <v>5028</v>
      </c>
      <c r="O334">
        <v>0.44121702192982509</v>
      </c>
      <c r="P334">
        <v>0.98518113374990934</v>
      </c>
      <c r="Q334">
        <v>-0.37816769584345084</v>
      </c>
      <c r="R334">
        <v>0.37816769584345089</v>
      </c>
      <c r="S334">
        <f t="shared" si="50"/>
        <v>-1.0159397374708421</v>
      </c>
      <c r="T334" s="148">
        <f t="shared" si="55"/>
        <v>-1.0031937566328994</v>
      </c>
      <c r="U334">
        <f t="shared" si="51"/>
        <v>2.2684633924715145</v>
      </c>
      <c r="V334" s="55">
        <f t="shared" si="56"/>
        <v>2.2696483098887779</v>
      </c>
      <c r="W334">
        <f t="shared" si="52"/>
        <v>0.48761948193696858</v>
      </c>
      <c r="X334" s="55">
        <f t="shared" si="57"/>
        <v>0.49674683764851107</v>
      </c>
      <c r="Y334" s="149">
        <v>12.8842041</v>
      </c>
      <c r="Z334" s="55">
        <f t="shared" si="53"/>
        <v>4.4522367442354693E-3</v>
      </c>
      <c r="AA334" s="55">
        <f t="shared" si="58"/>
        <v>4.4750040485966903E-3</v>
      </c>
      <c r="AB334" s="55">
        <f t="shared" si="54"/>
        <v>-5.4143486699306962</v>
      </c>
      <c r="AC334" s="55">
        <f t="shared" si="59"/>
        <v>-5.409259318387627</v>
      </c>
      <c r="AD334" s="55"/>
      <c r="AE334" s="55"/>
      <c r="AF334" s="55"/>
      <c r="AG334" s="55"/>
      <c r="AH334" s="55"/>
    </row>
    <row r="335" spans="1:34" ht="15.75">
      <c r="A335" s="39">
        <v>12.678619100000001</v>
      </c>
      <c r="B335" s="39">
        <v>12.8892381</v>
      </c>
      <c r="C335" s="39">
        <v>333</v>
      </c>
      <c r="D335">
        <v>333</v>
      </c>
      <c r="E335" s="10">
        <v>1486180</v>
      </c>
      <c r="F335" s="10">
        <v>1116720</v>
      </c>
      <c r="G335" s="10">
        <v>17651</v>
      </c>
      <c r="H335" s="10">
        <v>43315</v>
      </c>
      <c r="I335" s="10">
        <v>81831</v>
      </c>
      <c r="J335" s="10">
        <v>29958</v>
      </c>
      <c r="K335">
        <v>333</v>
      </c>
      <c r="L335" s="10">
        <v>2427</v>
      </c>
      <c r="M335" s="10">
        <v>419651</v>
      </c>
      <c r="N335" s="10">
        <v>4991</v>
      </c>
      <c r="O335">
        <v>0.43640504198197622</v>
      </c>
      <c r="P335">
        <v>0.98624994360976215</v>
      </c>
      <c r="Q335">
        <v>-0.38986900378855321</v>
      </c>
      <c r="R335">
        <v>0.38986900378855316</v>
      </c>
      <c r="S335">
        <f t="shared" si="50"/>
        <v>-1.004859744175139</v>
      </c>
      <c r="T335" s="148">
        <f t="shared" si="55"/>
        <v>-1.0167613183886377</v>
      </c>
      <c r="U335">
        <f t="shared" si="51"/>
        <v>2.2709244181220565</v>
      </c>
      <c r="V335" s="55">
        <f t="shared" si="56"/>
        <v>2.2720058917790329</v>
      </c>
      <c r="W335">
        <f t="shared" si="52"/>
        <v>0.52900396174838538</v>
      </c>
      <c r="X335" s="55">
        <f t="shared" si="57"/>
        <v>0.51122513350199095</v>
      </c>
      <c r="Y335" s="149">
        <v>12.8892381</v>
      </c>
      <c r="Z335" s="55">
        <f t="shared" si="53"/>
        <v>4.4693387778494157E-3</v>
      </c>
      <c r="AA335" s="55">
        <f t="shared" si="58"/>
        <v>4.4798843928311955E-3</v>
      </c>
      <c r="AB335" s="55">
        <f t="shared" si="54"/>
        <v>-5.4105148057170309</v>
      </c>
      <c r="AC335" s="55">
        <f t="shared" si="59"/>
        <v>-5.4081773828349879</v>
      </c>
      <c r="AD335" s="55"/>
      <c r="AE335" s="55"/>
      <c r="AF335" s="55"/>
      <c r="AG335" s="55"/>
      <c r="AH335" s="55"/>
    </row>
    <row r="336" spans="1:34" ht="15.75">
      <c r="A336" s="39">
        <v>12.6831361</v>
      </c>
      <c r="B336" s="39">
        <v>12.8942721</v>
      </c>
      <c r="C336" s="39">
        <v>334</v>
      </c>
      <c r="D336">
        <v>334</v>
      </c>
      <c r="E336" s="10">
        <v>1489370</v>
      </c>
      <c r="F336" s="10">
        <v>1122380</v>
      </c>
      <c r="G336" s="10">
        <v>17676</v>
      </c>
      <c r="H336" s="10">
        <v>43257</v>
      </c>
      <c r="I336" s="10">
        <v>82992</v>
      </c>
      <c r="J336" s="10">
        <v>29644</v>
      </c>
      <c r="K336">
        <v>334</v>
      </c>
      <c r="L336" s="10">
        <v>2803</v>
      </c>
      <c r="M336" s="10">
        <v>421487</v>
      </c>
      <c r="N336" s="10">
        <v>5071</v>
      </c>
      <c r="O336">
        <v>0.44709942605478081</v>
      </c>
      <c r="P336">
        <v>0.98872778759426116</v>
      </c>
      <c r="Q336">
        <v>-0.38867240365932493</v>
      </c>
      <c r="R336">
        <v>0.38867240365932498</v>
      </c>
      <c r="S336">
        <f t="shared" si="50"/>
        <v>-1.029484473519932</v>
      </c>
      <c r="T336" s="148">
        <f t="shared" si="55"/>
        <v>-1.0278013889165323</v>
      </c>
      <c r="U336">
        <f t="shared" si="51"/>
        <v>2.2766298647435286</v>
      </c>
      <c r="V336" s="55">
        <f t="shared" si="56"/>
        <v>2.2727375006474655</v>
      </c>
      <c r="W336">
        <f t="shared" si="52"/>
        <v>0.51705195682061889</v>
      </c>
      <c r="X336" s="55">
        <f t="shared" si="57"/>
        <v>0.50646511200294364</v>
      </c>
      <c r="Y336" s="149">
        <v>12.8942721</v>
      </c>
      <c r="Z336" s="55">
        <f t="shared" si="53"/>
        <v>4.5180776564087031E-3</v>
      </c>
      <c r="AA336" s="55">
        <f t="shared" si="58"/>
        <v>4.4919568667509983E-3</v>
      </c>
      <c r="AB336" s="55">
        <f t="shared" si="54"/>
        <v>-5.3996686728572367</v>
      </c>
      <c r="AC336" s="55">
        <f t="shared" si="59"/>
        <v>-5.4054767996080955</v>
      </c>
      <c r="AD336" s="55"/>
      <c r="AE336" s="55"/>
      <c r="AF336" s="55"/>
      <c r="AG336" s="55"/>
      <c r="AH336" s="55"/>
    </row>
    <row r="337" spans="1:34" ht="15.75">
      <c r="A337" s="39">
        <v>12.6876531</v>
      </c>
      <c r="B337" s="39">
        <v>12.8993061</v>
      </c>
      <c r="C337" s="39">
        <v>335</v>
      </c>
      <c r="D337">
        <v>335</v>
      </c>
      <c r="E337" s="10">
        <v>1478250</v>
      </c>
      <c r="F337" s="10">
        <v>1116420</v>
      </c>
      <c r="G337" s="10">
        <v>18069</v>
      </c>
      <c r="H337" s="10">
        <v>43962</v>
      </c>
      <c r="I337" s="10">
        <v>82814</v>
      </c>
      <c r="J337" s="10">
        <v>29007</v>
      </c>
      <c r="K337">
        <v>335</v>
      </c>
      <c r="L337" s="10">
        <v>2482</v>
      </c>
      <c r="M337" s="10">
        <v>425806</v>
      </c>
      <c r="N337" s="10">
        <v>5011</v>
      </c>
      <c r="O337">
        <v>0.45560094706008719</v>
      </c>
      <c r="P337">
        <v>0.98613433483332413</v>
      </c>
      <c r="Q337">
        <v>-0.38614332403240631</v>
      </c>
      <c r="R337">
        <v>0.38614332403240625</v>
      </c>
      <c r="S337">
        <f t="shared" ref="S337:S400" si="60">LN(J337/I337)</f>
        <v>-1.0490599490545263</v>
      </c>
      <c r="T337" s="148">
        <f t="shared" si="55"/>
        <v>-1.0357815239559089</v>
      </c>
      <c r="U337">
        <f t="shared" ref="U337:U400" si="61">LN(M337/H337)</f>
        <v>2.270658219076811</v>
      </c>
      <c r="V337" s="55">
        <f t="shared" si="56"/>
        <v>2.2604997857377254</v>
      </c>
      <c r="W337">
        <f t="shared" ref="W337:W400" si="62">LN(J337/G337)</f>
        <v>0.47333941743982644</v>
      </c>
      <c r="X337" s="55">
        <f t="shared" si="57"/>
        <v>0.49785650666142139</v>
      </c>
      <c r="Y337" s="149">
        <v>12.8993061</v>
      </c>
      <c r="Z337" s="55">
        <f t="shared" si="53"/>
        <v>4.4884541659948761E-3</v>
      </c>
      <c r="AA337" s="55">
        <f t="shared" si="58"/>
        <v>4.4934053443099649E-3</v>
      </c>
      <c r="AB337" s="55">
        <f t="shared" si="54"/>
        <v>-5.4062469202500179</v>
      </c>
      <c r="AC337" s="55">
        <f t="shared" si="59"/>
        <v>-5.4051528649218383</v>
      </c>
      <c r="AD337" s="55"/>
      <c r="AE337" s="55"/>
      <c r="AF337" s="55"/>
      <c r="AG337" s="55"/>
      <c r="AH337" s="55"/>
    </row>
    <row r="338" spans="1:34" ht="15.75">
      <c r="A338" s="129">
        <v>12.6921701</v>
      </c>
      <c r="B338" s="129">
        <v>12.904340100000001</v>
      </c>
      <c r="C338" s="129">
        <v>336</v>
      </c>
      <c r="D338" s="130">
        <v>336</v>
      </c>
      <c r="E338" s="131">
        <v>1478670</v>
      </c>
      <c r="F338" s="131">
        <v>1117200</v>
      </c>
      <c r="G338" s="131">
        <v>18088</v>
      </c>
      <c r="H338" s="131">
        <v>44236</v>
      </c>
      <c r="I338" s="131">
        <v>83699</v>
      </c>
      <c r="J338" s="131">
        <v>29917</v>
      </c>
      <c r="K338" s="130">
        <v>336</v>
      </c>
      <c r="L338" s="131">
        <v>2701</v>
      </c>
      <c r="M338" s="131">
        <v>413125</v>
      </c>
      <c r="N338" s="131">
        <v>4998</v>
      </c>
      <c r="O338" s="130">
        <v>0.44680222781930823</v>
      </c>
      <c r="P338" s="130">
        <v>0.97030562744054683</v>
      </c>
      <c r="Q338" s="130">
        <v>-0.38838530005186539</v>
      </c>
      <c r="R338" s="130">
        <v>0.38838530005186539</v>
      </c>
      <c r="S338" s="130">
        <f t="shared" si="60"/>
        <v>-1.0288001492932686</v>
      </c>
      <c r="T338" s="148">
        <f t="shared" si="55"/>
        <v>-1.0315523158559567</v>
      </c>
      <c r="U338" s="130">
        <f t="shared" si="61"/>
        <v>2.2342112733928374</v>
      </c>
      <c r="V338" s="132">
        <f t="shared" si="56"/>
        <v>2.2590996761924043</v>
      </c>
      <c r="W338" s="130">
        <f t="shared" si="62"/>
        <v>0.50317814572381891</v>
      </c>
      <c r="X338" s="132">
        <f t="shared" si="57"/>
        <v>0.49303932701568315</v>
      </c>
      <c r="Y338" s="149">
        <v>12.904340100000001</v>
      </c>
      <c r="Z338" s="132">
        <f t="shared" si="53"/>
        <v>4.4736842105263155E-3</v>
      </c>
      <c r="AA338" s="132">
        <f t="shared" si="58"/>
        <v>4.4633844640394596E-3</v>
      </c>
      <c r="AB338" s="132">
        <f t="shared" si="54"/>
        <v>-5.4095430016582613</v>
      </c>
      <c r="AC338" s="132">
        <f t="shared" si="59"/>
        <v>-5.4118645983311673</v>
      </c>
      <c r="AD338" s="55"/>
      <c r="AE338" s="55"/>
      <c r="AF338" s="55"/>
      <c r="AG338" s="55"/>
      <c r="AH338" s="55"/>
    </row>
    <row r="339" spans="1:34" ht="15.75">
      <c r="A339" s="39">
        <v>12.6966871</v>
      </c>
      <c r="B339" s="39">
        <v>12.9093742</v>
      </c>
      <c r="C339" s="39">
        <v>337</v>
      </c>
      <c r="D339">
        <v>337</v>
      </c>
      <c r="E339" s="10">
        <v>1481750</v>
      </c>
      <c r="F339" s="10">
        <v>1134820</v>
      </c>
      <c r="G339" s="10">
        <v>17799</v>
      </c>
      <c r="H339" s="10">
        <v>43349</v>
      </c>
      <c r="I339" s="10">
        <v>81332</v>
      </c>
      <c r="J339" s="10">
        <v>29422</v>
      </c>
      <c r="K339">
        <v>337</v>
      </c>
      <c r="L339" s="10">
        <v>2261</v>
      </c>
      <c r="M339" s="10">
        <v>420613</v>
      </c>
      <c r="N339" s="10">
        <v>5025</v>
      </c>
      <c r="O339">
        <v>0.44158926083289141</v>
      </c>
      <c r="P339">
        <v>0.98690360804548127</v>
      </c>
      <c r="Q339">
        <v>-0.38658348031241058</v>
      </c>
      <c r="R339">
        <v>0.38658348031241058</v>
      </c>
      <c r="S339">
        <f t="shared" si="60"/>
        <v>-1.0167968492200752</v>
      </c>
      <c r="T339" s="148">
        <f t="shared" si="55"/>
        <v>-1.0131549722584106</v>
      </c>
      <c r="U339">
        <f t="shared" si="61"/>
        <v>2.2724295361075639</v>
      </c>
      <c r="V339" s="55">
        <f t="shared" si="56"/>
        <v>2.2438566093477963</v>
      </c>
      <c r="W339">
        <f t="shared" si="62"/>
        <v>0.50260041788340415</v>
      </c>
      <c r="X339" s="55">
        <f t="shared" si="57"/>
        <v>0.50854830318195832</v>
      </c>
      <c r="Y339" s="149">
        <v>12.9093742</v>
      </c>
      <c r="Z339" s="55">
        <f t="shared" si="53"/>
        <v>4.4280150155971872E-3</v>
      </c>
      <c r="AA339" s="55">
        <f t="shared" si="58"/>
        <v>4.6205301197329981E-3</v>
      </c>
      <c r="AB339" s="55">
        <f t="shared" si="54"/>
        <v>-5.4198038730852209</v>
      </c>
      <c r="AC339" s="55">
        <f t="shared" si="59"/>
        <v>-5.3785727874021276</v>
      </c>
      <c r="AD339" s="55"/>
      <c r="AE339" s="55"/>
      <c r="AF339" s="55"/>
      <c r="AG339" s="55"/>
      <c r="AH339" s="55"/>
    </row>
    <row r="340" spans="1:34" ht="15.75">
      <c r="A340" s="39">
        <v>12.7012041</v>
      </c>
      <c r="B340" s="39">
        <v>12.9144082</v>
      </c>
      <c r="C340" s="39">
        <v>338</v>
      </c>
      <c r="D340">
        <v>338</v>
      </c>
      <c r="E340" s="10">
        <v>1463570</v>
      </c>
      <c r="F340" s="10">
        <v>1116960</v>
      </c>
      <c r="G340" s="10">
        <v>17794</v>
      </c>
      <c r="H340" s="10">
        <v>43259</v>
      </c>
      <c r="I340" s="10">
        <v>80850</v>
      </c>
      <c r="J340" s="10">
        <v>29926</v>
      </c>
      <c r="K340">
        <v>338</v>
      </c>
      <c r="L340" s="10">
        <v>2130</v>
      </c>
      <c r="M340" s="10">
        <v>400268</v>
      </c>
      <c r="N340" s="10">
        <v>5540</v>
      </c>
      <c r="O340">
        <v>0.43163135264181018</v>
      </c>
      <c r="P340">
        <v>0.966274395379637</v>
      </c>
      <c r="Q340">
        <v>-0.38580288958507603</v>
      </c>
      <c r="R340">
        <v>0.38580288958507597</v>
      </c>
      <c r="S340">
        <f t="shared" si="60"/>
        <v>-0.99386791826188814</v>
      </c>
      <c r="T340" s="148">
        <f t="shared" si="55"/>
        <v>-1.0134550679938359</v>
      </c>
      <c r="U340">
        <f t="shared" si="61"/>
        <v>2.2249290185429866</v>
      </c>
      <c r="V340" s="55">
        <f t="shared" si="56"/>
        <v>2.255329693382786</v>
      </c>
      <c r="W340">
        <f t="shared" si="62"/>
        <v>0.519866345938652</v>
      </c>
      <c r="X340" s="55">
        <f t="shared" si="57"/>
        <v>0.51635432876723975</v>
      </c>
      <c r="Y340" s="149">
        <v>12.9144082</v>
      </c>
      <c r="Z340" s="55">
        <f t="shared" si="53"/>
        <v>4.9598911330754909E-3</v>
      </c>
      <c r="AA340" s="55">
        <f t="shared" si="58"/>
        <v>4.6480763240729613E-3</v>
      </c>
      <c r="AB340" s="55">
        <f t="shared" si="54"/>
        <v>-5.3063714874628989</v>
      </c>
      <c r="AC340" s="55">
        <f t="shared" si="59"/>
        <v>-5.3724715798877121</v>
      </c>
      <c r="AD340" s="55"/>
      <c r="AE340" s="55"/>
      <c r="AF340" s="55"/>
      <c r="AG340" s="55"/>
      <c r="AH340" s="55"/>
    </row>
    <row r="341" spans="1:34" ht="15.75">
      <c r="A341" s="39">
        <v>12.7057211</v>
      </c>
      <c r="B341" s="39">
        <v>12.919442200000001</v>
      </c>
      <c r="C341" s="39">
        <v>339</v>
      </c>
      <c r="D341">
        <v>339</v>
      </c>
      <c r="E341" s="10">
        <v>1494220</v>
      </c>
      <c r="F341" s="10">
        <v>1120860</v>
      </c>
      <c r="G341" s="10">
        <v>17703</v>
      </c>
      <c r="H341" s="10">
        <v>44230</v>
      </c>
      <c r="I341" s="10">
        <v>83934</v>
      </c>
      <c r="J341" s="10">
        <v>29974</v>
      </c>
      <c r="K341">
        <v>339</v>
      </c>
      <c r="L341" s="10">
        <v>2415</v>
      </c>
      <c r="M341" s="10">
        <v>427534</v>
      </c>
      <c r="N341" s="10">
        <v>5107</v>
      </c>
      <c r="O341">
        <v>0.44719321758512176</v>
      </c>
      <c r="P341">
        <v>0.98525371870097211</v>
      </c>
      <c r="Q341">
        <v>-0.39767007001094218</v>
      </c>
      <c r="R341">
        <v>0.39767007001094218</v>
      </c>
      <c r="S341">
        <f t="shared" si="60"/>
        <v>-1.0297004364995441</v>
      </c>
      <c r="T341" s="148">
        <f t="shared" si="55"/>
        <v>-1.0227162540729982</v>
      </c>
      <c r="U341">
        <f t="shared" si="61"/>
        <v>2.2686305254978074</v>
      </c>
      <c r="V341" s="55">
        <f t="shared" si="56"/>
        <v>2.2524751133845693</v>
      </c>
      <c r="W341">
        <f t="shared" si="62"/>
        <v>0.52659622247966298</v>
      </c>
      <c r="X341" s="55">
        <f t="shared" si="57"/>
        <v>0.51818218026543417</v>
      </c>
      <c r="Y341" s="149">
        <v>12.919442200000001</v>
      </c>
      <c r="Z341" s="55">
        <f t="shared" si="53"/>
        <v>4.5563228235462059E-3</v>
      </c>
      <c r="AA341" s="55">
        <f t="shared" si="58"/>
        <v>4.6994466996034137E-3</v>
      </c>
      <c r="AB341" s="55">
        <f t="shared" si="54"/>
        <v>-5.3912393791150182</v>
      </c>
      <c r="AC341" s="55">
        <f t="shared" si="59"/>
        <v>-5.3610676773223132</v>
      </c>
      <c r="AD341" s="55"/>
      <c r="AE341" s="55"/>
      <c r="AF341" s="55"/>
      <c r="AG341" s="55"/>
      <c r="AH341" s="55"/>
    </row>
    <row r="342" spans="1:34" ht="15.75">
      <c r="A342" s="39">
        <v>12.7102381</v>
      </c>
      <c r="B342" s="39">
        <v>12.924476200000001</v>
      </c>
      <c r="C342" s="39">
        <v>340</v>
      </c>
      <c r="D342">
        <v>340</v>
      </c>
      <c r="E342" s="10">
        <v>1480390</v>
      </c>
      <c r="F342" s="10">
        <v>1121750</v>
      </c>
      <c r="G342" s="10">
        <v>17970</v>
      </c>
      <c r="H342" s="10">
        <v>43450</v>
      </c>
      <c r="I342" s="10">
        <v>84891</v>
      </c>
      <c r="J342" s="10">
        <v>29868</v>
      </c>
      <c r="K342">
        <v>340</v>
      </c>
      <c r="L342" s="10">
        <v>2474</v>
      </c>
      <c r="M342" s="10">
        <v>417998</v>
      </c>
      <c r="N342" s="10">
        <v>5140</v>
      </c>
      <c r="O342">
        <v>0.45365550686306971</v>
      </c>
      <c r="P342">
        <v>0.98318442302135045</v>
      </c>
      <c r="Q342">
        <v>-0.38344170367571145</v>
      </c>
      <c r="R342">
        <v>0.38344170367571145</v>
      </c>
      <c r="S342">
        <f t="shared" si="60"/>
        <v>-1.0445804074575622</v>
      </c>
      <c r="T342" s="148">
        <f t="shared" si="55"/>
        <v>-1.0163928568967731</v>
      </c>
      <c r="U342">
        <f t="shared" si="61"/>
        <v>2.2638657961129134</v>
      </c>
      <c r="V342" s="55">
        <f t="shared" si="56"/>
        <v>2.2715992806442582</v>
      </c>
      <c r="W342">
        <f t="shared" si="62"/>
        <v>0.50808397237798752</v>
      </c>
      <c r="X342" s="55">
        <f t="shared" si="57"/>
        <v>0.52404978854613937</v>
      </c>
      <c r="Y342" s="149">
        <v>12.924476200000001</v>
      </c>
      <c r="Z342" s="55">
        <f t="shared" si="53"/>
        <v>4.5821261421885445E-3</v>
      </c>
      <c r="AA342" s="55">
        <f t="shared" si="58"/>
        <v>4.6385721684327275E-3</v>
      </c>
      <c r="AB342" s="55">
        <f t="shared" si="54"/>
        <v>-5.3855921653890189</v>
      </c>
      <c r="AC342" s="55">
        <f t="shared" si="59"/>
        <v>-5.3735726949588623</v>
      </c>
      <c r="AD342" s="55"/>
      <c r="AE342" s="55"/>
      <c r="AF342" s="55"/>
      <c r="AG342" s="55"/>
      <c r="AH342" s="55"/>
    </row>
    <row r="343" spans="1:34" ht="15.75">
      <c r="A343" s="39">
        <v>12.7147551</v>
      </c>
      <c r="B343" s="39">
        <v>12.929510199999999</v>
      </c>
      <c r="C343" s="39">
        <v>341</v>
      </c>
      <c r="D343">
        <v>341</v>
      </c>
      <c r="E343" s="10">
        <v>1478210</v>
      </c>
      <c r="F343" s="10">
        <v>1112770</v>
      </c>
      <c r="G343" s="10">
        <v>17473</v>
      </c>
      <c r="H343" s="10">
        <v>42905</v>
      </c>
      <c r="I343" s="10">
        <v>79283</v>
      </c>
      <c r="J343" s="10">
        <v>29908</v>
      </c>
      <c r="K343">
        <v>341</v>
      </c>
      <c r="L343" s="10">
        <v>3037</v>
      </c>
      <c r="M343" s="10">
        <v>420435</v>
      </c>
      <c r="N343" s="10">
        <v>5316</v>
      </c>
      <c r="O343">
        <v>0.42339270314025879</v>
      </c>
      <c r="P343">
        <v>0.99119095631527043</v>
      </c>
      <c r="Q343">
        <v>-0.39014042939628552</v>
      </c>
      <c r="R343">
        <v>0.39014042939628552</v>
      </c>
      <c r="S343">
        <f t="shared" si="60"/>
        <v>-0.97489772673321307</v>
      </c>
      <c r="T343" s="148">
        <f t="shared" si="55"/>
        <v>-1.006024874433525</v>
      </c>
      <c r="U343">
        <f t="shared" si="61"/>
        <v>2.2823015203220542</v>
      </c>
      <c r="V343" s="55">
        <f t="shared" si="56"/>
        <v>2.2770353349636205</v>
      </c>
      <c r="W343">
        <f t="shared" si="62"/>
        <v>0.53746917078076772</v>
      </c>
      <c r="X343" s="55">
        <f t="shared" si="57"/>
        <v>0.52032634085638707</v>
      </c>
      <c r="Y343" s="149">
        <v>12.929510199999999</v>
      </c>
      <c r="Z343" s="55">
        <f t="shared" si="53"/>
        <v>4.7772675395634321E-3</v>
      </c>
      <c r="AA343" s="55">
        <f t="shared" si="58"/>
        <v>4.5967679130476608E-3</v>
      </c>
      <c r="AB343" s="55">
        <f t="shared" si="54"/>
        <v>-5.3438865403725471</v>
      </c>
      <c r="AC343" s="55">
        <f t="shared" si="59"/>
        <v>-5.3828763304074414</v>
      </c>
      <c r="AD343" s="55"/>
      <c r="AE343" s="55"/>
      <c r="AF343" s="55"/>
      <c r="AG343" s="55"/>
      <c r="AH343" s="55"/>
    </row>
    <row r="344" spans="1:34" ht="15.75">
      <c r="A344" s="39">
        <v>12.7192721</v>
      </c>
      <c r="B344" s="39">
        <v>12.934544199999999</v>
      </c>
      <c r="C344" s="39">
        <v>342</v>
      </c>
      <c r="D344">
        <v>342</v>
      </c>
      <c r="E344" s="10">
        <v>1483170</v>
      </c>
      <c r="F344" s="10">
        <v>1109930</v>
      </c>
      <c r="G344" s="10">
        <v>17654</v>
      </c>
      <c r="H344" s="10">
        <v>42952</v>
      </c>
      <c r="I344" s="10">
        <v>80237</v>
      </c>
      <c r="J344" s="10">
        <v>29559</v>
      </c>
      <c r="K344">
        <v>342</v>
      </c>
      <c r="L344" s="10">
        <v>2669</v>
      </c>
      <c r="M344" s="10">
        <v>422007</v>
      </c>
      <c r="N344" s="10">
        <v>4918</v>
      </c>
      <c r="O344">
        <v>0.4336849448683468</v>
      </c>
      <c r="P344">
        <v>0.99233626388364848</v>
      </c>
      <c r="Q344">
        <v>-0.3861402687038617</v>
      </c>
      <c r="R344">
        <v>0.3861402687038617</v>
      </c>
      <c r="S344">
        <f t="shared" si="60"/>
        <v>-0.9985964891097997</v>
      </c>
      <c r="T344" s="148">
        <f t="shared" si="55"/>
        <v>-0.98058054559426766</v>
      </c>
      <c r="U344">
        <f t="shared" si="61"/>
        <v>2.2849386884558944</v>
      </c>
      <c r="V344" s="55">
        <f t="shared" si="56"/>
        <v>2.3007762534270921</v>
      </c>
      <c r="W344">
        <f t="shared" si="62"/>
        <v>0.51542587941040607</v>
      </c>
      <c r="X344" s="55">
        <f t="shared" si="57"/>
        <v>0.52735384213289838</v>
      </c>
      <c r="Y344" s="149">
        <v>12.934544199999999</v>
      </c>
      <c r="Z344" s="55">
        <f t="shared" si="53"/>
        <v>4.4309100573910066E-3</v>
      </c>
      <c r="AA344" s="55">
        <f t="shared" si="58"/>
        <v>4.5623547527623189E-3</v>
      </c>
      <c r="AB344" s="55">
        <f t="shared" si="54"/>
        <v>-5.4191502854607574</v>
      </c>
      <c r="AC344" s="55">
        <f t="shared" si="59"/>
        <v>-5.3904725341228215</v>
      </c>
      <c r="AD344" s="55"/>
      <c r="AE344" s="55"/>
      <c r="AF344" s="55"/>
      <c r="AG344" s="55"/>
      <c r="AH344" s="55"/>
    </row>
    <row r="345" spans="1:34" ht="15.75">
      <c r="A345" s="39">
        <v>12.723789099999999</v>
      </c>
      <c r="B345" s="39">
        <v>12.9395782</v>
      </c>
      <c r="C345" s="39">
        <v>343</v>
      </c>
      <c r="D345">
        <v>343</v>
      </c>
      <c r="E345" s="10">
        <v>1468460</v>
      </c>
      <c r="F345" s="10">
        <v>1112330</v>
      </c>
      <c r="G345" s="10">
        <v>17115</v>
      </c>
      <c r="H345" s="10">
        <v>41798</v>
      </c>
      <c r="I345" s="10">
        <v>76506</v>
      </c>
      <c r="J345" s="10">
        <v>29053</v>
      </c>
      <c r="K345">
        <v>343</v>
      </c>
      <c r="L345" s="10">
        <v>2594</v>
      </c>
      <c r="M345" s="10">
        <v>431789</v>
      </c>
      <c r="N345" s="10">
        <v>4982</v>
      </c>
      <c r="O345">
        <v>0.42050451203120587</v>
      </c>
      <c r="P345">
        <v>1.0141160726733527</v>
      </c>
      <c r="Q345">
        <v>-0.3877785981637204</v>
      </c>
      <c r="R345">
        <v>0.3877785981637204</v>
      </c>
      <c r="S345">
        <f t="shared" si="60"/>
        <v>-0.96824742093978999</v>
      </c>
      <c r="T345" s="148">
        <f t="shared" si="55"/>
        <v>-0.96102968190143834</v>
      </c>
      <c r="U345">
        <f t="shared" si="61"/>
        <v>2.3350885515033286</v>
      </c>
      <c r="V345" s="55">
        <f t="shared" si="56"/>
        <v>2.2949410955944178</v>
      </c>
      <c r="W345">
        <f t="shared" si="62"/>
        <v>0.52916647620752122</v>
      </c>
      <c r="X345" s="55">
        <f t="shared" si="57"/>
        <v>0.52619685049690745</v>
      </c>
      <c r="Y345" s="149">
        <v>12.9395782</v>
      </c>
      <c r="Z345" s="55">
        <f t="shared" si="53"/>
        <v>4.4788866613325179E-3</v>
      </c>
      <c r="AA345" s="55">
        <f t="shared" si="58"/>
        <v>4.4707129321368815E-3</v>
      </c>
      <c r="AB345" s="55">
        <f t="shared" si="54"/>
        <v>-5.4083807765351599</v>
      </c>
      <c r="AC345" s="55">
        <f t="shared" si="59"/>
        <v>-5.4102295392955826</v>
      </c>
      <c r="AD345" s="55"/>
      <c r="AE345" s="55"/>
      <c r="AF345" s="55"/>
      <c r="AG345" s="55"/>
      <c r="AH345" s="55"/>
    </row>
    <row r="346" spans="1:34" ht="15.75">
      <c r="A346" s="39">
        <v>12.728306099999999</v>
      </c>
      <c r="B346" s="39">
        <v>12.9446122</v>
      </c>
      <c r="C346" s="39">
        <v>344</v>
      </c>
      <c r="D346">
        <v>344</v>
      </c>
      <c r="E346" s="10">
        <v>1472570</v>
      </c>
      <c r="F346" s="10">
        <v>1116530</v>
      </c>
      <c r="G346" s="10">
        <v>18001</v>
      </c>
      <c r="H346" s="10">
        <v>43264</v>
      </c>
      <c r="I346" s="10">
        <v>76759</v>
      </c>
      <c r="J346" s="10">
        <v>30705</v>
      </c>
      <c r="K346">
        <v>344</v>
      </c>
      <c r="L346" s="10">
        <v>2583</v>
      </c>
      <c r="M346" s="10">
        <v>416596</v>
      </c>
      <c r="N346" s="10">
        <v>5027</v>
      </c>
      <c r="O346">
        <v>0.39792020648554355</v>
      </c>
      <c r="P346">
        <v>0.98358842577197581</v>
      </c>
      <c r="Q346">
        <v>-0.38083003802118293</v>
      </c>
      <c r="R346">
        <v>0.38083003802118287</v>
      </c>
      <c r="S346">
        <f t="shared" si="60"/>
        <v>-0.9162451356547251</v>
      </c>
      <c r="T346" s="148">
        <f t="shared" si="55"/>
        <v>-0.94935430504521057</v>
      </c>
      <c r="U346">
        <f t="shared" si="61"/>
        <v>2.2647960468240318</v>
      </c>
      <c r="V346" s="55">
        <f t="shared" si="56"/>
        <v>2.2804401188702692</v>
      </c>
      <c r="W346">
        <f t="shared" si="62"/>
        <v>0.53399819587279507</v>
      </c>
      <c r="X346" s="55">
        <f t="shared" si="57"/>
        <v>0.53452879241405049</v>
      </c>
      <c r="Y346" s="149">
        <v>12.9446122</v>
      </c>
      <c r="Z346" s="55">
        <f t="shared" si="53"/>
        <v>4.5023420776871201E-3</v>
      </c>
      <c r="AA346" s="55">
        <f t="shared" si="58"/>
        <v>4.5585529448905525E-3</v>
      </c>
      <c r="AB346" s="55">
        <f t="shared" si="54"/>
        <v>-5.4031575558908331</v>
      </c>
      <c r="AC346" s="55">
        <f t="shared" si="59"/>
        <v>-5.3909722971644456</v>
      </c>
      <c r="AD346" s="55"/>
      <c r="AE346" s="55"/>
      <c r="AF346" s="55"/>
      <c r="AG346" s="55"/>
      <c r="AH346" s="55"/>
    </row>
    <row r="347" spans="1:34" ht="15.75">
      <c r="A347" s="39">
        <v>12.732823099999999</v>
      </c>
      <c r="B347" s="39">
        <v>12.949646299999999</v>
      </c>
      <c r="C347" s="39">
        <v>345</v>
      </c>
      <c r="D347">
        <v>345</v>
      </c>
      <c r="E347" s="10">
        <v>1490410</v>
      </c>
      <c r="F347" s="10">
        <v>1122820</v>
      </c>
      <c r="G347" s="10">
        <v>18230</v>
      </c>
      <c r="H347" s="10">
        <v>44262</v>
      </c>
      <c r="I347" s="10">
        <v>82028</v>
      </c>
      <c r="J347" s="10">
        <v>31296</v>
      </c>
      <c r="K347">
        <v>345</v>
      </c>
      <c r="L347" s="10">
        <v>2495</v>
      </c>
      <c r="M347" s="10">
        <v>416365</v>
      </c>
      <c r="N347" s="10">
        <v>5271</v>
      </c>
      <c r="O347">
        <v>0.41847328963994479</v>
      </c>
      <c r="P347">
        <v>0.97344318136313202</v>
      </c>
      <c r="Q347">
        <v>-0.38524436518704691</v>
      </c>
      <c r="R347">
        <v>0.38524436518704691</v>
      </c>
      <c r="S347">
        <f t="shared" si="60"/>
        <v>-0.9635703585411165</v>
      </c>
      <c r="T347" s="148">
        <f t="shared" si="55"/>
        <v>-0.94404002819752897</v>
      </c>
      <c r="U347">
        <f t="shared" si="61"/>
        <v>2.2414357582834468</v>
      </c>
      <c r="V347" s="55">
        <f t="shared" si="56"/>
        <v>2.2620949702963773</v>
      </c>
      <c r="W347">
        <f t="shared" si="62"/>
        <v>0.54042170516183519</v>
      </c>
      <c r="X347" s="55">
        <f t="shared" si="57"/>
        <v>0.53220155923078538</v>
      </c>
      <c r="Y347" s="149">
        <v>12.949646299999999</v>
      </c>
      <c r="Z347" s="55">
        <f t="shared" si="53"/>
        <v>4.6944300956520187E-3</v>
      </c>
      <c r="AA347" s="55">
        <f t="shared" si="58"/>
        <v>4.5633300686367144E-3</v>
      </c>
      <c r="AB347" s="55">
        <f t="shared" si="54"/>
        <v>-5.3613785590673437</v>
      </c>
      <c r="AC347" s="55">
        <f t="shared" si="59"/>
        <v>-5.3899074126201816</v>
      </c>
      <c r="AD347" s="55"/>
      <c r="AE347" s="55"/>
      <c r="AF347" s="55"/>
      <c r="AG347" s="55"/>
      <c r="AH347" s="55"/>
    </row>
    <row r="348" spans="1:34" ht="15.75">
      <c r="A348" s="39">
        <v>12.737340100000001</v>
      </c>
      <c r="B348" s="39">
        <v>12.9546803</v>
      </c>
      <c r="C348" s="39">
        <v>346</v>
      </c>
      <c r="D348">
        <v>346</v>
      </c>
      <c r="E348" s="10">
        <v>1514870</v>
      </c>
      <c r="F348" s="10">
        <v>1139050</v>
      </c>
      <c r="G348" s="10">
        <v>18400</v>
      </c>
      <c r="H348" s="10">
        <v>44394</v>
      </c>
      <c r="I348" s="10">
        <v>80386</v>
      </c>
      <c r="J348" s="10">
        <v>31017</v>
      </c>
      <c r="K348">
        <v>346</v>
      </c>
      <c r="L348" s="10">
        <v>2304</v>
      </c>
      <c r="M348" s="10">
        <v>434049</v>
      </c>
      <c r="N348" s="10">
        <v>5118</v>
      </c>
      <c r="O348">
        <v>0.41358062870044288</v>
      </c>
      <c r="P348">
        <v>0.9902144822873431</v>
      </c>
      <c r="Q348">
        <v>-0.38250645469579031</v>
      </c>
      <c r="R348">
        <v>0.38250645469579025</v>
      </c>
      <c r="S348">
        <f t="shared" si="60"/>
        <v>-0.9523045903967452</v>
      </c>
      <c r="T348" s="148">
        <f t="shared" si="55"/>
        <v>-0.95906347538614012</v>
      </c>
      <c r="U348">
        <f t="shared" si="61"/>
        <v>2.2800531057816529</v>
      </c>
      <c r="V348" s="55">
        <f t="shared" si="56"/>
        <v>2.2570689005493745</v>
      </c>
      <c r="W348">
        <f t="shared" si="62"/>
        <v>0.52218477665772589</v>
      </c>
      <c r="X348" s="55">
        <f t="shared" si="57"/>
        <v>0.52418469985940608</v>
      </c>
      <c r="Y348" s="149">
        <v>12.9546803</v>
      </c>
      <c r="Z348" s="55">
        <f t="shared" si="53"/>
        <v>4.4932180325710025E-3</v>
      </c>
      <c r="AA348" s="55">
        <f t="shared" si="58"/>
        <v>4.6068483365906791E-3</v>
      </c>
      <c r="AB348" s="55">
        <f t="shared" si="54"/>
        <v>-5.405186122902367</v>
      </c>
      <c r="AC348" s="55">
        <f t="shared" si="59"/>
        <v>-5.3803792040490253</v>
      </c>
      <c r="AD348" s="55"/>
      <c r="AE348" s="55"/>
      <c r="AF348" s="55"/>
      <c r="AG348" s="55"/>
      <c r="AH348" s="55"/>
    </row>
    <row r="349" spans="1:34" ht="15.75">
      <c r="A349" s="39">
        <v>12.741857100000001</v>
      </c>
      <c r="B349" s="39">
        <v>12.9597143</v>
      </c>
      <c r="C349" s="39">
        <v>347</v>
      </c>
      <c r="D349">
        <v>347</v>
      </c>
      <c r="E349" s="10">
        <v>1489850</v>
      </c>
      <c r="F349" s="10">
        <v>1116580</v>
      </c>
      <c r="G349" s="10">
        <v>18459</v>
      </c>
      <c r="H349" s="10">
        <v>44308</v>
      </c>
      <c r="I349" s="10">
        <v>80384</v>
      </c>
      <c r="J349" s="10">
        <v>30738</v>
      </c>
      <c r="K349">
        <v>347</v>
      </c>
      <c r="L349" s="10">
        <v>2780</v>
      </c>
      <c r="M349" s="10">
        <v>420264</v>
      </c>
      <c r="N349" s="10">
        <v>5173</v>
      </c>
      <c r="O349">
        <v>0.41749400712507978</v>
      </c>
      <c r="P349">
        <v>0.97704004270162303</v>
      </c>
      <c r="Q349">
        <v>-0.38027397723211426</v>
      </c>
      <c r="R349">
        <v>0.38027397723211426</v>
      </c>
      <c r="S349">
        <f t="shared" si="60"/>
        <v>-0.96131547722055855</v>
      </c>
      <c r="T349" s="148">
        <f t="shared" si="55"/>
        <v>-0.94692813717348656</v>
      </c>
      <c r="U349">
        <f t="shared" si="61"/>
        <v>2.2497178375830229</v>
      </c>
      <c r="V349" s="55">
        <f t="shared" si="56"/>
        <v>2.2606180795759676</v>
      </c>
      <c r="W349">
        <f t="shared" si="62"/>
        <v>0.50994761775865727</v>
      </c>
      <c r="X349" s="55">
        <f t="shared" si="57"/>
        <v>0.51044728449512522</v>
      </c>
      <c r="Y349" s="149">
        <v>12.9597143</v>
      </c>
      <c r="Z349" s="55">
        <f t="shared" si="53"/>
        <v>4.6328968815490161E-3</v>
      </c>
      <c r="AA349" s="55">
        <f t="shared" si="58"/>
        <v>4.6362870726227553E-3</v>
      </c>
      <c r="AB349" s="55">
        <f t="shared" si="54"/>
        <v>-5.3745729301773633</v>
      </c>
      <c r="AC349" s="55">
        <f t="shared" si="59"/>
        <v>-5.3741664700035399</v>
      </c>
      <c r="AD349" s="55"/>
      <c r="AE349" s="55"/>
      <c r="AF349" s="55"/>
      <c r="AG349" s="55"/>
      <c r="AH349" s="55"/>
    </row>
    <row r="350" spans="1:34" ht="15.75">
      <c r="A350" s="39">
        <v>12.7463742</v>
      </c>
      <c r="B350" s="39">
        <v>12.9647483</v>
      </c>
      <c r="C350" s="39">
        <v>348</v>
      </c>
      <c r="D350">
        <v>348</v>
      </c>
      <c r="E350" s="10">
        <v>1449050</v>
      </c>
      <c r="F350" s="10">
        <v>1105850</v>
      </c>
      <c r="G350" s="10">
        <v>18322</v>
      </c>
      <c r="H350" s="10">
        <v>43139</v>
      </c>
      <c r="I350" s="10">
        <v>76285</v>
      </c>
      <c r="J350" s="10">
        <v>30184</v>
      </c>
      <c r="K350">
        <v>348</v>
      </c>
      <c r="L350" s="10">
        <v>2338</v>
      </c>
      <c r="M350" s="10">
        <v>410145</v>
      </c>
      <c r="N350" s="10">
        <v>5289</v>
      </c>
      <c r="O350">
        <v>0.40266235837458958</v>
      </c>
      <c r="P350">
        <v>0.97806734796274042</v>
      </c>
      <c r="Q350">
        <v>-0.37189719474939309</v>
      </c>
      <c r="R350">
        <v>0.37189719474939309</v>
      </c>
      <c r="S350">
        <f t="shared" si="60"/>
        <v>-0.92716434390315605</v>
      </c>
      <c r="T350" s="148">
        <f t="shared" si="55"/>
        <v>-0.94216387577744609</v>
      </c>
      <c r="U350">
        <f t="shared" si="61"/>
        <v>2.2520832953632262</v>
      </c>
      <c r="V350" s="55">
        <f t="shared" si="56"/>
        <v>2.2594834035267914</v>
      </c>
      <c r="W350">
        <f t="shared" si="62"/>
        <v>0.49920945906899239</v>
      </c>
      <c r="X350" s="55">
        <f t="shared" si="57"/>
        <v>0.51376849002082059</v>
      </c>
      <c r="Y350" s="149">
        <v>12.9647483</v>
      </c>
      <c r="Z350" s="55">
        <f t="shared" si="53"/>
        <v>4.782746303748248E-3</v>
      </c>
      <c r="AA350" s="55">
        <f t="shared" si="58"/>
        <v>4.7158686764207239E-3</v>
      </c>
      <c r="AB350" s="55">
        <f t="shared" si="54"/>
        <v>-5.3427403569308876</v>
      </c>
      <c r="AC350" s="55">
        <f t="shared" si="59"/>
        <v>-5.3569094906944992</v>
      </c>
      <c r="AD350" s="55"/>
      <c r="AE350" s="55"/>
      <c r="AF350" s="55"/>
      <c r="AG350" s="55"/>
      <c r="AH350" s="55"/>
    </row>
    <row r="351" spans="1:34" ht="15.75">
      <c r="A351" s="39">
        <v>12.7508912</v>
      </c>
      <c r="B351" s="39">
        <v>12.9697823</v>
      </c>
      <c r="C351" s="39">
        <v>349</v>
      </c>
      <c r="D351">
        <v>349</v>
      </c>
      <c r="E351" s="10">
        <v>1439530</v>
      </c>
      <c r="F351" s="10">
        <v>1086230</v>
      </c>
      <c r="G351" s="10">
        <v>17632</v>
      </c>
      <c r="H351" s="10">
        <v>42402</v>
      </c>
      <c r="I351" s="10">
        <v>76698</v>
      </c>
      <c r="J351" s="10">
        <v>30020</v>
      </c>
      <c r="K351">
        <v>349</v>
      </c>
      <c r="L351" s="10">
        <v>1976</v>
      </c>
      <c r="M351" s="10">
        <v>413164</v>
      </c>
      <c r="N351" s="10">
        <v>5140</v>
      </c>
      <c r="O351">
        <v>0.40737335139650771</v>
      </c>
      <c r="P351">
        <v>0.98873613164662855</v>
      </c>
      <c r="Q351">
        <v>-0.38108476452667517</v>
      </c>
      <c r="R351">
        <v>0.38108476452667517</v>
      </c>
      <c r="S351">
        <f t="shared" si="60"/>
        <v>-0.93801180620862368</v>
      </c>
      <c r="T351" s="148">
        <f t="shared" si="55"/>
        <v>-0.93853475613631743</v>
      </c>
      <c r="U351">
        <f t="shared" si="61"/>
        <v>2.2766490776341253</v>
      </c>
      <c r="V351" s="55">
        <f t="shared" si="56"/>
        <v>2.2696402079075573</v>
      </c>
      <c r="W351">
        <f t="shared" si="62"/>
        <v>0.532148393234812</v>
      </c>
      <c r="X351" s="55">
        <f t="shared" si="57"/>
        <v>0.52596510447795608</v>
      </c>
      <c r="Y351" s="149">
        <v>12.9697823</v>
      </c>
      <c r="Z351" s="55">
        <f t="shared" si="53"/>
        <v>4.7319628439649059E-3</v>
      </c>
      <c r="AA351" s="55">
        <f t="shared" si="58"/>
        <v>4.7059512870056622E-3</v>
      </c>
      <c r="AB351" s="55">
        <f t="shared" si="54"/>
        <v>-5.3534151849752467</v>
      </c>
      <c r="AC351" s="55">
        <f t="shared" si="59"/>
        <v>-5.3590570392123729</v>
      </c>
      <c r="AD351" s="55"/>
      <c r="AE351" s="55"/>
      <c r="AF351" s="55"/>
      <c r="AG351" s="55"/>
      <c r="AH351" s="55"/>
    </row>
    <row r="352" spans="1:34" ht="15.75">
      <c r="A352" s="39">
        <v>12.7554082</v>
      </c>
      <c r="B352" s="39">
        <v>12.974816300000001</v>
      </c>
      <c r="C352" s="39">
        <v>350</v>
      </c>
      <c r="D352">
        <v>350</v>
      </c>
      <c r="E352" s="10">
        <v>1404480</v>
      </c>
      <c r="F352" s="10">
        <v>1062100</v>
      </c>
      <c r="G352" s="10">
        <v>16855</v>
      </c>
      <c r="H352" s="10">
        <v>41259</v>
      </c>
      <c r="I352" s="10">
        <v>75310</v>
      </c>
      <c r="J352" s="10">
        <v>29113</v>
      </c>
      <c r="K352">
        <v>350</v>
      </c>
      <c r="L352" s="10">
        <v>2057</v>
      </c>
      <c r="M352" s="10">
        <v>403452</v>
      </c>
      <c r="N352" s="10">
        <v>4889</v>
      </c>
      <c r="O352">
        <v>0.41276568722215307</v>
      </c>
      <c r="P352">
        <v>0.99027317499063516</v>
      </c>
      <c r="Q352">
        <v>-0.38878994085321794</v>
      </c>
      <c r="R352">
        <v>0.388789940853218</v>
      </c>
      <c r="S352">
        <f t="shared" si="60"/>
        <v>-0.95042811829717244</v>
      </c>
      <c r="T352" s="148">
        <f t="shared" si="55"/>
        <v>-0.93744729508804869</v>
      </c>
      <c r="U352">
        <f t="shared" si="61"/>
        <v>2.2801882507253208</v>
      </c>
      <c r="V352" s="55">
        <f t="shared" si="56"/>
        <v>2.2645414842740599</v>
      </c>
      <c r="W352">
        <f t="shared" si="62"/>
        <v>0.54653746113006396</v>
      </c>
      <c r="X352" s="55">
        <f t="shared" si="57"/>
        <v>0.54489945591354094</v>
      </c>
      <c r="Y352" s="149">
        <v>12.974816300000001</v>
      </c>
      <c r="Z352" s="55">
        <f t="shared" si="53"/>
        <v>4.6031447133038318E-3</v>
      </c>
      <c r="AA352" s="55">
        <f t="shared" si="58"/>
        <v>4.6490177818950375E-3</v>
      </c>
      <c r="AB352" s="55">
        <f t="shared" si="54"/>
        <v>-5.3810155757309852</v>
      </c>
      <c r="AC352" s="55">
        <f t="shared" si="59"/>
        <v>-5.3711787306045666</v>
      </c>
      <c r="AD352" s="55"/>
      <c r="AE352" s="55"/>
      <c r="AF352" s="55"/>
      <c r="AG352" s="55"/>
      <c r="AH352" s="55"/>
    </row>
    <row r="353" spans="1:34" ht="15.75">
      <c r="A353" s="39">
        <v>12.7599252</v>
      </c>
      <c r="B353" s="39">
        <v>12.979850300000001</v>
      </c>
      <c r="C353" s="39">
        <v>351</v>
      </c>
      <c r="D353">
        <v>351</v>
      </c>
      <c r="E353" s="10">
        <v>1405850</v>
      </c>
      <c r="F353" s="10">
        <v>1060290</v>
      </c>
      <c r="G353" s="10">
        <v>17039</v>
      </c>
      <c r="H353" s="10">
        <v>42511</v>
      </c>
      <c r="I353" s="10">
        <v>74845</v>
      </c>
      <c r="J353" s="10">
        <v>29711</v>
      </c>
      <c r="K353">
        <v>351</v>
      </c>
      <c r="L353" s="10">
        <v>2022</v>
      </c>
      <c r="M353" s="10">
        <v>398039</v>
      </c>
      <c r="N353" s="10">
        <v>4890</v>
      </c>
      <c r="O353">
        <v>0.40124552337694608</v>
      </c>
      <c r="P353">
        <v>0.97142430534640722</v>
      </c>
      <c r="Q353">
        <v>-0.39705721821938922</v>
      </c>
      <c r="R353">
        <v>0.39705721821938927</v>
      </c>
      <c r="S353">
        <f t="shared" si="60"/>
        <v>-0.92390196075834996</v>
      </c>
      <c r="T353" s="148">
        <f t="shared" si="55"/>
        <v>-0.92731584504337838</v>
      </c>
      <c r="U353">
        <f t="shared" si="61"/>
        <v>2.2367871244627335</v>
      </c>
      <c r="V353" s="55">
        <f t="shared" si="56"/>
        <v>2.2396851734472922</v>
      </c>
      <c r="W353">
        <f t="shared" si="62"/>
        <v>0.55601251337574698</v>
      </c>
      <c r="X353" s="55">
        <f t="shared" si="57"/>
        <v>0.52857672560696545</v>
      </c>
      <c r="Y353" s="149">
        <v>12.979850300000001</v>
      </c>
      <c r="Z353" s="55">
        <f t="shared" si="53"/>
        <v>4.6119457884163766E-3</v>
      </c>
      <c r="AA353" s="55">
        <f t="shared" si="58"/>
        <v>4.5603124945829306E-3</v>
      </c>
      <c r="AB353" s="55">
        <f t="shared" si="54"/>
        <v>-5.3791054311074671</v>
      </c>
      <c r="AC353" s="55">
        <f t="shared" si="59"/>
        <v>-5.3904724652860878</v>
      </c>
      <c r="AD353" s="55"/>
      <c r="AE353" s="55"/>
      <c r="AF353" s="55"/>
      <c r="AG353" s="55"/>
      <c r="AH353" s="55"/>
    </row>
    <row r="354" spans="1:34" ht="15.75">
      <c r="A354" s="39">
        <v>12.7644422</v>
      </c>
      <c r="B354" s="39">
        <v>12.9848844</v>
      </c>
      <c r="C354" s="39">
        <v>352</v>
      </c>
      <c r="D354">
        <v>352</v>
      </c>
      <c r="E354" s="10">
        <v>1450540</v>
      </c>
      <c r="F354" s="10">
        <v>1092290</v>
      </c>
      <c r="G354" s="10">
        <v>19885</v>
      </c>
      <c r="H354" s="10">
        <v>44788</v>
      </c>
      <c r="I354" s="10">
        <v>79899</v>
      </c>
      <c r="J354" s="10">
        <v>32238</v>
      </c>
      <c r="K354">
        <v>352</v>
      </c>
      <c r="L354" s="10">
        <v>2118</v>
      </c>
      <c r="M354" s="10">
        <v>405054</v>
      </c>
      <c r="N354" s="10">
        <v>4878</v>
      </c>
      <c r="O354">
        <v>0.39417325285227128</v>
      </c>
      <c r="P354">
        <v>0.95635125574901714</v>
      </c>
      <c r="Q354">
        <v>-0.35263607421452037</v>
      </c>
      <c r="R354">
        <v>0.35263607421452031</v>
      </c>
      <c r="S354">
        <f t="shared" si="60"/>
        <v>-0.90761745607461253</v>
      </c>
      <c r="T354" s="148">
        <f t="shared" si="55"/>
        <v>-0.91717926569105979</v>
      </c>
      <c r="U354">
        <f t="shared" si="61"/>
        <v>2.2020801451538232</v>
      </c>
      <c r="V354" s="55">
        <f t="shared" si="56"/>
        <v>2.221429857993237</v>
      </c>
      <c r="W354">
        <f t="shared" si="62"/>
        <v>0.48318020231508546</v>
      </c>
      <c r="X354" s="55">
        <f t="shared" si="57"/>
        <v>0.50398968312117132</v>
      </c>
      <c r="Y354" s="149">
        <v>12.9848844</v>
      </c>
      <c r="Z354" s="55">
        <f t="shared" si="53"/>
        <v>4.4658469820285825E-3</v>
      </c>
      <c r="AA354" s="55">
        <f t="shared" si="58"/>
        <v>4.5478699170929055E-3</v>
      </c>
      <c r="AB354" s="55">
        <f t="shared" si="54"/>
        <v>-5.411296389019812</v>
      </c>
      <c r="AC354" s="55">
        <f t="shared" si="59"/>
        <v>-5.3931865449487946</v>
      </c>
      <c r="AD354" s="55"/>
      <c r="AE354" s="55"/>
      <c r="AF354" s="55"/>
      <c r="AG354" s="55"/>
      <c r="AH354" s="55"/>
    </row>
    <row r="355" spans="1:34" ht="15.75">
      <c r="A355" s="39">
        <v>12.768959199999999</v>
      </c>
      <c r="B355" s="39">
        <v>12.989918400000001</v>
      </c>
      <c r="C355" s="39">
        <v>353</v>
      </c>
      <c r="D355">
        <v>353</v>
      </c>
      <c r="E355" s="10">
        <v>1517220</v>
      </c>
      <c r="F355" s="10">
        <v>1138460</v>
      </c>
      <c r="G355" s="10">
        <v>20394</v>
      </c>
      <c r="H355" s="10">
        <v>47014</v>
      </c>
      <c r="I355" s="10">
        <v>82108</v>
      </c>
      <c r="J355" s="10">
        <v>32721</v>
      </c>
      <c r="K355">
        <v>353</v>
      </c>
      <c r="L355" s="10">
        <v>2962</v>
      </c>
      <c r="M355" s="10">
        <v>435227</v>
      </c>
      <c r="N355" s="10">
        <v>5198</v>
      </c>
      <c r="O355">
        <v>0.39955890578789388</v>
      </c>
      <c r="P355">
        <v>0.96648862668933688</v>
      </c>
      <c r="Q355">
        <v>-0.36272478801957236</v>
      </c>
      <c r="R355">
        <v>0.36272478801957231</v>
      </c>
      <c r="S355">
        <f t="shared" si="60"/>
        <v>-0.92001838024021676</v>
      </c>
      <c r="T355" s="148">
        <f t="shared" si="55"/>
        <v>-0.92721100698889725</v>
      </c>
      <c r="U355">
        <f t="shared" si="61"/>
        <v>2.2254223043631542</v>
      </c>
      <c r="V355" s="55">
        <f t="shared" si="56"/>
        <v>2.2326269591398393</v>
      </c>
      <c r="W355">
        <f t="shared" si="62"/>
        <v>0.47277633367268157</v>
      </c>
      <c r="X355" s="55">
        <f t="shared" si="57"/>
        <v>0.45774569491073924</v>
      </c>
      <c r="Y355" s="149">
        <v>12.989918400000001</v>
      </c>
      <c r="Z355" s="55">
        <f t="shared" si="53"/>
        <v>4.5658169808337583E-3</v>
      </c>
      <c r="AA355" s="55">
        <f t="shared" si="58"/>
        <v>4.5140428166455492E-3</v>
      </c>
      <c r="AB355" s="55">
        <f t="shared" si="54"/>
        <v>-5.3891578147191064</v>
      </c>
      <c r="AC355" s="55">
        <f t="shared" si="59"/>
        <v>-5.4006031146758389</v>
      </c>
      <c r="AD355" s="55"/>
      <c r="AE355" s="55"/>
      <c r="AF355" s="55"/>
      <c r="AG355" s="55"/>
      <c r="AH355" s="55"/>
    </row>
    <row r="356" spans="1:34" ht="15.75">
      <c r="A356" s="39">
        <v>12.773476199999999</v>
      </c>
      <c r="B356" s="39">
        <v>12.994952400000001</v>
      </c>
      <c r="C356" s="39">
        <v>354</v>
      </c>
      <c r="D356">
        <v>354</v>
      </c>
      <c r="E356" s="10">
        <v>1527950</v>
      </c>
      <c r="F356" s="10">
        <v>1145780</v>
      </c>
      <c r="G356" s="10">
        <v>21034</v>
      </c>
      <c r="H356" s="10">
        <v>45189</v>
      </c>
      <c r="I356" s="10">
        <v>82882</v>
      </c>
      <c r="J356" s="10">
        <v>31926</v>
      </c>
      <c r="K356">
        <v>354</v>
      </c>
      <c r="L356" s="10">
        <v>2122</v>
      </c>
      <c r="M356" s="10">
        <v>437568</v>
      </c>
      <c r="N356" s="10">
        <v>5168</v>
      </c>
      <c r="O356">
        <v>0.41431571304554143</v>
      </c>
      <c r="P356">
        <v>0.9860128230702534</v>
      </c>
      <c r="Q356">
        <v>-0.33211086123058153</v>
      </c>
      <c r="R356">
        <v>0.33211086123058153</v>
      </c>
      <c r="S356">
        <f t="shared" si="60"/>
        <v>-0.95399718465186245</v>
      </c>
      <c r="T356" s="148">
        <f t="shared" si="55"/>
        <v>-0.92788028162730729</v>
      </c>
      <c r="U356">
        <f t="shared" si="61"/>
        <v>2.270378427902541</v>
      </c>
      <c r="V356" s="55">
        <f t="shared" si="56"/>
        <v>2.2539819996729129</v>
      </c>
      <c r="W356">
        <f t="shared" si="62"/>
        <v>0.41728054874445053</v>
      </c>
      <c r="X356" s="55">
        <f t="shared" si="57"/>
        <v>0.45642122256715584</v>
      </c>
      <c r="Y356" s="149">
        <v>12.994952400000001</v>
      </c>
      <c r="Z356" s="55">
        <f t="shared" si="53"/>
        <v>4.5104644870743076E-3</v>
      </c>
      <c r="AA356" s="55">
        <f t="shared" si="58"/>
        <v>4.6680230415283323E-3</v>
      </c>
      <c r="AB356" s="55">
        <f t="shared" si="54"/>
        <v>-5.4013551402885973</v>
      </c>
      <c r="AC356" s="55">
        <f t="shared" si="59"/>
        <v>-5.3677926992784455</v>
      </c>
      <c r="AD356" s="55"/>
      <c r="AE356" s="55"/>
      <c r="AF356" s="55"/>
      <c r="AG356" s="55"/>
      <c r="AH356" s="55"/>
    </row>
    <row r="357" spans="1:34" ht="15.75">
      <c r="A357" s="39">
        <v>12.777993199999999</v>
      </c>
      <c r="B357" s="39">
        <v>12.999986399999999</v>
      </c>
      <c r="C357" s="39">
        <v>355</v>
      </c>
      <c r="D357">
        <v>355</v>
      </c>
      <c r="E357" s="10">
        <v>1514615</v>
      </c>
      <c r="F357" s="10">
        <v>1152850</v>
      </c>
      <c r="G357" s="10">
        <v>20219</v>
      </c>
      <c r="H357" s="10">
        <v>45411.5</v>
      </c>
      <c r="I357" s="10">
        <v>81081.5</v>
      </c>
      <c r="J357" s="10">
        <v>32649.5</v>
      </c>
      <c r="K357">
        <v>355</v>
      </c>
      <c r="L357" s="10">
        <v>2393.5</v>
      </c>
      <c r="M357" s="10">
        <v>437865</v>
      </c>
      <c r="N357" s="10">
        <v>5681</v>
      </c>
      <c r="O357">
        <v>0.39504523969928912</v>
      </c>
      <c r="P357">
        <v>0.98417438454201933</v>
      </c>
      <c r="Q357">
        <v>-0.35140617517797679</v>
      </c>
      <c r="R357">
        <v>0.35140617517797679</v>
      </c>
      <c r="S357">
        <f t="shared" si="60"/>
        <v>-0.90962527998984277</v>
      </c>
      <c r="T357" s="148">
        <f t="shared" si="55"/>
        <v>-0.90962459275812757</v>
      </c>
      <c r="U357">
        <f t="shared" si="61"/>
        <v>2.2661452667530435</v>
      </c>
      <c r="V357" s="55">
        <f t="shared" si="56"/>
        <v>2.2661531156466292</v>
      </c>
      <c r="W357">
        <f t="shared" si="62"/>
        <v>0.47920678528433536</v>
      </c>
      <c r="X357" s="55">
        <f t="shared" si="57"/>
        <v>0.4795850978256721</v>
      </c>
      <c r="Y357" s="149">
        <v>12.999986399999999</v>
      </c>
      <c r="Z357" s="55">
        <f t="shared" si="53"/>
        <v>4.927787656676931E-3</v>
      </c>
      <c r="AA357" s="55">
        <f t="shared" si="58"/>
        <v>4.9260918645481115E-3</v>
      </c>
      <c r="AB357" s="55">
        <f t="shared" si="54"/>
        <v>-5.3128651428276328</v>
      </c>
      <c r="AC357" s="55">
        <f t="shared" si="59"/>
        <v>-5.3155818392567191</v>
      </c>
      <c r="AD357" s="55"/>
      <c r="AE357" s="55"/>
      <c r="AF357" s="55"/>
      <c r="AG357" s="55"/>
      <c r="AH357" s="55"/>
    </row>
    <row r="358" spans="1:34" ht="15.75">
      <c r="A358" s="39">
        <v>12.782510200000001</v>
      </c>
      <c r="B358" s="39">
        <v>13.005020399999999</v>
      </c>
      <c r="C358" s="39">
        <v>356</v>
      </c>
      <c r="D358">
        <v>356</v>
      </c>
      <c r="E358" s="10">
        <v>1501280</v>
      </c>
      <c r="F358" s="10">
        <v>1159920</v>
      </c>
      <c r="G358" s="10">
        <v>19404</v>
      </c>
      <c r="H358" s="10">
        <v>45634</v>
      </c>
      <c r="I358" s="10">
        <v>79281</v>
      </c>
      <c r="J358" s="10">
        <v>33373</v>
      </c>
      <c r="K358">
        <v>356</v>
      </c>
      <c r="L358" s="10">
        <v>2665</v>
      </c>
      <c r="M358" s="10">
        <v>438162</v>
      </c>
      <c r="N358" s="10">
        <v>6194</v>
      </c>
      <c r="O358">
        <v>0.37577387097021175</v>
      </c>
      <c r="P358">
        <v>0.98234617220730525</v>
      </c>
      <c r="Q358">
        <v>-0.37139727211055124</v>
      </c>
      <c r="R358">
        <v>0.37139727211055124</v>
      </c>
      <c r="S358">
        <f t="shared" si="60"/>
        <v>-0.86525131363267749</v>
      </c>
      <c r="T358" s="148">
        <f t="shared" si="55"/>
        <v>-0.88395099075356276</v>
      </c>
      <c r="U358">
        <f t="shared" si="61"/>
        <v>2.2619356522843028</v>
      </c>
      <c r="V358" s="55">
        <f t="shared" si="56"/>
        <v>2.2600408516133048</v>
      </c>
      <c r="W358">
        <f t="shared" si="62"/>
        <v>0.54226795944823036</v>
      </c>
      <c r="X358" s="55">
        <f t="shared" si="57"/>
        <v>0.524152083383986</v>
      </c>
      <c r="Y358" s="149">
        <v>13.005020399999999</v>
      </c>
      <c r="Z358" s="55">
        <f t="shared" si="53"/>
        <v>5.340023449893096E-3</v>
      </c>
      <c r="AA358" s="55">
        <f t="shared" si="58"/>
        <v>5.0660142805395792E-3</v>
      </c>
      <c r="AB358" s="55">
        <f t="shared" si="54"/>
        <v>-5.2325252346539273</v>
      </c>
      <c r="AC358" s="55">
        <f t="shared" si="59"/>
        <v>-5.2859198881443099</v>
      </c>
      <c r="AD358" s="55"/>
      <c r="AE358" s="55"/>
      <c r="AF358" s="55"/>
      <c r="AG358" s="55"/>
      <c r="AH358" s="55"/>
    </row>
    <row r="359" spans="1:34" ht="15.75">
      <c r="A359" s="39">
        <v>12.787027200000001</v>
      </c>
      <c r="B359" s="39">
        <v>13.0100544</v>
      </c>
      <c r="C359" s="39">
        <v>357</v>
      </c>
      <c r="D359">
        <v>357</v>
      </c>
      <c r="E359" s="10">
        <v>1508810</v>
      </c>
      <c r="F359" s="10">
        <v>1130170</v>
      </c>
      <c r="G359" s="10">
        <v>18910</v>
      </c>
      <c r="H359" s="10">
        <v>45677</v>
      </c>
      <c r="I359" s="10">
        <v>78858</v>
      </c>
      <c r="J359" s="10">
        <v>32808</v>
      </c>
      <c r="K359">
        <v>357</v>
      </c>
      <c r="L359" s="10">
        <v>2571</v>
      </c>
      <c r="M359" s="10">
        <v>434257</v>
      </c>
      <c r="N359" s="10">
        <v>5572</v>
      </c>
      <c r="O359">
        <v>0.38086600200205317</v>
      </c>
      <c r="P359">
        <v>0.97804925544542787</v>
      </c>
      <c r="Q359">
        <v>-0.38300604348928141</v>
      </c>
      <c r="R359">
        <v>0.38300604348928136</v>
      </c>
      <c r="S359">
        <f t="shared" si="60"/>
        <v>-0.87697637863816802</v>
      </c>
      <c r="T359" s="148">
        <f t="shared" si="55"/>
        <v>-0.87559475464689296</v>
      </c>
      <c r="U359">
        <f t="shared" si="61"/>
        <v>2.2520416358025677</v>
      </c>
      <c r="V359" s="55">
        <f t="shared" si="56"/>
        <v>2.2582701059850652</v>
      </c>
      <c r="W359">
        <f t="shared" si="62"/>
        <v>0.55098150541939206</v>
      </c>
      <c r="X359" s="55">
        <f t="shared" si="57"/>
        <v>0.56664477666332358</v>
      </c>
      <c r="Y359" s="149">
        <v>13.0100544</v>
      </c>
      <c r="Z359" s="55">
        <f t="shared" si="53"/>
        <v>4.9302317350487096E-3</v>
      </c>
      <c r="AA359" s="55">
        <f t="shared" si="58"/>
        <v>5.0893208861925842E-3</v>
      </c>
      <c r="AB359" s="55">
        <f t="shared" si="54"/>
        <v>-5.3123692869513688</v>
      </c>
      <c r="AC359" s="55">
        <f t="shared" si="59"/>
        <v>-5.2812234995239429</v>
      </c>
      <c r="AD359" s="55"/>
      <c r="AE359" s="55"/>
      <c r="AF359" s="55"/>
      <c r="AG359" s="55"/>
      <c r="AH359" s="55"/>
    </row>
    <row r="360" spans="1:34" ht="15.75">
      <c r="A360" s="39">
        <v>12.791544200000001</v>
      </c>
      <c r="B360" s="39">
        <v>13.0150884</v>
      </c>
      <c r="C360" s="39">
        <v>358</v>
      </c>
      <c r="D360">
        <v>358</v>
      </c>
      <c r="E360" s="10">
        <v>1351210</v>
      </c>
      <c r="F360" s="10">
        <v>1046880</v>
      </c>
      <c r="G360" s="10">
        <v>15725</v>
      </c>
      <c r="H360" s="10">
        <v>40428</v>
      </c>
      <c r="I360" s="10">
        <v>69860</v>
      </c>
      <c r="J360" s="10">
        <v>28845</v>
      </c>
      <c r="K360">
        <v>358</v>
      </c>
      <c r="L360" s="10">
        <v>2365</v>
      </c>
      <c r="M360" s="10">
        <v>387748</v>
      </c>
      <c r="N360" s="10">
        <v>5232</v>
      </c>
      <c r="O360">
        <v>0.38415803800746684</v>
      </c>
      <c r="P360">
        <v>0.9818673093764233</v>
      </c>
      <c r="Q360">
        <v>-0.41009160291143854</v>
      </c>
      <c r="R360">
        <v>0.41009160291143848</v>
      </c>
      <c r="S360">
        <f t="shared" si="60"/>
        <v>-0.88455657166983315</v>
      </c>
      <c r="T360" s="148">
        <f t="shared" si="55"/>
        <v>-0.86515138501836508</v>
      </c>
      <c r="U360">
        <f t="shared" si="61"/>
        <v>2.260833029868325</v>
      </c>
      <c r="V360" s="55">
        <f t="shared" si="56"/>
        <v>2.2603603118901465</v>
      </c>
      <c r="W360">
        <f t="shared" si="62"/>
        <v>0.60668486512234854</v>
      </c>
      <c r="X360" s="55">
        <f t="shared" si="57"/>
        <v>0.60574975707998369</v>
      </c>
      <c r="Y360" s="149">
        <v>13.0150884</v>
      </c>
      <c r="Z360" s="55">
        <f t="shared" si="53"/>
        <v>4.997707473635947E-3</v>
      </c>
      <c r="AA360" s="55">
        <f t="shared" si="58"/>
        <v>4.9348611791007269E-3</v>
      </c>
      <c r="AB360" s="55">
        <f t="shared" si="54"/>
        <v>-5.2987759769665308</v>
      </c>
      <c r="AC360" s="55">
        <f t="shared" si="59"/>
        <v>-5.3114810657148377</v>
      </c>
      <c r="AD360" s="55"/>
      <c r="AE360" s="55"/>
      <c r="AF360" s="55"/>
      <c r="AG360" s="55"/>
      <c r="AH360" s="55"/>
    </row>
    <row r="361" spans="1:34" ht="15.75">
      <c r="A361" s="39">
        <v>12.7960612</v>
      </c>
      <c r="B361" s="39">
        <v>13.020122499999999</v>
      </c>
      <c r="C361" s="39">
        <v>359</v>
      </c>
      <c r="D361">
        <v>359</v>
      </c>
      <c r="E361" s="10">
        <v>1268310</v>
      </c>
      <c r="F361" s="10">
        <v>1007250</v>
      </c>
      <c r="G361" s="10">
        <v>14209</v>
      </c>
      <c r="H361" s="10">
        <v>38157</v>
      </c>
      <c r="I361" s="10">
        <v>63268</v>
      </c>
      <c r="J361" s="10">
        <v>27480</v>
      </c>
      <c r="K361">
        <v>359</v>
      </c>
      <c r="L361" s="10">
        <v>2062</v>
      </c>
      <c r="M361" s="10">
        <v>368675</v>
      </c>
      <c r="N361" s="10">
        <v>4912</v>
      </c>
      <c r="O361">
        <v>0.36216737756377471</v>
      </c>
      <c r="P361">
        <v>0.98506946687916075</v>
      </c>
      <c r="Q361">
        <v>-0.429010707785414</v>
      </c>
      <c r="R361">
        <v>0.429010707785414</v>
      </c>
      <c r="S361">
        <f t="shared" si="60"/>
        <v>-0.83392120474709386</v>
      </c>
      <c r="T361" s="148">
        <f t="shared" si="55"/>
        <v>-0.85732856805894153</v>
      </c>
      <c r="U361">
        <f t="shared" si="61"/>
        <v>2.2682062699995473</v>
      </c>
      <c r="V361" s="55">
        <f t="shared" si="56"/>
        <v>2.2547378812996706</v>
      </c>
      <c r="W361">
        <f t="shared" si="62"/>
        <v>0.65958290069821035</v>
      </c>
      <c r="X361" s="55">
        <f t="shared" si="57"/>
        <v>0.61054291791419379</v>
      </c>
      <c r="Y361" s="149">
        <v>13.020122499999999</v>
      </c>
      <c r="Z361" s="55">
        <f t="shared" si="53"/>
        <v>4.8766443286175232E-3</v>
      </c>
      <c r="AA361" s="55">
        <f t="shared" si="58"/>
        <v>4.875805814344168E-3</v>
      </c>
      <c r="AB361" s="55">
        <f t="shared" si="54"/>
        <v>-5.3232979332266153</v>
      </c>
      <c r="AC361" s="55">
        <f t="shared" si="59"/>
        <v>-5.3236797937499167</v>
      </c>
      <c r="AD361" s="55"/>
      <c r="AE361" s="55"/>
      <c r="AF361" s="55"/>
      <c r="AG361" s="55"/>
      <c r="AH361" s="55"/>
    </row>
    <row r="362" spans="1:34" ht="15.75">
      <c r="A362" s="39">
        <v>12.8005782</v>
      </c>
      <c r="B362" s="39">
        <v>13.0251565</v>
      </c>
      <c r="C362" s="39">
        <v>360</v>
      </c>
      <c r="D362">
        <v>360</v>
      </c>
      <c r="E362" s="10">
        <v>1344500</v>
      </c>
      <c r="F362" s="10">
        <v>1039750</v>
      </c>
      <c r="G362" s="10">
        <v>16860</v>
      </c>
      <c r="H362" s="10">
        <v>40826</v>
      </c>
      <c r="I362" s="10">
        <v>69673</v>
      </c>
      <c r="J362" s="10">
        <v>29675</v>
      </c>
      <c r="K362">
        <v>360</v>
      </c>
      <c r="L362" s="10">
        <v>2353</v>
      </c>
      <c r="M362" s="10">
        <v>381646</v>
      </c>
      <c r="N362" s="10">
        <v>4942</v>
      </c>
      <c r="O362">
        <v>0.37067378328680284</v>
      </c>
      <c r="P362">
        <v>0.97072388370444507</v>
      </c>
      <c r="Q362">
        <v>-0.38407926094393852</v>
      </c>
      <c r="R362">
        <v>0.38407926094393846</v>
      </c>
      <c r="S362">
        <f t="shared" si="60"/>
        <v>-0.8535079277598977</v>
      </c>
      <c r="T362" s="148">
        <f t="shared" si="55"/>
        <v>-0.84667338206195852</v>
      </c>
      <c r="U362">
        <f t="shared" si="61"/>
        <v>2.2351743440311407</v>
      </c>
      <c r="V362" s="55">
        <f t="shared" si="56"/>
        <v>2.2485711088946903</v>
      </c>
      <c r="W362">
        <f t="shared" si="62"/>
        <v>0.56536098792202227</v>
      </c>
      <c r="X362" s="55">
        <f t="shared" si="57"/>
        <v>0.58975236193235503</v>
      </c>
      <c r="Y362" s="149">
        <v>13.0251565</v>
      </c>
      <c r="Z362" s="55">
        <f t="shared" si="53"/>
        <v>4.753065640779033E-3</v>
      </c>
      <c r="AA362" s="55">
        <f t="shared" si="58"/>
        <v>4.7845263651465318E-3</v>
      </c>
      <c r="AB362" s="55">
        <f t="shared" si="54"/>
        <v>-5.3489654710566032</v>
      </c>
      <c r="AC362" s="55">
        <f t="shared" si="59"/>
        <v>-5.3424634964564151</v>
      </c>
      <c r="AD362" s="55"/>
      <c r="AE362" s="55"/>
      <c r="AF362" s="55"/>
      <c r="AG362" s="55"/>
      <c r="AH362" s="55"/>
    </row>
    <row r="363" spans="1:34" ht="15.75">
      <c r="A363" s="39">
        <v>12.8050952</v>
      </c>
      <c r="B363" s="39">
        <v>13.0301905</v>
      </c>
      <c r="C363" s="39">
        <v>361</v>
      </c>
      <c r="D363">
        <v>361</v>
      </c>
      <c r="E363" s="10">
        <v>1408560</v>
      </c>
      <c r="F363" s="10">
        <v>1092960</v>
      </c>
      <c r="G363" s="10">
        <v>18024</v>
      </c>
      <c r="H363" s="10">
        <v>43042</v>
      </c>
      <c r="I363" s="10">
        <v>72865</v>
      </c>
      <c r="J363" s="10">
        <v>31063</v>
      </c>
      <c r="K363">
        <v>361</v>
      </c>
      <c r="L363" s="10">
        <v>3078</v>
      </c>
      <c r="M363" s="10">
        <v>405252</v>
      </c>
      <c r="N363" s="10">
        <v>5163</v>
      </c>
      <c r="O363">
        <v>0.37027557256103927</v>
      </c>
      <c r="P363">
        <v>0.97383272369651452</v>
      </c>
      <c r="Q363">
        <v>-0.37804126444403285</v>
      </c>
      <c r="R363">
        <v>0.37804126444403285</v>
      </c>
      <c r="S363">
        <f t="shared" si="60"/>
        <v>-0.85259101367888412</v>
      </c>
      <c r="T363" s="148">
        <f t="shared" si="55"/>
        <v>-0.88091761711022809</v>
      </c>
      <c r="U363">
        <f t="shared" si="61"/>
        <v>2.2423327126533836</v>
      </c>
      <c r="V363" s="55">
        <f t="shared" si="56"/>
        <v>2.2468489417192732</v>
      </c>
      <c r="W363">
        <f t="shared" si="62"/>
        <v>0.54431319717683246</v>
      </c>
      <c r="X363" s="55">
        <f t="shared" si="57"/>
        <v>0.54831768072658427</v>
      </c>
      <c r="Y363" s="149">
        <v>13.0301905</v>
      </c>
      <c r="Z363" s="55">
        <f t="shared" si="53"/>
        <v>4.7238691260430392E-3</v>
      </c>
      <c r="AA363" s="55">
        <f t="shared" si="58"/>
        <v>4.7788576676717079E-3</v>
      </c>
      <c r="AB363" s="55">
        <f t="shared" si="54"/>
        <v>-5.3551270850860275</v>
      </c>
      <c r="AC363" s="55">
        <f t="shared" si="59"/>
        <v>-5.3436279456600841</v>
      </c>
      <c r="AD363" s="55"/>
      <c r="AE363" s="55"/>
      <c r="AF363" s="55"/>
      <c r="AG363" s="55"/>
      <c r="AH363" s="55"/>
    </row>
    <row r="364" spans="1:34" ht="15.75">
      <c r="A364" s="39">
        <v>12.8096122</v>
      </c>
      <c r="B364" s="39">
        <v>13.0352245</v>
      </c>
      <c r="C364" s="39">
        <v>362</v>
      </c>
      <c r="D364">
        <v>362</v>
      </c>
      <c r="E364" s="10">
        <v>1421720</v>
      </c>
      <c r="F364" s="10">
        <v>1079710</v>
      </c>
      <c r="G364" s="10">
        <v>17629</v>
      </c>
      <c r="H364" s="10">
        <v>41977</v>
      </c>
      <c r="I364" s="10">
        <v>76821</v>
      </c>
      <c r="J364" s="10">
        <v>30109</v>
      </c>
      <c r="K364">
        <v>362</v>
      </c>
      <c r="L364" s="10">
        <v>2562</v>
      </c>
      <c r="M364" s="10">
        <v>403494</v>
      </c>
      <c r="N364" s="10">
        <v>5247</v>
      </c>
      <c r="O364">
        <v>0.40678362451915884</v>
      </c>
      <c r="P364">
        <v>0.98282568377556456</v>
      </c>
      <c r="Q364">
        <v>-0.37678371955668355</v>
      </c>
      <c r="R364">
        <v>0.37678371955668349</v>
      </c>
      <c r="S364">
        <f t="shared" si="60"/>
        <v>-0.93665390989190234</v>
      </c>
      <c r="T364" s="148">
        <f t="shared" si="55"/>
        <v>-0.91133086044780587</v>
      </c>
      <c r="U364">
        <f t="shared" si="61"/>
        <v>2.2630397684732948</v>
      </c>
      <c r="V364" s="55">
        <f t="shared" si="56"/>
        <v>2.2631475115872508</v>
      </c>
      <c r="W364">
        <f t="shared" si="62"/>
        <v>0.53527885708089806</v>
      </c>
      <c r="X364" s="55">
        <f t="shared" si="57"/>
        <v>0.54923296808929234</v>
      </c>
      <c r="Y364" s="149">
        <v>13.0352245</v>
      </c>
      <c r="Z364" s="55">
        <f t="shared" si="53"/>
        <v>4.8596382361930516E-3</v>
      </c>
      <c r="AA364" s="55">
        <f t="shared" si="58"/>
        <v>4.7939419934501177E-3</v>
      </c>
      <c r="AB364" s="55">
        <f t="shared" si="54"/>
        <v>-5.3267912808376199</v>
      </c>
      <c r="AC364" s="55">
        <f t="shared" si="59"/>
        <v>-5.3404693587499779</v>
      </c>
      <c r="AD364" s="55"/>
      <c r="AE364" s="55"/>
      <c r="AF364" s="55"/>
      <c r="AG364" s="55"/>
      <c r="AH364" s="55"/>
    </row>
    <row r="365" spans="1:34" ht="15.75">
      <c r="A365" s="39">
        <v>12.814129299999999</v>
      </c>
      <c r="B365" s="39">
        <v>13.0402585</v>
      </c>
      <c r="C365" s="39">
        <v>363</v>
      </c>
      <c r="D365">
        <v>363</v>
      </c>
      <c r="E365" s="10">
        <v>1370450</v>
      </c>
      <c r="F365" s="10">
        <v>1065790</v>
      </c>
      <c r="G365" s="10">
        <v>16284</v>
      </c>
      <c r="H365" s="10">
        <v>40802</v>
      </c>
      <c r="I365" s="10">
        <v>73924</v>
      </c>
      <c r="J365" s="10">
        <v>28740</v>
      </c>
      <c r="K365">
        <v>363</v>
      </c>
      <c r="L365" s="10">
        <v>2862</v>
      </c>
      <c r="M365" s="10">
        <v>400535</v>
      </c>
      <c r="N365" s="10">
        <v>5114</v>
      </c>
      <c r="O365">
        <v>0.41029869456167545</v>
      </c>
      <c r="P365">
        <v>0.99195902057417729</v>
      </c>
      <c r="Q365">
        <v>-0.39892035780593854</v>
      </c>
      <c r="R365">
        <v>0.39892035780593854</v>
      </c>
      <c r="S365">
        <f t="shared" si="60"/>
        <v>-0.94474765777263092</v>
      </c>
      <c r="T365" s="148">
        <f t="shared" si="55"/>
        <v>-0.94592653079641897</v>
      </c>
      <c r="U365">
        <f t="shared" si="61"/>
        <v>2.2840700536350744</v>
      </c>
      <c r="V365" s="55">
        <f t="shared" si="56"/>
        <v>2.2865157041319097</v>
      </c>
      <c r="W365">
        <f t="shared" si="62"/>
        <v>0.56810685001014638</v>
      </c>
      <c r="X365" s="55">
        <f t="shared" si="57"/>
        <v>0.55687577693706758</v>
      </c>
      <c r="Y365" s="149">
        <v>13.0402585</v>
      </c>
      <c r="Z365" s="55">
        <f t="shared" si="53"/>
        <v>4.7983186181142622E-3</v>
      </c>
      <c r="AA365" s="55">
        <f t="shared" si="58"/>
        <v>4.6986276159127448E-3</v>
      </c>
      <c r="AB365" s="55">
        <f t="shared" si="54"/>
        <v>-5.3394897103262888</v>
      </c>
      <c r="AC365" s="55">
        <f t="shared" si="59"/>
        <v>-5.3612830404774767</v>
      </c>
      <c r="AD365" s="55"/>
      <c r="AE365" s="55"/>
      <c r="AF365" s="55"/>
      <c r="AG365" s="55"/>
      <c r="AH365" s="55"/>
    </row>
    <row r="366" spans="1:34" ht="15.75">
      <c r="A366" s="39">
        <v>12.818646299999999</v>
      </c>
      <c r="B366" s="39">
        <v>13.0452925</v>
      </c>
      <c r="C366" s="39">
        <v>364</v>
      </c>
      <c r="D366">
        <v>364</v>
      </c>
      <c r="E366" s="10">
        <v>1349890</v>
      </c>
      <c r="F366" s="10">
        <v>1053420</v>
      </c>
      <c r="G366" s="10">
        <v>15900</v>
      </c>
      <c r="H366" s="10">
        <v>39552</v>
      </c>
      <c r="I366" s="10">
        <v>72962</v>
      </c>
      <c r="J366" s="10">
        <v>28038</v>
      </c>
      <c r="K366">
        <v>364</v>
      </c>
      <c r="L366" s="10">
        <v>2227</v>
      </c>
      <c r="M366" s="10">
        <v>399436</v>
      </c>
      <c r="N366" s="10">
        <v>4675</v>
      </c>
      <c r="O366">
        <v>0.41534969875147937</v>
      </c>
      <c r="P366">
        <v>1.0042787549191086</v>
      </c>
      <c r="Q366">
        <v>-0.39577132475225157</v>
      </c>
      <c r="R366">
        <v>0.39577132475225152</v>
      </c>
      <c r="S366">
        <f t="shared" si="60"/>
        <v>-0.95637802472472389</v>
      </c>
      <c r="T366" s="148">
        <f t="shared" si="55"/>
        <v>-0.93380905727686647</v>
      </c>
      <c r="U366">
        <f t="shared" si="61"/>
        <v>2.31243729028736</v>
      </c>
      <c r="V366" s="55">
        <f t="shared" si="56"/>
        <v>2.2980564588341998</v>
      </c>
      <c r="W366">
        <f t="shared" si="62"/>
        <v>0.56724162372015829</v>
      </c>
      <c r="X366" s="55">
        <f t="shared" si="57"/>
        <v>0.56869503262928067</v>
      </c>
      <c r="Y366" s="149">
        <v>13.0452925</v>
      </c>
      <c r="Z366" s="55">
        <f t="shared" si="53"/>
        <v>4.4379259934309205E-3</v>
      </c>
      <c r="AA366" s="55">
        <f t="shared" si="58"/>
        <v>4.7041576660534776E-3</v>
      </c>
      <c r="AB366" s="55">
        <f t="shared" si="54"/>
        <v>-5.4175681302685215</v>
      </c>
      <c r="AC366" s="55">
        <f t="shared" si="59"/>
        <v>-5.3601470233754513</v>
      </c>
      <c r="AD366" s="55"/>
      <c r="AE366" s="55"/>
      <c r="AF366" s="55"/>
      <c r="AG366" s="55"/>
      <c r="AH366" s="55"/>
    </row>
    <row r="367" spans="1:34" ht="15.75">
      <c r="A367" s="39">
        <v>12.823163299999999</v>
      </c>
      <c r="B367" s="39">
        <v>13.050326500000001</v>
      </c>
      <c r="C367" s="39">
        <v>365</v>
      </c>
      <c r="D367">
        <v>365</v>
      </c>
      <c r="E367" s="10">
        <v>1357650</v>
      </c>
      <c r="F367" s="10">
        <v>1045070</v>
      </c>
      <c r="G367" s="10">
        <v>16096</v>
      </c>
      <c r="H367" s="10">
        <v>39646</v>
      </c>
      <c r="I367" s="10">
        <v>70078</v>
      </c>
      <c r="J367" s="10">
        <v>28483</v>
      </c>
      <c r="K367">
        <v>365</v>
      </c>
      <c r="L367" s="10">
        <v>2134</v>
      </c>
      <c r="M367" s="10">
        <v>394513</v>
      </c>
      <c r="N367" s="10">
        <v>5096</v>
      </c>
      <c r="O367">
        <v>0.39099596886670757</v>
      </c>
      <c r="P367">
        <v>0.99786194202817513</v>
      </c>
      <c r="Q367">
        <v>-0.3914814132573825</v>
      </c>
      <c r="R367">
        <v>0.39148141325738245</v>
      </c>
      <c r="S367">
        <f t="shared" si="60"/>
        <v>-0.90030148933324472</v>
      </c>
      <c r="T367" s="148">
        <f t="shared" si="55"/>
        <v>-0.91872499945410191</v>
      </c>
      <c r="U367">
        <f t="shared" si="61"/>
        <v>2.2976620325801647</v>
      </c>
      <c r="V367" s="55">
        <f t="shared" si="56"/>
        <v>2.2846120633256444</v>
      </c>
      <c r="W367">
        <f t="shared" si="62"/>
        <v>0.57073662415753745</v>
      </c>
      <c r="X367" s="55">
        <f t="shared" si="57"/>
        <v>0.57262726422401566</v>
      </c>
      <c r="Y367" s="149">
        <v>13.050326500000001</v>
      </c>
      <c r="Z367" s="55">
        <f t="shared" si="53"/>
        <v>4.8762283866152509E-3</v>
      </c>
      <c r="AA367" s="55">
        <f t="shared" si="58"/>
        <v>4.734618775723092E-3</v>
      </c>
      <c r="AB367" s="55">
        <f t="shared" si="54"/>
        <v>-5.3233832295315437</v>
      </c>
      <c r="AC367" s="55">
        <f t="shared" si="59"/>
        <v>-5.3538584295538696</v>
      </c>
      <c r="AD367" s="55"/>
      <c r="AE367" s="55"/>
      <c r="AF367" s="55"/>
      <c r="AG367" s="55"/>
      <c r="AH367" s="55"/>
    </row>
    <row r="368" spans="1:34" ht="15.75">
      <c r="A368" s="39">
        <v>12.827680300000001</v>
      </c>
      <c r="B368" s="39">
        <v>13.055360500000001</v>
      </c>
      <c r="C368" s="39">
        <v>366</v>
      </c>
      <c r="D368">
        <v>366</v>
      </c>
      <c r="E368" s="10">
        <v>1321950</v>
      </c>
      <c r="F368" s="10">
        <v>1027670</v>
      </c>
      <c r="G368" s="10">
        <v>15990</v>
      </c>
      <c r="H368" s="10">
        <v>39223</v>
      </c>
      <c r="I368" s="10">
        <v>70201</v>
      </c>
      <c r="J368" s="10">
        <v>28556</v>
      </c>
      <c r="K368">
        <v>366</v>
      </c>
      <c r="L368" s="10">
        <v>2649</v>
      </c>
      <c r="M368" s="10">
        <v>369814</v>
      </c>
      <c r="N368" s="10">
        <v>5025</v>
      </c>
      <c r="O368">
        <v>0.39064592533026665</v>
      </c>
      <c r="P368">
        <v>0.97444254022850585</v>
      </c>
      <c r="Q368">
        <v>-0.38969234418875442</v>
      </c>
      <c r="R368">
        <v>0.38969234418875437</v>
      </c>
      <c r="S368">
        <f t="shared" si="60"/>
        <v>-0.89949548430433712</v>
      </c>
      <c r="T368" s="148">
        <f t="shared" si="55"/>
        <v>-0.89506829241418728</v>
      </c>
      <c r="U368">
        <f t="shared" si="61"/>
        <v>2.243736867109408</v>
      </c>
      <c r="V368" s="55">
        <f t="shared" si="56"/>
        <v>2.2723881481813959</v>
      </c>
      <c r="W368">
        <f t="shared" si="62"/>
        <v>0.57990354479435124</v>
      </c>
      <c r="X368" s="55">
        <f t="shared" si="57"/>
        <v>0.57118860522711945</v>
      </c>
      <c r="Y368" s="149">
        <v>13.055360500000001</v>
      </c>
      <c r="Z368" s="55">
        <f t="shared" si="53"/>
        <v>4.8897019471231037E-3</v>
      </c>
      <c r="AA368" s="55">
        <f t="shared" si="58"/>
        <v>4.8584482517226796E-3</v>
      </c>
      <c r="AB368" s="55">
        <f t="shared" si="54"/>
        <v>-5.3206239288615427</v>
      </c>
      <c r="AC368" s="55">
        <f t="shared" si="59"/>
        <v>-5.3270623675250706</v>
      </c>
      <c r="AD368" s="55"/>
      <c r="AE368" s="55"/>
      <c r="AF368" s="55"/>
      <c r="AG368" s="55"/>
      <c r="AH368" s="55"/>
    </row>
    <row r="369" spans="1:34" ht="15.75">
      <c r="A369" s="39">
        <v>12.832197300000001</v>
      </c>
      <c r="B369" s="39">
        <v>13.0603946</v>
      </c>
      <c r="C369" s="39">
        <v>367</v>
      </c>
      <c r="D369">
        <v>367</v>
      </c>
      <c r="E369" s="10">
        <v>1327190</v>
      </c>
      <c r="F369" s="10">
        <v>1027360</v>
      </c>
      <c r="G369" s="10">
        <v>16331</v>
      </c>
      <c r="H369" s="10">
        <v>38873</v>
      </c>
      <c r="I369" s="10">
        <v>69505</v>
      </c>
      <c r="J369" s="10">
        <v>28674</v>
      </c>
      <c r="K369">
        <v>367</v>
      </c>
      <c r="L369" s="10">
        <v>2522</v>
      </c>
      <c r="M369" s="10">
        <v>378443</v>
      </c>
      <c r="N369" s="10">
        <v>4941</v>
      </c>
      <c r="O369">
        <v>0.38452776676916905</v>
      </c>
      <c r="P369">
        <v>0.98835241823590714</v>
      </c>
      <c r="Q369">
        <v>-0.37663527952765113</v>
      </c>
      <c r="R369">
        <v>0.37663527952765108</v>
      </c>
      <c r="S369">
        <f t="shared" si="60"/>
        <v>-0.88540790360497978</v>
      </c>
      <c r="T369" s="148">
        <f t="shared" si="55"/>
        <v>-0.89710996194450388</v>
      </c>
      <c r="U369">
        <f t="shared" si="61"/>
        <v>2.2757655448546159</v>
      </c>
      <c r="V369" s="55">
        <f t="shared" si="56"/>
        <v>2.2606023702237992</v>
      </c>
      <c r="W369">
        <f t="shared" si="62"/>
        <v>0.56292564672946988</v>
      </c>
      <c r="X369" s="55">
        <f t="shared" si="57"/>
        <v>0.5856650966325756</v>
      </c>
      <c r="Y369" s="149">
        <v>13.0603946</v>
      </c>
      <c r="Z369" s="55">
        <f t="shared" si="53"/>
        <v>4.8094144214296843E-3</v>
      </c>
      <c r="AA369" s="55">
        <f t="shared" si="58"/>
        <v>4.7673534000316417E-3</v>
      </c>
      <c r="AB369" s="55">
        <f t="shared" si="54"/>
        <v>-5.3371799441821253</v>
      </c>
      <c r="AC369" s="55">
        <f t="shared" si="59"/>
        <v>-5.3462876966137571</v>
      </c>
      <c r="AD369" s="55"/>
      <c r="AE369" s="55"/>
      <c r="AF369" s="55"/>
      <c r="AG369" s="55"/>
      <c r="AH369" s="55"/>
    </row>
    <row r="370" spans="1:34" ht="15.75">
      <c r="A370" s="39">
        <v>12.836714300000001</v>
      </c>
      <c r="B370" s="39">
        <v>13.065428600000001</v>
      </c>
      <c r="C370" s="39">
        <v>368</v>
      </c>
      <c r="D370">
        <v>368</v>
      </c>
      <c r="E370" s="10">
        <v>1375420</v>
      </c>
      <c r="F370" s="10">
        <v>1052370</v>
      </c>
      <c r="G370" s="10">
        <v>15887</v>
      </c>
      <c r="H370" s="10">
        <v>40494</v>
      </c>
      <c r="I370" s="10">
        <v>72682</v>
      </c>
      <c r="J370" s="10">
        <v>29361</v>
      </c>
      <c r="K370">
        <v>368</v>
      </c>
      <c r="L370" s="10">
        <v>2262</v>
      </c>
      <c r="M370" s="10">
        <v>388953</v>
      </c>
      <c r="N370" s="10">
        <v>4844</v>
      </c>
      <c r="O370">
        <v>0.39365602629936697</v>
      </c>
      <c r="P370">
        <v>0.98250644703241075</v>
      </c>
      <c r="Q370">
        <v>-0.40634878298235272</v>
      </c>
      <c r="R370">
        <v>0.40634878298235272</v>
      </c>
      <c r="S370">
        <f t="shared" si="60"/>
        <v>-0.90642649792419439</v>
      </c>
      <c r="T370" s="148">
        <f t="shared" si="55"/>
        <v>-0.90854696257643808</v>
      </c>
      <c r="U370">
        <f t="shared" si="61"/>
        <v>2.2623046987073732</v>
      </c>
      <c r="V370" s="55">
        <f t="shared" si="56"/>
        <v>2.2651567067508229</v>
      </c>
      <c r="W370">
        <f t="shared" si="62"/>
        <v>0.61416609837390568</v>
      </c>
      <c r="X370" s="55">
        <f t="shared" si="57"/>
        <v>0.57778824082559366</v>
      </c>
      <c r="Y370" s="149">
        <v>13.065428600000001</v>
      </c>
      <c r="Z370" s="55">
        <f t="shared" si="53"/>
        <v>4.6029438315421381E-3</v>
      </c>
      <c r="AA370" s="55">
        <f t="shared" si="58"/>
        <v>4.7732749966654785E-3</v>
      </c>
      <c r="AB370" s="55">
        <f t="shared" si="54"/>
        <v>-5.3810592167976008</v>
      </c>
      <c r="AC370" s="55">
        <f t="shared" si="59"/>
        <v>-5.3450788569347365</v>
      </c>
      <c r="AD370" s="55"/>
      <c r="AE370" s="55"/>
      <c r="AF370" s="55"/>
      <c r="AG370" s="55"/>
      <c r="AH370" s="55"/>
    </row>
    <row r="371" spans="1:34" ht="15.75">
      <c r="A371" s="39">
        <v>12.8412313</v>
      </c>
      <c r="B371" s="39">
        <v>13.070462600000001</v>
      </c>
      <c r="C371" s="39">
        <v>369</v>
      </c>
      <c r="D371">
        <v>369</v>
      </c>
      <c r="E371" s="10">
        <v>1380590</v>
      </c>
      <c r="F371" s="10">
        <v>1061240</v>
      </c>
      <c r="G371" s="10">
        <v>16866</v>
      </c>
      <c r="H371" s="10">
        <v>40564</v>
      </c>
      <c r="I371" s="10">
        <v>74842</v>
      </c>
      <c r="J371" s="10">
        <v>29417</v>
      </c>
      <c r="K371">
        <v>369</v>
      </c>
      <c r="L371" s="10">
        <v>2386</v>
      </c>
      <c r="M371" s="10">
        <v>387719</v>
      </c>
      <c r="N371" s="10">
        <v>5208</v>
      </c>
      <c r="O371">
        <v>0.40554700412218608</v>
      </c>
      <c r="P371">
        <v>0.98037630989575608</v>
      </c>
      <c r="Q371">
        <v>-0.38112867805297196</v>
      </c>
      <c r="R371">
        <v>0.3811286780529719</v>
      </c>
      <c r="S371">
        <f t="shared" si="60"/>
        <v>-0.93380648620014051</v>
      </c>
      <c r="T371" s="148">
        <f t="shared" si="55"/>
        <v>-0.89071413505271135</v>
      </c>
      <c r="U371">
        <f t="shared" si="61"/>
        <v>2.2573998766904788</v>
      </c>
      <c r="V371" s="55">
        <f t="shared" si="56"/>
        <v>2.2593417327420093</v>
      </c>
      <c r="W371">
        <f t="shared" si="62"/>
        <v>0.55627297737340542</v>
      </c>
      <c r="X371" s="55">
        <f t="shared" si="57"/>
        <v>0.56806608596656483</v>
      </c>
      <c r="Y371" s="149">
        <v>13.070462600000001</v>
      </c>
      <c r="Z371" s="55">
        <f t="shared" si="53"/>
        <v>4.9074667370246124E-3</v>
      </c>
      <c r="AA371" s="55">
        <f t="shared" si="58"/>
        <v>4.8166375377029641E-3</v>
      </c>
      <c r="AB371" s="55">
        <f t="shared" si="54"/>
        <v>-5.3169974098244817</v>
      </c>
      <c r="AC371" s="55">
        <f t="shared" si="59"/>
        <v>-5.3361824600616972</v>
      </c>
      <c r="AD371" s="55"/>
      <c r="AE371" s="55"/>
      <c r="AF371" s="55"/>
      <c r="AG371" s="55"/>
      <c r="AH371" s="55"/>
    </row>
    <row r="372" spans="1:34" ht="15.75">
      <c r="A372" s="39">
        <v>12.8457483</v>
      </c>
      <c r="B372" s="39">
        <v>13.075496599999999</v>
      </c>
      <c r="C372" s="39">
        <v>370</v>
      </c>
      <c r="D372">
        <v>370</v>
      </c>
      <c r="E372" s="10">
        <v>1383720</v>
      </c>
      <c r="F372" s="10">
        <v>1073590</v>
      </c>
      <c r="G372" s="10">
        <v>17708</v>
      </c>
      <c r="H372" s="10">
        <v>40987</v>
      </c>
      <c r="I372" s="10">
        <v>69386</v>
      </c>
      <c r="J372" s="10">
        <v>30198</v>
      </c>
      <c r="K372">
        <v>370</v>
      </c>
      <c r="L372" s="10">
        <v>1910</v>
      </c>
      <c r="M372" s="10">
        <v>392123</v>
      </c>
      <c r="N372" s="10">
        <v>5303</v>
      </c>
      <c r="O372">
        <v>0.36129367099830817</v>
      </c>
      <c r="P372">
        <v>0.98077618486259177</v>
      </c>
      <c r="Q372">
        <v>-0.36447661844891727</v>
      </c>
      <c r="R372">
        <v>0.36447661844891727</v>
      </c>
      <c r="S372">
        <f t="shared" si="60"/>
        <v>-0.8319094210337995</v>
      </c>
      <c r="T372" s="148">
        <f t="shared" si="55"/>
        <v>-0.86231442046008711</v>
      </c>
      <c r="U372">
        <f t="shared" si="61"/>
        <v>2.258320622828176</v>
      </c>
      <c r="V372" s="55">
        <f t="shared" si="56"/>
        <v>2.2560781033706125</v>
      </c>
      <c r="W372">
        <f t="shared" si="62"/>
        <v>0.53375918215238338</v>
      </c>
      <c r="X372" s="55">
        <f t="shared" si="57"/>
        <v>0.5430814602160573</v>
      </c>
      <c r="Y372" s="149">
        <v>13.075496599999999</v>
      </c>
      <c r="Z372" s="55">
        <f t="shared" si="53"/>
        <v>4.9395020445421435E-3</v>
      </c>
      <c r="AA372" s="55">
        <f t="shared" si="58"/>
        <v>4.8548171823142175E-3</v>
      </c>
      <c r="AB372" s="55">
        <f t="shared" si="54"/>
        <v>-5.310490753563009</v>
      </c>
      <c r="AC372" s="55">
        <f t="shared" si="59"/>
        <v>-5.3279893658180582</v>
      </c>
      <c r="AD372" s="55"/>
      <c r="AE372" s="55"/>
      <c r="AF372" s="55"/>
      <c r="AG372" s="55"/>
      <c r="AH372" s="55"/>
    </row>
    <row r="373" spans="1:34" ht="15.75">
      <c r="A373" s="39">
        <v>12.8502653</v>
      </c>
      <c r="B373" s="39">
        <v>13.080530599999999</v>
      </c>
      <c r="C373" s="39">
        <v>371</v>
      </c>
      <c r="D373">
        <v>371</v>
      </c>
      <c r="E373" s="10">
        <v>1407070</v>
      </c>
      <c r="F373" s="10">
        <v>1071970</v>
      </c>
      <c r="G373" s="10">
        <v>17768</v>
      </c>
      <c r="H373" s="10">
        <v>41752</v>
      </c>
      <c r="I373" s="10">
        <v>69258</v>
      </c>
      <c r="J373" s="10">
        <v>30466</v>
      </c>
      <c r="K373">
        <v>371</v>
      </c>
      <c r="L373" s="10">
        <v>3309</v>
      </c>
      <c r="M373" s="10">
        <v>397129</v>
      </c>
      <c r="N373" s="10">
        <v>5057</v>
      </c>
      <c r="O373">
        <v>0.35665450829375472</v>
      </c>
      <c r="P373">
        <v>0.97825431835148613</v>
      </c>
      <c r="Q373">
        <v>-0.37103873830698647</v>
      </c>
      <c r="R373">
        <v>0.37103873830698642</v>
      </c>
      <c r="S373">
        <f t="shared" si="60"/>
        <v>-0.82122735414632086</v>
      </c>
      <c r="T373" s="148">
        <f t="shared" si="55"/>
        <v>-0.83728913590902032</v>
      </c>
      <c r="U373">
        <f t="shared" si="61"/>
        <v>2.2525138105931832</v>
      </c>
      <c r="V373" s="55">
        <f t="shared" si="56"/>
        <v>2.2755521047514269</v>
      </c>
      <c r="W373">
        <f t="shared" si="62"/>
        <v>0.5392122211223831</v>
      </c>
      <c r="X373" s="55">
        <f t="shared" si="57"/>
        <v>0.52948176599342123</v>
      </c>
      <c r="Y373" s="149">
        <v>13.080530599999999</v>
      </c>
      <c r="Z373" s="55">
        <f t="shared" si="53"/>
        <v>4.7174827653758966E-3</v>
      </c>
      <c r="AA373" s="55">
        <f t="shared" si="58"/>
        <v>4.8500453028705627E-3</v>
      </c>
      <c r="AB373" s="55">
        <f t="shared" si="54"/>
        <v>-5.3564799340666847</v>
      </c>
      <c r="AC373" s="55">
        <f t="shared" si="59"/>
        <v>-5.3289631580661423</v>
      </c>
      <c r="AD373" s="55"/>
      <c r="AE373" s="55"/>
      <c r="AF373" s="55"/>
      <c r="AG373" s="55"/>
      <c r="AH373" s="55"/>
    </row>
    <row r="374" spans="1:34" ht="15.75">
      <c r="A374" s="39">
        <v>12.8547823</v>
      </c>
      <c r="B374" s="39">
        <v>13.0855646</v>
      </c>
      <c r="C374" s="39">
        <v>372</v>
      </c>
      <c r="D374">
        <v>372</v>
      </c>
      <c r="E374" s="10">
        <v>1350960</v>
      </c>
      <c r="F374" s="10">
        <v>1059440</v>
      </c>
      <c r="G374" s="10">
        <v>17600</v>
      </c>
      <c r="H374" s="10">
        <v>38980</v>
      </c>
      <c r="I374" s="10">
        <v>69554</v>
      </c>
      <c r="J374" s="10">
        <v>29470</v>
      </c>
      <c r="K374">
        <v>372</v>
      </c>
      <c r="L374" s="10">
        <v>2768</v>
      </c>
      <c r="M374" s="10">
        <v>394994</v>
      </c>
      <c r="N374" s="10">
        <v>5184</v>
      </c>
      <c r="O374">
        <v>0.3729419751564253</v>
      </c>
      <c r="P374">
        <v>1.005748663916548</v>
      </c>
      <c r="Q374">
        <v>-0.34532916696745281</v>
      </c>
      <c r="R374">
        <v>0.34532916696745281</v>
      </c>
      <c r="S374">
        <f t="shared" si="60"/>
        <v>-0.8587306325469406</v>
      </c>
      <c r="T374" s="148">
        <f t="shared" si="55"/>
        <v>-0.8500499760349175</v>
      </c>
      <c r="U374">
        <f t="shared" si="61"/>
        <v>2.3158218808329223</v>
      </c>
      <c r="V374" s="55">
        <f t="shared" si="56"/>
        <v>2.281707549981757</v>
      </c>
      <c r="W374">
        <f t="shared" si="62"/>
        <v>0.5154738947054972</v>
      </c>
      <c r="X374" s="55">
        <f t="shared" si="57"/>
        <v>0.52739089135886885</v>
      </c>
      <c r="Y374" s="149">
        <v>13.0855646</v>
      </c>
      <c r="Z374" s="55">
        <f t="shared" si="53"/>
        <v>4.8931510986936497E-3</v>
      </c>
      <c r="AA374" s="55">
        <f t="shared" si="58"/>
        <v>4.7760300768537938E-3</v>
      </c>
      <c r="AB374" s="55">
        <f t="shared" si="54"/>
        <v>-5.319918786568735</v>
      </c>
      <c r="AC374" s="55">
        <f t="shared" si="59"/>
        <v>-5.3442947502286913</v>
      </c>
      <c r="AD374" s="55"/>
      <c r="AE374" s="55"/>
      <c r="AF374" s="55"/>
      <c r="AG374" s="55"/>
      <c r="AH374" s="55"/>
    </row>
    <row r="375" spans="1:34" ht="15.75">
      <c r="A375" s="39">
        <v>12.8592993</v>
      </c>
      <c r="B375" s="39">
        <v>13.0905986</v>
      </c>
      <c r="C375" s="39">
        <v>373</v>
      </c>
      <c r="D375">
        <v>373</v>
      </c>
      <c r="E375" s="10">
        <v>1249430</v>
      </c>
      <c r="F375" s="10">
        <v>1012410</v>
      </c>
      <c r="G375" s="10">
        <v>15940</v>
      </c>
      <c r="H375" s="10">
        <v>36469</v>
      </c>
      <c r="I375" s="10">
        <v>64490</v>
      </c>
      <c r="J375" s="10">
        <v>27013</v>
      </c>
      <c r="K375">
        <v>373</v>
      </c>
      <c r="L375" s="10">
        <v>2349</v>
      </c>
      <c r="M375" s="10">
        <v>355402</v>
      </c>
      <c r="N375" s="10">
        <v>4776</v>
      </c>
      <c r="O375">
        <v>0.37791955835168839</v>
      </c>
      <c r="P375">
        <v>0.98879601255416161</v>
      </c>
      <c r="Q375">
        <v>-0.35943553782385101</v>
      </c>
      <c r="R375">
        <v>0.35943553782385101</v>
      </c>
      <c r="S375">
        <f t="shared" si="60"/>
        <v>-0.87019194141149092</v>
      </c>
      <c r="T375" s="148">
        <f t="shared" si="55"/>
        <v>-0.86689501614604003</v>
      </c>
      <c r="U375">
        <f t="shared" si="61"/>
        <v>2.2767869585191658</v>
      </c>
      <c r="V375" s="55">
        <f t="shared" si="56"/>
        <v>2.2933796145548562</v>
      </c>
      <c r="W375">
        <f t="shared" si="62"/>
        <v>0.52748655824872603</v>
      </c>
      <c r="X375" s="55">
        <f t="shared" si="57"/>
        <v>0.52828198671512194</v>
      </c>
      <c r="Y375" s="149">
        <v>13.0905986</v>
      </c>
      <c r="Z375" s="55">
        <f t="shared" si="53"/>
        <v>4.7174563664918361E-3</v>
      </c>
      <c r="AA375" s="55">
        <f t="shared" si="58"/>
        <v>4.7689004561291652E-3</v>
      </c>
      <c r="AB375" s="55">
        <f t="shared" si="54"/>
        <v>-5.3564855300506533</v>
      </c>
      <c r="AC375" s="55">
        <f t="shared" si="59"/>
        <v>-5.3458095056175807</v>
      </c>
      <c r="AD375" s="55"/>
      <c r="AE375" s="55"/>
      <c r="AF375" s="55"/>
      <c r="AG375" s="55"/>
      <c r="AH375" s="55"/>
    </row>
    <row r="376" spans="1:34" ht="15.75">
      <c r="A376" s="39">
        <v>12.8638163</v>
      </c>
      <c r="B376" s="39">
        <v>13.095632699999999</v>
      </c>
      <c r="C376" s="39">
        <v>374</v>
      </c>
      <c r="D376">
        <v>374</v>
      </c>
      <c r="E376" s="10">
        <v>1358650</v>
      </c>
      <c r="F376" s="10">
        <v>1070890</v>
      </c>
      <c r="G376" s="10">
        <v>17282</v>
      </c>
      <c r="H376" s="10">
        <v>39967</v>
      </c>
      <c r="I376" s="10">
        <v>71045</v>
      </c>
      <c r="J376" s="10">
        <v>29712</v>
      </c>
      <c r="K376">
        <v>374</v>
      </c>
      <c r="L376" s="10">
        <v>2659</v>
      </c>
      <c r="M376" s="10">
        <v>393698</v>
      </c>
      <c r="N376" s="10">
        <v>5029</v>
      </c>
      <c r="O376">
        <v>0.37860163219685322</v>
      </c>
      <c r="P376">
        <v>0.99346165806103193</v>
      </c>
      <c r="Q376">
        <v>-0.36410754970396614</v>
      </c>
      <c r="R376">
        <v>0.36410754970396614</v>
      </c>
      <c r="S376">
        <f t="shared" si="60"/>
        <v>-0.87176247447968869</v>
      </c>
      <c r="T376" s="148">
        <f t="shared" si="55"/>
        <v>-0.86353573964149177</v>
      </c>
      <c r="U376">
        <f t="shared" si="61"/>
        <v>2.28753000431248</v>
      </c>
      <c r="V376" s="55">
        <f t="shared" si="56"/>
        <v>2.2742827166349096</v>
      </c>
      <c r="W376">
        <f t="shared" si="62"/>
        <v>0.54188550719114248</v>
      </c>
      <c r="X376" s="55">
        <f t="shared" si="57"/>
        <v>0.51842281794960055</v>
      </c>
      <c r="Y376" s="149">
        <v>13.095632699999999</v>
      </c>
      <c r="Z376" s="55">
        <f t="shared" si="53"/>
        <v>4.6960939032020099E-3</v>
      </c>
      <c r="AA376" s="55">
        <f t="shared" si="58"/>
        <v>4.7606632787727671E-3</v>
      </c>
      <c r="AB376" s="55">
        <f t="shared" si="54"/>
        <v>-5.3610242002333521</v>
      </c>
      <c r="AC376" s="55">
        <f t="shared" si="59"/>
        <v>-5.3474971803490741</v>
      </c>
      <c r="AD376" s="55"/>
      <c r="AE376" s="55"/>
      <c r="AF376" s="55"/>
      <c r="AG376" s="55"/>
      <c r="AH376" s="55"/>
    </row>
    <row r="377" spans="1:34" ht="15.75">
      <c r="A377" s="39">
        <v>12.8683333</v>
      </c>
      <c r="B377" s="39">
        <v>13.1006667</v>
      </c>
      <c r="C377" s="39">
        <v>375</v>
      </c>
      <c r="D377">
        <v>375</v>
      </c>
      <c r="E377" s="10">
        <v>1365810</v>
      </c>
      <c r="F377" s="10">
        <v>1066050</v>
      </c>
      <c r="G377" s="10">
        <v>18407</v>
      </c>
      <c r="H377" s="10">
        <v>40870</v>
      </c>
      <c r="I377" s="10">
        <v>69915</v>
      </c>
      <c r="J377" s="10">
        <v>29923</v>
      </c>
      <c r="K377">
        <v>375</v>
      </c>
      <c r="L377" s="10">
        <v>2618</v>
      </c>
      <c r="M377" s="10">
        <v>391086</v>
      </c>
      <c r="N377" s="10">
        <v>5190</v>
      </c>
      <c r="O377">
        <v>0.36856522940908776</v>
      </c>
      <c r="P377">
        <v>0.9808676317522409</v>
      </c>
      <c r="Q377">
        <v>-0.34642162539513305</v>
      </c>
      <c r="R377">
        <v>0.34642162539513305</v>
      </c>
      <c r="S377">
        <f t="shared" si="60"/>
        <v>-0.84865280303329604</v>
      </c>
      <c r="T377" s="148">
        <f t="shared" si="55"/>
        <v>-0.86494579436222951</v>
      </c>
      <c r="U377">
        <f t="shared" si="61"/>
        <v>2.2585311870730829</v>
      </c>
      <c r="V377" s="55">
        <f t="shared" si="56"/>
        <v>2.2770900969994323</v>
      </c>
      <c r="W377">
        <f t="shared" si="62"/>
        <v>0.48589638840893284</v>
      </c>
      <c r="X377" s="55">
        <f t="shared" si="57"/>
        <v>0.50405267881528337</v>
      </c>
      <c r="Y377" s="149">
        <v>13.1006667</v>
      </c>
      <c r="Z377" s="55">
        <f t="shared" si="53"/>
        <v>4.8684395666244544E-3</v>
      </c>
      <c r="AA377" s="55">
        <f t="shared" si="58"/>
        <v>4.657507708914467E-3</v>
      </c>
      <c r="AB377" s="55">
        <f t="shared" si="54"/>
        <v>-5.3249818107632167</v>
      </c>
      <c r="AC377" s="55">
        <f t="shared" si="59"/>
        <v>-5.370114188188432</v>
      </c>
      <c r="AD377" s="55"/>
      <c r="AE377" s="55"/>
      <c r="AF377" s="55"/>
      <c r="AG377" s="55"/>
      <c r="AH377" s="55"/>
    </row>
    <row r="378" spans="1:34" ht="15.75">
      <c r="A378" s="39">
        <v>12.8728503</v>
      </c>
      <c r="B378" s="39">
        <v>13.1057007</v>
      </c>
      <c r="C378" s="39">
        <v>376</v>
      </c>
      <c r="D378">
        <v>376</v>
      </c>
      <c r="E378" s="10">
        <v>1381280</v>
      </c>
      <c r="F378" s="10">
        <v>1067380</v>
      </c>
      <c r="G378" s="10">
        <v>18159</v>
      </c>
      <c r="H378" s="10">
        <v>40770</v>
      </c>
      <c r="I378" s="10">
        <v>70666</v>
      </c>
      <c r="J378" s="10">
        <v>29475</v>
      </c>
      <c r="K378">
        <v>376</v>
      </c>
      <c r="L378" s="10">
        <v>3169</v>
      </c>
      <c r="M378" s="10">
        <v>400677</v>
      </c>
      <c r="N378" s="10">
        <v>4705</v>
      </c>
      <c r="O378">
        <v>0.37975669530488232</v>
      </c>
      <c r="P378">
        <v>0.99245370195690863</v>
      </c>
      <c r="Q378">
        <v>-0.35124878281994226</v>
      </c>
      <c r="R378">
        <v>0.35124878281994232</v>
      </c>
      <c r="S378">
        <f t="shared" si="60"/>
        <v>-0.87442210557370392</v>
      </c>
      <c r="T378" s="148">
        <f t="shared" si="55"/>
        <v>-0.85248305458291407</v>
      </c>
      <c r="U378">
        <f t="shared" si="61"/>
        <v>2.2852090996127337</v>
      </c>
      <c r="V378" s="55">
        <f t="shared" si="56"/>
        <v>2.2714344808521343</v>
      </c>
      <c r="W378">
        <f t="shared" si="62"/>
        <v>0.48437614084577474</v>
      </c>
      <c r="X378" s="55">
        <f t="shared" si="57"/>
        <v>0.48288582632586846</v>
      </c>
      <c r="Y378" s="149">
        <v>13.1057007</v>
      </c>
      <c r="Z378" s="55">
        <f t="shared" si="53"/>
        <v>4.4079896569169368E-3</v>
      </c>
      <c r="AA378" s="55">
        <f t="shared" si="58"/>
        <v>4.6764613470053193E-3</v>
      </c>
      <c r="AB378" s="55">
        <f t="shared" si="54"/>
        <v>-5.424336553568728</v>
      </c>
      <c r="AC378" s="55">
        <f t="shared" si="59"/>
        <v>-5.3661023839447175</v>
      </c>
      <c r="AD378" s="55"/>
      <c r="AE378" s="55"/>
      <c r="AF378" s="55"/>
      <c r="AG378" s="55"/>
      <c r="AH378" s="55"/>
    </row>
    <row r="379" spans="1:34" ht="15.75">
      <c r="A379" s="39">
        <v>12.877367400000001</v>
      </c>
      <c r="B379" s="39">
        <v>13.1107347</v>
      </c>
      <c r="C379" s="39">
        <v>377</v>
      </c>
      <c r="D379">
        <v>377</v>
      </c>
      <c r="E379" s="10">
        <v>1385530</v>
      </c>
      <c r="F379" s="10">
        <v>1069440</v>
      </c>
      <c r="G379" s="10">
        <v>18728</v>
      </c>
      <c r="H379" s="10">
        <v>41019</v>
      </c>
      <c r="I379" s="10">
        <v>69601</v>
      </c>
      <c r="J379" s="10">
        <v>30217</v>
      </c>
      <c r="K379">
        <v>377</v>
      </c>
      <c r="L379" s="10">
        <v>3622</v>
      </c>
      <c r="M379" s="10">
        <v>397263</v>
      </c>
      <c r="N379" s="10">
        <v>5083</v>
      </c>
      <c r="O379">
        <v>0.36236413485019475</v>
      </c>
      <c r="P379">
        <v>0.98609304940742915</v>
      </c>
      <c r="Q379">
        <v>-0.3404936678309643</v>
      </c>
      <c r="R379">
        <v>0.3404936678309643</v>
      </c>
      <c r="S379">
        <f t="shared" si="60"/>
        <v>-0.83437425514174246</v>
      </c>
      <c r="T379" s="148">
        <f t="shared" si="55"/>
        <v>-0.8638100394806365</v>
      </c>
      <c r="U379">
        <f t="shared" si="61"/>
        <v>2.2705631558705872</v>
      </c>
      <c r="V379" s="55">
        <f t="shared" si="56"/>
        <v>2.2798561570026092</v>
      </c>
      <c r="W379">
        <f t="shared" si="62"/>
        <v>0.47838494972289775</v>
      </c>
      <c r="X379" s="55">
        <f t="shared" si="57"/>
        <v>0.48983292268882012</v>
      </c>
      <c r="Y379" s="149">
        <v>13.1107347</v>
      </c>
      <c r="Z379" s="55">
        <f t="shared" si="53"/>
        <v>4.7529548174745665E-3</v>
      </c>
      <c r="AA379" s="55">
        <f t="shared" si="58"/>
        <v>4.6599548565282069E-3</v>
      </c>
      <c r="AB379" s="55">
        <f t="shared" si="54"/>
        <v>-5.3489887875022086</v>
      </c>
      <c r="AC379" s="55">
        <f t="shared" si="59"/>
        <v>-5.3695102545777322</v>
      </c>
      <c r="AD379" s="55"/>
      <c r="AE379" s="55"/>
      <c r="AF379" s="55"/>
      <c r="AG379" s="55"/>
      <c r="AH379" s="55"/>
    </row>
    <row r="380" spans="1:34" ht="15.75">
      <c r="A380" s="39">
        <v>12.881884400000001</v>
      </c>
      <c r="B380" s="39">
        <v>13.1157687</v>
      </c>
      <c r="C380" s="39">
        <v>378</v>
      </c>
      <c r="D380">
        <v>378</v>
      </c>
      <c r="E380" s="10">
        <v>1401070</v>
      </c>
      <c r="F380" s="10">
        <v>1079910</v>
      </c>
      <c r="G380" s="10">
        <v>18090</v>
      </c>
      <c r="H380" s="10">
        <v>41153</v>
      </c>
      <c r="I380" s="10">
        <v>72583</v>
      </c>
      <c r="J380" s="10">
        <v>30027</v>
      </c>
      <c r="K380">
        <v>378</v>
      </c>
      <c r="L380" s="10">
        <v>2778</v>
      </c>
      <c r="M380" s="10">
        <v>403870</v>
      </c>
      <c r="N380" s="10">
        <v>5204</v>
      </c>
      <c r="O380">
        <v>0.38332297052213454</v>
      </c>
      <c r="P380">
        <v>0.99184009419382313</v>
      </c>
      <c r="Q380">
        <v>-0.3569629333435248</v>
      </c>
      <c r="R380">
        <v>0.3569629333435248</v>
      </c>
      <c r="S380">
        <f t="shared" si="60"/>
        <v>-0.88263375772646291</v>
      </c>
      <c r="T380" s="148">
        <f t="shared" si="55"/>
        <v>-0.86440008356340448</v>
      </c>
      <c r="U380">
        <f t="shared" si="61"/>
        <v>2.2837962155245073</v>
      </c>
      <c r="V380" s="55">
        <f t="shared" si="56"/>
        <v>2.2791615377670813</v>
      </c>
      <c r="W380">
        <f t="shared" si="62"/>
        <v>0.50673767749778775</v>
      </c>
      <c r="X380" s="55">
        <f t="shared" si="57"/>
        <v>0.51178757058424429</v>
      </c>
      <c r="Y380" s="149">
        <v>13.1157687</v>
      </c>
      <c r="Z380" s="55">
        <f t="shared" si="53"/>
        <v>4.8189200951931181E-3</v>
      </c>
      <c r="AA380" s="55">
        <f t="shared" si="58"/>
        <v>4.7750602785160022E-3</v>
      </c>
      <c r="AB380" s="55">
        <f t="shared" si="54"/>
        <v>-5.3352054226622583</v>
      </c>
      <c r="AC380" s="55">
        <f t="shared" si="59"/>
        <v>-5.3443697098067195</v>
      </c>
      <c r="AD380" s="55"/>
      <c r="AE380" s="55"/>
      <c r="AF380" s="55"/>
      <c r="AG380" s="55"/>
      <c r="AH380" s="55"/>
    </row>
    <row r="381" spans="1:34" ht="15.75">
      <c r="A381" s="39">
        <v>12.8864014</v>
      </c>
      <c r="B381" s="39">
        <v>13.1208027</v>
      </c>
      <c r="C381" s="39">
        <v>379</v>
      </c>
      <c r="D381">
        <v>379</v>
      </c>
      <c r="E381" s="10">
        <v>1403330</v>
      </c>
      <c r="F381" s="10">
        <v>1079880</v>
      </c>
      <c r="G381" s="10">
        <v>17666</v>
      </c>
      <c r="H381" s="10">
        <v>41221</v>
      </c>
      <c r="I381" s="10">
        <v>73558</v>
      </c>
      <c r="J381" s="10">
        <v>30627</v>
      </c>
      <c r="K381">
        <v>379</v>
      </c>
      <c r="L381" s="10">
        <v>3930</v>
      </c>
      <c r="M381" s="10">
        <v>404266</v>
      </c>
      <c r="N381" s="10">
        <v>5133</v>
      </c>
      <c r="O381">
        <v>0.38052545397255977</v>
      </c>
      <c r="P381">
        <v>0.99154869405386803</v>
      </c>
      <c r="Q381">
        <v>-0.36798029722813858</v>
      </c>
      <c r="R381">
        <v>0.36798029722813858</v>
      </c>
      <c r="S381">
        <f t="shared" si="60"/>
        <v>-0.87619223782200795</v>
      </c>
      <c r="T381" s="148">
        <f t="shared" si="55"/>
        <v>-0.86721951686039167</v>
      </c>
      <c r="U381">
        <f t="shared" si="61"/>
        <v>2.2831252419061503</v>
      </c>
      <c r="V381" s="55">
        <f t="shared" si="56"/>
        <v>2.2794305221498488</v>
      </c>
      <c r="W381">
        <f t="shared" si="62"/>
        <v>0.55024008453204754</v>
      </c>
      <c r="X381" s="55">
        <f t="shared" si="57"/>
        <v>0.51535408652029258</v>
      </c>
      <c r="Y381" s="149">
        <v>13.1208027</v>
      </c>
      <c r="Z381" s="55">
        <f t="shared" si="53"/>
        <v>4.7533059228803201E-3</v>
      </c>
      <c r="AA381" s="55">
        <f t="shared" si="58"/>
        <v>4.7816874311639003E-3</v>
      </c>
      <c r="AB381" s="55">
        <f t="shared" si="54"/>
        <v>-5.3489149192556917</v>
      </c>
      <c r="AC381" s="55">
        <f t="shared" si="59"/>
        <v>-5.3429782952342038</v>
      </c>
      <c r="AD381" s="55"/>
      <c r="AE381" s="55"/>
      <c r="AF381" s="55"/>
      <c r="AG381" s="55"/>
      <c r="AH381" s="55"/>
    </row>
    <row r="382" spans="1:34" ht="15.75">
      <c r="A382" s="39">
        <v>12.8909184</v>
      </c>
      <c r="B382" s="39">
        <v>13.125836700000001</v>
      </c>
      <c r="C382" s="39">
        <v>380</v>
      </c>
      <c r="D382">
        <v>380</v>
      </c>
      <c r="E382" s="10">
        <v>1396116.25</v>
      </c>
      <c r="F382" s="10">
        <v>1073785</v>
      </c>
      <c r="G382" s="10">
        <v>18803.625</v>
      </c>
      <c r="H382" s="10">
        <v>41274</v>
      </c>
      <c r="I382" s="10">
        <v>71233.75</v>
      </c>
      <c r="J382" s="10">
        <v>30665.375</v>
      </c>
      <c r="K382">
        <v>380</v>
      </c>
      <c r="L382" s="10">
        <v>3858.666667</v>
      </c>
      <c r="M382" s="10">
        <v>400055.3333</v>
      </c>
      <c r="N382" s="10">
        <v>5125</v>
      </c>
      <c r="O382">
        <v>0.36603752781912235</v>
      </c>
      <c r="P382">
        <v>0.98644350470689068</v>
      </c>
      <c r="Q382">
        <v>-0.34143497834950515</v>
      </c>
      <c r="R382">
        <v>0.34143497834950509</v>
      </c>
      <c r="S382">
        <f t="shared" si="60"/>
        <v>-0.84283255503270427</v>
      </c>
      <c r="T382" s="148">
        <f t="shared" si="55"/>
        <v>-0.8582456011661096</v>
      </c>
      <c r="U382">
        <f t="shared" si="61"/>
        <v>2.2713701090188883</v>
      </c>
      <c r="V382" s="55">
        <f t="shared" si="56"/>
        <v>2.2696988502488673</v>
      </c>
      <c r="W382">
        <f t="shared" si="62"/>
        <v>0.48908449753104249</v>
      </c>
      <c r="X382" s="55">
        <f t="shared" si="57"/>
        <v>0.50401116888898878</v>
      </c>
      <c r="Y382" s="149">
        <v>13.125836700000001</v>
      </c>
      <c r="Z382" s="55">
        <f t="shared" si="53"/>
        <v>4.7728362754182636E-3</v>
      </c>
      <c r="AA382" s="55">
        <f t="shared" si="58"/>
        <v>4.8297845078740772E-3</v>
      </c>
      <c r="AB382" s="55">
        <f t="shared" si="54"/>
        <v>-5.344814543784663</v>
      </c>
      <c r="AC382" s="55">
        <f t="shared" si="59"/>
        <v>-5.3331439220552666</v>
      </c>
      <c r="AD382" s="55"/>
      <c r="AE382" s="55"/>
      <c r="AF382" s="55"/>
      <c r="AG382" s="55"/>
      <c r="AH382" s="55"/>
    </row>
    <row r="383" spans="1:34" ht="15.75">
      <c r="A383" s="39">
        <v>12.8954354</v>
      </c>
      <c r="B383" s="39">
        <v>13.1308708</v>
      </c>
      <c r="C383" s="39">
        <v>381</v>
      </c>
      <c r="D383">
        <v>381</v>
      </c>
      <c r="E383" s="10">
        <v>1400920</v>
      </c>
      <c r="F383" s="10">
        <v>1073700</v>
      </c>
      <c r="G383" s="10">
        <v>19011</v>
      </c>
      <c r="H383" s="10">
        <v>41297</v>
      </c>
      <c r="I383" s="10">
        <v>71768</v>
      </c>
      <c r="J383" s="10">
        <v>30500</v>
      </c>
      <c r="K383">
        <v>381</v>
      </c>
      <c r="L383" s="10">
        <v>3957</v>
      </c>
      <c r="M383" s="10">
        <v>393622</v>
      </c>
      <c r="N383" s="10">
        <v>5329</v>
      </c>
      <c r="O383">
        <v>0.37163100432085938</v>
      </c>
      <c r="P383">
        <v>0.97916085997495583</v>
      </c>
      <c r="Q383">
        <v>-0.3369135418510093</v>
      </c>
      <c r="R383">
        <v>0.33691354185100936</v>
      </c>
      <c r="S383">
        <f t="shared" si="60"/>
        <v>-0.85571201064361646</v>
      </c>
      <c r="T383" s="148">
        <f t="shared" si="55"/>
        <v>-0.83909242455852773</v>
      </c>
      <c r="U383">
        <f t="shared" si="61"/>
        <v>2.2546011998215634</v>
      </c>
      <c r="V383" s="55">
        <f t="shared" si="56"/>
        <v>2.2690593614266832</v>
      </c>
      <c r="W383">
        <f t="shared" si="62"/>
        <v>0.47270892460387637</v>
      </c>
      <c r="X383" s="55">
        <f t="shared" si="57"/>
        <v>0.48668524359386683</v>
      </c>
      <c r="Y383" s="149">
        <v>13.1308708</v>
      </c>
      <c r="Z383" s="55">
        <f t="shared" si="53"/>
        <v>4.9632113253236469E-3</v>
      </c>
      <c r="AA383" s="55">
        <f t="shared" si="58"/>
        <v>4.8848097012106949E-3</v>
      </c>
      <c r="AB383" s="55">
        <f t="shared" si="54"/>
        <v>-5.3057023031254449</v>
      </c>
      <c r="AC383" s="55">
        <f t="shared" si="59"/>
        <v>-5.3217642041117896</v>
      </c>
      <c r="AD383" s="55"/>
      <c r="AE383" s="55"/>
      <c r="AF383" s="55"/>
      <c r="AG383" s="55"/>
      <c r="AH383" s="55"/>
    </row>
    <row r="384" spans="1:34" ht="15.75">
      <c r="A384" s="39">
        <v>12.8999524</v>
      </c>
      <c r="B384" s="39">
        <v>13.1359048</v>
      </c>
      <c r="C384" s="39">
        <v>382</v>
      </c>
      <c r="D384">
        <v>382</v>
      </c>
      <c r="E384" s="10">
        <v>1413570</v>
      </c>
      <c r="F384" s="10">
        <v>1081250</v>
      </c>
      <c r="G384" s="10">
        <v>18823</v>
      </c>
      <c r="H384" s="10">
        <v>41236</v>
      </c>
      <c r="I384" s="10">
        <v>70251</v>
      </c>
      <c r="J384" s="10">
        <v>30980</v>
      </c>
      <c r="K384">
        <v>382</v>
      </c>
      <c r="L384" s="10">
        <v>3101</v>
      </c>
      <c r="M384" s="10">
        <v>403638</v>
      </c>
      <c r="N384" s="10">
        <v>5318</v>
      </c>
      <c r="O384">
        <v>0.35557109723778607</v>
      </c>
      <c r="P384">
        <v>0.99071551465372798</v>
      </c>
      <c r="Q384">
        <v>-0.34058768871484452</v>
      </c>
      <c r="R384">
        <v>0.34058768871484457</v>
      </c>
      <c r="S384">
        <f t="shared" si="60"/>
        <v>-0.81873270799926245</v>
      </c>
      <c r="T384" s="148">
        <f t="shared" si="55"/>
        <v>-0.84766312617157258</v>
      </c>
      <c r="U384">
        <f t="shared" si="61"/>
        <v>2.2812067754395979</v>
      </c>
      <c r="V384" s="55">
        <f t="shared" si="56"/>
        <v>2.2573884163236357</v>
      </c>
      <c r="W384">
        <f t="shared" si="62"/>
        <v>0.49826230864668158</v>
      </c>
      <c r="X384" s="55">
        <f t="shared" si="57"/>
        <v>0.48387073275915027</v>
      </c>
      <c r="Y384" s="149">
        <v>13.1359048</v>
      </c>
      <c r="Z384" s="55">
        <f t="shared" si="53"/>
        <v>4.9183815028901734E-3</v>
      </c>
      <c r="AA384" s="55">
        <f t="shared" si="58"/>
        <v>4.9111983469714493E-3</v>
      </c>
      <c r="AB384" s="55">
        <f t="shared" si="54"/>
        <v>-5.314775765425261</v>
      </c>
      <c r="AC384" s="55">
        <f t="shared" si="59"/>
        <v>-5.3162806334707629</v>
      </c>
      <c r="AD384" s="55"/>
      <c r="AE384" s="55"/>
      <c r="AF384" s="55"/>
      <c r="AG384" s="55"/>
      <c r="AH384" s="55"/>
    </row>
    <row r="385" spans="1:34" ht="15.75">
      <c r="A385" s="39">
        <v>12.9044694</v>
      </c>
      <c r="B385" s="39">
        <v>13.140938800000001</v>
      </c>
      <c r="C385" s="39">
        <v>383</v>
      </c>
      <c r="D385">
        <v>383</v>
      </c>
      <c r="E385" s="10">
        <v>1404520</v>
      </c>
      <c r="F385" s="10">
        <v>1066570</v>
      </c>
      <c r="G385" s="10">
        <v>19298</v>
      </c>
      <c r="H385" s="10">
        <v>42049</v>
      </c>
      <c r="I385" s="10">
        <v>74380</v>
      </c>
      <c r="J385" s="10">
        <v>31207</v>
      </c>
      <c r="K385">
        <v>383</v>
      </c>
      <c r="L385" s="10">
        <v>2835</v>
      </c>
      <c r="M385" s="10">
        <v>393544</v>
      </c>
      <c r="N385" s="10">
        <v>5175</v>
      </c>
      <c r="O385">
        <v>0.37720415306887645</v>
      </c>
      <c r="P385">
        <v>0.97123762353634291</v>
      </c>
      <c r="Q385">
        <v>-0.33824336989536813</v>
      </c>
      <c r="R385">
        <v>0.33824336989536813</v>
      </c>
      <c r="S385">
        <f t="shared" si="60"/>
        <v>-0.86854465987183915</v>
      </c>
      <c r="T385" s="148">
        <f t="shared" si="55"/>
        <v>-0.84029770399659787</v>
      </c>
      <c r="U385">
        <f t="shared" si="61"/>
        <v>2.2363572737097459</v>
      </c>
      <c r="V385" s="55">
        <f t="shared" si="56"/>
        <v>2.2668861886932796</v>
      </c>
      <c r="W385">
        <f t="shared" si="62"/>
        <v>0.48064096502689285</v>
      </c>
      <c r="X385" s="55">
        <f t="shared" si="57"/>
        <v>0.49221269519917743</v>
      </c>
      <c r="Y385" s="149">
        <v>13.140938800000001</v>
      </c>
      <c r="Z385" s="55">
        <f t="shared" si="53"/>
        <v>4.8520022127005258E-3</v>
      </c>
      <c r="AA385" s="55">
        <f t="shared" si="58"/>
        <v>4.8401040183987474E-3</v>
      </c>
      <c r="AB385" s="55">
        <f t="shared" si="54"/>
        <v>-5.3283638318615818</v>
      </c>
      <c r="AC385" s="55">
        <f t="shared" si="59"/>
        <v>-5.3309217815783549</v>
      </c>
      <c r="AD385" s="55"/>
      <c r="AE385" s="55"/>
      <c r="AF385" s="55"/>
      <c r="AG385" s="55"/>
      <c r="AH385" s="55"/>
    </row>
    <row r="386" spans="1:34" ht="15.75">
      <c r="A386" s="39">
        <v>12.9089864</v>
      </c>
      <c r="B386" s="39">
        <v>13.145972799999999</v>
      </c>
      <c r="C386" s="39">
        <v>384</v>
      </c>
      <c r="D386">
        <v>384</v>
      </c>
      <c r="E386" s="10">
        <v>1415890</v>
      </c>
      <c r="F386" s="10">
        <v>1081490</v>
      </c>
      <c r="G386" s="10">
        <v>18546</v>
      </c>
      <c r="H386" s="10">
        <v>41711</v>
      </c>
      <c r="I386" s="10">
        <v>70218</v>
      </c>
      <c r="J386" s="10">
        <v>30508</v>
      </c>
      <c r="K386">
        <v>384</v>
      </c>
      <c r="L386" s="10">
        <v>2274</v>
      </c>
      <c r="M386" s="10">
        <v>409059</v>
      </c>
      <c r="N386" s="10">
        <v>5137</v>
      </c>
      <c r="O386">
        <v>0.3620347176984211</v>
      </c>
      <c r="P386">
        <v>0.9915353503664841</v>
      </c>
      <c r="Q386">
        <v>-0.35200034651290502</v>
      </c>
      <c r="R386">
        <v>0.35200034651290507</v>
      </c>
      <c r="S386">
        <f t="shared" si="60"/>
        <v>-0.83361574411869199</v>
      </c>
      <c r="T386" s="148">
        <f t="shared" si="55"/>
        <v>-0.85108016353166815</v>
      </c>
      <c r="U386">
        <f t="shared" si="61"/>
        <v>2.2830945169304941</v>
      </c>
      <c r="V386" s="55">
        <f t="shared" si="56"/>
        <v>2.2728143915651779</v>
      </c>
      <c r="W386">
        <f t="shared" si="62"/>
        <v>0.49773481192395791</v>
      </c>
      <c r="X386" s="55">
        <f t="shared" si="57"/>
        <v>0.50133334362622795</v>
      </c>
      <c r="Y386" s="149">
        <v>13.145972799999999</v>
      </c>
      <c r="Z386" s="55">
        <f t="shared" si="53"/>
        <v>4.7499283396055438E-3</v>
      </c>
      <c r="AA386" s="55">
        <f t="shared" si="58"/>
        <v>4.7255844003742664E-3</v>
      </c>
      <c r="AB386" s="55">
        <f t="shared" si="54"/>
        <v>-5.3496257474482212</v>
      </c>
      <c r="AC386" s="55">
        <f t="shared" si="59"/>
        <v>-5.3550589752006026</v>
      </c>
      <c r="AD386" s="55"/>
      <c r="AE386" s="55"/>
      <c r="AF386" s="55"/>
      <c r="AG386" s="55"/>
      <c r="AH386" s="55"/>
    </row>
    <row r="387" spans="1:34" ht="15.75">
      <c r="A387" s="39">
        <v>12.9135034</v>
      </c>
      <c r="B387" s="39">
        <v>13.151006799999999</v>
      </c>
      <c r="C387" s="39">
        <v>385</v>
      </c>
      <c r="D387">
        <v>385</v>
      </c>
      <c r="E387" s="10">
        <v>1414200</v>
      </c>
      <c r="F387" s="10">
        <v>1074140</v>
      </c>
      <c r="G387" s="10">
        <v>18231</v>
      </c>
      <c r="H387" s="10">
        <v>41285</v>
      </c>
      <c r="I387" s="10">
        <v>72228</v>
      </c>
      <c r="J387" s="10">
        <v>30838</v>
      </c>
      <c r="K387">
        <v>385</v>
      </c>
      <c r="L387" s="10">
        <v>2164</v>
      </c>
      <c r="M387" s="10">
        <v>411369</v>
      </c>
      <c r="N387" s="10">
        <v>4914</v>
      </c>
      <c r="O387">
        <v>0.36961938527006438</v>
      </c>
      <c r="P387">
        <v>0.99843927203833394</v>
      </c>
      <c r="Q387">
        <v>-0.35498179786495199</v>
      </c>
      <c r="R387">
        <v>0.35498179786495199</v>
      </c>
      <c r="S387">
        <f t="shared" si="60"/>
        <v>-0.8510800866044731</v>
      </c>
      <c r="T387" s="148">
        <f t="shared" si="55"/>
        <v>-0.85595231883900313</v>
      </c>
      <c r="U387">
        <f t="shared" si="61"/>
        <v>2.2989913840552942</v>
      </c>
      <c r="V387" s="55">
        <f t="shared" si="56"/>
        <v>2.2907238022297967</v>
      </c>
      <c r="W387">
        <f t="shared" si="62"/>
        <v>0.52562425392783307</v>
      </c>
      <c r="X387" s="55">
        <f t="shared" si="57"/>
        <v>0.4976892379332945</v>
      </c>
      <c r="Y387" s="149">
        <v>13.151006799999999</v>
      </c>
      <c r="Z387" s="55">
        <f t="shared" ref="Z387:Z450" si="63">N387/F387</f>
        <v>4.5748226488167279E-3</v>
      </c>
      <c r="AA387" s="55">
        <f t="shared" si="58"/>
        <v>4.7148829586370483E-3</v>
      </c>
      <c r="AB387" s="55">
        <f t="shared" ref="AB387:AB450" si="64">LN(Z387)</f>
        <v>-5.3871873462920066</v>
      </c>
      <c r="AC387" s="55">
        <f t="shared" si="59"/>
        <v>-5.3572718766841829</v>
      </c>
      <c r="AD387" s="55"/>
      <c r="AE387" s="55"/>
      <c r="AF387" s="55"/>
      <c r="AG387" s="55"/>
      <c r="AH387" s="55"/>
    </row>
    <row r="388" spans="1:34" ht="15.75">
      <c r="A388" s="39">
        <v>12.9180204</v>
      </c>
      <c r="B388" s="39">
        <v>13.1560408</v>
      </c>
      <c r="C388" s="39">
        <v>386</v>
      </c>
      <c r="D388">
        <v>386</v>
      </c>
      <c r="E388" s="10">
        <v>1393570</v>
      </c>
      <c r="F388" s="10">
        <v>1067450</v>
      </c>
      <c r="G388" s="10">
        <v>18648</v>
      </c>
      <c r="H388" s="10">
        <v>40437</v>
      </c>
      <c r="I388" s="10">
        <v>72140</v>
      </c>
      <c r="J388" s="10">
        <v>29828</v>
      </c>
      <c r="K388">
        <v>386</v>
      </c>
      <c r="L388" s="10">
        <v>2517</v>
      </c>
      <c r="M388" s="10">
        <v>399347</v>
      </c>
      <c r="N388" s="10">
        <v>5145</v>
      </c>
      <c r="O388">
        <v>0.38355200356373031</v>
      </c>
      <c r="P388">
        <v>0.99457149821369228</v>
      </c>
      <c r="Q388">
        <v>-0.33614666751982997</v>
      </c>
      <c r="R388">
        <v>0.33614666751982997</v>
      </c>
      <c r="S388">
        <f t="shared" si="60"/>
        <v>-0.88316112579384454</v>
      </c>
      <c r="T388" s="148">
        <f t="shared" ref="T388:T451" si="65">AVERAGE(S387:S389)</f>
        <v>-0.85674402286455076</v>
      </c>
      <c r="U388">
        <f t="shared" si="61"/>
        <v>2.290085505703602</v>
      </c>
      <c r="V388" s="55">
        <f t="shared" ref="V388:V451" si="66">AVERAGE(U387:U389)</f>
        <v>2.2757290236614911</v>
      </c>
      <c r="W388">
        <f t="shared" si="62"/>
        <v>0.46970864794809242</v>
      </c>
      <c r="X388" s="55">
        <f t="shared" ref="X388:X451" si="67">AVERAGE(W387:W389)</f>
        <v>0.48722193450300222</v>
      </c>
      <c r="Y388" s="149">
        <v>13.1560408</v>
      </c>
      <c r="Z388" s="55">
        <f t="shared" si="63"/>
        <v>4.819897887488875E-3</v>
      </c>
      <c r="AA388" s="55">
        <f t="shared" ref="AA388:AA451" si="68">AVERAGE(Z387:Z389)</f>
        <v>4.8196891025316674E-3</v>
      </c>
      <c r="AB388" s="55">
        <f t="shared" si="64"/>
        <v>-5.3350025363123201</v>
      </c>
      <c r="AC388" s="55">
        <f t="shared" ref="AC388:AC451" si="69">AVERAGE(AB387:AB389)</f>
        <v>-5.3359066671154354</v>
      </c>
      <c r="AD388" s="55"/>
      <c r="AE388" s="55"/>
      <c r="AF388" s="55"/>
      <c r="AG388" s="55"/>
      <c r="AH388" s="55"/>
    </row>
    <row r="389" spans="1:34" ht="15.75">
      <c r="A389" s="39">
        <v>12.9225374</v>
      </c>
      <c r="B389" s="39">
        <v>13.1610748</v>
      </c>
      <c r="C389" s="39">
        <v>387</v>
      </c>
      <c r="D389">
        <v>387</v>
      </c>
      <c r="E389" s="10">
        <v>1374370</v>
      </c>
      <c r="F389" s="10">
        <v>1055220</v>
      </c>
      <c r="G389" s="10">
        <v>18866</v>
      </c>
      <c r="H389" s="10">
        <v>41502</v>
      </c>
      <c r="I389" s="10">
        <v>69386</v>
      </c>
      <c r="J389" s="10">
        <v>30075</v>
      </c>
      <c r="K389">
        <v>387</v>
      </c>
      <c r="L389" s="10">
        <v>2598</v>
      </c>
      <c r="M389" s="10">
        <v>389106</v>
      </c>
      <c r="N389" s="10">
        <v>5344</v>
      </c>
      <c r="O389">
        <v>0.36306621576720882</v>
      </c>
      <c r="P389">
        <v>0.97199890159775526</v>
      </c>
      <c r="Q389">
        <v>-0.34238919595962131</v>
      </c>
      <c r="R389">
        <v>0.34238919595962131</v>
      </c>
      <c r="S389">
        <f t="shared" si="60"/>
        <v>-0.83599085619533497</v>
      </c>
      <c r="T389" s="148">
        <f t="shared" si="65"/>
        <v>-0.85350667698326455</v>
      </c>
      <c r="U389">
        <f t="shared" si="61"/>
        <v>2.2381101812255775</v>
      </c>
      <c r="V389" s="55">
        <f t="shared" si="66"/>
        <v>2.2557745600063495</v>
      </c>
      <c r="W389">
        <f t="shared" si="62"/>
        <v>0.46633290163308116</v>
      </c>
      <c r="X389" s="55">
        <f t="shared" si="67"/>
        <v>0.45614378701997693</v>
      </c>
      <c r="Y389" s="149">
        <v>13.1610748</v>
      </c>
      <c r="Z389" s="55">
        <f t="shared" si="63"/>
        <v>5.0643467712893995E-3</v>
      </c>
      <c r="AA389" s="55">
        <f t="shared" si="68"/>
        <v>4.9779327041489128E-3</v>
      </c>
      <c r="AB389" s="55">
        <f t="shared" si="64"/>
        <v>-5.285530118741983</v>
      </c>
      <c r="AC389" s="55">
        <f t="shared" si="69"/>
        <v>-5.3029960398916804</v>
      </c>
      <c r="AD389" s="55"/>
      <c r="AE389" s="55"/>
      <c r="AF389" s="55"/>
      <c r="AG389" s="55"/>
      <c r="AH389" s="55"/>
    </row>
    <row r="390" spans="1:34" ht="15.75">
      <c r="A390" s="39">
        <v>12.927054399999999</v>
      </c>
      <c r="B390" s="39">
        <v>13.1661088</v>
      </c>
      <c r="C390" s="39">
        <v>388</v>
      </c>
      <c r="D390">
        <v>388</v>
      </c>
      <c r="E390" s="10">
        <v>1393800</v>
      </c>
      <c r="F390" s="10">
        <v>1061480</v>
      </c>
      <c r="G390" s="10">
        <v>19836</v>
      </c>
      <c r="H390" s="10">
        <v>42070</v>
      </c>
      <c r="I390" s="10">
        <v>70899</v>
      </c>
      <c r="J390" s="10">
        <v>30566</v>
      </c>
      <c r="K390">
        <v>388</v>
      </c>
      <c r="L390" s="10">
        <v>2764</v>
      </c>
      <c r="M390" s="10">
        <v>394833</v>
      </c>
      <c r="N390" s="10">
        <v>5360</v>
      </c>
      <c r="O390">
        <v>0.3654015009132997</v>
      </c>
      <c r="P390">
        <v>0.97244093167403289</v>
      </c>
      <c r="Q390">
        <v>-0.32651841239792401</v>
      </c>
      <c r="R390">
        <v>0.32651841239792406</v>
      </c>
      <c r="S390">
        <f t="shared" si="60"/>
        <v>-0.84136804896061423</v>
      </c>
      <c r="T390" s="148">
        <f t="shared" si="65"/>
        <v>-0.84132243766093273</v>
      </c>
      <c r="U390">
        <f t="shared" si="61"/>
        <v>2.2391279930898693</v>
      </c>
      <c r="V390" s="55">
        <f t="shared" si="66"/>
        <v>2.2457051453344459</v>
      </c>
      <c r="W390">
        <f t="shared" si="62"/>
        <v>0.43238981147875721</v>
      </c>
      <c r="X390" s="55">
        <f t="shared" si="67"/>
        <v>0.44089482537624852</v>
      </c>
      <c r="Y390" s="149">
        <v>13.1661088</v>
      </c>
      <c r="Z390" s="55">
        <f t="shared" si="63"/>
        <v>5.0495534536684631E-3</v>
      </c>
      <c r="AA390" s="55">
        <f t="shared" si="68"/>
        <v>4.9697351297590371E-3</v>
      </c>
      <c r="AB390" s="55">
        <f t="shared" si="64"/>
        <v>-5.2884554646207365</v>
      </c>
      <c r="AC390" s="55">
        <f t="shared" si="69"/>
        <v>-5.3047011712802465</v>
      </c>
      <c r="AD390" s="55"/>
      <c r="AE390" s="55"/>
      <c r="AF390" s="55"/>
      <c r="AG390" s="55"/>
      <c r="AH390" s="55"/>
    </row>
    <row r="391" spans="1:34" ht="15.75">
      <c r="A391" s="39">
        <v>12.931571399999999</v>
      </c>
      <c r="B391" s="39">
        <v>13.1711429</v>
      </c>
      <c r="C391" s="39">
        <v>389</v>
      </c>
      <c r="D391">
        <v>389</v>
      </c>
      <c r="E391" s="10">
        <v>1409860</v>
      </c>
      <c r="F391" s="10">
        <v>1065000</v>
      </c>
      <c r="G391" s="10">
        <v>20212</v>
      </c>
      <c r="H391" s="10">
        <v>41599</v>
      </c>
      <c r="I391" s="10">
        <v>72013</v>
      </c>
      <c r="J391" s="10">
        <v>30884</v>
      </c>
      <c r="K391">
        <v>389</v>
      </c>
      <c r="L391" s="10">
        <v>2220</v>
      </c>
      <c r="M391" s="10">
        <v>398598</v>
      </c>
      <c r="N391" s="10">
        <v>5107</v>
      </c>
      <c r="O391">
        <v>0.36767735985209832</v>
      </c>
      <c r="P391">
        <v>0.98145222452968184</v>
      </c>
      <c r="Q391">
        <v>-0.31347360116387024</v>
      </c>
      <c r="R391">
        <v>0.31347360116387024</v>
      </c>
      <c r="S391">
        <f t="shared" si="60"/>
        <v>-0.84660840782684899</v>
      </c>
      <c r="T391" s="148">
        <f t="shared" si="65"/>
        <v>-0.76379622647825995</v>
      </c>
      <c r="U391">
        <f t="shared" si="61"/>
        <v>2.2598772616878904</v>
      </c>
      <c r="V391" s="55">
        <f t="shared" si="66"/>
        <v>2.2417431591658201</v>
      </c>
      <c r="W391">
        <f t="shared" si="62"/>
        <v>0.42396176301690719</v>
      </c>
      <c r="X391" s="55">
        <f t="shared" si="67"/>
        <v>0.44269024343098157</v>
      </c>
      <c r="Y391" s="149">
        <v>13.1711429</v>
      </c>
      <c r="Z391" s="55">
        <f t="shared" si="63"/>
        <v>4.7953051643192489E-3</v>
      </c>
      <c r="AA391" s="55">
        <f t="shared" si="68"/>
        <v>4.9344049088434995E-3</v>
      </c>
      <c r="AB391" s="55">
        <f t="shared" si="64"/>
        <v>-5.3401179304780184</v>
      </c>
      <c r="AC391" s="55">
        <f t="shared" si="69"/>
        <v>-5.3117514726694344</v>
      </c>
      <c r="AD391" s="55"/>
      <c r="AE391" s="55"/>
      <c r="AF391" s="55"/>
      <c r="AG391" s="55"/>
      <c r="AH391" s="55"/>
    </row>
    <row r="392" spans="1:34" ht="15.75">
      <c r="A392" s="39">
        <v>12.936088399999999</v>
      </c>
      <c r="B392" s="39">
        <v>13.1761769</v>
      </c>
      <c r="C392" s="39">
        <v>390</v>
      </c>
      <c r="D392">
        <v>390</v>
      </c>
      <c r="E392" s="10">
        <v>1404350</v>
      </c>
      <c r="F392" s="10">
        <v>1079390</v>
      </c>
      <c r="G392" s="10">
        <v>20166</v>
      </c>
      <c r="H392" s="10">
        <v>42735</v>
      </c>
      <c r="I392" s="10">
        <v>59094</v>
      </c>
      <c r="J392" s="10">
        <v>32321</v>
      </c>
      <c r="K392">
        <v>390</v>
      </c>
      <c r="L392" s="10">
        <v>2486</v>
      </c>
      <c r="M392" s="10">
        <v>395932</v>
      </c>
      <c r="N392" s="10">
        <v>5352</v>
      </c>
      <c r="O392">
        <v>0.26205859860870595</v>
      </c>
      <c r="P392">
        <v>0.96683689540652185</v>
      </c>
      <c r="Q392">
        <v>-0.32616394544203703</v>
      </c>
      <c r="R392">
        <v>0.32616394544203708</v>
      </c>
      <c r="S392">
        <f t="shared" si="60"/>
        <v>-0.60341222264731653</v>
      </c>
      <c r="T392" s="148">
        <f t="shared" si="65"/>
        <v>-0.7285720967251107</v>
      </c>
      <c r="U392">
        <f t="shared" si="61"/>
        <v>2.2262242227197007</v>
      </c>
      <c r="V392" s="55">
        <f t="shared" si="66"/>
        <v>2.2401294118336548</v>
      </c>
      <c r="W392">
        <f t="shared" si="62"/>
        <v>0.47171915579728019</v>
      </c>
      <c r="X392" s="55">
        <f t="shared" si="67"/>
        <v>0.45100842704459931</v>
      </c>
      <c r="Y392" s="149">
        <v>13.1761769</v>
      </c>
      <c r="Z392" s="55">
        <f t="shared" si="63"/>
        <v>4.9583561085427882E-3</v>
      </c>
      <c r="AA392" s="55">
        <f t="shared" si="68"/>
        <v>4.8987314325715453E-3</v>
      </c>
      <c r="AB392" s="55">
        <f t="shared" si="64"/>
        <v>-5.3066810229095482</v>
      </c>
      <c r="AC392" s="55">
        <f t="shared" si="69"/>
        <v>-5.3188920915060143</v>
      </c>
      <c r="AD392" s="55"/>
      <c r="AE392" s="55"/>
      <c r="AF392" s="55"/>
      <c r="AG392" s="55"/>
      <c r="AH392" s="55"/>
    </row>
    <row r="393" spans="1:34" ht="15.75">
      <c r="A393" s="39">
        <v>12.940605400000001</v>
      </c>
      <c r="B393" s="39">
        <v>13.1812109</v>
      </c>
      <c r="C393" s="39">
        <v>391</v>
      </c>
      <c r="D393">
        <v>391</v>
      </c>
      <c r="E393" s="10">
        <v>1394420</v>
      </c>
      <c r="F393" s="10">
        <v>1071920</v>
      </c>
      <c r="G393" s="10">
        <v>20132</v>
      </c>
      <c r="H393" s="10">
        <v>41946</v>
      </c>
      <c r="I393" s="10">
        <v>66377</v>
      </c>
      <c r="J393" s="10">
        <v>31806</v>
      </c>
      <c r="K393">
        <v>391</v>
      </c>
      <c r="L393" s="10">
        <v>2454</v>
      </c>
      <c r="M393" s="10">
        <v>391768</v>
      </c>
      <c r="N393" s="10">
        <v>5298</v>
      </c>
      <c r="O393">
        <v>0.31950856536838917</v>
      </c>
      <c r="P393">
        <v>0.97033840698939644</v>
      </c>
      <c r="Q393">
        <v>-0.31880363078754975</v>
      </c>
      <c r="R393">
        <v>0.3188036307875497</v>
      </c>
      <c r="S393">
        <f t="shared" si="60"/>
        <v>-0.73569565970116646</v>
      </c>
      <c r="T393" s="148">
        <f t="shared" si="65"/>
        <v>-0.69592861607258383</v>
      </c>
      <c r="U393">
        <f t="shared" si="61"/>
        <v>2.2342867510933737</v>
      </c>
      <c r="V393" s="55">
        <f t="shared" si="66"/>
        <v>2.2312421691561561</v>
      </c>
      <c r="W393">
        <f t="shared" si="62"/>
        <v>0.45734436231961051</v>
      </c>
      <c r="X393" s="55">
        <f t="shared" si="67"/>
        <v>0.45652920402586067</v>
      </c>
      <c r="Y393" s="149">
        <v>13.1812109</v>
      </c>
      <c r="Z393" s="55">
        <f t="shared" si="63"/>
        <v>4.9425330248526007E-3</v>
      </c>
      <c r="AA393" s="55">
        <f t="shared" si="68"/>
        <v>4.946777962793184E-3</v>
      </c>
      <c r="AB393" s="55">
        <f t="shared" si="64"/>
        <v>-5.3098773211304744</v>
      </c>
      <c r="AC393" s="55">
        <f t="shared" si="69"/>
        <v>-5.3090202319719726</v>
      </c>
      <c r="AD393" s="55"/>
      <c r="AE393" s="55"/>
      <c r="AF393" s="55"/>
      <c r="AG393" s="55"/>
      <c r="AH393" s="55"/>
    </row>
    <row r="394" spans="1:34" ht="15.75">
      <c r="A394" s="39">
        <v>12.9451225</v>
      </c>
      <c r="B394" s="39">
        <v>13.1862449</v>
      </c>
      <c r="C394" s="39">
        <v>392</v>
      </c>
      <c r="D394">
        <v>392</v>
      </c>
      <c r="E394" s="10">
        <v>1397500</v>
      </c>
      <c r="F394" s="10">
        <v>1073400</v>
      </c>
      <c r="G394" s="10">
        <v>20263</v>
      </c>
      <c r="H394" s="10">
        <v>42199</v>
      </c>
      <c r="I394" s="10">
        <v>66553</v>
      </c>
      <c r="J394" s="10">
        <v>31479</v>
      </c>
      <c r="K394">
        <v>392</v>
      </c>
      <c r="L394" s="10">
        <v>2336</v>
      </c>
      <c r="M394" s="10">
        <v>393709</v>
      </c>
      <c r="N394" s="10">
        <v>5302</v>
      </c>
      <c r="O394">
        <v>0.3251467092995744</v>
      </c>
      <c r="P394">
        <v>0.96987318316716342</v>
      </c>
      <c r="Q394">
        <v>-0.31859841507166214</v>
      </c>
      <c r="R394">
        <v>0.31859841507166214</v>
      </c>
      <c r="S394">
        <f t="shared" si="60"/>
        <v>-0.74867796586926849</v>
      </c>
      <c r="T394" s="148">
        <f t="shared" si="65"/>
        <v>-0.74581360274452779</v>
      </c>
      <c r="U394">
        <f t="shared" si="61"/>
        <v>2.233215533655394</v>
      </c>
      <c r="V394" s="55">
        <f t="shared" si="66"/>
        <v>2.2359602612971163</v>
      </c>
      <c r="W394">
        <f t="shared" si="62"/>
        <v>0.44052409396069148</v>
      </c>
      <c r="X394" s="55">
        <f t="shared" si="67"/>
        <v>0.47127879136245809</v>
      </c>
      <c r="Y394" s="149">
        <v>13.1862449</v>
      </c>
      <c r="Z394" s="55">
        <f t="shared" si="63"/>
        <v>4.9394447549841623E-3</v>
      </c>
      <c r="AA394" s="55">
        <f t="shared" si="68"/>
        <v>4.7196160379138269E-3</v>
      </c>
      <c r="AB394" s="55">
        <f t="shared" si="64"/>
        <v>-5.3105023518758951</v>
      </c>
      <c r="AC394" s="55">
        <f t="shared" si="69"/>
        <v>-5.3583044800900801</v>
      </c>
      <c r="AD394" s="55"/>
      <c r="AE394" s="55"/>
      <c r="AF394" s="55"/>
      <c r="AG394" s="55"/>
      <c r="AH394" s="55"/>
    </row>
    <row r="395" spans="1:34" ht="15.75">
      <c r="A395" s="39">
        <v>12.9496395</v>
      </c>
      <c r="B395" s="39">
        <v>13.1912789</v>
      </c>
      <c r="C395" s="39">
        <v>393</v>
      </c>
      <c r="D395">
        <v>393</v>
      </c>
      <c r="E395" s="10">
        <v>857710</v>
      </c>
      <c r="F395" s="10">
        <v>705890</v>
      </c>
      <c r="G395" s="10">
        <v>10319</v>
      </c>
      <c r="H395" s="10">
        <v>23067</v>
      </c>
      <c r="I395" s="10">
        <v>36709</v>
      </c>
      <c r="J395" s="10">
        <v>17287</v>
      </c>
      <c r="K395">
        <v>393</v>
      </c>
      <c r="L395" s="10">
        <v>1160</v>
      </c>
      <c r="M395" s="10">
        <v>216758</v>
      </c>
      <c r="N395" s="10">
        <v>3019</v>
      </c>
      <c r="O395">
        <v>0.32705292193303365</v>
      </c>
      <c r="P395">
        <v>0.97298401955231228</v>
      </c>
      <c r="Q395">
        <v>-0.34935350317003738</v>
      </c>
      <c r="R395">
        <v>0.34935350317003733</v>
      </c>
      <c r="S395">
        <f t="shared" si="60"/>
        <v>-0.75306718266314865</v>
      </c>
      <c r="T395" s="148">
        <f t="shared" si="65"/>
        <v>-0.76858276308660434</v>
      </c>
      <c r="U395">
        <f t="shared" si="61"/>
        <v>2.2403784991425812</v>
      </c>
      <c r="V395" s="55">
        <f t="shared" si="66"/>
        <v>2.2314069395711877</v>
      </c>
      <c r="W395">
        <f t="shared" si="62"/>
        <v>0.51596791780707241</v>
      </c>
      <c r="X395" s="55">
        <f t="shared" si="67"/>
        <v>0.47878677458146807</v>
      </c>
      <c r="Y395" s="149">
        <v>13.1912789</v>
      </c>
      <c r="Z395" s="55">
        <f t="shared" si="63"/>
        <v>4.2768703339047158E-3</v>
      </c>
      <c r="AA395" s="55">
        <f t="shared" si="68"/>
        <v>4.6856853033484238E-3</v>
      </c>
      <c r="AB395" s="55">
        <f t="shared" si="64"/>
        <v>-5.4545337672638725</v>
      </c>
      <c r="AC395" s="55">
        <f t="shared" si="69"/>
        <v>-5.3652412089612653</v>
      </c>
      <c r="AD395" s="55"/>
      <c r="AE395" s="55"/>
      <c r="AF395" s="55"/>
      <c r="AG395" s="55"/>
      <c r="AH395" s="55"/>
    </row>
    <row r="396" spans="1:34" ht="15.75">
      <c r="A396" s="39">
        <v>12.9541565</v>
      </c>
      <c r="B396" s="39">
        <v>13.196312900000001</v>
      </c>
      <c r="C396" s="39">
        <v>394</v>
      </c>
      <c r="D396">
        <v>394</v>
      </c>
      <c r="E396" s="10">
        <v>1197510</v>
      </c>
      <c r="F396" s="10">
        <v>921140</v>
      </c>
      <c r="G396" s="10">
        <v>16127</v>
      </c>
      <c r="H396" s="10">
        <v>35593</v>
      </c>
      <c r="I396" s="10">
        <v>58228</v>
      </c>
      <c r="J396" s="10">
        <v>26059</v>
      </c>
      <c r="K396">
        <v>394</v>
      </c>
      <c r="L396" s="10">
        <v>2175</v>
      </c>
      <c r="M396" s="10">
        <v>327922</v>
      </c>
      <c r="N396" s="10">
        <v>4459</v>
      </c>
      <c r="O396">
        <v>0.34917412745079146</v>
      </c>
      <c r="P396">
        <v>0.96440595948969354</v>
      </c>
      <c r="Q396">
        <v>-0.34381100864449654</v>
      </c>
      <c r="R396">
        <v>0.34381100864449654</v>
      </c>
      <c r="S396">
        <f t="shared" si="60"/>
        <v>-0.80400314072739554</v>
      </c>
      <c r="T396" s="148">
        <f t="shared" si="65"/>
        <v>-0.7879394840406011</v>
      </c>
      <c r="U396">
        <f t="shared" si="61"/>
        <v>2.2206267859155879</v>
      </c>
      <c r="V396" s="55">
        <f t="shared" si="66"/>
        <v>2.2433071359129797</v>
      </c>
      <c r="W396">
        <f t="shared" si="62"/>
        <v>0.47986831197664026</v>
      </c>
      <c r="X396" s="55">
        <f t="shared" si="67"/>
        <v>0.49521433332313985</v>
      </c>
      <c r="Y396" s="149">
        <v>13.196312900000001</v>
      </c>
      <c r="Z396" s="55">
        <f t="shared" si="63"/>
        <v>4.8407408211563934E-3</v>
      </c>
      <c r="AA396" s="55">
        <f t="shared" si="68"/>
        <v>4.6913472361418537E-3</v>
      </c>
      <c r="AB396" s="55">
        <f t="shared" si="64"/>
        <v>-5.3306875077440283</v>
      </c>
      <c r="AC396" s="55">
        <f t="shared" si="69"/>
        <v>-5.3640969062740487</v>
      </c>
      <c r="AD396" s="55"/>
      <c r="AE396" s="55"/>
      <c r="AF396" s="55"/>
      <c r="AG396" s="55"/>
      <c r="AH396" s="55"/>
    </row>
    <row r="397" spans="1:34" ht="15.75">
      <c r="A397" s="39">
        <v>12.9586735</v>
      </c>
      <c r="B397" s="39">
        <v>13.201346900000001</v>
      </c>
      <c r="C397" s="39">
        <v>395</v>
      </c>
      <c r="D397">
        <v>395</v>
      </c>
      <c r="E397" s="10">
        <v>1412330</v>
      </c>
      <c r="F397" s="10">
        <v>1077590</v>
      </c>
      <c r="G397" s="10">
        <v>19087</v>
      </c>
      <c r="H397" s="10">
        <v>41953</v>
      </c>
      <c r="I397" s="10">
        <v>69795</v>
      </c>
      <c r="J397" s="10">
        <v>31150</v>
      </c>
      <c r="K397">
        <v>395</v>
      </c>
      <c r="L397" s="10">
        <v>2563</v>
      </c>
      <c r="M397" s="10">
        <v>405640</v>
      </c>
      <c r="N397" s="10">
        <v>5341</v>
      </c>
      <c r="O397">
        <v>0.35036626059376025</v>
      </c>
      <c r="P397">
        <v>0.98537775198157984</v>
      </c>
      <c r="Q397">
        <v>-0.34202534855779465</v>
      </c>
      <c r="R397">
        <v>0.34202534855779465</v>
      </c>
      <c r="S397">
        <f t="shared" si="60"/>
        <v>-0.80674812873125945</v>
      </c>
      <c r="T397" s="148">
        <f t="shared" si="65"/>
        <v>-0.81541628408391509</v>
      </c>
      <c r="U397">
        <f t="shared" si="61"/>
        <v>2.2689161226807699</v>
      </c>
      <c r="V397" s="55">
        <f t="shared" si="66"/>
        <v>2.2563829510982978</v>
      </c>
      <c r="W397">
        <f t="shared" si="62"/>
        <v>0.48980677018570684</v>
      </c>
      <c r="X397" s="55">
        <f t="shared" si="67"/>
        <v>0.48145977513494992</v>
      </c>
      <c r="Y397" s="149">
        <v>13.201346900000001</v>
      </c>
      <c r="Z397" s="55">
        <f t="shared" si="63"/>
        <v>4.9564305533644519E-3</v>
      </c>
      <c r="AA397" s="55">
        <f t="shared" si="68"/>
        <v>4.9597784443873028E-3</v>
      </c>
      <c r="AB397" s="55">
        <f t="shared" si="64"/>
        <v>-5.3070694438142452</v>
      </c>
      <c r="AC397" s="55">
        <f t="shared" si="69"/>
        <v>-5.3065916945138802</v>
      </c>
      <c r="AD397" s="55"/>
      <c r="AE397" s="55"/>
      <c r="AF397" s="55"/>
      <c r="AG397" s="55"/>
      <c r="AH397" s="55"/>
    </row>
    <row r="398" spans="1:34" ht="15.75">
      <c r="A398" s="39">
        <v>12.9631905</v>
      </c>
      <c r="B398" s="39">
        <v>13.206381</v>
      </c>
      <c r="C398" s="39">
        <v>396</v>
      </c>
      <c r="D398">
        <v>396</v>
      </c>
      <c r="E398" s="10">
        <v>1409980</v>
      </c>
      <c r="F398" s="10">
        <v>1083200</v>
      </c>
      <c r="G398" s="10">
        <v>19128</v>
      </c>
      <c r="H398" s="10">
        <v>41264</v>
      </c>
      <c r="I398" s="10">
        <v>70906</v>
      </c>
      <c r="J398" s="10">
        <v>30749</v>
      </c>
      <c r="K398">
        <v>396</v>
      </c>
      <c r="L398" s="10">
        <v>2761</v>
      </c>
      <c r="M398" s="10">
        <v>403266</v>
      </c>
      <c r="N398" s="10">
        <v>5505</v>
      </c>
      <c r="O398">
        <v>0.3628519898505444</v>
      </c>
      <c r="P398">
        <v>0.99002028269642373</v>
      </c>
      <c r="Q398">
        <v>-0.33390176168614394</v>
      </c>
      <c r="R398">
        <v>0.33390176168614394</v>
      </c>
      <c r="S398">
        <f t="shared" si="60"/>
        <v>-0.83549758279309028</v>
      </c>
      <c r="T398" s="148">
        <f t="shared" si="65"/>
        <v>-0.83131990409052126</v>
      </c>
      <c r="U398">
        <f t="shared" si="61"/>
        <v>2.2796059446985364</v>
      </c>
      <c r="V398" s="55">
        <f t="shared" si="66"/>
        <v>2.2717740449968278</v>
      </c>
      <c r="W398">
        <f t="shared" si="62"/>
        <v>0.47470424324250277</v>
      </c>
      <c r="X398" s="55">
        <f t="shared" si="67"/>
        <v>0.48774541616556072</v>
      </c>
      <c r="Y398" s="149">
        <v>13.206381</v>
      </c>
      <c r="Z398" s="55">
        <f t="shared" si="63"/>
        <v>5.0821639586410639E-3</v>
      </c>
      <c r="AA398" s="55">
        <f t="shared" si="68"/>
        <v>4.9703168188571754E-3</v>
      </c>
      <c r="AB398" s="55">
        <f t="shared" si="64"/>
        <v>-5.2820181319833672</v>
      </c>
      <c r="AC398" s="55">
        <f t="shared" si="69"/>
        <v>-5.3044217559371241</v>
      </c>
      <c r="AD398" s="55"/>
      <c r="AE398" s="55"/>
      <c r="AF398" s="55"/>
      <c r="AG398" s="55"/>
      <c r="AH398" s="55"/>
    </row>
    <row r="399" spans="1:34" ht="15.75">
      <c r="A399" s="39">
        <v>12.967707499999999</v>
      </c>
      <c r="B399" s="39">
        <v>13.211415000000001</v>
      </c>
      <c r="C399" s="39">
        <v>397</v>
      </c>
      <c r="D399">
        <v>397</v>
      </c>
      <c r="E399" s="10">
        <v>1444990</v>
      </c>
      <c r="F399" s="10">
        <v>1096800</v>
      </c>
      <c r="G399" s="10">
        <v>19073</v>
      </c>
      <c r="H399" s="10">
        <v>42643</v>
      </c>
      <c r="I399" s="10">
        <v>73605</v>
      </c>
      <c r="J399" s="10">
        <v>31406</v>
      </c>
      <c r="K399">
        <v>397</v>
      </c>
      <c r="L399" s="10">
        <v>3009</v>
      </c>
      <c r="M399" s="10">
        <v>411440</v>
      </c>
      <c r="N399" s="10">
        <v>5344</v>
      </c>
      <c r="O399">
        <v>0.36989469068425729</v>
      </c>
      <c r="P399">
        <v>0.98445876094145224</v>
      </c>
      <c r="Q399">
        <v>-0.34942874159538173</v>
      </c>
      <c r="R399">
        <v>0.34942874159538173</v>
      </c>
      <c r="S399">
        <f t="shared" si="60"/>
        <v>-0.85171400074721437</v>
      </c>
      <c r="T399" s="148">
        <f t="shared" si="65"/>
        <v>-0.8371165921742808</v>
      </c>
      <c r="U399">
        <f t="shared" si="61"/>
        <v>2.2668000676111766</v>
      </c>
      <c r="V399" s="55">
        <f t="shared" si="66"/>
        <v>2.2703312746193816</v>
      </c>
      <c r="W399">
        <f t="shared" si="62"/>
        <v>0.49872523506847244</v>
      </c>
      <c r="X399" s="55">
        <f t="shared" si="67"/>
        <v>0.50431708682961762</v>
      </c>
      <c r="Y399" s="149">
        <v>13.211415000000001</v>
      </c>
      <c r="Z399" s="55">
        <f t="shared" si="63"/>
        <v>4.8723559445660106E-3</v>
      </c>
      <c r="AA399" s="55">
        <f t="shared" si="68"/>
        <v>5.0512945647118697E-3</v>
      </c>
      <c r="AB399" s="55">
        <f t="shared" si="64"/>
        <v>-5.3241776920137598</v>
      </c>
      <c r="AC399" s="55">
        <f t="shared" si="69"/>
        <v>-5.288471610925118</v>
      </c>
      <c r="AD399" s="55"/>
      <c r="AE399" s="55"/>
      <c r="AF399" s="55"/>
      <c r="AG399" s="55"/>
      <c r="AH399" s="55"/>
    </row>
    <row r="400" spans="1:34" ht="15.75">
      <c r="A400" s="39">
        <v>12.972224499999999</v>
      </c>
      <c r="B400" s="39">
        <v>13.216449000000001</v>
      </c>
      <c r="C400" s="39">
        <v>398</v>
      </c>
      <c r="D400">
        <v>398</v>
      </c>
      <c r="E400" s="10">
        <v>1434790</v>
      </c>
      <c r="F400" s="10">
        <v>1093980</v>
      </c>
      <c r="G400" s="10">
        <v>18398</v>
      </c>
      <c r="H400" s="10">
        <v>42216</v>
      </c>
      <c r="I400" s="10">
        <v>71945</v>
      </c>
      <c r="J400" s="10">
        <v>31556</v>
      </c>
      <c r="K400">
        <v>398</v>
      </c>
      <c r="L400" s="10">
        <v>3391</v>
      </c>
      <c r="M400" s="10">
        <v>406420</v>
      </c>
      <c r="N400" s="10">
        <v>5688</v>
      </c>
      <c r="O400">
        <v>0.35791866953803336</v>
      </c>
      <c r="P400">
        <v>0.98349799034084451</v>
      </c>
      <c r="Q400">
        <v>-0.36070646664720202</v>
      </c>
      <c r="R400">
        <v>0.36070646664720196</v>
      </c>
      <c r="S400">
        <f t="shared" si="60"/>
        <v>-0.82413819298253777</v>
      </c>
      <c r="T400" s="148">
        <f t="shared" si="65"/>
        <v>-0.83945299033059195</v>
      </c>
      <c r="U400">
        <f t="shared" si="61"/>
        <v>2.2645878115484304</v>
      </c>
      <c r="V400" s="55">
        <f t="shared" si="66"/>
        <v>2.2743507655982058</v>
      </c>
      <c r="W400">
        <f t="shared" si="62"/>
        <v>0.53952178217787772</v>
      </c>
      <c r="X400" s="55">
        <f t="shared" si="67"/>
        <v>0.51922809308372908</v>
      </c>
      <c r="Y400" s="149">
        <v>13.216449000000001</v>
      </c>
      <c r="Z400" s="55">
        <f t="shared" si="63"/>
        <v>5.1993637909285365E-3</v>
      </c>
      <c r="AA400" s="55">
        <f t="shared" si="68"/>
        <v>5.0362124559829042E-3</v>
      </c>
      <c r="AB400" s="55">
        <f t="shared" si="64"/>
        <v>-5.2592190087782287</v>
      </c>
      <c r="AC400" s="55">
        <f t="shared" si="69"/>
        <v>-5.2914525552149927</v>
      </c>
      <c r="AD400" s="55"/>
      <c r="AE400" s="55"/>
      <c r="AF400" s="55"/>
      <c r="AG400" s="55"/>
      <c r="AH400" s="55"/>
    </row>
    <row r="401" spans="1:34" ht="15.75">
      <c r="A401" s="39">
        <v>12.976741499999999</v>
      </c>
      <c r="B401" s="39">
        <v>13.221482999999999</v>
      </c>
      <c r="C401" s="39">
        <v>399</v>
      </c>
      <c r="D401">
        <v>399</v>
      </c>
      <c r="E401" s="10">
        <v>1427120</v>
      </c>
      <c r="F401" s="10">
        <v>1079430</v>
      </c>
      <c r="G401" s="10">
        <v>18384</v>
      </c>
      <c r="H401" s="10">
        <v>41625</v>
      </c>
      <c r="I401" s="10">
        <v>71767</v>
      </c>
      <c r="J401" s="10">
        <v>30905</v>
      </c>
      <c r="K401">
        <v>399</v>
      </c>
      <c r="L401" s="10">
        <v>3099</v>
      </c>
      <c r="M401" s="10">
        <v>411729</v>
      </c>
      <c r="N401" s="10">
        <v>5437</v>
      </c>
      <c r="O401">
        <v>0.36589604433098899</v>
      </c>
      <c r="P401">
        <v>0.99525721095291442</v>
      </c>
      <c r="Q401">
        <v>-0.35491423517016635</v>
      </c>
      <c r="R401">
        <v>0.35491423517016635</v>
      </c>
      <c r="S401">
        <f t="shared" ref="S401:S464" si="70">LN(J401/I401)</f>
        <v>-0.84250677726202383</v>
      </c>
      <c r="T401" s="148">
        <f t="shared" si="65"/>
        <v>-0.83297172971848221</v>
      </c>
      <c r="U401">
        <f t="shared" ref="U401:U464" si="71">LN(M401/H401)</f>
        <v>2.2916644176350109</v>
      </c>
      <c r="V401" s="55">
        <f t="shared" si="66"/>
        <v>2.2662573453538775</v>
      </c>
      <c r="W401">
        <f t="shared" ref="W401:W464" si="72">LN(J401/G401)</f>
        <v>0.51943726200483675</v>
      </c>
      <c r="X401" s="55">
        <f t="shared" si="67"/>
        <v>0.51769241335986427</v>
      </c>
      <c r="Y401" s="149">
        <v>13.221482999999999</v>
      </c>
      <c r="Z401" s="55">
        <f t="shared" si="63"/>
        <v>5.0369176324541656E-3</v>
      </c>
      <c r="AA401" s="55">
        <f t="shared" si="68"/>
        <v>5.0881631223475138E-3</v>
      </c>
      <c r="AB401" s="55">
        <f t="shared" si="64"/>
        <v>-5.2909609648529896</v>
      </c>
      <c r="AC401" s="55">
        <f t="shared" si="69"/>
        <v>-5.2809572018695023</v>
      </c>
      <c r="AD401" s="55"/>
      <c r="AE401" s="55"/>
      <c r="AF401" s="55"/>
      <c r="AG401" s="55"/>
      <c r="AH401" s="55"/>
    </row>
    <row r="402" spans="1:34" ht="15.75">
      <c r="A402" s="39">
        <v>12.97974</v>
      </c>
      <c r="B402" s="39">
        <v>13.224729999999999</v>
      </c>
      <c r="C402" s="39">
        <v>400</v>
      </c>
      <c r="D402">
        <v>400</v>
      </c>
      <c r="E402" s="10">
        <v>1369460</v>
      </c>
      <c r="F402" s="10">
        <v>1056440</v>
      </c>
      <c r="G402" s="10">
        <v>18191</v>
      </c>
      <c r="H402" s="10">
        <v>40997</v>
      </c>
      <c r="I402" s="10">
        <v>68533</v>
      </c>
      <c r="J402" s="10">
        <v>29816</v>
      </c>
      <c r="K402">
        <v>400</v>
      </c>
      <c r="L402" s="10">
        <v>3032</v>
      </c>
      <c r="M402" s="10">
        <v>386070</v>
      </c>
      <c r="N402" s="10">
        <v>5312</v>
      </c>
      <c r="O402">
        <v>0.36145036352540882</v>
      </c>
      <c r="P402">
        <v>0.97391397768594445</v>
      </c>
      <c r="Q402">
        <v>-0.35289550405228565</v>
      </c>
      <c r="R402">
        <v>0.3528955040522857</v>
      </c>
      <c r="S402">
        <f t="shared" si="70"/>
        <v>-0.83227021891088515</v>
      </c>
      <c r="T402" s="148">
        <f t="shared" si="65"/>
        <v>-0.82398027811999508</v>
      </c>
      <c r="U402">
        <f t="shared" si="71"/>
        <v>2.2425198068781915</v>
      </c>
      <c r="V402" s="55">
        <f t="shared" si="66"/>
        <v>2.2463107028044833</v>
      </c>
      <c r="W402">
        <f t="shared" si="72"/>
        <v>0.49411819589687822</v>
      </c>
      <c r="X402" s="55">
        <f t="shared" si="67"/>
        <v>0.50430092825389428</v>
      </c>
      <c r="Y402" s="149">
        <v>13.224729999999999</v>
      </c>
      <c r="Z402" s="55">
        <f t="shared" si="63"/>
        <v>5.0282079436598385E-3</v>
      </c>
      <c r="AA402" s="55">
        <f t="shared" si="68"/>
        <v>5.0459022531116754E-3</v>
      </c>
      <c r="AB402" s="55">
        <f t="shared" si="64"/>
        <v>-5.2926916319772905</v>
      </c>
      <c r="AC402" s="55">
        <f t="shared" si="69"/>
        <v>-5.289186026214943</v>
      </c>
      <c r="AD402" s="55"/>
      <c r="AE402" s="55"/>
      <c r="AF402" s="55"/>
      <c r="AG402" s="55"/>
      <c r="AH402" s="55"/>
    </row>
    <row r="403" spans="1:34" ht="15.75">
      <c r="A403" s="39">
        <v>12.98122</v>
      </c>
      <c r="B403" s="39">
        <v>13.226190000000001</v>
      </c>
      <c r="C403" s="39">
        <v>401</v>
      </c>
      <c r="D403">
        <v>401</v>
      </c>
      <c r="E403" s="10">
        <v>1372640</v>
      </c>
      <c r="F403" s="10">
        <v>1049170</v>
      </c>
      <c r="G403" s="10">
        <v>19049</v>
      </c>
      <c r="H403" s="10">
        <v>41948</v>
      </c>
      <c r="I403" s="10">
        <v>69653</v>
      </c>
      <c r="J403" s="10">
        <v>31386</v>
      </c>
      <c r="K403">
        <v>401</v>
      </c>
      <c r="L403" s="10">
        <v>3111</v>
      </c>
      <c r="M403" s="10">
        <v>380383</v>
      </c>
      <c r="N403" s="10">
        <v>5322</v>
      </c>
      <c r="O403">
        <v>0.3462038560974639</v>
      </c>
      <c r="P403">
        <v>0.95750983996574879</v>
      </c>
      <c r="Q403">
        <v>-0.34283907752964815</v>
      </c>
      <c r="R403">
        <v>0.3428390775296481</v>
      </c>
      <c r="S403">
        <f t="shared" si="70"/>
        <v>-0.79716383818707603</v>
      </c>
      <c r="T403" s="148">
        <f t="shared" si="65"/>
        <v>-0.80563259175001711</v>
      </c>
      <c r="U403">
        <f t="shared" si="71"/>
        <v>2.2047478839002475</v>
      </c>
      <c r="V403" s="55">
        <f t="shared" si="66"/>
        <v>2.2191578490727433</v>
      </c>
      <c r="W403">
        <f t="shared" si="72"/>
        <v>0.49934732685996797</v>
      </c>
      <c r="X403" s="55">
        <f t="shared" si="67"/>
        <v>0.49680079944492594</v>
      </c>
      <c r="Y403" s="149">
        <v>13.226190000000001</v>
      </c>
      <c r="Z403" s="55">
        <f t="shared" si="63"/>
        <v>5.0725811832210222E-3</v>
      </c>
      <c r="AA403" s="55">
        <f t="shared" si="68"/>
        <v>5.1926668978955585E-3</v>
      </c>
      <c r="AB403" s="55">
        <f t="shared" si="64"/>
        <v>-5.2839054818145499</v>
      </c>
      <c r="AC403" s="55">
        <f t="shared" si="69"/>
        <v>-5.26125208649675</v>
      </c>
      <c r="AD403" s="55"/>
      <c r="AE403" s="55"/>
      <c r="AF403" s="55"/>
      <c r="AG403" s="55"/>
      <c r="AH403" s="55"/>
    </row>
    <row r="404" spans="1:34" ht="15.75">
      <c r="A404" s="39">
        <v>12.982699999999999</v>
      </c>
      <c r="B404" s="39">
        <v>13.227650000000001</v>
      </c>
      <c r="C404" s="39">
        <v>402</v>
      </c>
      <c r="D404">
        <v>402</v>
      </c>
      <c r="E404" s="10">
        <v>1383070</v>
      </c>
      <c r="F404" s="10">
        <v>1051630</v>
      </c>
      <c r="G404" s="10">
        <v>19213</v>
      </c>
      <c r="H404" s="10">
        <v>42528</v>
      </c>
      <c r="I404" s="10">
        <v>69407</v>
      </c>
      <c r="J404" s="10">
        <v>31580</v>
      </c>
      <c r="K404">
        <v>402</v>
      </c>
      <c r="L404" s="10">
        <v>3296</v>
      </c>
      <c r="M404" s="10">
        <v>387753</v>
      </c>
      <c r="N404" s="10">
        <v>5760</v>
      </c>
      <c r="O404">
        <v>0.34199114749247017</v>
      </c>
      <c r="P404">
        <v>0.95988020732205181</v>
      </c>
      <c r="Q404">
        <v>-0.34507977650810112</v>
      </c>
      <c r="R404">
        <v>0.34507977650810107</v>
      </c>
      <c r="S404">
        <f t="shared" si="70"/>
        <v>-0.78746371815208982</v>
      </c>
      <c r="T404" s="148">
        <f t="shared" si="65"/>
        <v>-0.79471656913031741</v>
      </c>
      <c r="U404">
        <f t="shared" si="71"/>
        <v>2.2102058564397904</v>
      </c>
      <c r="V404" s="55">
        <f t="shared" si="66"/>
        <v>2.2264510924979146</v>
      </c>
      <c r="W404">
        <f t="shared" si="72"/>
        <v>0.4969368755779317</v>
      </c>
      <c r="X404" s="55">
        <f t="shared" si="67"/>
        <v>0.51131716033081931</v>
      </c>
      <c r="Y404" s="149">
        <v>13.227650000000001</v>
      </c>
      <c r="Z404" s="55">
        <f t="shared" si="63"/>
        <v>5.4772115668058159E-3</v>
      </c>
      <c r="AA404" s="55">
        <f t="shared" si="68"/>
        <v>5.1799262560803154E-3</v>
      </c>
      <c r="AB404" s="55">
        <f t="shared" si="64"/>
        <v>-5.2071591456984097</v>
      </c>
      <c r="AC404" s="55">
        <f t="shared" si="69"/>
        <v>-5.2637955995655643</v>
      </c>
      <c r="AD404" s="55"/>
      <c r="AE404" s="55"/>
      <c r="AF404" s="55"/>
      <c r="AG404" s="55"/>
      <c r="AH404" s="55"/>
    </row>
    <row r="405" spans="1:34" ht="15.75">
      <c r="A405" s="39">
        <v>12.98418</v>
      </c>
      <c r="B405" s="39">
        <v>13.22911</v>
      </c>
      <c r="C405" s="39">
        <v>403</v>
      </c>
      <c r="D405">
        <v>403</v>
      </c>
      <c r="E405" s="10">
        <v>1368460</v>
      </c>
      <c r="F405" s="10">
        <v>1058520</v>
      </c>
      <c r="G405" s="10">
        <v>17754</v>
      </c>
      <c r="H405" s="10">
        <v>40792</v>
      </c>
      <c r="I405" s="10">
        <v>67613</v>
      </c>
      <c r="J405" s="10">
        <v>30395</v>
      </c>
      <c r="K405">
        <v>403</v>
      </c>
      <c r="L405" s="10">
        <v>3347</v>
      </c>
      <c r="M405" s="10">
        <v>392637</v>
      </c>
      <c r="N405" s="10">
        <v>5282</v>
      </c>
      <c r="O405">
        <v>0.34722805836120901</v>
      </c>
      <c r="P405">
        <v>0.98341622381013183</v>
      </c>
      <c r="Q405">
        <v>-0.36127878341514053</v>
      </c>
      <c r="R405">
        <v>0.36127878341514058</v>
      </c>
      <c r="S405">
        <f t="shared" si="70"/>
        <v>-0.79952215105178637</v>
      </c>
      <c r="T405" s="148">
        <f t="shared" si="65"/>
        <v>-0.7933534642389608</v>
      </c>
      <c r="U405">
        <f t="shared" si="71"/>
        <v>2.2643995371537056</v>
      </c>
      <c r="V405" s="55">
        <f t="shared" si="66"/>
        <v>2.2357923513973108</v>
      </c>
      <c r="W405">
        <f t="shared" si="72"/>
        <v>0.5376672785545582</v>
      </c>
      <c r="X405" s="55">
        <f t="shared" si="67"/>
        <v>0.53981493605973174</v>
      </c>
      <c r="Y405" s="149">
        <v>13.22911</v>
      </c>
      <c r="Z405" s="55">
        <f t="shared" si="63"/>
        <v>4.98998601821411E-3</v>
      </c>
      <c r="AA405" s="55">
        <f t="shared" si="68"/>
        <v>5.0629552314902628E-3</v>
      </c>
      <c r="AB405" s="55">
        <f t="shared" si="64"/>
        <v>-5.3003221711837352</v>
      </c>
      <c r="AC405" s="55">
        <f t="shared" si="69"/>
        <v>-5.287691481894413</v>
      </c>
      <c r="AD405" s="55"/>
      <c r="AE405" s="55"/>
      <c r="AF405" s="55"/>
      <c r="AG405" s="55"/>
      <c r="AH405" s="55"/>
    </row>
    <row r="406" spans="1:34" ht="15.75">
      <c r="A406" s="39">
        <v>12.985659999999999</v>
      </c>
      <c r="B406" s="39">
        <v>13.23057</v>
      </c>
      <c r="C406" s="39">
        <v>404</v>
      </c>
      <c r="D406">
        <v>404</v>
      </c>
      <c r="E406" s="10">
        <v>1391570</v>
      </c>
      <c r="F406" s="10">
        <v>1062760</v>
      </c>
      <c r="G406" s="10">
        <v>17677</v>
      </c>
      <c r="H406" s="10">
        <v>42410</v>
      </c>
      <c r="I406" s="10">
        <v>70118</v>
      </c>
      <c r="J406" s="10">
        <v>31725</v>
      </c>
      <c r="K406">
        <v>404</v>
      </c>
      <c r="L406" s="10">
        <v>2839</v>
      </c>
      <c r="M406" s="10">
        <v>395502</v>
      </c>
      <c r="N406" s="10">
        <v>5018</v>
      </c>
      <c r="O406">
        <v>0.34442788929974938</v>
      </c>
      <c r="P406">
        <v>0.96968041154786089</v>
      </c>
      <c r="Q406">
        <v>-0.38005971053814008</v>
      </c>
      <c r="R406">
        <v>0.38005971053814003</v>
      </c>
      <c r="S406">
        <f t="shared" si="70"/>
        <v>-0.79307452351300622</v>
      </c>
      <c r="T406" s="148">
        <f t="shared" si="65"/>
        <v>-0.79627964893559089</v>
      </c>
      <c r="U406">
        <f t="shared" si="71"/>
        <v>2.2327716605984356</v>
      </c>
      <c r="V406" s="55">
        <f t="shared" si="66"/>
        <v>2.2447565990803127</v>
      </c>
      <c r="W406">
        <f t="shared" si="72"/>
        <v>0.58484065404670527</v>
      </c>
      <c r="X406" s="55">
        <f t="shared" si="67"/>
        <v>0.56040490108969954</v>
      </c>
      <c r="Y406" s="149">
        <v>13.23057</v>
      </c>
      <c r="Z406" s="55">
        <f t="shared" si="63"/>
        <v>4.7216681094508642E-3</v>
      </c>
      <c r="AA406" s="55">
        <f t="shared" si="68"/>
        <v>4.9319600913604227E-3</v>
      </c>
      <c r="AB406" s="55">
        <f t="shared" si="64"/>
        <v>-5.3555931288010932</v>
      </c>
      <c r="AC406" s="55">
        <f t="shared" si="69"/>
        <v>-5.3125092482143854</v>
      </c>
      <c r="AD406" s="55"/>
      <c r="AE406" s="55"/>
      <c r="AF406" s="55"/>
      <c r="AG406" s="55"/>
      <c r="AH406" s="55"/>
    </row>
    <row r="407" spans="1:34" ht="15.75">
      <c r="A407" s="39">
        <v>12.98714</v>
      </c>
      <c r="B407" s="39">
        <v>13.23203</v>
      </c>
      <c r="C407" s="39">
        <v>405</v>
      </c>
      <c r="D407">
        <v>405</v>
      </c>
      <c r="E407" s="10">
        <v>1403476.25</v>
      </c>
      <c r="F407" s="10">
        <v>1072336.25</v>
      </c>
      <c r="G407" s="10">
        <v>18179.375</v>
      </c>
      <c r="H407" s="10">
        <v>42485.625</v>
      </c>
      <c r="I407" s="10">
        <v>70473.5</v>
      </c>
      <c r="J407" s="10">
        <v>31785</v>
      </c>
      <c r="K407">
        <v>405</v>
      </c>
      <c r="L407" s="10">
        <v>2509</v>
      </c>
      <c r="M407" s="10">
        <v>397925.3333</v>
      </c>
      <c r="N407" s="10">
        <v>5452</v>
      </c>
      <c r="O407">
        <v>0.34580362509279883</v>
      </c>
      <c r="P407">
        <v>0.97155957723147723</v>
      </c>
      <c r="Q407">
        <v>-0.36866306321711817</v>
      </c>
      <c r="R407">
        <v>0.36866306321711817</v>
      </c>
      <c r="S407">
        <f t="shared" si="70"/>
        <v>-0.7962422722419803</v>
      </c>
      <c r="T407" s="148">
        <f t="shared" si="65"/>
        <v>-0.79526927508559686</v>
      </c>
      <c r="U407">
        <f t="shared" si="71"/>
        <v>2.2370985994887969</v>
      </c>
      <c r="V407" s="55">
        <f t="shared" si="66"/>
        <v>2.2376077712151603</v>
      </c>
      <c r="W407">
        <f t="shared" si="72"/>
        <v>0.55870677066783514</v>
      </c>
      <c r="X407" s="55">
        <f t="shared" si="67"/>
        <v>0.5631228629128503</v>
      </c>
      <c r="Y407" s="149">
        <v>13.23203</v>
      </c>
      <c r="Z407" s="55">
        <f t="shared" si="63"/>
        <v>5.0842261464162947E-3</v>
      </c>
      <c r="AA407" s="55">
        <f t="shared" si="68"/>
        <v>5.0156744668792197E-3</v>
      </c>
      <c r="AB407" s="55">
        <f t="shared" si="64"/>
        <v>-5.2816124446583279</v>
      </c>
      <c r="AC407" s="55">
        <f t="shared" si="69"/>
        <v>-5.2961412972263604</v>
      </c>
      <c r="AD407" s="55"/>
      <c r="AE407" s="55"/>
      <c r="AF407" s="55"/>
      <c r="AG407" s="55"/>
      <c r="AH407" s="55"/>
    </row>
    <row r="408" spans="1:34" ht="15.75">
      <c r="A408" s="39">
        <v>12.988619999999999</v>
      </c>
      <c r="B408" s="39">
        <v>13.23349</v>
      </c>
      <c r="C408" s="39">
        <v>406</v>
      </c>
      <c r="D408">
        <v>406</v>
      </c>
      <c r="E408" s="10">
        <v>1407560</v>
      </c>
      <c r="F408" s="10">
        <v>1075150</v>
      </c>
      <c r="G408" s="10">
        <v>18290</v>
      </c>
      <c r="H408" s="10">
        <v>42167</v>
      </c>
      <c r="I408" s="10">
        <v>70012</v>
      </c>
      <c r="J408" s="10">
        <v>31569</v>
      </c>
      <c r="K408">
        <v>406</v>
      </c>
      <c r="L408" s="10">
        <v>2706</v>
      </c>
      <c r="M408" s="10">
        <v>397260</v>
      </c>
      <c r="N408" s="10">
        <v>5635</v>
      </c>
      <c r="O408">
        <v>0.34591165899807375</v>
      </c>
      <c r="P408">
        <v>0.97410213432839687</v>
      </c>
      <c r="Q408">
        <v>-0.36275899846014742</v>
      </c>
      <c r="R408">
        <v>0.36275899846014742</v>
      </c>
      <c r="S408">
        <f t="shared" si="70"/>
        <v>-0.79649102950180417</v>
      </c>
      <c r="T408" s="148">
        <f t="shared" si="65"/>
        <v>-0.79977916866636589</v>
      </c>
      <c r="U408">
        <f t="shared" si="71"/>
        <v>2.2429530535582498</v>
      </c>
      <c r="V408" s="55">
        <f t="shared" si="66"/>
        <v>2.2360814746930853</v>
      </c>
      <c r="W408">
        <f t="shared" si="72"/>
        <v>0.54582116402401049</v>
      </c>
      <c r="X408" s="55">
        <f t="shared" si="67"/>
        <v>0.52649226836842822</v>
      </c>
      <c r="Y408" s="149">
        <v>13.23349</v>
      </c>
      <c r="Z408" s="55">
        <f t="shared" si="63"/>
        <v>5.2411291447704974E-3</v>
      </c>
      <c r="AA408" s="55">
        <f t="shared" si="68"/>
        <v>5.1201997387490253E-3</v>
      </c>
      <c r="AB408" s="55">
        <f t="shared" si="64"/>
        <v>-5.2512183182196583</v>
      </c>
      <c r="AC408" s="55">
        <f t="shared" si="69"/>
        <v>-5.2747080236574133</v>
      </c>
      <c r="AD408" s="55"/>
      <c r="AE408" s="55"/>
      <c r="AF408" s="55"/>
      <c r="AG408" s="55"/>
      <c r="AH408" s="55"/>
    </row>
    <row r="409" spans="1:34" ht="15.75">
      <c r="A409" s="39">
        <v>12.9901</v>
      </c>
      <c r="B409" s="39">
        <v>13.23495</v>
      </c>
      <c r="C409" s="39">
        <v>407</v>
      </c>
      <c r="D409">
        <v>407</v>
      </c>
      <c r="E409" s="10">
        <v>1418910</v>
      </c>
      <c r="F409" s="10">
        <v>1078200</v>
      </c>
      <c r="G409" s="10">
        <v>19642</v>
      </c>
      <c r="H409" s="10">
        <v>42911</v>
      </c>
      <c r="I409" s="10">
        <v>70755</v>
      </c>
      <c r="J409" s="10">
        <v>31583</v>
      </c>
      <c r="K409">
        <v>407</v>
      </c>
      <c r="L409" s="10">
        <v>2377</v>
      </c>
      <c r="M409" s="10">
        <v>398346</v>
      </c>
      <c r="N409" s="10">
        <v>5429</v>
      </c>
      <c r="O409">
        <v>0.350303754988046</v>
      </c>
      <c r="P409">
        <v>0.96769182507600404</v>
      </c>
      <c r="Q409">
        <v>-0.33938292876341847</v>
      </c>
      <c r="R409">
        <v>0.33938292876341852</v>
      </c>
      <c r="S409">
        <f t="shared" si="70"/>
        <v>-0.80660420425531321</v>
      </c>
      <c r="T409" s="148">
        <f t="shared" si="65"/>
        <v>-0.79051213461638126</v>
      </c>
      <c r="U409">
        <f t="shared" si="71"/>
        <v>2.2281927710322087</v>
      </c>
      <c r="V409" s="55">
        <f t="shared" si="66"/>
        <v>2.2351690697891637</v>
      </c>
      <c r="W409">
        <f t="shared" si="72"/>
        <v>0.47494887041343903</v>
      </c>
      <c r="X409" s="55">
        <f t="shared" si="67"/>
        <v>0.49164396821733908</v>
      </c>
      <c r="Y409" s="149">
        <v>13.23495</v>
      </c>
      <c r="Z409" s="55">
        <f t="shared" si="63"/>
        <v>5.0352439250602853E-3</v>
      </c>
      <c r="AA409" s="55">
        <f t="shared" si="68"/>
        <v>5.1225087762402513E-3</v>
      </c>
      <c r="AB409" s="55">
        <f t="shared" si="64"/>
        <v>-5.2912933080942546</v>
      </c>
      <c r="AC409" s="55">
        <f t="shared" si="69"/>
        <v>-5.2742541756472399</v>
      </c>
      <c r="AD409" s="55"/>
      <c r="AE409" s="55"/>
      <c r="AF409" s="55"/>
      <c r="AG409" s="55"/>
      <c r="AH409" s="55"/>
    </row>
    <row r="410" spans="1:34" ht="15.75">
      <c r="A410" s="39">
        <v>12.991580000000001</v>
      </c>
      <c r="B410" s="39">
        <v>13.236409999999999</v>
      </c>
      <c r="C410" s="39">
        <v>408</v>
      </c>
      <c r="D410">
        <v>408</v>
      </c>
      <c r="E410" s="10">
        <v>1432770</v>
      </c>
      <c r="F410" s="10">
        <v>1087180</v>
      </c>
      <c r="G410" s="10">
        <v>20734</v>
      </c>
      <c r="H410" s="10">
        <v>43305</v>
      </c>
      <c r="I410" s="10">
        <v>70413</v>
      </c>
      <c r="J410" s="10">
        <v>32653</v>
      </c>
      <c r="K410">
        <v>408</v>
      </c>
      <c r="L410" s="10">
        <v>2531</v>
      </c>
      <c r="M410" s="10">
        <v>404491</v>
      </c>
      <c r="N410" s="10">
        <v>5535</v>
      </c>
      <c r="O410">
        <v>0.33372975983824515</v>
      </c>
      <c r="P410">
        <v>0.9703708199863742</v>
      </c>
      <c r="Q410">
        <v>-0.31985494873695519</v>
      </c>
      <c r="R410">
        <v>0.31985494873695525</v>
      </c>
      <c r="S410">
        <f t="shared" si="70"/>
        <v>-0.76844117009202628</v>
      </c>
      <c r="T410" s="148">
        <f t="shared" si="65"/>
        <v>-0.8205432275851795</v>
      </c>
      <c r="U410">
        <f t="shared" si="71"/>
        <v>2.2343613847770336</v>
      </c>
      <c r="V410" s="55">
        <f t="shared" si="66"/>
        <v>2.2519931808814433</v>
      </c>
      <c r="W410">
        <f t="shared" si="72"/>
        <v>0.45416187021456783</v>
      </c>
      <c r="X410" s="55">
        <f t="shared" si="67"/>
        <v>0.45339017301545576</v>
      </c>
      <c r="Y410" s="149">
        <v>13.236409999999999</v>
      </c>
      <c r="Z410" s="55">
        <f t="shared" si="63"/>
        <v>5.0911532588899721E-3</v>
      </c>
      <c r="AA410" s="55">
        <f t="shared" si="68"/>
        <v>4.932416227570363E-3</v>
      </c>
      <c r="AB410" s="55">
        <f t="shared" si="64"/>
        <v>-5.2802509006278049</v>
      </c>
      <c r="AC410" s="55">
        <f t="shared" si="69"/>
        <v>-5.3126526996208039</v>
      </c>
      <c r="AD410" s="55"/>
      <c r="AE410" s="55"/>
      <c r="AF410" s="55"/>
      <c r="AG410" s="55"/>
      <c r="AH410" s="55"/>
    </row>
    <row r="411" spans="1:34" ht="15.75">
      <c r="A411" s="39">
        <v>12.99306</v>
      </c>
      <c r="B411" s="39">
        <v>13.237869999999999</v>
      </c>
      <c r="C411" s="39">
        <v>409</v>
      </c>
      <c r="D411">
        <v>409</v>
      </c>
      <c r="E411" s="10">
        <v>1469210</v>
      </c>
      <c r="F411" s="10">
        <v>1105580</v>
      </c>
      <c r="G411" s="10">
        <v>20585</v>
      </c>
      <c r="H411" s="10">
        <v>43475</v>
      </c>
      <c r="I411" s="10">
        <v>76877</v>
      </c>
      <c r="J411" s="10">
        <v>31678</v>
      </c>
      <c r="K411">
        <v>409</v>
      </c>
      <c r="L411" s="10">
        <v>3017</v>
      </c>
      <c r="M411" s="10">
        <v>430786</v>
      </c>
      <c r="N411" s="10">
        <v>5164</v>
      </c>
      <c r="O411">
        <v>0.38503867288369159</v>
      </c>
      <c r="P411">
        <v>0.9960219901593097</v>
      </c>
      <c r="Q411">
        <v>-0.32468871934124521</v>
      </c>
      <c r="R411">
        <v>0.32468871934124527</v>
      </c>
      <c r="S411">
        <f t="shared" si="70"/>
        <v>-0.88658430840819902</v>
      </c>
      <c r="T411" s="148">
        <f t="shared" si="65"/>
        <v>-0.84865292365412104</v>
      </c>
      <c r="U411">
        <f t="shared" si="71"/>
        <v>2.2934253868350885</v>
      </c>
      <c r="V411" s="55">
        <f t="shared" si="66"/>
        <v>2.2762699997890485</v>
      </c>
      <c r="W411">
        <f t="shared" si="72"/>
        <v>0.43105977841836052</v>
      </c>
      <c r="X411" s="55">
        <f t="shared" si="67"/>
        <v>0.46696166568036235</v>
      </c>
      <c r="Y411" s="149">
        <v>13.237869999999999</v>
      </c>
      <c r="Z411" s="55">
        <f t="shared" si="63"/>
        <v>4.6708514987608314E-3</v>
      </c>
      <c r="AA411" s="55">
        <f t="shared" si="68"/>
        <v>4.8422273952248417E-3</v>
      </c>
      <c r="AB411" s="55">
        <f t="shared" si="64"/>
        <v>-5.3664138901403522</v>
      </c>
      <c r="AC411" s="55">
        <f t="shared" si="69"/>
        <v>-5.3310634103493859</v>
      </c>
      <c r="AD411" s="55"/>
      <c r="AE411" s="55"/>
      <c r="AF411" s="55"/>
      <c r="AG411" s="55"/>
      <c r="AH411" s="55"/>
    </row>
    <row r="412" spans="1:34" ht="15.75">
      <c r="A412" s="39">
        <v>12.994540000000001</v>
      </c>
      <c r="B412" s="39">
        <v>13.239330000000001</v>
      </c>
      <c r="C412" s="39">
        <v>410</v>
      </c>
      <c r="D412">
        <v>410</v>
      </c>
      <c r="E412" s="10">
        <v>1487040</v>
      </c>
      <c r="F412" s="10">
        <v>1116340</v>
      </c>
      <c r="G412" s="10">
        <v>18930</v>
      </c>
      <c r="H412" s="10">
        <v>43828</v>
      </c>
      <c r="I412" s="10">
        <v>77273</v>
      </c>
      <c r="J412" s="10">
        <v>31703</v>
      </c>
      <c r="K412">
        <v>410</v>
      </c>
      <c r="L412" s="10">
        <v>2600</v>
      </c>
      <c r="M412" s="10">
        <v>437596</v>
      </c>
      <c r="N412" s="10">
        <v>5319</v>
      </c>
      <c r="O412">
        <v>0.38692741266020247</v>
      </c>
      <c r="P412">
        <v>0.99932169054521602</v>
      </c>
      <c r="Q412">
        <v>-0.36460103901319152</v>
      </c>
      <c r="R412">
        <v>0.36460103901319157</v>
      </c>
      <c r="S412">
        <f t="shared" si="70"/>
        <v>-0.89093329246213782</v>
      </c>
      <c r="T412" s="148">
        <f t="shared" si="65"/>
        <v>-0.85712619015728597</v>
      </c>
      <c r="U412">
        <f t="shared" si="71"/>
        <v>2.3010232277550231</v>
      </c>
      <c r="V412" s="55">
        <f t="shared" si="66"/>
        <v>2.3023879807466039</v>
      </c>
      <c r="W412">
        <f t="shared" si="72"/>
        <v>0.51566334840815875</v>
      </c>
      <c r="X412" s="55">
        <f t="shared" si="67"/>
        <v>0.49059460973049723</v>
      </c>
      <c r="Y412" s="149">
        <v>13.239330000000001</v>
      </c>
      <c r="Z412" s="55">
        <f t="shared" si="63"/>
        <v>4.7646774280237208E-3</v>
      </c>
      <c r="AA412" s="55">
        <f t="shared" si="68"/>
        <v>4.7358364998669267E-3</v>
      </c>
      <c r="AB412" s="55">
        <f t="shared" si="64"/>
        <v>-5.3465254402800024</v>
      </c>
      <c r="AC412" s="55">
        <f t="shared" si="69"/>
        <v>-5.352644392084339</v>
      </c>
      <c r="AD412" s="55"/>
      <c r="AE412" s="55"/>
      <c r="AF412" s="55"/>
      <c r="AG412" s="55"/>
      <c r="AH412" s="55"/>
    </row>
    <row r="413" spans="1:34" ht="15.75">
      <c r="A413" s="39">
        <v>12.99602</v>
      </c>
      <c r="B413" s="39">
        <v>13.240790000000001</v>
      </c>
      <c r="C413" s="39">
        <v>411</v>
      </c>
      <c r="D413">
        <v>411</v>
      </c>
      <c r="E413" s="10">
        <v>1495740</v>
      </c>
      <c r="F413" s="10">
        <v>1120080</v>
      </c>
      <c r="G413" s="10">
        <v>18986</v>
      </c>
      <c r="H413" s="10">
        <v>44079</v>
      </c>
      <c r="I413" s="10">
        <v>70996</v>
      </c>
      <c r="J413" s="10">
        <v>32097</v>
      </c>
      <c r="K413">
        <v>411</v>
      </c>
      <c r="L413" s="10">
        <v>3212</v>
      </c>
      <c r="M413" s="10">
        <v>445278</v>
      </c>
      <c r="N413" s="10">
        <v>5345</v>
      </c>
      <c r="O413">
        <v>0.3447694384963057</v>
      </c>
      <c r="P413">
        <v>1.0043995050113357</v>
      </c>
      <c r="Q413">
        <v>-0.36579825677890387</v>
      </c>
      <c r="R413">
        <v>0.36579825677890387</v>
      </c>
      <c r="S413">
        <f t="shared" si="70"/>
        <v>-0.79386096960152097</v>
      </c>
      <c r="T413" s="148">
        <f t="shared" si="65"/>
        <v>-0.82407633070572006</v>
      </c>
      <c r="U413">
        <f t="shared" si="71"/>
        <v>2.3127153276496997</v>
      </c>
      <c r="V413" s="55">
        <f t="shared" si="66"/>
        <v>2.3022721897944307</v>
      </c>
      <c r="W413">
        <f t="shared" si="72"/>
        <v>0.52506070236497249</v>
      </c>
      <c r="X413" s="55">
        <f t="shared" si="67"/>
        <v>0.51168383688991259</v>
      </c>
      <c r="Y413" s="149">
        <v>13.240790000000001</v>
      </c>
      <c r="Z413" s="55">
        <f t="shared" si="63"/>
        <v>4.7719805728162271E-3</v>
      </c>
      <c r="AA413" s="55">
        <f t="shared" si="68"/>
        <v>4.7042006562909968E-3</v>
      </c>
      <c r="AB413" s="55">
        <f t="shared" si="64"/>
        <v>-5.3449938458326613</v>
      </c>
      <c r="AC413" s="55">
        <f t="shared" si="69"/>
        <v>-5.3594871852800985</v>
      </c>
      <c r="AD413" s="55"/>
      <c r="AE413" s="55"/>
      <c r="AF413" s="55"/>
      <c r="AG413" s="55"/>
      <c r="AH413" s="55"/>
    </row>
    <row r="414" spans="1:34" ht="15.75">
      <c r="A414" s="39">
        <v>12.9975</v>
      </c>
      <c r="B414" s="39">
        <v>13.24225</v>
      </c>
      <c r="C414" s="39">
        <v>412</v>
      </c>
      <c r="D414">
        <v>412</v>
      </c>
      <c r="E414" s="10">
        <v>1486570</v>
      </c>
      <c r="F414" s="10">
        <v>1113650</v>
      </c>
      <c r="G414" s="10">
        <v>19911</v>
      </c>
      <c r="H414" s="10">
        <v>44166</v>
      </c>
      <c r="I414" s="10">
        <v>71739</v>
      </c>
      <c r="J414" s="10">
        <v>32642</v>
      </c>
      <c r="K414">
        <v>412</v>
      </c>
      <c r="L414" s="10">
        <v>2827</v>
      </c>
      <c r="M414" s="10">
        <v>437481</v>
      </c>
      <c r="N414" s="10">
        <v>5096</v>
      </c>
      <c r="O414">
        <v>0.34197855812121236</v>
      </c>
      <c r="P414">
        <v>0.99587112804456024</v>
      </c>
      <c r="Q414">
        <v>-0.34599499575357773</v>
      </c>
      <c r="R414">
        <v>0.34599499575357773</v>
      </c>
      <c r="S414">
        <f t="shared" si="70"/>
        <v>-0.78743473005350151</v>
      </c>
      <c r="T414" s="148">
        <f t="shared" si="65"/>
        <v>-0.78050516255624691</v>
      </c>
      <c r="U414">
        <f t="shared" si="71"/>
        <v>2.2930780139785689</v>
      </c>
      <c r="V414" s="55">
        <f t="shared" si="66"/>
        <v>2.2786501626032956</v>
      </c>
      <c r="W414">
        <f t="shared" si="72"/>
        <v>0.49432745989660654</v>
      </c>
      <c r="X414" s="55">
        <f t="shared" si="67"/>
        <v>0.49394729663389431</v>
      </c>
      <c r="Y414" s="149">
        <v>13.24225</v>
      </c>
      <c r="Z414" s="55">
        <f t="shared" si="63"/>
        <v>4.5759439680330442E-3</v>
      </c>
      <c r="AA414" s="55">
        <f t="shared" si="68"/>
        <v>4.7277249668581751E-3</v>
      </c>
      <c r="AB414" s="55">
        <f t="shared" si="64"/>
        <v>-5.3869422697276317</v>
      </c>
      <c r="AC414" s="55">
        <f t="shared" si="69"/>
        <v>-5.354586162089773</v>
      </c>
      <c r="AD414" s="55"/>
      <c r="AE414" s="55"/>
      <c r="AF414" s="55"/>
      <c r="AG414" s="55"/>
      <c r="AH414" s="55"/>
    </row>
    <row r="415" spans="1:34" ht="15.75">
      <c r="A415" s="39">
        <v>12.99898</v>
      </c>
      <c r="B415" s="39">
        <v>13.24371</v>
      </c>
      <c r="C415" s="39">
        <v>413</v>
      </c>
      <c r="D415">
        <v>413</v>
      </c>
      <c r="E415" s="10">
        <v>1452690</v>
      </c>
      <c r="F415" s="10">
        <v>1105010</v>
      </c>
      <c r="G415" s="10">
        <v>20724</v>
      </c>
      <c r="H415" s="10">
        <v>44440</v>
      </c>
      <c r="I415" s="10">
        <v>70384</v>
      </c>
      <c r="J415" s="10">
        <v>32909</v>
      </c>
      <c r="K415">
        <v>413</v>
      </c>
      <c r="L415" s="10">
        <v>3356</v>
      </c>
      <c r="M415" s="10">
        <v>413351</v>
      </c>
      <c r="N415" s="10">
        <v>5343</v>
      </c>
      <c r="O415">
        <v>0.33015925896801768</v>
      </c>
      <c r="P415">
        <v>0.96854494236378008</v>
      </c>
      <c r="Q415">
        <v>-0.33130046665374635</v>
      </c>
      <c r="R415">
        <v>0.33130046665374641</v>
      </c>
      <c r="S415">
        <f t="shared" si="70"/>
        <v>-0.76021978801371815</v>
      </c>
      <c r="T415" s="148">
        <f t="shared" si="65"/>
        <v>-0.73670974269491341</v>
      </c>
      <c r="U415">
        <f t="shared" si="71"/>
        <v>2.2301571461816172</v>
      </c>
      <c r="V415" s="55">
        <f t="shared" si="66"/>
        <v>2.2617649477872201</v>
      </c>
      <c r="W415">
        <f t="shared" si="72"/>
        <v>0.4624537276401039</v>
      </c>
      <c r="X415" s="55">
        <f t="shared" si="67"/>
        <v>0.47161309408162538</v>
      </c>
      <c r="Y415" s="149">
        <v>13.24371</v>
      </c>
      <c r="Z415" s="55">
        <f t="shared" si="63"/>
        <v>4.8352503597252515E-3</v>
      </c>
      <c r="AA415" s="55">
        <f t="shared" si="68"/>
        <v>4.7905009496789046E-3</v>
      </c>
      <c r="AB415" s="55">
        <f t="shared" si="64"/>
        <v>-5.331822370709026</v>
      </c>
      <c r="AC415" s="55">
        <f t="shared" si="69"/>
        <v>-5.3416839929152546</v>
      </c>
      <c r="AD415" s="55"/>
      <c r="AE415" s="55"/>
      <c r="AF415" s="55"/>
      <c r="AG415" s="55"/>
      <c r="AH415" s="55"/>
    </row>
    <row r="416" spans="1:34" ht="15.75">
      <c r="A416" s="39">
        <v>13.00046</v>
      </c>
      <c r="B416" s="39">
        <v>13.24517</v>
      </c>
      <c r="C416" s="39">
        <v>414</v>
      </c>
      <c r="D416">
        <v>414</v>
      </c>
      <c r="E416" s="10">
        <v>1467120</v>
      </c>
      <c r="F416" s="10">
        <v>1109810</v>
      </c>
      <c r="G416" s="10">
        <v>21222</v>
      </c>
      <c r="H416" s="10">
        <v>44177</v>
      </c>
      <c r="I416" s="10">
        <v>65077</v>
      </c>
      <c r="J416" s="10">
        <v>33552</v>
      </c>
      <c r="K416">
        <v>414</v>
      </c>
      <c r="L416" s="10">
        <v>2568</v>
      </c>
      <c r="M416" s="10">
        <v>424225</v>
      </c>
      <c r="N416" s="10">
        <v>5505</v>
      </c>
      <c r="O416">
        <v>0.28770911096106616</v>
      </c>
      <c r="P416">
        <v>0.98240003815021815</v>
      </c>
      <c r="Q416">
        <v>-0.31840990999063729</v>
      </c>
      <c r="R416">
        <v>0.31840990999063729</v>
      </c>
      <c r="S416">
        <f t="shared" si="70"/>
        <v>-0.66247471001752067</v>
      </c>
      <c r="T416" s="148">
        <f t="shared" si="65"/>
        <v>-0.69823923153325917</v>
      </c>
      <c r="U416">
        <f t="shared" si="71"/>
        <v>2.2620596832014739</v>
      </c>
      <c r="V416" s="55">
        <f t="shared" si="66"/>
        <v>2.2610465931719563</v>
      </c>
      <c r="W416">
        <f t="shared" si="72"/>
        <v>0.4580580947081655</v>
      </c>
      <c r="X416" s="55">
        <f t="shared" si="67"/>
        <v>0.47562172224862181</v>
      </c>
      <c r="Y416" s="149">
        <v>13.24517</v>
      </c>
      <c r="Z416" s="55">
        <f t="shared" si="63"/>
        <v>4.9603085212784172E-3</v>
      </c>
      <c r="AA416" s="55">
        <f t="shared" si="68"/>
        <v>4.8471419795944595E-3</v>
      </c>
      <c r="AB416" s="55">
        <f t="shared" si="64"/>
        <v>-5.306287338309108</v>
      </c>
      <c r="AC416" s="55">
        <f t="shared" si="69"/>
        <v>-5.3295302806011486</v>
      </c>
      <c r="AD416" s="55"/>
      <c r="AE416" s="55"/>
      <c r="AF416" s="55"/>
      <c r="AG416" s="55"/>
      <c r="AH416" s="55"/>
    </row>
    <row r="417" spans="1:34" ht="15.75">
      <c r="A417" s="39">
        <v>13.001939999999999</v>
      </c>
      <c r="B417" s="39">
        <v>13.24663</v>
      </c>
      <c r="C417" s="39">
        <v>415</v>
      </c>
      <c r="D417">
        <v>415</v>
      </c>
      <c r="E417" s="10">
        <v>1461880</v>
      </c>
      <c r="F417" s="10">
        <v>1104540</v>
      </c>
      <c r="G417" s="10">
        <v>20169</v>
      </c>
      <c r="H417" s="10">
        <v>43314</v>
      </c>
      <c r="I417" s="10">
        <v>65531</v>
      </c>
      <c r="J417" s="10">
        <v>33465</v>
      </c>
      <c r="K417">
        <v>415</v>
      </c>
      <c r="L417" s="10">
        <v>2654</v>
      </c>
      <c r="M417" s="10">
        <v>428118</v>
      </c>
      <c r="N417" s="10">
        <v>5242</v>
      </c>
      <c r="O417">
        <v>0.29185596598070068</v>
      </c>
      <c r="P417">
        <v>0.99493519570818423</v>
      </c>
      <c r="Q417">
        <v>-0.33194392622259805</v>
      </c>
      <c r="R417">
        <v>0.33194392622259805</v>
      </c>
      <c r="S417">
        <f t="shared" si="70"/>
        <v>-0.67202319656853871</v>
      </c>
      <c r="T417" s="148">
        <f t="shared" si="65"/>
        <v>-0.6416815997932227</v>
      </c>
      <c r="U417">
        <f t="shared" si="71"/>
        <v>2.2909229501327784</v>
      </c>
      <c r="V417" s="55">
        <f t="shared" si="66"/>
        <v>2.2716708896070039</v>
      </c>
      <c r="W417">
        <f t="shared" si="72"/>
        <v>0.50635334439759616</v>
      </c>
      <c r="X417" s="55">
        <f t="shared" si="67"/>
        <v>0.48216072973366986</v>
      </c>
      <c r="Y417" s="149">
        <v>13.24663</v>
      </c>
      <c r="Z417" s="55">
        <f t="shared" si="63"/>
        <v>4.7458670577797089E-3</v>
      </c>
      <c r="AA417" s="55">
        <f t="shared" si="68"/>
        <v>4.8786286854597656E-3</v>
      </c>
      <c r="AB417" s="55">
        <f t="shared" si="64"/>
        <v>-5.350481132785311</v>
      </c>
      <c r="AC417" s="55">
        <f t="shared" si="69"/>
        <v>-5.3230811634853801</v>
      </c>
      <c r="AD417" s="55"/>
      <c r="AE417" s="55"/>
      <c r="AF417" s="55"/>
      <c r="AG417" s="55"/>
      <c r="AH417" s="55"/>
    </row>
    <row r="418" spans="1:34" ht="15.75">
      <c r="A418" s="39">
        <v>13.00342</v>
      </c>
      <c r="B418" s="39">
        <v>13.248089999999999</v>
      </c>
      <c r="C418" s="39">
        <v>416</v>
      </c>
      <c r="D418">
        <v>416</v>
      </c>
      <c r="E418" s="10">
        <v>1454800</v>
      </c>
      <c r="F418" s="10">
        <v>1111830</v>
      </c>
      <c r="G418" s="10">
        <v>20603</v>
      </c>
      <c r="H418" s="10">
        <v>44012</v>
      </c>
      <c r="I418" s="10">
        <v>60223</v>
      </c>
      <c r="J418" s="10">
        <v>33365</v>
      </c>
      <c r="K418">
        <v>416</v>
      </c>
      <c r="L418" s="10">
        <v>2762</v>
      </c>
      <c r="M418" s="10">
        <v>422628</v>
      </c>
      <c r="N418" s="10">
        <v>5481</v>
      </c>
      <c r="O418">
        <v>0.25647125684537547</v>
      </c>
      <c r="P418">
        <v>0.98238716231131684</v>
      </c>
      <c r="Q418">
        <v>-0.32964064175382335</v>
      </c>
      <c r="R418">
        <v>0.32964064175382335</v>
      </c>
      <c r="S418">
        <f t="shared" si="70"/>
        <v>-0.59054689279360861</v>
      </c>
      <c r="T418" s="148">
        <f t="shared" si="65"/>
        <v>-0.6161379444988605</v>
      </c>
      <c r="U418">
        <f t="shared" si="71"/>
        <v>2.26203003548676</v>
      </c>
      <c r="V418" s="55">
        <f t="shared" si="66"/>
        <v>2.264367980422207</v>
      </c>
      <c r="W418">
        <f t="shared" si="72"/>
        <v>0.48207075009524791</v>
      </c>
      <c r="X418" s="55">
        <f t="shared" si="67"/>
        <v>0.51338264906419029</v>
      </c>
      <c r="Y418" s="149">
        <v>13.248089999999999</v>
      </c>
      <c r="Z418" s="55">
        <f t="shared" si="63"/>
        <v>4.9297104773211734E-3</v>
      </c>
      <c r="AA418" s="55">
        <f t="shared" si="68"/>
        <v>4.8717212357157307E-3</v>
      </c>
      <c r="AB418" s="55">
        <f t="shared" si="64"/>
        <v>-5.3124750193617203</v>
      </c>
      <c r="AC418" s="55">
        <f t="shared" si="69"/>
        <v>-5.3244766247597131</v>
      </c>
      <c r="AD418" s="55"/>
      <c r="AE418" s="55"/>
      <c r="AF418" s="55"/>
      <c r="AG418" s="55"/>
      <c r="AH418" s="55"/>
    </row>
    <row r="419" spans="1:34" ht="15.75">
      <c r="A419" s="39">
        <v>13.004899999999999</v>
      </c>
      <c r="B419" s="39">
        <v>13.249549999999999</v>
      </c>
      <c r="C419" s="39">
        <v>417</v>
      </c>
      <c r="D419">
        <v>417</v>
      </c>
      <c r="E419" s="10">
        <v>1447120</v>
      </c>
      <c r="F419" s="10">
        <v>1108190</v>
      </c>
      <c r="G419" s="10">
        <v>19518</v>
      </c>
      <c r="H419" s="10">
        <v>44109</v>
      </c>
      <c r="I419" s="10">
        <v>60880</v>
      </c>
      <c r="J419" s="10">
        <v>33888</v>
      </c>
      <c r="K419">
        <v>417</v>
      </c>
      <c r="L419" s="10">
        <v>2629</v>
      </c>
      <c r="M419" s="10">
        <v>414393</v>
      </c>
      <c r="N419" s="10">
        <v>5474</v>
      </c>
      <c r="O419">
        <v>0.25442870533512546</v>
      </c>
      <c r="P419">
        <v>0.97288519866782397</v>
      </c>
      <c r="Q419">
        <v>-0.35409189828645726</v>
      </c>
      <c r="R419">
        <v>0.35409189828645732</v>
      </c>
      <c r="S419">
        <f t="shared" si="70"/>
        <v>-0.58584374413443441</v>
      </c>
      <c r="T419" s="148">
        <f t="shared" si="65"/>
        <v>-0.62331444112070533</v>
      </c>
      <c r="U419">
        <f t="shared" si="71"/>
        <v>2.2401509556470818</v>
      </c>
      <c r="V419" s="55">
        <f t="shared" si="66"/>
        <v>2.2533302391582404</v>
      </c>
      <c r="W419">
        <f t="shared" si="72"/>
        <v>0.55172385269972657</v>
      </c>
      <c r="X419" s="55">
        <f t="shared" si="67"/>
        <v>0.51649636767948992</v>
      </c>
      <c r="Y419" s="149">
        <v>13.249549999999999</v>
      </c>
      <c r="Z419" s="55">
        <f t="shared" si="63"/>
        <v>4.9395861720463096E-3</v>
      </c>
      <c r="AA419" s="55">
        <f t="shared" si="68"/>
        <v>4.9291441666158434E-3</v>
      </c>
      <c r="AB419" s="55">
        <f t="shared" si="64"/>
        <v>-5.310473722132107</v>
      </c>
      <c r="AC419" s="55">
        <f t="shared" si="69"/>
        <v>-5.3125914846494595</v>
      </c>
      <c r="AD419" s="55"/>
      <c r="AE419" s="55"/>
      <c r="AF419" s="55"/>
      <c r="AG419" s="55"/>
      <c r="AH419" s="55"/>
    </row>
    <row r="420" spans="1:34" ht="15.75">
      <c r="A420" s="39">
        <v>13.00638</v>
      </c>
      <c r="B420" s="39">
        <v>13.251010000000001</v>
      </c>
      <c r="C420" s="39">
        <v>418</v>
      </c>
      <c r="D420">
        <v>418</v>
      </c>
      <c r="E420" s="10">
        <v>1463120</v>
      </c>
      <c r="F420" s="10">
        <v>1113430</v>
      </c>
      <c r="G420" s="10">
        <v>19874</v>
      </c>
      <c r="H420" s="10">
        <v>44211</v>
      </c>
      <c r="I420" s="10">
        <v>66597</v>
      </c>
      <c r="J420" s="10">
        <v>33285</v>
      </c>
      <c r="K420">
        <v>418</v>
      </c>
      <c r="L420" s="10">
        <v>2416</v>
      </c>
      <c r="M420" s="10">
        <v>422751</v>
      </c>
      <c r="N420" s="10">
        <v>5476</v>
      </c>
      <c r="O420">
        <v>0.30120610462749414</v>
      </c>
      <c r="P420">
        <v>0.98055430533733479</v>
      </c>
      <c r="Q420">
        <v>-0.34724505275520412</v>
      </c>
      <c r="R420">
        <v>0.34724505275520406</v>
      </c>
      <c r="S420">
        <f t="shared" si="70"/>
        <v>-0.69355268643407297</v>
      </c>
      <c r="T420" s="148">
        <f t="shared" si="65"/>
        <v>-0.61617924619375886</v>
      </c>
      <c r="U420">
        <f t="shared" si="71"/>
        <v>2.257809726340879</v>
      </c>
      <c r="V420" s="55">
        <f t="shared" si="66"/>
        <v>2.2593059847782975</v>
      </c>
      <c r="W420">
        <f t="shared" si="72"/>
        <v>0.51569450024349539</v>
      </c>
      <c r="X420" s="55">
        <f t="shared" si="67"/>
        <v>0.52832208105509693</v>
      </c>
      <c r="Y420" s="149">
        <v>13.251010000000001</v>
      </c>
      <c r="Z420" s="55">
        <f t="shared" si="63"/>
        <v>4.9181358504800481E-3</v>
      </c>
      <c r="AA420" s="55">
        <f t="shared" si="68"/>
        <v>4.8118175991893018E-3</v>
      </c>
      <c r="AB420" s="55">
        <f t="shared" si="64"/>
        <v>-5.3148257124545504</v>
      </c>
      <c r="AC420" s="55">
        <f t="shared" si="69"/>
        <v>-5.3372837673967526</v>
      </c>
      <c r="AD420" s="55"/>
      <c r="AE420" s="55"/>
      <c r="AF420" s="55"/>
      <c r="AG420" s="55"/>
      <c r="AH420" s="55"/>
    </row>
    <row r="421" spans="1:34" ht="15.75">
      <c r="A421" s="39">
        <v>13.007860000000001</v>
      </c>
      <c r="B421" s="39">
        <v>13.252470000000001</v>
      </c>
      <c r="C421" s="39">
        <v>419</v>
      </c>
      <c r="D421">
        <v>419</v>
      </c>
      <c r="E421" s="10">
        <v>1463220</v>
      </c>
      <c r="F421" s="10">
        <v>1125230</v>
      </c>
      <c r="G421" s="10">
        <v>20193</v>
      </c>
      <c r="H421" s="10">
        <v>43855</v>
      </c>
      <c r="I421" s="10">
        <v>59861</v>
      </c>
      <c r="J421" s="10">
        <v>33882</v>
      </c>
      <c r="K421">
        <v>419</v>
      </c>
      <c r="L421" s="10">
        <v>3718</v>
      </c>
      <c r="M421" s="10">
        <v>428738</v>
      </c>
      <c r="N421" s="10">
        <v>5151</v>
      </c>
      <c r="O421">
        <v>0.2471749294931446</v>
      </c>
      <c r="P421">
        <v>0.99017286235546187</v>
      </c>
      <c r="Q421">
        <v>-0.33681827006801729</v>
      </c>
      <c r="R421">
        <v>0.33681827006801729</v>
      </c>
      <c r="S421">
        <f t="shared" si="70"/>
        <v>-0.56914130801276908</v>
      </c>
      <c r="T421" s="148">
        <f t="shared" si="65"/>
        <v>-0.65714992764748714</v>
      </c>
      <c r="U421">
        <f t="shared" si="71"/>
        <v>2.2799572723469317</v>
      </c>
      <c r="V421" s="55">
        <f t="shared" si="66"/>
        <v>2.2696760421967981</v>
      </c>
      <c r="W421">
        <f t="shared" si="72"/>
        <v>0.51754789022206893</v>
      </c>
      <c r="X421" s="55">
        <f t="shared" si="67"/>
        <v>0.49456227548100101</v>
      </c>
      <c r="Y421" s="149">
        <v>13.252470000000001</v>
      </c>
      <c r="Z421" s="55">
        <f t="shared" si="63"/>
        <v>4.5777307750415469E-3</v>
      </c>
      <c r="AA421" s="55">
        <f t="shared" si="68"/>
        <v>4.7161401916564595E-3</v>
      </c>
      <c r="AB421" s="55">
        <f t="shared" si="64"/>
        <v>-5.3865518676035995</v>
      </c>
      <c r="AC421" s="55">
        <f t="shared" si="69"/>
        <v>-5.3572388512585896</v>
      </c>
      <c r="AD421" s="55"/>
      <c r="AE421" s="55"/>
      <c r="AF421" s="55"/>
      <c r="AG421" s="55"/>
      <c r="AH421" s="55"/>
    </row>
    <row r="422" spans="1:34" ht="15.75">
      <c r="A422" s="39">
        <v>13.00934</v>
      </c>
      <c r="B422" s="39">
        <v>13.25393</v>
      </c>
      <c r="C422" s="39">
        <v>420</v>
      </c>
      <c r="D422">
        <v>420</v>
      </c>
      <c r="E422" s="10">
        <v>1456320</v>
      </c>
      <c r="F422" s="10">
        <v>1120030</v>
      </c>
      <c r="G422" s="10">
        <v>20845</v>
      </c>
      <c r="H422" s="10">
        <v>44117</v>
      </c>
      <c r="I422" s="10">
        <v>66441</v>
      </c>
      <c r="J422" s="10">
        <v>32706</v>
      </c>
      <c r="K422">
        <v>420</v>
      </c>
      <c r="L422" s="10">
        <v>2746</v>
      </c>
      <c r="M422" s="10">
        <v>427565</v>
      </c>
      <c r="N422" s="10">
        <v>5211</v>
      </c>
      <c r="O422">
        <v>0.30780872796063558</v>
      </c>
      <c r="P422">
        <v>0.98639617480944775</v>
      </c>
      <c r="Q422">
        <v>-0.32560407285199744</v>
      </c>
      <c r="R422">
        <v>0.32560407285199744</v>
      </c>
      <c r="S422">
        <f t="shared" si="70"/>
        <v>-0.70875578849561915</v>
      </c>
      <c r="T422" s="148">
        <f t="shared" si="65"/>
        <v>-0.64996084826302258</v>
      </c>
      <c r="U422">
        <f t="shared" si="71"/>
        <v>2.2712611279025832</v>
      </c>
      <c r="V422" s="55">
        <f t="shared" si="66"/>
        <v>2.2699498207619402</v>
      </c>
      <c r="W422">
        <f t="shared" si="72"/>
        <v>0.45044443597743866</v>
      </c>
      <c r="X422" s="55">
        <f t="shared" si="67"/>
        <v>0.47633939819823795</v>
      </c>
      <c r="Y422" s="149">
        <v>13.25393</v>
      </c>
      <c r="Z422" s="55">
        <f t="shared" si="63"/>
        <v>4.6525539494477828E-3</v>
      </c>
      <c r="AA422" s="55">
        <f t="shared" si="68"/>
        <v>4.6719181638670655E-3</v>
      </c>
      <c r="AB422" s="55">
        <f t="shared" si="64"/>
        <v>-5.3703389737176179</v>
      </c>
      <c r="AC422" s="55">
        <f t="shared" si="69"/>
        <v>-5.3663539750907576</v>
      </c>
      <c r="AD422" s="55"/>
      <c r="AE422" s="55"/>
      <c r="AF422" s="55"/>
      <c r="AG422" s="55"/>
      <c r="AH422" s="55"/>
    </row>
    <row r="423" spans="1:34" ht="15.75">
      <c r="A423" s="39">
        <v>13.010820000000001</v>
      </c>
      <c r="B423" s="39">
        <v>13.25539</v>
      </c>
      <c r="C423" s="39">
        <v>421</v>
      </c>
      <c r="D423">
        <v>421</v>
      </c>
      <c r="E423" s="10">
        <v>1472660</v>
      </c>
      <c r="F423" s="10">
        <v>1127580</v>
      </c>
      <c r="G423" s="10">
        <v>20811</v>
      </c>
      <c r="H423" s="10">
        <v>44363</v>
      </c>
      <c r="I423" s="10">
        <v>64618</v>
      </c>
      <c r="J423" s="10">
        <v>33000</v>
      </c>
      <c r="K423">
        <v>421</v>
      </c>
      <c r="L423" s="10">
        <v>2268</v>
      </c>
      <c r="M423" s="10">
        <v>424553</v>
      </c>
      <c r="N423" s="10">
        <v>5396</v>
      </c>
      <c r="O423">
        <v>0.29183957210758221</v>
      </c>
      <c r="P423">
        <v>0.98091100689764832</v>
      </c>
      <c r="Q423">
        <v>-0.32872795794664911</v>
      </c>
      <c r="R423">
        <v>0.32872795794664911</v>
      </c>
      <c r="S423">
        <f t="shared" si="70"/>
        <v>-0.67198544828067963</v>
      </c>
      <c r="T423" s="148">
        <f t="shared" si="65"/>
        <v>-0.61876229875799715</v>
      </c>
      <c r="U423">
        <f t="shared" si="71"/>
        <v>2.2586310620363048</v>
      </c>
      <c r="V423" s="55">
        <f t="shared" si="66"/>
        <v>2.2751271770170423</v>
      </c>
      <c r="W423">
        <f t="shared" si="72"/>
        <v>0.46102586839520632</v>
      </c>
      <c r="X423" s="55">
        <f t="shared" si="67"/>
        <v>0.48074125326733025</v>
      </c>
      <c r="Y423" s="149">
        <v>13.25539</v>
      </c>
      <c r="Z423" s="55">
        <f t="shared" si="63"/>
        <v>4.7854697671118676E-3</v>
      </c>
      <c r="AA423" s="55">
        <f t="shared" si="68"/>
        <v>4.6078675562180385E-3</v>
      </c>
      <c r="AB423" s="55">
        <f t="shared" si="64"/>
        <v>-5.3421710839510554</v>
      </c>
      <c r="AC423" s="55">
        <f t="shared" si="69"/>
        <v>-5.3806478964725697</v>
      </c>
      <c r="AD423" s="55"/>
      <c r="AE423" s="55"/>
      <c r="AF423" s="55"/>
      <c r="AG423" s="55"/>
      <c r="AH423" s="55"/>
    </row>
    <row r="424" spans="1:34" ht="15.75">
      <c r="A424" s="39">
        <v>13.0123</v>
      </c>
      <c r="B424" s="39">
        <v>13.25685</v>
      </c>
      <c r="C424" s="39">
        <v>422</v>
      </c>
      <c r="D424">
        <v>422</v>
      </c>
      <c r="E424" s="10">
        <v>1450570</v>
      </c>
      <c r="F424" s="10">
        <v>1113650</v>
      </c>
      <c r="G424" s="10">
        <v>20201</v>
      </c>
      <c r="H424" s="10">
        <v>42924</v>
      </c>
      <c r="I424" s="10">
        <v>55259</v>
      </c>
      <c r="J424" s="10">
        <v>34346</v>
      </c>
      <c r="K424">
        <v>422</v>
      </c>
      <c r="L424" s="10">
        <v>2855</v>
      </c>
      <c r="M424" s="10">
        <v>426205</v>
      </c>
      <c r="N424" s="10">
        <v>4884</v>
      </c>
      <c r="O424">
        <v>0.20652685581289065</v>
      </c>
      <c r="P424">
        <v>0.99691835411277652</v>
      </c>
      <c r="Q424">
        <v>-0.32732731755529765</v>
      </c>
      <c r="R424">
        <v>0.32732731755529759</v>
      </c>
      <c r="S424">
        <f t="shared" si="70"/>
        <v>-0.47554565949769267</v>
      </c>
      <c r="T424" s="148">
        <f t="shared" si="65"/>
        <v>-0.55641400825911613</v>
      </c>
      <c r="U424">
        <f t="shared" si="71"/>
        <v>2.2954893411122383</v>
      </c>
      <c r="V424" s="55">
        <f t="shared" si="66"/>
        <v>2.3074279778332145</v>
      </c>
      <c r="W424">
        <f t="shared" si="72"/>
        <v>0.53075345542934571</v>
      </c>
      <c r="X424" s="55">
        <f t="shared" si="67"/>
        <v>0.49622435929292941</v>
      </c>
      <c r="Y424" s="149">
        <v>13.25685</v>
      </c>
      <c r="Z424" s="55">
        <f t="shared" si="63"/>
        <v>4.3855789520944643E-3</v>
      </c>
      <c r="AA424" s="55">
        <f t="shared" si="68"/>
        <v>4.6217057747150129E-3</v>
      </c>
      <c r="AB424" s="55">
        <f t="shared" si="64"/>
        <v>-5.4294336317490357</v>
      </c>
      <c r="AC424" s="55">
        <f t="shared" si="69"/>
        <v>-5.3776867606355685</v>
      </c>
      <c r="AD424" s="55"/>
      <c r="AE424" s="55"/>
      <c r="AF424" s="55"/>
      <c r="AG424" s="55"/>
      <c r="AH424" s="55"/>
    </row>
    <row r="425" spans="1:34" ht="15.75">
      <c r="A425" s="39">
        <v>13.013780000000001</v>
      </c>
      <c r="B425" s="39">
        <v>13.25831</v>
      </c>
      <c r="C425" s="39">
        <v>423</v>
      </c>
      <c r="D425">
        <v>423</v>
      </c>
      <c r="E425" s="10">
        <v>1482080</v>
      </c>
      <c r="F425" s="10">
        <v>1132280</v>
      </c>
      <c r="G425" s="10">
        <v>19790</v>
      </c>
      <c r="H425" s="10">
        <v>42199</v>
      </c>
      <c r="I425" s="10">
        <v>54805</v>
      </c>
      <c r="J425" s="10">
        <v>32527</v>
      </c>
      <c r="K425">
        <v>423</v>
      </c>
      <c r="L425" s="10">
        <v>3096</v>
      </c>
      <c r="M425" s="10">
        <v>450591</v>
      </c>
      <c r="N425" s="10">
        <v>5315</v>
      </c>
      <c r="O425">
        <v>0.2265761724013407</v>
      </c>
      <c r="P425">
        <v>1.0284803534760072</v>
      </c>
      <c r="Q425">
        <v>-0.32885636529490669</v>
      </c>
      <c r="R425">
        <v>0.32885636529490669</v>
      </c>
      <c r="S425">
        <f t="shared" si="70"/>
        <v>-0.52171091699897598</v>
      </c>
      <c r="T425" s="148">
        <f t="shared" si="65"/>
        <v>-0.56355804564733258</v>
      </c>
      <c r="U425">
        <f t="shared" si="71"/>
        <v>2.3681635303511013</v>
      </c>
      <c r="V425" s="55">
        <f t="shared" si="66"/>
        <v>2.3146421535392014</v>
      </c>
      <c r="W425">
        <f t="shared" si="72"/>
        <v>0.4968937540542363</v>
      </c>
      <c r="X425" s="55">
        <f t="shared" si="67"/>
        <v>0.51723000573542965</v>
      </c>
      <c r="Y425" s="149">
        <v>13.25831</v>
      </c>
      <c r="Z425" s="55">
        <f t="shared" si="63"/>
        <v>4.6940686049387077E-3</v>
      </c>
      <c r="AA425" s="55">
        <f t="shared" si="68"/>
        <v>4.6315076530605336E-3</v>
      </c>
      <c r="AB425" s="55">
        <f t="shared" si="64"/>
        <v>-5.3614555662066143</v>
      </c>
      <c r="AC425" s="55">
        <f t="shared" si="69"/>
        <v>-5.3756447696808571</v>
      </c>
      <c r="AD425" s="55"/>
      <c r="AE425" s="55"/>
      <c r="AF425" s="55"/>
      <c r="AG425" s="55"/>
      <c r="AH425" s="55"/>
    </row>
    <row r="426" spans="1:34" ht="15.75">
      <c r="A426" s="39">
        <v>13.01526</v>
      </c>
      <c r="B426" s="39">
        <v>13.25977</v>
      </c>
      <c r="C426" s="39">
        <v>424</v>
      </c>
      <c r="D426">
        <v>424</v>
      </c>
      <c r="E426" s="10">
        <v>1431710</v>
      </c>
      <c r="F426" s="10">
        <v>1100340</v>
      </c>
      <c r="G426" s="10">
        <v>19707</v>
      </c>
      <c r="H426" s="10">
        <v>42394</v>
      </c>
      <c r="I426" s="10">
        <v>66582</v>
      </c>
      <c r="J426" s="10">
        <v>33282</v>
      </c>
      <c r="K426">
        <v>424</v>
      </c>
      <c r="L426" s="10">
        <v>2728</v>
      </c>
      <c r="M426" s="10">
        <v>414586</v>
      </c>
      <c r="N426" s="10">
        <v>5298</v>
      </c>
      <c r="O426">
        <v>0.30114742015622104</v>
      </c>
      <c r="P426">
        <v>0.99031023699942022</v>
      </c>
      <c r="Q426">
        <v>-0.33268387889023848</v>
      </c>
      <c r="R426">
        <v>0.33268387889023848</v>
      </c>
      <c r="S426">
        <f t="shared" si="70"/>
        <v>-0.69341756044532921</v>
      </c>
      <c r="T426" s="148">
        <f t="shared" si="65"/>
        <v>-0.58253118627252287</v>
      </c>
      <c r="U426">
        <f t="shared" si="71"/>
        <v>2.2802735891542651</v>
      </c>
      <c r="V426" s="55">
        <f t="shared" si="66"/>
        <v>2.3054624630527827</v>
      </c>
      <c r="W426">
        <f t="shared" si="72"/>
        <v>0.52404280772270684</v>
      </c>
      <c r="X426" s="55">
        <f t="shared" si="67"/>
        <v>0.49887200209708976</v>
      </c>
      <c r="Y426" s="149">
        <v>13.25977</v>
      </c>
      <c r="Z426" s="55">
        <f t="shared" si="63"/>
        <v>4.8148754021484271E-3</v>
      </c>
      <c r="AA426" s="55">
        <f t="shared" si="68"/>
        <v>4.6874790992118527E-3</v>
      </c>
      <c r="AB426" s="55">
        <f t="shared" si="64"/>
        <v>-5.3360451110869205</v>
      </c>
      <c r="AC426" s="55">
        <f t="shared" si="69"/>
        <v>-5.3631204205741083</v>
      </c>
      <c r="AD426" s="55"/>
      <c r="AE426" s="55"/>
      <c r="AF426" s="55"/>
      <c r="AG426" s="55"/>
      <c r="AH426" s="55"/>
    </row>
    <row r="427" spans="1:34" ht="15.75">
      <c r="A427" s="39">
        <v>13.01674</v>
      </c>
      <c r="B427" s="39">
        <v>13.261229999999999</v>
      </c>
      <c r="C427" s="39">
        <v>425</v>
      </c>
      <c r="D427">
        <v>425</v>
      </c>
      <c r="E427" s="10">
        <v>1419990</v>
      </c>
      <c r="F427" s="10">
        <v>1096960</v>
      </c>
      <c r="G427" s="10">
        <v>20182</v>
      </c>
      <c r="H427" s="10">
        <v>42527</v>
      </c>
      <c r="I427" s="10">
        <v>55309</v>
      </c>
      <c r="J427" s="10">
        <v>32475</v>
      </c>
      <c r="K427">
        <v>425</v>
      </c>
      <c r="L427" s="10">
        <v>2844</v>
      </c>
      <c r="M427" s="10">
        <v>410793</v>
      </c>
      <c r="N427" s="10">
        <v>4995</v>
      </c>
      <c r="O427">
        <v>0.23124664664657424</v>
      </c>
      <c r="P427">
        <v>0.98495828734128188</v>
      </c>
      <c r="Q427">
        <v>-0.32370054533907638</v>
      </c>
      <c r="R427">
        <v>0.32370054533907638</v>
      </c>
      <c r="S427">
        <f t="shared" si="70"/>
        <v>-0.53246508137326343</v>
      </c>
      <c r="T427" s="148">
        <f t="shared" si="65"/>
        <v>-0.56859079160742576</v>
      </c>
      <c r="U427">
        <f t="shared" si="71"/>
        <v>2.2679502696529816</v>
      </c>
      <c r="V427" s="55">
        <f t="shared" si="66"/>
        <v>2.2697445519288233</v>
      </c>
      <c r="W427">
        <f t="shared" si="72"/>
        <v>0.47567944451432614</v>
      </c>
      <c r="X427" s="55">
        <f t="shared" si="67"/>
        <v>0.49763644803994445</v>
      </c>
      <c r="Y427" s="149">
        <v>13.261229999999999</v>
      </c>
      <c r="Z427" s="55">
        <f t="shared" si="63"/>
        <v>4.5534932905484243E-3</v>
      </c>
      <c r="AA427" s="55">
        <f t="shared" si="68"/>
        <v>4.6905038185137025E-3</v>
      </c>
      <c r="AB427" s="55">
        <f t="shared" si="64"/>
        <v>-5.3918605844287892</v>
      </c>
      <c r="AC427" s="55">
        <f t="shared" si="69"/>
        <v>-5.3624766720994641</v>
      </c>
      <c r="AD427" s="55"/>
      <c r="AE427" s="55"/>
      <c r="AF427" s="55"/>
      <c r="AG427" s="55"/>
      <c r="AH427" s="55"/>
    </row>
    <row r="428" spans="1:34" ht="15.75">
      <c r="A428" s="39">
        <v>13.018219999999999</v>
      </c>
      <c r="B428" s="39">
        <v>13.262689999999999</v>
      </c>
      <c r="C428" s="39">
        <v>426</v>
      </c>
      <c r="D428">
        <v>426</v>
      </c>
      <c r="E428" s="10">
        <v>1425060</v>
      </c>
      <c r="F428" s="10">
        <v>1090760</v>
      </c>
      <c r="G428" s="10">
        <v>20476</v>
      </c>
      <c r="H428" s="10">
        <v>43381</v>
      </c>
      <c r="I428" s="10">
        <v>54181</v>
      </c>
      <c r="J428" s="10">
        <v>33530</v>
      </c>
      <c r="K428">
        <v>426</v>
      </c>
      <c r="L428" s="10">
        <v>3012</v>
      </c>
      <c r="M428" s="10">
        <v>416144</v>
      </c>
      <c r="N428" s="10">
        <v>5130</v>
      </c>
      <c r="O428">
        <v>0.20841346296552515</v>
      </c>
      <c r="P428">
        <v>0.98194407835726816</v>
      </c>
      <c r="Q428">
        <v>-0.32605443808342172</v>
      </c>
      <c r="R428">
        <v>0.32605443808342172</v>
      </c>
      <c r="S428">
        <f t="shared" si="70"/>
        <v>-0.47988973300368476</v>
      </c>
      <c r="T428" s="148">
        <f t="shared" si="65"/>
        <v>-0.49513410370573058</v>
      </c>
      <c r="U428">
        <f t="shared" si="71"/>
        <v>2.2610097969792227</v>
      </c>
      <c r="V428" s="55">
        <f t="shared" si="66"/>
        <v>2.2533829726095447</v>
      </c>
      <c r="W428">
        <f t="shared" si="72"/>
        <v>0.4931870918828003</v>
      </c>
      <c r="X428" s="55">
        <f t="shared" si="67"/>
        <v>0.50556820451026396</v>
      </c>
      <c r="Y428" s="149">
        <v>13.262689999999999</v>
      </c>
      <c r="Z428" s="55">
        <f t="shared" si="63"/>
        <v>4.7031427628442552E-3</v>
      </c>
      <c r="AA428" s="55">
        <f t="shared" si="68"/>
        <v>4.7010397898706903E-3</v>
      </c>
      <c r="AB428" s="55">
        <f t="shared" si="64"/>
        <v>-5.3595243207826826</v>
      </c>
      <c r="AC428" s="55">
        <f t="shared" si="69"/>
        <v>-5.3602956105626696</v>
      </c>
      <c r="AD428" s="55"/>
      <c r="AE428" s="55"/>
      <c r="AF428" s="55"/>
      <c r="AG428" s="55"/>
      <c r="AH428" s="55"/>
    </row>
    <row r="429" spans="1:34" ht="15.75">
      <c r="A429" s="39">
        <v>13.0197</v>
      </c>
      <c r="B429" s="39">
        <v>13.264150000000001</v>
      </c>
      <c r="C429" s="39">
        <v>427</v>
      </c>
      <c r="D429">
        <v>427</v>
      </c>
      <c r="E429" s="10">
        <v>1407070</v>
      </c>
      <c r="F429" s="10">
        <v>1080990</v>
      </c>
      <c r="G429" s="10">
        <v>19180</v>
      </c>
      <c r="H429" s="10">
        <v>43518</v>
      </c>
      <c r="I429" s="10">
        <v>53237</v>
      </c>
      <c r="J429" s="10">
        <v>33172</v>
      </c>
      <c r="K429">
        <v>427</v>
      </c>
      <c r="L429" s="10">
        <v>2469</v>
      </c>
      <c r="M429" s="10">
        <v>405193</v>
      </c>
      <c r="N429" s="10">
        <v>5239</v>
      </c>
      <c r="O429">
        <v>0.20544191751243421</v>
      </c>
      <c r="P429">
        <v>0.96899300615866535</v>
      </c>
      <c r="Q429">
        <v>-0.35582032501074518</v>
      </c>
      <c r="R429">
        <v>0.35582032501074518</v>
      </c>
      <c r="S429">
        <f t="shared" si="70"/>
        <v>-0.47304749674024343</v>
      </c>
      <c r="T429" s="148">
        <f t="shared" si="65"/>
        <v>-0.46531673697757481</v>
      </c>
      <c r="U429">
        <f t="shared" si="71"/>
        <v>2.2311888511964302</v>
      </c>
      <c r="V429" s="55">
        <f t="shared" si="66"/>
        <v>2.2510694141703005</v>
      </c>
      <c r="W429">
        <f t="shared" si="72"/>
        <v>0.54783807713366517</v>
      </c>
      <c r="X429" s="55">
        <f t="shared" si="67"/>
        <v>0.52207645413822956</v>
      </c>
      <c r="Y429" s="149">
        <v>13.264150000000001</v>
      </c>
      <c r="Z429" s="55">
        <f t="shared" si="63"/>
        <v>4.8464833162193913E-3</v>
      </c>
      <c r="AA429" s="55">
        <f t="shared" si="68"/>
        <v>4.7378374367783955E-3</v>
      </c>
      <c r="AB429" s="55">
        <f t="shared" si="64"/>
        <v>-5.329501926476536</v>
      </c>
      <c r="AC429" s="55">
        <f t="shared" si="69"/>
        <v>-5.3523108234809156</v>
      </c>
      <c r="AD429" s="55"/>
      <c r="AE429" s="55"/>
      <c r="AF429" s="55"/>
      <c r="AG429" s="55"/>
      <c r="AH429" s="55"/>
    </row>
    <row r="430" spans="1:34" ht="15.75">
      <c r="A430" s="39">
        <v>13.021179999999999</v>
      </c>
      <c r="B430" s="39">
        <v>13.265610000000001</v>
      </c>
      <c r="C430" s="39">
        <v>428</v>
      </c>
      <c r="D430">
        <v>428</v>
      </c>
      <c r="E430" s="10">
        <v>1391900</v>
      </c>
      <c r="F430" s="10">
        <v>1076570</v>
      </c>
      <c r="G430" s="10">
        <v>19389</v>
      </c>
      <c r="H430" s="10">
        <v>42180</v>
      </c>
      <c r="I430" s="10">
        <v>51056</v>
      </c>
      <c r="J430" s="10">
        <v>32783</v>
      </c>
      <c r="K430">
        <v>428</v>
      </c>
      <c r="L430" s="10">
        <v>2247</v>
      </c>
      <c r="M430" s="10">
        <v>404623</v>
      </c>
      <c r="N430" s="10">
        <v>5021</v>
      </c>
      <c r="O430">
        <v>0.19239809314180331</v>
      </c>
      <c r="P430">
        <v>0.98194399035010793</v>
      </c>
      <c r="Q430">
        <v>-0.33755116476113239</v>
      </c>
      <c r="R430">
        <v>0.33755116476113239</v>
      </c>
      <c r="S430">
        <f t="shared" si="70"/>
        <v>-0.44301298118879623</v>
      </c>
      <c r="T430" s="148">
        <f t="shared" si="65"/>
        <v>-0.44133731168481322</v>
      </c>
      <c r="U430">
        <f t="shared" si="71"/>
        <v>2.2610095943352477</v>
      </c>
      <c r="V430" s="55">
        <f t="shared" si="66"/>
        <v>2.2559112024810672</v>
      </c>
      <c r="W430">
        <f t="shared" si="72"/>
        <v>0.52520419339822333</v>
      </c>
      <c r="X430" s="55">
        <f t="shared" si="67"/>
        <v>0.53994079883946322</v>
      </c>
      <c r="Y430" s="149">
        <v>13.265610000000001</v>
      </c>
      <c r="Z430" s="55">
        <f t="shared" si="63"/>
        <v>4.6638862312715383E-3</v>
      </c>
      <c r="AA430" s="55">
        <f t="shared" si="68"/>
        <v>4.7730870832286424E-3</v>
      </c>
      <c r="AB430" s="55">
        <f t="shared" si="64"/>
        <v>-5.3679062231835299</v>
      </c>
      <c r="AC430" s="55">
        <f t="shared" si="69"/>
        <v>-5.3448989288061002</v>
      </c>
      <c r="AD430" s="55"/>
      <c r="AE430" s="55"/>
      <c r="AF430" s="55"/>
      <c r="AG430" s="55"/>
      <c r="AH430" s="55"/>
    </row>
    <row r="431" spans="1:34" ht="15.75">
      <c r="A431" s="39">
        <v>13.02266</v>
      </c>
      <c r="B431" s="39">
        <v>13.26707</v>
      </c>
      <c r="C431" s="39">
        <v>429</v>
      </c>
      <c r="D431">
        <v>429</v>
      </c>
      <c r="E431" s="10">
        <v>1394000</v>
      </c>
      <c r="F431" s="10">
        <v>1074260</v>
      </c>
      <c r="G431" s="10">
        <v>19143</v>
      </c>
      <c r="H431" s="10">
        <v>41885</v>
      </c>
      <c r="I431" s="10">
        <v>49733</v>
      </c>
      <c r="J431" s="10">
        <v>33073</v>
      </c>
      <c r="K431">
        <v>429</v>
      </c>
      <c r="L431" s="10">
        <v>1915</v>
      </c>
      <c r="M431" s="10">
        <v>407672</v>
      </c>
      <c r="N431" s="10">
        <v>5166</v>
      </c>
      <c r="O431">
        <v>0.17717106671395227</v>
      </c>
      <c r="P431">
        <v>0.98825236419499751</v>
      </c>
      <c r="Q431">
        <v>-0.34004852043636424</v>
      </c>
      <c r="R431">
        <v>0.34004852043636419</v>
      </c>
      <c r="S431">
        <f t="shared" si="70"/>
        <v>-0.40795145712540015</v>
      </c>
      <c r="T431" s="148">
        <f t="shared" si="65"/>
        <v>-0.40713198265618261</v>
      </c>
      <c r="U431">
        <f t="shared" si="71"/>
        <v>2.2755351619115238</v>
      </c>
      <c r="V431" s="55">
        <f t="shared" si="66"/>
        <v>2.2698243817590087</v>
      </c>
      <c r="W431">
        <f t="shared" si="72"/>
        <v>0.54678012598650116</v>
      </c>
      <c r="X431" s="55">
        <f t="shared" si="67"/>
        <v>0.5385462238751304</v>
      </c>
      <c r="Y431" s="149">
        <v>13.26707</v>
      </c>
      <c r="Z431" s="55">
        <f t="shared" si="63"/>
        <v>4.8088917021949992E-3</v>
      </c>
      <c r="AA431" s="55">
        <f t="shared" si="68"/>
        <v>4.7541601634776554E-3</v>
      </c>
      <c r="AB431" s="55">
        <f t="shared" si="64"/>
        <v>-5.3372886367582364</v>
      </c>
      <c r="AC431" s="55">
        <f t="shared" si="69"/>
        <v>-5.3488272753652915</v>
      </c>
      <c r="AD431" s="55"/>
      <c r="AE431" s="55"/>
      <c r="AF431" s="55"/>
      <c r="AG431" s="55"/>
      <c r="AH431" s="55"/>
    </row>
    <row r="432" spans="1:34" ht="15.75">
      <c r="A432" s="39">
        <v>13.024139999999999</v>
      </c>
      <c r="B432" s="39">
        <v>13.26853</v>
      </c>
      <c r="C432" s="39">
        <v>430</v>
      </c>
      <c r="D432">
        <v>430</v>
      </c>
      <c r="E432" s="10">
        <v>1384792.5</v>
      </c>
      <c r="F432" s="10">
        <v>1077937.5</v>
      </c>
      <c r="G432" s="10">
        <v>19069.75</v>
      </c>
      <c r="H432" s="10">
        <v>41710.5</v>
      </c>
      <c r="I432" s="10">
        <v>47569.375</v>
      </c>
      <c r="J432" s="10">
        <v>32843.625</v>
      </c>
      <c r="K432">
        <v>430</v>
      </c>
      <c r="L432" s="10">
        <v>2084.666667</v>
      </c>
      <c r="M432" s="10">
        <v>404916.6667</v>
      </c>
      <c r="N432" s="10">
        <v>5163</v>
      </c>
      <c r="O432">
        <v>0.1608763605659761</v>
      </c>
      <c r="P432">
        <v>0.98712025711708717</v>
      </c>
      <c r="Q432">
        <v>-0.33990039635066022</v>
      </c>
      <c r="R432">
        <v>0.33990039635066022</v>
      </c>
      <c r="S432">
        <f t="shared" si="70"/>
        <v>-0.37043150965435168</v>
      </c>
      <c r="T432" s="148">
        <f t="shared" si="65"/>
        <v>-0.39112884554198318</v>
      </c>
      <c r="U432">
        <f t="shared" si="71"/>
        <v>2.2729283890302545</v>
      </c>
      <c r="V432" s="55">
        <f t="shared" si="66"/>
        <v>2.2789591459402367</v>
      </c>
      <c r="W432">
        <f t="shared" si="72"/>
        <v>0.54365435224066672</v>
      </c>
      <c r="X432" s="55">
        <f t="shared" si="67"/>
        <v>0.53927715978718505</v>
      </c>
      <c r="Y432" s="149">
        <v>13.26853</v>
      </c>
      <c r="Z432" s="55">
        <f t="shared" si="63"/>
        <v>4.7897025569664286E-3</v>
      </c>
      <c r="AA432" s="55">
        <f t="shared" si="68"/>
        <v>4.7261142156991426E-3</v>
      </c>
      <c r="AB432" s="55">
        <f t="shared" si="64"/>
        <v>-5.3412869661541071</v>
      </c>
      <c r="AC432" s="55">
        <f t="shared" si="69"/>
        <v>-5.3548956074697882</v>
      </c>
      <c r="AD432" s="55"/>
      <c r="AE432" s="55"/>
      <c r="AF432" s="55"/>
      <c r="AG432" s="55"/>
      <c r="AH432" s="55"/>
    </row>
    <row r="433" spans="1:34" ht="15.75">
      <c r="A433" s="39">
        <v>13.02562</v>
      </c>
      <c r="B433" s="39">
        <v>13.26999</v>
      </c>
      <c r="C433" s="39">
        <v>431</v>
      </c>
      <c r="D433">
        <v>431</v>
      </c>
      <c r="E433" s="10">
        <v>1383480</v>
      </c>
      <c r="F433" s="10">
        <v>1076260</v>
      </c>
      <c r="G433" s="10">
        <v>19091</v>
      </c>
      <c r="H433" s="10">
        <v>41169</v>
      </c>
      <c r="I433" s="10">
        <v>48020</v>
      </c>
      <c r="J433" s="10">
        <v>32350</v>
      </c>
      <c r="K433">
        <v>431</v>
      </c>
      <c r="L433" s="10">
        <v>2487</v>
      </c>
      <c r="M433" s="10">
        <v>405897</v>
      </c>
      <c r="N433" s="10">
        <v>4929</v>
      </c>
      <c r="O433">
        <v>0.1715478707162893</v>
      </c>
      <c r="P433">
        <v>0.99384552338229259</v>
      </c>
      <c r="Q433">
        <v>-0.33374164042026605</v>
      </c>
      <c r="R433">
        <v>0.33374164042026605</v>
      </c>
      <c r="S433">
        <f t="shared" si="70"/>
        <v>-0.39500356984619761</v>
      </c>
      <c r="T433" s="148">
        <f t="shared" si="65"/>
        <v>-0.36352497990887828</v>
      </c>
      <c r="U433">
        <f t="shared" si="71"/>
        <v>2.2884138868789319</v>
      </c>
      <c r="V433" s="55">
        <f t="shared" si="66"/>
        <v>2.2891293533824388</v>
      </c>
      <c r="W433">
        <f t="shared" si="72"/>
        <v>0.52739700113438726</v>
      </c>
      <c r="X433" s="55">
        <f t="shared" si="67"/>
        <v>0.53605160142282571</v>
      </c>
      <c r="Y433" s="149">
        <v>13.26999</v>
      </c>
      <c r="Z433" s="55">
        <f t="shared" si="63"/>
        <v>4.5797483879360008E-3</v>
      </c>
      <c r="AA433" s="55">
        <f t="shared" si="68"/>
        <v>4.6162526806621329E-3</v>
      </c>
      <c r="AB433" s="55">
        <f t="shared" si="64"/>
        <v>-5.3861112194970202</v>
      </c>
      <c r="AC433" s="55">
        <f t="shared" si="69"/>
        <v>-5.378561698665945</v>
      </c>
      <c r="AD433" s="55"/>
      <c r="AE433" s="55"/>
      <c r="AF433" s="55"/>
      <c r="AG433" s="55"/>
      <c r="AH433" s="55"/>
    </row>
    <row r="434" spans="1:34" ht="15.75">
      <c r="A434" s="39">
        <v>13.027100000000001</v>
      </c>
      <c r="B434" s="39">
        <v>13.27145</v>
      </c>
      <c r="C434" s="39">
        <v>432</v>
      </c>
      <c r="D434">
        <v>432</v>
      </c>
      <c r="E434" s="10">
        <v>1383910</v>
      </c>
      <c r="F434" s="10">
        <v>1082980</v>
      </c>
      <c r="G434" s="10">
        <v>19079</v>
      </c>
      <c r="H434" s="10">
        <v>40644</v>
      </c>
      <c r="I434" s="10">
        <v>45188</v>
      </c>
      <c r="J434" s="10">
        <v>32645</v>
      </c>
      <c r="K434">
        <v>432</v>
      </c>
      <c r="L434" s="10">
        <v>2253</v>
      </c>
      <c r="M434" s="10">
        <v>407849</v>
      </c>
      <c r="N434" s="10">
        <v>4851</v>
      </c>
      <c r="O434">
        <v>0.1412064471429835</v>
      </c>
      <c r="P434">
        <v>1.0015029591108764</v>
      </c>
      <c r="Q434">
        <v>-0.3284408346859809</v>
      </c>
      <c r="R434">
        <v>0.3284408346859809</v>
      </c>
      <c r="S434">
        <f t="shared" si="70"/>
        <v>-0.3251398602260856</v>
      </c>
      <c r="T434" s="148">
        <f t="shared" si="65"/>
        <v>-0.37194511940296088</v>
      </c>
      <c r="U434">
        <f t="shared" si="71"/>
        <v>2.3060457842381292</v>
      </c>
      <c r="V434" s="55">
        <f t="shared" si="66"/>
        <v>2.2854977348512566</v>
      </c>
      <c r="W434">
        <f t="shared" si="72"/>
        <v>0.53710345089342315</v>
      </c>
      <c r="X434" s="55">
        <f t="shared" si="67"/>
        <v>0.52323150672136043</v>
      </c>
      <c r="Y434" s="149">
        <v>13.27145</v>
      </c>
      <c r="Z434" s="55">
        <f t="shared" si="63"/>
        <v>4.479307097083972E-3</v>
      </c>
      <c r="AA434" s="55">
        <f t="shared" si="68"/>
        <v>4.5576484245243862E-3</v>
      </c>
      <c r="AB434" s="55">
        <f t="shared" si="64"/>
        <v>-5.4082869103467068</v>
      </c>
      <c r="AC434" s="55">
        <f t="shared" si="69"/>
        <v>-5.3910273785574292</v>
      </c>
      <c r="AD434" s="55"/>
      <c r="AE434" s="55"/>
      <c r="AF434" s="55"/>
      <c r="AG434" s="55"/>
      <c r="AH434" s="55"/>
    </row>
    <row r="435" spans="1:34" ht="15.75">
      <c r="A435" s="39">
        <v>13.02858</v>
      </c>
      <c r="B435" s="39">
        <v>13.27291</v>
      </c>
      <c r="C435" s="39">
        <v>433</v>
      </c>
      <c r="D435">
        <v>433</v>
      </c>
      <c r="E435" s="10">
        <v>1379900</v>
      </c>
      <c r="F435" s="10">
        <v>1080650</v>
      </c>
      <c r="G435" s="10">
        <v>19481</v>
      </c>
      <c r="H435" s="10">
        <v>41517</v>
      </c>
      <c r="I435" s="10">
        <v>47958</v>
      </c>
      <c r="J435" s="10">
        <v>32286</v>
      </c>
      <c r="K435">
        <v>433</v>
      </c>
      <c r="L435" s="10">
        <v>2447</v>
      </c>
      <c r="M435" s="10">
        <v>398671</v>
      </c>
      <c r="N435" s="10">
        <v>4986</v>
      </c>
      <c r="O435">
        <v>0.17184682092338321</v>
      </c>
      <c r="P435">
        <v>0.98238868145167746</v>
      </c>
      <c r="Q435">
        <v>-0.32861471769929179</v>
      </c>
      <c r="R435">
        <v>0.32861471769929179</v>
      </c>
      <c r="S435">
        <f t="shared" si="70"/>
        <v>-0.39569192813659942</v>
      </c>
      <c r="T435" s="148">
        <f t="shared" si="65"/>
        <v>-0.36119783434758562</v>
      </c>
      <c r="U435">
        <f t="shared" si="71"/>
        <v>2.2620335334367088</v>
      </c>
      <c r="V435" s="55">
        <f t="shared" si="66"/>
        <v>2.2598124959544932</v>
      </c>
      <c r="W435">
        <f t="shared" si="72"/>
        <v>0.50519406813627066</v>
      </c>
      <c r="X435" s="55">
        <f t="shared" si="67"/>
        <v>0.52404015568937379</v>
      </c>
      <c r="Y435" s="149">
        <v>13.27291</v>
      </c>
      <c r="Z435" s="55">
        <f t="shared" si="63"/>
        <v>4.6138897885531858E-3</v>
      </c>
      <c r="AA435" s="55">
        <f t="shared" si="68"/>
        <v>4.6008740876719604E-3</v>
      </c>
      <c r="AB435" s="55">
        <f t="shared" si="64"/>
        <v>-5.3786840058285614</v>
      </c>
      <c r="AC435" s="55">
        <f t="shared" si="69"/>
        <v>-5.3817200983760953</v>
      </c>
      <c r="AD435" s="55"/>
      <c r="AE435" s="55"/>
      <c r="AF435" s="55"/>
      <c r="AG435" s="55"/>
      <c r="AH435" s="55"/>
    </row>
    <row r="436" spans="1:34" ht="15.75">
      <c r="A436" s="39">
        <v>13.030060000000001</v>
      </c>
      <c r="B436" s="39">
        <v>13.274369999999999</v>
      </c>
      <c r="C436" s="39">
        <v>434</v>
      </c>
      <c r="D436">
        <v>434</v>
      </c>
      <c r="E436" s="10">
        <v>1367390</v>
      </c>
      <c r="F436" s="10">
        <v>1072530</v>
      </c>
      <c r="G436" s="10">
        <v>19584</v>
      </c>
      <c r="H436" s="10">
        <v>42465</v>
      </c>
      <c r="I436" s="10">
        <v>47813</v>
      </c>
      <c r="J436" s="10">
        <v>33266</v>
      </c>
      <c r="K436">
        <v>434</v>
      </c>
      <c r="L436" s="10">
        <v>2686</v>
      </c>
      <c r="M436" s="10">
        <v>387625</v>
      </c>
      <c r="N436" s="10">
        <v>5051</v>
      </c>
      <c r="O436">
        <v>0.15754541093131708</v>
      </c>
      <c r="P436">
        <v>0.96038065082459856</v>
      </c>
      <c r="Q436">
        <v>-0.33612972795531709</v>
      </c>
      <c r="R436">
        <v>0.33612972795531709</v>
      </c>
      <c r="S436">
        <f t="shared" si="70"/>
        <v>-0.36276171468007179</v>
      </c>
      <c r="T436" s="148">
        <f t="shared" si="65"/>
        <v>-0.37567359149171198</v>
      </c>
      <c r="U436">
        <f t="shared" si="71"/>
        <v>2.2113581701886402</v>
      </c>
      <c r="V436" s="55">
        <f t="shared" si="66"/>
        <v>2.2519634895571223</v>
      </c>
      <c r="W436">
        <f t="shared" si="72"/>
        <v>0.52982294803842767</v>
      </c>
      <c r="X436" s="55">
        <f t="shared" si="67"/>
        <v>0.52219275033181578</v>
      </c>
      <c r="Y436" s="149">
        <v>13.274369999999999</v>
      </c>
      <c r="Z436" s="55">
        <f t="shared" si="63"/>
        <v>4.7094253773787217E-3</v>
      </c>
      <c r="AA436" s="55">
        <f t="shared" si="68"/>
        <v>4.5842139644934167E-3</v>
      </c>
      <c r="AB436" s="55">
        <f t="shared" si="64"/>
        <v>-5.3581893789530186</v>
      </c>
      <c r="AC436" s="55">
        <f t="shared" si="69"/>
        <v>-5.385460357164745</v>
      </c>
      <c r="AD436" s="55"/>
      <c r="AE436" s="55"/>
      <c r="AF436" s="55"/>
      <c r="AG436" s="55"/>
      <c r="AH436" s="55"/>
    </row>
    <row r="437" spans="1:34" ht="15.75">
      <c r="A437" s="39">
        <v>13.03154</v>
      </c>
      <c r="B437" s="39">
        <v>13.275829999999999</v>
      </c>
      <c r="C437" s="39">
        <v>435</v>
      </c>
      <c r="D437">
        <v>435</v>
      </c>
      <c r="E437" s="10">
        <v>1393110</v>
      </c>
      <c r="F437" s="10">
        <v>1081880</v>
      </c>
      <c r="G437" s="10">
        <v>19473</v>
      </c>
      <c r="H437" s="10">
        <v>41733</v>
      </c>
      <c r="I437" s="10">
        <v>47902</v>
      </c>
      <c r="J437" s="10">
        <v>33135</v>
      </c>
      <c r="K437">
        <v>435</v>
      </c>
      <c r="L437" s="10">
        <v>2354</v>
      </c>
      <c r="M437" s="10">
        <v>409031</v>
      </c>
      <c r="N437" s="10">
        <v>4792</v>
      </c>
      <c r="O437">
        <v>0.16006667149018045</v>
      </c>
      <c r="P437">
        <v>0.99127661861047267</v>
      </c>
      <c r="Q437">
        <v>-0.3310467414843431</v>
      </c>
      <c r="R437">
        <v>0.3310467414843431</v>
      </c>
      <c r="S437">
        <f t="shared" si="70"/>
        <v>-0.36856713165846455</v>
      </c>
      <c r="T437" s="148">
        <f t="shared" si="65"/>
        <v>-0.354482915733354</v>
      </c>
      <c r="U437">
        <f t="shared" si="71"/>
        <v>2.2824987650460185</v>
      </c>
      <c r="V437" s="55">
        <f t="shared" si="66"/>
        <v>2.2504639246073128</v>
      </c>
      <c r="W437">
        <f t="shared" si="72"/>
        <v>0.53156123482074902</v>
      </c>
      <c r="X437" s="55">
        <f t="shared" si="67"/>
        <v>0.52107865292552802</v>
      </c>
      <c r="Y437" s="149">
        <v>13.275829999999999</v>
      </c>
      <c r="Z437" s="55">
        <f t="shared" si="63"/>
        <v>4.4293267275483418E-3</v>
      </c>
      <c r="AA437" s="55">
        <f t="shared" si="68"/>
        <v>4.6055603796795021E-3</v>
      </c>
      <c r="AB437" s="55">
        <f t="shared" si="64"/>
        <v>-5.4195076867126541</v>
      </c>
      <c r="AC437" s="55">
        <f t="shared" si="69"/>
        <v>-5.3808656155784185</v>
      </c>
      <c r="AD437" s="55"/>
      <c r="AE437" s="55"/>
      <c r="AF437" s="55"/>
      <c r="AG437" s="55"/>
      <c r="AH437" s="55"/>
    </row>
    <row r="438" spans="1:34" ht="15.75">
      <c r="A438" s="39">
        <v>13.03302</v>
      </c>
      <c r="B438" s="39">
        <v>13.277290000000001</v>
      </c>
      <c r="C438" s="39">
        <v>436</v>
      </c>
      <c r="D438">
        <v>436</v>
      </c>
      <c r="E438" s="10">
        <v>1373250</v>
      </c>
      <c r="F438" s="10">
        <v>1079110</v>
      </c>
      <c r="G438" s="10">
        <v>19835</v>
      </c>
      <c r="H438" s="10">
        <v>41693</v>
      </c>
      <c r="I438" s="10">
        <v>45669</v>
      </c>
      <c r="J438" s="10">
        <v>32763</v>
      </c>
      <c r="K438">
        <v>436</v>
      </c>
      <c r="L438" s="10">
        <v>2035</v>
      </c>
      <c r="M438" s="10">
        <v>398564</v>
      </c>
      <c r="N438" s="10">
        <v>5048</v>
      </c>
      <c r="O438">
        <v>0.14423784027441566</v>
      </c>
      <c r="P438">
        <v>0.980434923102804</v>
      </c>
      <c r="Q438">
        <v>-0.32263094089349448</v>
      </c>
      <c r="R438">
        <v>0.32263094089349442</v>
      </c>
      <c r="S438">
        <f t="shared" si="70"/>
        <v>-0.33211990086152571</v>
      </c>
      <c r="T438" s="148">
        <f t="shared" si="65"/>
        <v>-0.34680663126166539</v>
      </c>
      <c r="U438">
        <f t="shared" si="71"/>
        <v>2.2575348385872798</v>
      </c>
      <c r="V438" s="55">
        <f t="shared" si="66"/>
        <v>2.2702648049391456</v>
      </c>
      <c r="W438">
        <f t="shared" si="72"/>
        <v>0.50185177591740759</v>
      </c>
      <c r="X438" s="55">
        <f t="shared" si="67"/>
        <v>0.52593373284779732</v>
      </c>
      <c r="Y438" s="149">
        <v>13.277290000000001</v>
      </c>
      <c r="Z438" s="55">
        <f t="shared" si="63"/>
        <v>4.6779290341114436E-3</v>
      </c>
      <c r="AA438" s="55">
        <f t="shared" si="68"/>
        <v>4.5508611590922834E-3</v>
      </c>
      <c r="AB438" s="55">
        <f t="shared" si="64"/>
        <v>-5.3648997810695818</v>
      </c>
      <c r="AC438" s="55">
        <f t="shared" si="69"/>
        <v>-5.3926876390293756</v>
      </c>
      <c r="AD438" s="55"/>
      <c r="AE438" s="55"/>
      <c r="AF438" s="55"/>
      <c r="AG438" s="55"/>
      <c r="AH438" s="55"/>
    </row>
    <row r="439" spans="1:34" ht="15.75">
      <c r="A439" s="39">
        <v>13.0345</v>
      </c>
      <c r="B439" s="39">
        <v>13.27875</v>
      </c>
      <c r="C439" s="39">
        <v>437</v>
      </c>
      <c r="D439">
        <v>437</v>
      </c>
      <c r="E439" s="10">
        <v>1381700</v>
      </c>
      <c r="F439" s="10">
        <v>1075170</v>
      </c>
      <c r="G439" s="10">
        <v>19237</v>
      </c>
      <c r="H439" s="10">
        <v>41656</v>
      </c>
      <c r="I439" s="10">
        <v>46570</v>
      </c>
      <c r="J439" s="10">
        <v>33156</v>
      </c>
      <c r="K439">
        <v>437</v>
      </c>
      <c r="L439" s="10">
        <v>2760</v>
      </c>
      <c r="M439" s="10">
        <v>403512</v>
      </c>
      <c r="N439" s="10">
        <v>4887</v>
      </c>
      <c r="O439">
        <v>0.14754410696859516</v>
      </c>
      <c r="P439">
        <v>0.98617889001942338</v>
      </c>
      <c r="Q439">
        <v>-0.33554021968062464</v>
      </c>
      <c r="R439">
        <v>0.33554021968062464</v>
      </c>
      <c r="S439">
        <f t="shared" si="70"/>
        <v>-0.33973286126500601</v>
      </c>
      <c r="T439" s="148">
        <f t="shared" si="65"/>
        <v>-0.34258530072905047</v>
      </c>
      <c r="U439">
        <f t="shared" si="71"/>
        <v>2.2707608111841386</v>
      </c>
      <c r="V439" s="55">
        <f t="shared" si="66"/>
        <v>2.2487858894827908</v>
      </c>
      <c r="W439">
        <f t="shared" si="72"/>
        <v>0.54438818780523546</v>
      </c>
      <c r="X439" s="55">
        <f t="shared" si="67"/>
        <v>0.51062071323875446</v>
      </c>
      <c r="Y439" s="149">
        <v>13.27875</v>
      </c>
      <c r="Z439" s="55">
        <f t="shared" si="63"/>
        <v>4.5453277156170648E-3</v>
      </c>
      <c r="AA439" s="55">
        <f t="shared" si="68"/>
        <v>4.6052303302763272E-3</v>
      </c>
      <c r="AB439" s="55">
        <f t="shared" si="64"/>
        <v>-5.393655449305891</v>
      </c>
      <c r="AC439" s="55">
        <f t="shared" si="69"/>
        <v>-5.3806334300372418</v>
      </c>
      <c r="AD439" s="55"/>
      <c r="AE439" s="55"/>
      <c r="AF439" s="55"/>
      <c r="AG439" s="55"/>
      <c r="AH439" s="55"/>
    </row>
    <row r="440" spans="1:34" ht="15.75">
      <c r="A440" s="39">
        <v>13.03598</v>
      </c>
      <c r="B440" s="39">
        <v>13.28021</v>
      </c>
      <c r="C440" s="39">
        <v>438</v>
      </c>
      <c r="D440">
        <v>438</v>
      </c>
      <c r="E440" s="10">
        <v>1375840</v>
      </c>
      <c r="F440" s="10">
        <v>1075900</v>
      </c>
      <c r="G440" s="10">
        <v>20178</v>
      </c>
      <c r="H440" s="10">
        <v>42685</v>
      </c>
      <c r="I440" s="10">
        <v>46811</v>
      </c>
      <c r="J440" s="10">
        <v>32793</v>
      </c>
      <c r="K440">
        <v>438</v>
      </c>
      <c r="L440" s="10">
        <v>1894</v>
      </c>
      <c r="M440" s="10">
        <v>392254</v>
      </c>
      <c r="N440" s="10">
        <v>4941</v>
      </c>
      <c r="O440">
        <v>0.15456676982036721</v>
      </c>
      <c r="P440">
        <v>0.9632920952305879</v>
      </c>
      <c r="Q440">
        <v>-0.32539716805941282</v>
      </c>
      <c r="R440">
        <v>0.32539716805941288</v>
      </c>
      <c r="S440">
        <f t="shared" si="70"/>
        <v>-0.35590314006061957</v>
      </c>
      <c r="T440" s="148">
        <f t="shared" si="65"/>
        <v>-0.35915733601316063</v>
      </c>
      <c r="U440">
        <f t="shared" si="71"/>
        <v>2.2180620186769526</v>
      </c>
      <c r="V440" s="55">
        <f t="shared" si="66"/>
        <v>2.2349878393576055</v>
      </c>
      <c r="W440">
        <f t="shared" si="72"/>
        <v>0.48562217599362051</v>
      </c>
      <c r="X440" s="55">
        <f t="shared" si="67"/>
        <v>0.49862176234674421</v>
      </c>
      <c r="Y440" s="149">
        <v>13.28021</v>
      </c>
      <c r="Z440" s="55">
        <f t="shared" si="63"/>
        <v>4.5924342411004741E-3</v>
      </c>
      <c r="AA440" s="55">
        <f t="shared" si="68"/>
        <v>4.5551523897250819E-3</v>
      </c>
      <c r="AB440" s="55">
        <f t="shared" si="64"/>
        <v>-5.3833450597362509</v>
      </c>
      <c r="AC440" s="55">
        <f t="shared" si="69"/>
        <v>-5.3915142537084364</v>
      </c>
      <c r="AD440" s="55"/>
      <c r="AE440" s="55"/>
      <c r="AF440" s="55"/>
      <c r="AG440" s="55"/>
      <c r="AH440" s="55"/>
    </row>
    <row r="441" spans="1:34" ht="15.75">
      <c r="A441" s="39">
        <v>13.037459999999999</v>
      </c>
      <c r="B441" s="39">
        <v>13.28167</v>
      </c>
      <c r="C441" s="39">
        <v>439</v>
      </c>
      <c r="D441">
        <v>439</v>
      </c>
      <c r="E441" s="10">
        <v>1369120</v>
      </c>
      <c r="F441" s="10">
        <v>1069860</v>
      </c>
      <c r="G441" s="10">
        <v>20712</v>
      </c>
      <c r="H441" s="10">
        <v>42254</v>
      </c>
      <c r="I441" s="10">
        <v>48347</v>
      </c>
      <c r="J441" s="10">
        <v>33002</v>
      </c>
      <c r="K441">
        <v>439</v>
      </c>
      <c r="L441" s="10">
        <v>2075</v>
      </c>
      <c r="M441" s="10">
        <v>387548</v>
      </c>
      <c r="N441" s="10">
        <v>4844</v>
      </c>
      <c r="O441">
        <v>0.16582927070780093</v>
      </c>
      <c r="P441">
        <v>0.96245767201162746</v>
      </c>
      <c r="Q441">
        <v>-0.30964579055000863</v>
      </c>
      <c r="R441">
        <v>0.30964579055000868</v>
      </c>
      <c r="S441">
        <f t="shared" si="70"/>
        <v>-0.38183600671385648</v>
      </c>
      <c r="T441" s="148">
        <f t="shared" si="65"/>
        <v>-0.35434935379782523</v>
      </c>
      <c r="U441">
        <f t="shared" si="71"/>
        <v>2.2161406882117261</v>
      </c>
      <c r="V441" s="55">
        <f t="shared" si="66"/>
        <v>2.2140899881877671</v>
      </c>
      <c r="W441">
        <f t="shared" si="72"/>
        <v>0.46585492324137667</v>
      </c>
      <c r="X441" s="55">
        <f t="shared" si="67"/>
        <v>0.47562373102422334</v>
      </c>
      <c r="Y441" s="149">
        <v>13.28167</v>
      </c>
      <c r="Z441" s="55">
        <f t="shared" si="63"/>
        <v>4.5276952124577051E-3</v>
      </c>
      <c r="AA441" s="55">
        <f t="shared" si="68"/>
        <v>4.5814276297522017E-3</v>
      </c>
      <c r="AB441" s="55">
        <f t="shared" si="64"/>
        <v>-5.3975422520831646</v>
      </c>
      <c r="AC441" s="55">
        <f t="shared" si="69"/>
        <v>-5.38578309250709</v>
      </c>
      <c r="AD441" s="55"/>
      <c r="AE441" s="55"/>
      <c r="AF441" s="55"/>
      <c r="AG441" s="55"/>
      <c r="AH441" s="55"/>
    </row>
    <row r="442" spans="1:34" ht="15.75">
      <c r="A442" s="39">
        <v>13.03894</v>
      </c>
      <c r="B442" s="39">
        <v>13.28313</v>
      </c>
      <c r="C442" s="39">
        <v>440</v>
      </c>
      <c r="D442">
        <v>440</v>
      </c>
      <c r="E442" s="10">
        <v>1366890</v>
      </c>
      <c r="F442" s="10">
        <v>1071980</v>
      </c>
      <c r="G442" s="10">
        <v>20999</v>
      </c>
      <c r="H442" s="10">
        <v>42389</v>
      </c>
      <c r="I442" s="10">
        <v>46767</v>
      </c>
      <c r="J442" s="10">
        <v>33780</v>
      </c>
      <c r="K442">
        <v>440</v>
      </c>
      <c r="L442" s="10">
        <v>2296</v>
      </c>
      <c r="M442" s="10">
        <v>385660</v>
      </c>
      <c r="N442" s="10">
        <v>4957</v>
      </c>
      <c r="O442">
        <v>0.14127986653296762</v>
      </c>
      <c r="P442">
        <v>0.95895142567933445</v>
      </c>
      <c r="Q442">
        <v>-0.30505455768477485</v>
      </c>
      <c r="R442">
        <v>0.30505455768477485</v>
      </c>
      <c r="S442">
        <f t="shared" si="70"/>
        <v>-0.32530891461899963</v>
      </c>
      <c r="T442" s="148">
        <f t="shared" si="65"/>
        <v>-0.35208920590334869</v>
      </c>
      <c r="U442">
        <f t="shared" si="71"/>
        <v>2.2080672576746232</v>
      </c>
      <c r="V442" s="55">
        <f t="shared" si="66"/>
        <v>2.2130318535890789</v>
      </c>
      <c r="W442">
        <f t="shared" si="72"/>
        <v>0.47539409383767295</v>
      </c>
      <c r="X442" s="55">
        <f t="shared" si="67"/>
        <v>0.46885933381211325</v>
      </c>
      <c r="Y442" s="149">
        <v>13.28313</v>
      </c>
      <c r="Z442" s="55">
        <f t="shared" si="63"/>
        <v>4.6241534356984276E-3</v>
      </c>
      <c r="AA442" s="55">
        <f t="shared" si="68"/>
        <v>4.5604624302317135E-3</v>
      </c>
      <c r="AB442" s="55">
        <f t="shared" si="64"/>
        <v>-5.3764619657018535</v>
      </c>
      <c r="AC442" s="55">
        <f t="shared" si="69"/>
        <v>-5.3903798024576277</v>
      </c>
      <c r="AD442" s="55"/>
      <c r="AE442" s="55"/>
      <c r="AF442" s="55"/>
      <c r="AG442" s="55"/>
      <c r="AH442" s="55"/>
    </row>
    <row r="443" spans="1:34" ht="15.75">
      <c r="A443" s="39">
        <v>13.040419999999999</v>
      </c>
      <c r="B443" s="39">
        <v>13.28459</v>
      </c>
      <c r="C443" s="39">
        <v>441</v>
      </c>
      <c r="D443">
        <v>441</v>
      </c>
      <c r="E443" s="10">
        <v>1373140</v>
      </c>
      <c r="F443" s="10">
        <v>1070970</v>
      </c>
      <c r="G443" s="10">
        <v>21040</v>
      </c>
      <c r="H443" s="10">
        <v>42786</v>
      </c>
      <c r="I443" s="10">
        <v>47507</v>
      </c>
      <c r="J443" s="10">
        <v>33507</v>
      </c>
      <c r="K443">
        <v>441</v>
      </c>
      <c r="L443" s="10">
        <v>2558</v>
      </c>
      <c r="M443" s="10">
        <v>391936</v>
      </c>
      <c r="N443" s="10">
        <v>4851</v>
      </c>
      <c r="O443">
        <v>0.15162206054379801</v>
      </c>
      <c r="P443">
        <v>0.9619134691786243</v>
      </c>
      <c r="Q443">
        <v>-0.3082559513497849</v>
      </c>
      <c r="R443">
        <v>0.30825595134978484</v>
      </c>
      <c r="S443">
        <f t="shared" si="70"/>
        <v>-0.3491226963771899</v>
      </c>
      <c r="T443" s="148">
        <f t="shared" si="65"/>
        <v>-0.336873335880644</v>
      </c>
      <c r="U443">
        <f t="shared" si="71"/>
        <v>2.2148876148808876</v>
      </c>
      <c r="V443" s="55">
        <f t="shared" si="66"/>
        <v>2.2104379623305559</v>
      </c>
      <c r="W443">
        <f t="shared" si="72"/>
        <v>0.46532898435729014</v>
      </c>
      <c r="X443" s="55">
        <f t="shared" si="67"/>
        <v>0.47450347945722737</v>
      </c>
      <c r="Y443" s="149">
        <v>13.28459</v>
      </c>
      <c r="Z443" s="55">
        <f t="shared" si="63"/>
        <v>4.5295386425390069E-3</v>
      </c>
      <c r="AA443" s="55">
        <f t="shared" si="68"/>
        <v>4.5311771833816726E-3</v>
      </c>
      <c r="AB443" s="55">
        <f t="shared" si="64"/>
        <v>-5.3971351895878668</v>
      </c>
      <c r="AC443" s="55">
        <f t="shared" si="69"/>
        <v>-5.3969114044857003</v>
      </c>
      <c r="AD443" s="55"/>
      <c r="AE443" s="55"/>
      <c r="AF443" s="55"/>
      <c r="AG443" s="55"/>
      <c r="AH443" s="55"/>
    </row>
    <row r="444" spans="1:34" ht="15.75">
      <c r="A444" s="39">
        <v>13.0419</v>
      </c>
      <c r="B444" s="39">
        <v>13.286049999999999</v>
      </c>
      <c r="C444" s="39">
        <v>442</v>
      </c>
      <c r="D444">
        <v>442</v>
      </c>
      <c r="E444" s="10">
        <v>1368510</v>
      </c>
      <c r="F444" s="10">
        <v>1066480</v>
      </c>
      <c r="G444" s="10">
        <v>20811</v>
      </c>
      <c r="H444" s="10">
        <v>42473</v>
      </c>
      <c r="I444" s="10">
        <v>47203</v>
      </c>
      <c r="J444" s="10">
        <v>33726</v>
      </c>
      <c r="K444">
        <v>442</v>
      </c>
      <c r="L444" s="10">
        <v>3208</v>
      </c>
      <c r="M444" s="10">
        <v>386537</v>
      </c>
      <c r="N444" s="10">
        <v>4735</v>
      </c>
      <c r="O444">
        <v>0.14600476554314767</v>
      </c>
      <c r="P444">
        <v>0.95907813403092645</v>
      </c>
      <c r="Q444">
        <v>-0.30981998842397535</v>
      </c>
      <c r="R444">
        <v>0.3098199884239754</v>
      </c>
      <c r="S444">
        <f t="shared" si="70"/>
        <v>-0.33618839664574252</v>
      </c>
      <c r="T444" s="148">
        <f t="shared" si="65"/>
        <v>-0.34024548134431382</v>
      </c>
      <c r="U444">
        <f t="shared" si="71"/>
        <v>2.2083590144361565</v>
      </c>
      <c r="V444" s="55">
        <f t="shared" si="66"/>
        <v>2.2222300815141067</v>
      </c>
      <c r="W444">
        <f t="shared" si="72"/>
        <v>0.48278736017671897</v>
      </c>
      <c r="X444" s="55">
        <f t="shared" si="67"/>
        <v>0.47741539546373263</v>
      </c>
      <c r="Y444" s="149">
        <v>13.286049999999999</v>
      </c>
      <c r="Z444" s="55">
        <f t="shared" si="63"/>
        <v>4.4398394719075834E-3</v>
      </c>
      <c r="AA444" s="55">
        <f t="shared" si="68"/>
        <v>4.4598794467536141E-3</v>
      </c>
      <c r="AB444" s="55">
        <f t="shared" si="64"/>
        <v>-5.4171370581673797</v>
      </c>
      <c r="AC444" s="55">
        <f t="shared" si="69"/>
        <v>-5.4126979436327973</v>
      </c>
      <c r="AD444" s="55"/>
      <c r="AE444" s="55"/>
      <c r="AF444" s="55"/>
      <c r="AG444" s="55"/>
      <c r="AH444" s="55"/>
    </row>
    <row r="445" spans="1:34" ht="15.75">
      <c r="A445" s="39">
        <v>13.043380000000001</v>
      </c>
      <c r="B445" s="39">
        <v>13.287509999999999</v>
      </c>
      <c r="C445" s="39">
        <v>443</v>
      </c>
      <c r="D445">
        <v>443</v>
      </c>
      <c r="E445" s="10">
        <v>1380730</v>
      </c>
      <c r="F445" s="10">
        <v>1075220</v>
      </c>
      <c r="G445" s="10">
        <v>20613</v>
      </c>
      <c r="H445" s="10">
        <v>41890</v>
      </c>
      <c r="I445" s="10">
        <v>46781</v>
      </c>
      <c r="J445" s="10">
        <v>33450</v>
      </c>
      <c r="K445">
        <v>443</v>
      </c>
      <c r="L445" s="10">
        <v>2591</v>
      </c>
      <c r="M445" s="10">
        <v>394844</v>
      </c>
      <c r="N445" s="10">
        <v>4742</v>
      </c>
      <c r="O445">
        <v>0.14567337903410821</v>
      </c>
      <c r="P445">
        <v>0.97431518255341953</v>
      </c>
      <c r="Q445">
        <v>-0.30796915710064865</v>
      </c>
      <c r="R445">
        <v>0.30796915710064865</v>
      </c>
      <c r="S445">
        <f t="shared" si="70"/>
        <v>-0.33542535101000898</v>
      </c>
      <c r="T445" s="148">
        <f t="shared" si="65"/>
        <v>-0.34229750002563114</v>
      </c>
      <c r="U445">
        <f t="shared" si="71"/>
        <v>2.2434436152252761</v>
      </c>
      <c r="V445" s="55">
        <f t="shared" si="66"/>
        <v>2.261362646203382</v>
      </c>
      <c r="W445">
        <f t="shared" si="72"/>
        <v>0.48412984185718883</v>
      </c>
      <c r="X445" s="55">
        <f t="shared" si="67"/>
        <v>0.47569448195170971</v>
      </c>
      <c r="Y445" s="149">
        <v>13.287509999999999</v>
      </c>
      <c r="Z445" s="55">
        <f t="shared" si="63"/>
        <v>4.4102602258142519E-3</v>
      </c>
      <c r="AA445" s="55">
        <f t="shared" si="68"/>
        <v>4.4313662500839205E-3</v>
      </c>
      <c r="AB445" s="55">
        <f t="shared" si="64"/>
        <v>-5.4238215831431473</v>
      </c>
      <c r="AC445" s="55">
        <f t="shared" si="69"/>
        <v>-5.4190530872391305</v>
      </c>
      <c r="AD445" s="55"/>
      <c r="AE445" s="55"/>
      <c r="AF445" s="55"/>
      <c r="AG445" s="55"/>
      <c r="AH445" s="55"/>
    </row>
    <row r="446" spans="1:34" ht="15.75">
      <c r="A446" s="39">
        <v>13.04486</v>
      </c>
      <c r="B446" s="39">
        <v>13.288970000000001</v>
      </c>
      <c r="C446" s="39">
        <v>444</v>
      </c>
      <c r="D446">
        <v>444</v>
      </c>
      <c r="E446" s="10">
        <v>1421920</v>
      </c>
      <c r="F446" s="10">
        <v>1097660</v>
      </c>
      <c r="G446" s="10">
        <v>20086</v>
      </c>
      <c r="H446" s="10">
        <v>41190</v>
      </c>
      <c r="I446" s="10">
        <v>45398</v>
      </c>
      <c r="J446" s="10">
        <v>31823</v>
      </c>
      <c r="K446">
        <v>444</v>
      </c>
      <c r="L446" s="10">
        <v>2920</v>
      </c>
      <c r="M446" s="10">
        <v>424317</v>
      </c>
      <c r="N446" s="10">
        <v>4878</v>
      </c>
      <c r="O446">
        <v>0.15429560171397344</v>
      </c>
      <c r="P446">
        <v>1.0128986399004472</v>
      </c>
      <c r="Q446">
        <v>-0.31189833359991237</v>
      </c>
      <c r="R446">
        <v>0.31189833359991237</v>
      </c>
      <c r="S446">
        <f t="shared" si="70"/>
        <v>-0.35527875242114171</v>
      </c>
      <c r="T446" s="148">
        <f t="shared" si="65"/>
        <v>-0.32551690500764902</v>
      </c>
      <c r="U446">
        <f t="shared" si="71"/>
        <v>2.3322853089487134</v>
      </c>
      <c r="V446" s="55">
        <f t="shared" si="66"/>
        <v>2.2662247548607355</v>
      </c>
      <c r="W446">
        <f t="shared" si="72"/>
        <v>0.46016624382122129</v>
      </c>
      <c r="X446" s="55">
        <f t="shared" si="67"/>
        <v>0.46461542270313316</v>
      </c>
      <c r="Y446" s="149">
        <v>13.288970000000001</v>
      </c>
      <c r="Z446" s="55">
        <f t="shared" si="63"/>
        <v>4.4439990525299271E-3</v>
      </c>
      <c r="AA446" s="55">
        <f t="shared" si="68"/>
        <v>4.4460030966581915E-3</v>
      </c>
      <c r="AB446" s="55">
        <f t="shared" si="64"/>
        <v>-5.4162006204068627</v>
      </c>
      <c r="AC446" s="55">
        <f t="shared" si="69"/>
        <v>-5.415772576691297</v>
      </c>
      <c r="AD446" s="55"/>
      <c r="AE446" s="55"/>
      <c r="AF446" s="55"/>
      <c r="AG446" s="55"/>
      <c r="AH446" s="55"/>
    </row>
    <row r="447" spans="1:34" ht="15.75">
      <c r="A447" s="39">
        <v>13.046340000000001</v>
      </c>
      <c r="B447" s="39">
        <v>13.290430000000001</v>
      </c>
      <c r="C447" s="39">
        <v>445</v>
      </c>
      <c r="D447">
        <v>445</v>
      </c>
      <c r="E447" s="10">
        <v>1372070</v>
      </c>
      <c r="F447" s="10">
        <v>1074770</v>
      </c>
      <c r="G447" s="10">
        <v>21307</v>
      </c>
      <c r="H447" s="10">
        <v>42552</v>
      </c>
      <c r="I447" s="10">
        <v>44453</v>
      </c>
      <c r="J447" s="10">
        <v>33401</v>
      </c>
      <c r="K447">
        <v>445</v>
      </c>
      <c r="L447" s="10">
        <v>2118</v>
      </c>
      <c r="M447" s="10">
        <v>392946</v>
      </c>
      <c r="N447" s="10">
        <v>4819</v>
      </c>
      <c r="O447">
        <v>0.12414160608505923</v>
      </c>
      <c r="P447">
        <v>0.9654128949118348</v>
      </c>
      <c r="Q447">
        <v>-0.30039767143518797</v>
      </c>
      <c r="R447">
        <v>0.30039767143518797</v>
      </c>
      <c r="S447">
        <f t="shared" si="70"/>
        <v>-0.28584661159179631</v>
      </c>
      <c r="T447" s="148">
        <f t="shared" si="65"/>
        <v>-0.31597896323999802</v>
      </c>
      <c r="U447">
        <f t="shared" si="71"/>
        <v>2.2229453404082178</v>
      </c>
      <c r="V447" s="55">
        <f t="shared" si="66"/>
        <v>2.2561816395538958</v>
      </c>
      <c r="W447">
        <f t="shared" si="72"/>
        <v>0.44955018243098943</v>
      </c>
      <c r="X447" s="55">
        <f t="shared" si="67"/>
        <v>0.46280444439883589</v>
      </c>
      <c r="Y447" s="149">
        <v>13.290430000000001</v>
      </c>
      <c r="Z447" s="55">
        <f t="shared" si="63"/>
        <v>4.4837500116303953E-3</v>
      </c>
      <c r="AA447" s="55">
        <f t="shared" si="68"/>
        <v>4.4826948455887264E-3</v>
      </c>
      <c r="AB447" s="55">
        <f t="shared" si="64"/>
        <v>-5.4072955265238827</v>
      </c>
      <c r="AC447" s="55">
        <f t="shared" si="69"/>
        <v>-5.4075550717399388</v>
      </c>
      <c r="AD447" s="55"/>
      <c r="AE447" s="55"/>
      <c r="AF447" s="55"/>
      <c r="AG447" s="55"/>
      <c r="AH447" s="55"/>
    </row>
    <row r="448" spans="1:34" ht="15.75">
      <c r="A448" s="39">
        <v>13.04782</v>
      </c>
      <c r="B448" s="39">
        <v>13.29189</v>
      </c>
      <c r="C448" s="39">
        <v>446</v>
      </c>
      <c r="D448">
        <v>446</v>
      </c>
      <c r="E448" s="10">
        <v>1375040</v>
      </c>
      <c r="F448" s="10">
        <v>1076690</v>
      </c>
      <c r="G448" s="10">
        <v>20716</v>
      </c>
      <c r="H448" s="10">
        <v>43068</v>
      </c>
      <c r="I448" s="10">
        <v>45441</v>
      </c>
      <c r="J448" s="10">
        <v>33435</v>
      </c>
      <c r="K448">
        <v>446</v>
      </c>
      <c r="L448" s="10">
        <v>2388</v>
      </c>
      <c r="M448" s="10">
        <v>393899</v>
      </c>
      <c r="N448" s="10">
        <v>4867</v>
      </c>
      <c r="O448">
        <v>0.13324655259889218</v>
      </c>
      <c r="P448">
        <v>0.96123017387678389</v>
      </c>
      <c r="Q448">
        <v>-0.31784880203500826</v>
      </c>
      <c r="R448">
        <v>0.31784880203500826</v>
      </c>
      <c r="S448">
        <f t="shared" si="70"/>
        <v>-0.30681152570705611</v>
      </c>
      <c r="T448" s="148">
        <f t="shared" si="65"/>
        <v>-0.29810759494887956</v>
      </c>
      <c r="U448">
        <f t="shared" si="71"/>
        <v>2.2133142693047572</v>
      </c>
      <c r="V448" s="55">
        <f t="shared" si="66"/>
        <v>2.2272019934942779</v>
      </c>
      <c r="W448">
        <f t="shared" si="72"/>
        <v>0.47869690694429684</v>
      </c>
      <c r="X448" s="55">
        <f t="shared" si="67"/>
        <v>0.47661518736360514</v>
      </c>
      <c r="Y448" s="149">
        <v>13.29189</v>
      </c>
      <c r="Z448" s="55">
        <f t="shared" si="63"/>
        <v>4.5203354726058567E-3</v>
      </c>
      <c r="AA448" s="55">
        <f t="shared" si="68"/>
        <v>4.4703019497566244E-3</v>
      </c>
      <c r="AB448" s="55">
        <f t="shared" si="64"/>
        <v>-5.3991690682890701</v>
      </c>
      <c r="AC448" s="55">
        <f t="shared" si="69"/>
        <v>-5.4103554833490781</v>
      </c>
      <c r="AD448" s="55"/>
      <c r="AE448" s="55"/>
      <c r="AF448" s="55"/>
      <c r="AG448" s="55"/>
      <c r="AH448" s="55"/>
    </row>
    <row r="449" spans="1:34" ht="15.75">
      <c r="A449" s="39">
        <v>13.049300000000001</v>
      </c>
      <c r="B449" s="39">
        <v>13.29335</v>
      </c>
      <c r="C449" s="39">
        <v>447</v>
      </c>
      <c r="D449">
        <v>447</v>
      </c>
      <c r="E449" s="10">
        <v>1388920</v>
      </c>
      <c r="F449" s="10">
        <v>1082640</v>
      </c>
      <c r="G449" s="10">
        <v>20643</v>
      </c>
      <c r="H449" s="10">
        <v>42485</v>
      </c>
      <c r="I449" s="10">
        <v>46092</v>
      </c>
      <c r="J449" s="10">
        <v>34089</v>
      </c>
      <c r="K449">
        <v>447</v>
      </c>
      <c r="L449" s="10">
        <v>2515</v>
      </c>
      <c r="M449" s="10">
        <v>401215</v>
      </c>
      <c r="N449" s="10">
        <v>4771</v>
      </c>
      <c r="O449">
        <v>0.13101129181529295</v>
      </c>
      <c r="P449">
        <v>0.97514153878684251</v>
      </c>
      <c r="Q449">
        <v>-0.3134628100230295</v>
      </c>
      <c r="R449">
        <v>0.31346281002302939</v>
      </c>
      <c r="S449">
        <f t="shared" si="70"/>
        <v>-0.30166464754778632</v>
      </c>
      <c r="T449" s="148">
        <f t="shared" si="65"/>
        <v>-0.30072664130108856</v>
      </c>
      <c r="U449">
        <f t="shared" si="71"/>
        <v>2.2453463707698584</v>
      </c>
      <c r="V449" s="55">
        <f t="shared" si="66"/>
        <v>2.2383230979826183</v>
      </c>
      <c r="W449">
        <f t="shared" si="72"/>
        <v>0.50159847271552915</v>
      </c>
      <c r="X449" s="55">
        <f t="shared" si="67"/>
        <v>0.49407206318798957</v>
      </c>
      <c r="Y449" s="149">
        <v>13.29335</v>
      </c>
      <c r="Z449" s="55">
        <f t="shared" si="63"/>
        <v>4.4068203650336219E-3</v>
      </c>
      <c r="AA449" s="55">
        <f t="shared" si="68"/>
        <v>4.4593352850457102E-3</v>
      </c>
      <c r="AB449" s="55">
        <f t="shared" si="64"/>
        <v>-5.4246018552342798</v>
      </c>
      <c r="AC449" s="55">
        <f t="shared" si="69"/>
        <v>-5.412810369800134</v>
      </c>
      <c r="AD449" s="55"/>
      <c r="AE449" s="55"/>
      <c r="AF449" s="55"/>
      <c r="AG449" s="55"/>
      <c r="AH449" s="55"/>
    </row>
    <row r="450" spans="1:34" ht="15.75">
      <c r="A450" s="39">
        <v>13.05078</v>
      </c>
      <c r="B450" s="39">
        <v>13.29481</v>
      </c>
      <c r="C450" s="39">
        <v>448</v>
      </c>
      <c r="D450">
        <v>448</v>
      </c>
      <c r="E450" s="10">
        <v>1384310</v>
      </c>
      <c r="F450" s="10">
        <v>1085860</v>
      </c>
      <c r="G450" s="10">
        <v>20146</v>
      </c>
      <c r="H450" s="10">
        <v>42340</v>
      </c>
      <c r="I450" s="10">
        <v>44640</v>
      </c>
      <c r="J450" s="10">
        <v>33279</v>
      </c>
      <c r="K450">
        <v>448</v>
      </c>
      <c r="L450" s="10">
        <v>2587</v>
      </c>
      <c r="M450" s="10">
        <v>404253</v>
      </c>
      <c r="N450" s="10">
        <v>4833</v>
      </c>
      <c r="O450">
        <v>0.12755391822089884</v>
      </c>
      <c r="P450">
        <v>0.97990239784770183</v>
      </c>
      <c r="Q450">
        <v>-0.32256202406854995</v>
      </c>
      <c r="R450">
        <v>0.32256202406855</v>
      </c>
      <c r="S450">
        <f t="shared" si="70"/>
        <v>-0.29370375064842325</v>
      </c>
      <c r="T450" s="148">
        <f t="shared" si="65"/>
        <v>-0.29294324853952497</v>
      </c>
      <c r="U450">
        <f t="shared" si="71"/>
        <v>2.2563086538732389</v>
      </c>
      <c r="V450" s="55">
        <f t="shared" si="66"/>
        <v>2.272336380321248</v>
      </c>
      <c r="W450">
        <f t="shared" si="72"/>
        <v>0.50192080990414289</v>
      </c>
      <c r="X450" s="55">
        <f t="shared" si="67"/>
        <v>0.49921941054863767</v>
      </c>
      <c r="Y450" s="149">
        <v>13.29481</v>
      </c>
      <c r="Z450" s="55">
        <f t="shared" si="63"/>
        <v>4.4508500174976519E-3</v>
      </c>
      <c r="AA450" s="55">
        <f t="shared" si="68"/>
        <v>4.4333555652984434E-3</v>
      </c>
      <c r="AB450" s="55">
        <f t="shared" si="64"/>
        <v>-5.4146601858770511</v>
      </c>
      <c r="AC450" s="55">
        <f t="shared" si="69"/>
        <v>-5.4186077930077943</v>
      </c>
      <c r="AD450" s="55"/>
      <c r="AE450" s="55"/>
      <c r="AF450" s="55"/>
      <c r="AG450" s="55"/>
      <c r="AH450" s="55"/>
    </row>
    <row r="451" spans="1:34" ht="15.75">
      <c r="A451" s="39">
        <v>13.05226</v>
      </c>
      <c r="B451" s="39">
        <v>13.29627</v>
      </c>
      <c r="C451" s="39">
        <v>449</v>
      </c>
      <c r="D451">
        <v>449</v>
      </c>
      <c r="E451" s="10">
        <v>1393850</v>
      </c>
      <c r="F451" s="10">
        <v>1085000</v>
      </c>
      <c r="G451" s="10">
        <v>19700</v>
      </c>
      <c r="H451" s="10">
        <v>40931</v>
      </c>
      <c r="I451" s="10">
        <v>42872</v>
      </c>
      <c r="J451" s="10">
        <v>32290</v>
      </c>
      <c r="K451">
        <v>449</v>
      </c>
      <c r="L451" s="10">
        <v>2183</v>
      </c>
      <c r="M451" s="10">
        <v>414570</v>
      </c>
      <c r="N451" s="10">
        <v>4820</v>
      </c>
      <c r="O451">
        <v>0.12310569901839383</v>
      </c>
      <c r="P451">
        <v>1.0055455163700369</v>
      </c>
      <c r="Q451">
        <v>-0.31758612901816619</v>
      </c>
      <c r="R451">
        <v>0.31758612901816624</v>
      </c>
      <c r="S451">
        <f t="shared" si="70"/>
        <v>-0.28346134742236528</v>
      </c>
      <c r="T451" s="148">
        <f t="shared" si="65"/>
        <v>-0.32209713503928744</v>
      </c>
      <c r="U451">
        <f t="shared" si="71"/>
        <v>2.315354116320647</v>
      </c>
      <c r="V451" s="55">
        <f t="shared" si="66"/>
        <v>2.2787877530718168</v>
      </c>
      <c r="W451">
        <f t="shared" si="72"/>
        <v>0.494138949026241</v>
      </c>
      <c r="X451" s="55">
        <f t="shared" si="67"/>
        <v>0.5020838853862738</v>
      </c>
      <c r="Y451" s="149">
        <v>13.29627</v>
      </c>
      <c r="Z451" s="55">
        <f t="shared" ref="Z451:Z514" si="73">N451/F451</f>
        <v>4.4423963133640556E-3</v>
      </c>
      <c r="AA451" s="55">
        <f t="shared" si="68"/>
        <v>4.5197575449948853E-3</v>
      </c>
      <c r="AB451" s="55">
        <f t="shared" ref="AB451:AB514" si="74">LN(Z451)</f>
        <v>-5.416561337912051</v>
      </c>
      <c r="AC451" s="55">
        <f t="shared" si="69"/>
        <v>-5.3995563305949235</v>
      </c>
      <c r="AD451" s="55"/>
      <c r="AE451" s="55"/>
      <c r="AF451" s="55"/>
      <c r="AG451" s="55"/>
      <c r="AH451" s="55"/>
    </row>
    <row r="452" spans="1:34" ht="15.75">
      <c r="A452" s="39">
        <v>13.0540678</v>
      </c>
      <c r="B452" s="39">
        <v>13.2978983</v>
      </c>
      <c r="C452" s="39">
        <v>450</v>
      </c>
      <c r="D452">
        <v>450</v>
      </c>
      <c r="E452" s="10">
        <v>1380920</v>
      </c>
      <c r="F452" s="10">
        <v>1082720</v>
      </c>
      <c r="G452" s="10">
        <v>19573</v>
      </c>
      <c r="H452" s="10">
        <v>41430</v>
      </c>
      <c r="I452" s="10">
        <v>48109</v>
      </c>
      <c r="J452" s="10">
        <v>32601</v>
      </c>
      <c r="K452">
        <v>450</v>
      </c>
      <c r="L452" s="10">
        <v>2068</v>
      </c>
      <c r="M452" s="10">
        <v>398898</v>
      </c>
      <c r="N452" s="10">
        <v>5052</v>
      </c>
      <c r="O452">
        <v>0.16899540791393455</v>
      </c>
      <c r="P452">
        <v>0.98354692554566148</v>
      </c>
      <c r="Q452">
        <v>-0.32565753719611296</v>
      </c>
      <c r="R452">
        <v>0.32565753719611301</v>
      </c>
      <c r="S452">
        <f t="shared" si="70"/>
        <v>-0.38912630704707374</v>
      </c>
      <c r="T452" s="148">
        <f t="shared" ref="T452:T515" si="75">AVERAGE(S451:S453)</f>
        <v>-0.42896739569001446</v>
      </c>
      <c r="U452">
        <f t="shared" si="71"/>
        <v>2.264700489021565</v>
      </c>
      <c r="V452" s="55">
        <f t="shared" ref="V452:V515" si="76">AVERAGE(U451:U453)</f>
        <v>2.3024114921427796</v>
      </c>
      <c r="W452">
        <f t="shared" si="72"/>
        <v>0.5101918972284375</v>
      </c>
      <c r="X452" s="55">
        <f t="shared" ref="X452:X515" si="77">AVERAGE(W451:W453)</f>
        <v>0.51102417358841645</v>
      </c>
      <c r="Y452" s="149">
        <v>13.2978983</v>
      </c>
      <c r="Z452" s="55">
        <f t="shared" si="73"/>
        <v>4.6660263041229492E-3</v>
      </c>
      <c r="AA452" s="55">
        <f t="shared" ref="AA452:AA515" si="78">AVERAGE(Z451:Z453)</f>
        <v>4.5561611353636573E-3</v>
      </c>
      <c r="AB452" s="55">
        <f t="shared" si="74"/>
        <v>-5.367447467995671</v>
      </c>
      <c r="AC452" s="55">
        <f t="shared" ref="AC452:AC515" si="79">AVERAGE(AB451:AB453)</f>
        <v>-5.3914760435394049</v>
      </c>
      <c r="AD452" s="55"/>
      <c r="AE452" s="55"/>
      <c r="AF452" s="55"/>
      <c r="AG452" s="55"/>
      <c r="AH452" s="55"/>
    </row>
    <row r="453" spans="1:34" ht="15.75">
      <c r="A453" s="39">
        <v>13.056203399999999</v>
      </c>
      <c r="B453" s="39">
        <v>13.2996949</v>
      </c>
      <c r="C453" s="39">
        <v>451</v>
      </c>
      <c r="D453">
        <v>451</v>
      </c>
      <c r="E453" s="10">
        <v>1418380</v>
      </c>
      <c r="F453" s="10">
        <v>1092310</v>
      </c>
      <c r="G453" s="10">
        <v>18476</v>
      </c>
      <c r="H453" s="10">
        <v>41386</v>
      </c>
      <c r="I453" s="10">
        <v>57947</v>
      </c>
      <c r="J453" s="10">
        <v>31350</v>
      </c>
      <c r="K453">
        <v>451</v>
      </c>
      <c r="L453" s="10">
        <v>2351</v>
      </c>
      <c r="M453" s="10">
        <v>424165</v>
      </c>
      <c r="N453" s="10">
        <v>4981</v>
      </c>
      <c r="O453">
        <v>0.26679341166141785</v>
      </c>
      <c r="P453">
        <v>1.0106813764090259</v>
      </c>
      <c r="Q453">
        <v>-0.35024549984062786</v>
      </c>
      <c r="R453">
        <v>0.35024549984062781</v>
      </c>
      <c r="S453">
        <f t="shared" si="70"/>
        <v>-0.61431453260060442</v>
      </c>
      <c r="T453" s="148">
        <f t="shared" si="75"/>
        <v>-0.63326870050651995</v>
      </c>
      <c r="U453">
        <f t="shared" si="71"/>
        <v>2.3271798710861269</v>
      </c>
      <c r="V453" s="55">
        <f t="shared" si="76"/>
        <v>2.2974294152095269</v>
      </c>
      <c r="W453">
        <f t="shared" si="72"/>
        <v>0.52874167451057075</v>
      </c>
      <c r="X453" s="55">
        <f t="shared" si="77"/>
        <v>0.52975674429857844</v>
      </c>
      <c r="Y453" s="149">
        <v>13.2996949</v>
      </c>
      <c r="Z453" s="55">
        <f t="shared" si="73"/>
        <v>4.560060788603968E-3</v>
      </c>
      <c r="AA453" s="55">
        <f t="shared" si="78"/>
        <v>4.6178839223749253E-3</v>
      </c>
      <c r="AB453" s="55">
        <f t="shared" si="74"/>
        <v>-5.3904193247104937</v>
      </c>
      <c r="AC453" s="55">
        <f t="shared" si="79"/>
        <v>-5.3778637767405018</v>
      </c>
      <c r="AD453" s="55"/>
      <c r="AE453" s="55"/>
      <c r="AF453" s="55"/>
      <c r="AG453" s="55"/>
      <c r="AH453" s="55"/>
    </row>
    <row r="454" spans="1:34" ht="15.75">
      <c r="A454" s="39">
        <v>13.058339</v>
      </c>
      <c r="B454" s="39">
        <v>13.301491499999999</v>
      </c>
      <c r="C454" s="39">
        <v>452</v>
      </c>
      <c r="D454">
        <v>452</v>
      </c>
      <c r="E454" s="10">
        <v>1428590</v>
      </c>
      <c r="F454" s="10">
        <v>1076160</v>
      </c>
      <c r="G454" s="10">
        <v>17617</v>
      </c>
      <c r="H454" s="10">
        <v>42256</v>
      </c>
      <c r="I454" s="10">
        <v>74856</v>
      </c>
      <c r="J454" s="10">
        <v>30545</v>
      </c>
      <c r="K454">
        <v>452</v>
      </c>
      <c r="L454" s="10">
        <v>2613</v>
      </c>
      <c r="M454" s="10">
        <v>421641</v>
      </c>
      <c r="N454" s="10">
        <v>4980</v>
      </c>
      <c r="O454">
        <v>0.38928648700072144</v>
      </c>
      <c r="P454">
        <v>0.9990544508084499</v>
      </c>
      <c r="Q454">
        <v>-0.37995642952424674</v>
      </c>
      <c r="R454">
        <v>0.37995642952424669</v>
      </c>
      <c r="S454">
        <f t="shared" si="70"/>
        <v>-0.89636526187188148</v>
      </c>
      <c r="T454" s="148">
        <f t="shared" si="75"/>
        <v>-0.65740762179525969</v>
      </c>
      <c r="U454">
        <f t="shared" si="71"/>
        <v>2.3004078855208898</v>
      </c>
      <c r="V454" s="55">
        <f t="shared" si="76"/>
        <v>2.30208916112448</v>
      </c>
      <c r="W454">
        <f t="shared" si="72"/>
        <v>0.55033666115672708</v>
      </c>
      <c r="X454" s="55">
        <f t="shared" si="77"/>
        <v>0.54447531706708796</v>
      </c>
      <c r="Y454" s="149">
        <v>13.301491499999999</v>
      </c>
      <c r="Z454" s="55">
        <f t="shared" si="73"/>
        <v>4.6275646743978594E-3</v>
      </c>
      <c r="AA454" s="55">
        <f t="shared" si="78"/>
        <v>4.5648392877207849E-3</v>
      </c>
      <c r="AB454" s="55">
        <f t="shared" si="74"/>
        <v>-5.3757245375153433</v>
      </c>
      <c r="AC454" s="55">
        <f t="shared" si="79"/>
        <v>-5.3894304239075508</v>
      </c>
      <c r="AD454" s="55"/>
      <c r="AE454" s="55"/>
      <c r="AF454" s="55"/>
      <c r="AG454" s="55"/>
      <c r="AH454" s="55"/>
    </row>
    <row r="455" spans="1:34" ht="15.75">
      <c r="A455" s="39">
        <v>13.060474599999999</v>
      </c>
      <c r="B455" s="39">
        <v>13.3032881</v>
      </c>
      <c r="C455" s="39">
        <v>453</v>
      </c>
      <c r="D455">
        <v>453</v>
      </c>
      <c r="E455" s="10">
        <v>1384720</v>
      </c>
      <c r="F455" s="10">
        <v>1071470</v>
      </c>
      <c r="G455" s="10">
        <v>18461</v>
      </c>
      <c r="H455" s="10">
        <v>41724</v>
      </c>
      <c r="I455" s="10">
        <v>50986</v>
      </c>
      <c r="J455" s="10">
        <v>32137</v>
      </c>
      <c r="K455">
        <v>453</v>
      </c>
      <c r="L455" s="10">
        <v>3250</v>
      </c>
      <c r="M455" s="10">
        <v>407384</v>
      </c>
      <c r="N455" s="10">
        <v>4829</v>
      </c>
      <c r="O455">
        <v>0.20044560885832435</v>
      </c>
      <c r="P455">
        <v>0.98961803135946746</v>
      </c>
      <c r="Q455">
        <v>-0.35413071443323235</v>
      </c>
      <c r="R455">
        <v>0.35413071443323241</v>
      </c>
      <c r="S455">
        <f t="shared" si="70"/>
        <v>-0.46154307091329294</v>
      </c>
      <c r="T455" s="148">
        <f t="shared" si="75"/>
        <v>-0.55170822665866126</v>
      </c>
      <c r="U455">
        <f t="shared" si="71"/>
        <v>2.2786797267664238</v>
      </c>
      <c r="V455" s="55">
        <f t="shared" si="76"/>
        <v>2.2906509984243724</v>
      </c>
      <c r="W455">
        <f t="shared" si="72"/>
        <v>0.55434761553396583</v>
      </c>
      <c r="X455" s="55">
        <f t="shared" si="77"/>
        <v>0.54723470051583567</v>
      </c>
      <c r="Y455" s="149">
        <v>13.3032881</v>
      </c>
      <c r="Z455" s="55">
        <f t="shared" si="73"/>
        <v>4.5068924001605273E-3</v>
      </c>
      <c r="AA455" s="55">
        <f t="shared" si="78"/>
        <v>4.5861266263439032E-3</v>
      </c>
      <c r="AB455" s="55">
        <f t="shared" si="74"/>
        <v>-5.4021474094968136</v>
      </c>
      <c r="AC455" s="55">
        <f t="shared" si="79"/>
        <v>-5.3847945964326298</v>
      </c>
      <c r="AD455" s="55"/>
      <c r="AE455" s="55"/>
      <c r="AF455" s="55"/>
      <c r="AG455" s="55"/>
      <c r="AH455" s="55"/>
    </row>
    <row r="456" spans="1:34" ht="15.75">
      <c r="A456" s="39">
        <v>13.0626102</v>
      </c>
      <c r="B456" s="39">
        <v>13.305084799999999</v>
      </c>
      <c r="C456" s="39">
        <v>454</v>
      </c>
      <c r="D456">
        <v>454</v>
      </c>
      <c r="E456" s="10">
        <v>1373570</v>
      </c>
      <c r="F456" s="10">
        <v>1075710</v>
      </c>
      <c r="G456" s="10">
        <v>18990</v>
      </c>
      <c r="H456" s="10">
        <v>41054</v>
      </c>
      <c r="I456" s="10">
        <v>43735</v>
      </c>
      <c r="J456" s="10">
        <v>32490</v>
      </c>
      <c r="K456">
        <v>454</v>
      </c>
      <c r="L456" s="10">
        <v>2589</v>
      </c>
      <c r="M456" s="10">
        <v>406569</v>
      </c>
      <c r="N456" s="10">
        <v>4974</v>
      </c>
      <c r="O456">
        <v>0.1290794195164095</v>
      </c>
      <c r="P456">
        <v>0.99577878357772054</v>
      </c>
      <c r="Q456">
        <v>-0.33483051324209467</v>
      </c>
      <c r="R456">
        <v>0.33483051324209467</v>
      </c>
      <c r="S456">
        <f t="shared" si="70"/>
        <v>-0.29721634719080936</v>
      </c>
      <c r="T456" s="148">
        <f t="shared" si="75"/>
        <v>-0.35387898145239571</v>
      </c>
      <c r="U456">
        <f t="shared" si="71"/>
        <v>2.2928653829858034</v>
      </c>
      <c r="V456" s="55">
        <f t="shared" si="76"/>
        <v>2.2694048361769981</v>
      </c>
      <c r="W456">
        <f t="shared" si="72"/>
        <v>0.53701982485681443</v>
      </c>
      <c r="X456" s="55">
        <f t="shared" si="77"/>
        <v>0.52670377953518921</v>
      </c>
      <c r="Y456" s="149">
        <v>13.305084799999999</v>
      </c>
      <c r="Z456" s="55">
        <f t="shared" si="73"/>
        <v>4.6239228044733247E-3</v>
      </c>
      <c r="AA456" s="55">
        <f t="shared" si="78"/>
        <v>4.5685688258658612E-3</v>
      </c>
      <c r="AB456" s="55">
        <f t="shared" si="74"/>
        <v>-5.3765118422857316</v>
      </c>
      <c r="AC456" s="55">
        <f t="shared" si="79"/>
        <v>-5.3886105325973368</v>
      </c>
      <c r="AD456" s="55"/>
      <c r="AE456" s="55"/>
      <c r="AF456" s="55"/>
      <c r="AG456" s="55"/>
      <c r="AH456" s="55"/>
    </row>
    <row r="457" spans="1:34" ht="15.75">
      <c r="A457" s="39">
        <v>13.064745800000001</v>
      </c>
      <c r="B457" s="39">
        <v>13.3068814</v>
      </c>
      <c r="C457" s="39">
        <v>455</v>
      </c>
      <c r="D457">
        <v>455</v>
      </c>
      <c r="E457" s="10">
        <v>1351970</v>
      </c>
      <c r="F457" s="10">
        <v>1068805</v>
      </c>
      <c r="G457" s="10">
        <v>19890.375</v>
      </c>
      <c r="H457" s="10">
        <v>41306.625</v>
      </c>
      <c r="I457" s="10">
        <v>43897.5</v>
      </c>
      <c r="J457" s="10">
        <v>32426.625</v>
      </c>
      <c r="K457">
        <v>455</v>
      </c>
      <c r="L457" s="10">
        <v>2628</v>
      </c>
      <c r="M457" s="10">
        <v>386716.6667</v>
      </c>
      <c r="N457" s="10">
        <v>4889.6666670000004</v>
      </c>
      <c r="O457">
        <v>0.13153803834422204</v>
      </c>
      <c r="P457">
        <v>0.97137317773148257</v>
      </c>
      <c r="Q457">
        <v>-0.31737674084868567</v>
      </c>
      <c r="R457">
        <v>0.31737674084868567</v>
      </c>
      <c r="S457">
        <f t="shared" si="70"/>
        <v>-0.30287752625308489</v>
      </c>
      <c r="T457" s="148">
        <f t="shared" si="75"/>
        <v>-0.30032508688187121</v>
      </c>
      <c r="U457">
        <f t="shared" si="71"/>
        <v>2.2366693987787674</v>
      </c>
      <c r="V457" s="55">
        <f t="shared" si="76"/>
        <v>2.2623751000062016</v>
      </c>
      <c r="W457">
        <f t="shared" si="72"/>
        <v>0.48874389821478731</v>
      </c>
      <c r="X457" s="55">
        <f t="shared" si="77"/>
        <v>0.50715454728413478</v>
      </c>
      <c r="Y457" s="149">
        <v>13.3068814</v>
      </c>
      <c r="Z457" s="55">
        <f t="shared" si="73"/>
        <v>4.5748912729637308E-3</v>
      </c>
      <c r="AA457" s="55">
        <f t="shared" si="78"/>
        <v>4.5626933618968021E-3</v>
      </c>
      <c r="AB457" s="55">
        <f t="shared" si="74"/>
        <v>-5.3871723460094643</v>
      </c>
      <c r="AC457" s="55">
        <f t="shared" si="79"/>
        <v>-5.3899167504785437</v>
      </c>
      <c r="AD457" s="55"/>
      <c r="AE457" s="55"/>
      <c r="AF457" s="55"/>
      <c r="AG457" s="55"/>
      <c r="AH457" s="55"/>
    </row>
    <row r="458" spans="1:34" ht="15.75">
      <c r="A458" s="39">
        <v>13.0668814</v>
      </c>
      <c r="B458" s="39">
        <v>13.308678</v>
      </c>
      <c r="C458" s="39">
        <v>456</v>
      </c>
      <c r="D458">
        <v>456</v>
      </c>
      <c r="E458" s="10">
        <v>1368990</v>
      </c>
      <c r="F458" s="10">
        <v>1078350</v>
      </c>
      <c r="G458" s="10">
        <v>19771</v>
      </c>
      <c r="H458" s="10">
        <v>41973</v>
      </c>
      <c r="I458" s="10">
        <v>43851</v>
      </c>
      <c r="J458" s="10">
        <v>32457</v>
      </c>
      <c r="K458">
        <v>456</v>
      </c>
      <c r="L458" s="10">
        <v>2594</v>
      </c>
      <c r="M458" s="10">
        <v>401263</v>
      </c>
      <c r="N458" s="10">
        <v>4841</v>
      </c>
      <c r="O458">
        <v>0.1306711261691024</v>
      </c>
      <c r="P458">
        <v>0.98045910447482898</v>
      </c>
      <c r="Q458">
        <v>-0.32694137520348387</v>
      </c>
      <c r="R458">
        <v>0.32694137520348387</v>
      </c>
      <c r="S458">
        <f t="shared" si="70"/>
        <v>-0.30088138720171936</v>
      </c>
      <c r="T458" s="148">
        <f t="shared" si="75"/>
        <v>-0.30428716535061273</v>
      </c>
      <c r="U458">
        <f t="shared" si="71"/>
        <v>2.257590518254033</v>
      </c>
      <c r="V458" s="55">
        <f t="shared" si="76"/>
        <v>2.2450424355086702</v>
      </c>
      <c r="W458">
        <f t="shared" si="72"/>
        <v>0.49569991878080261</v>
      </c>
      <c r="X458" s="55">
        <f t="shared" si="77"/>
        <v>0.48485417472548997</v>
      </c>
      <c r="Y458" s="149">
        <v>13.308678</v>
      </c>
      <c r="Z458" s="55">
        <f t="shared" si="73"/>
        <v>4.4892660082533498E-3</v>
      </c>
      <c r="AA458" s="55">
        <f t="shared" si="78"/>
        <v>4.5931688925643513E-3</v>
      </c>
      <c r="AB458" s="55">
        <f t="shared" si="74"/>
        <v>-5.4060660631404334</v>
      </c>
      <c r="AC458" s="55">
        <f t="shared" si="79"/>
        <v>-5.3833902238719586</v>
      </c>
      <c r="AD458" s="55"/>
      <c r="AE458" s="55"/>
      <c r="AF458" s="55"/>
      <c r="AG458" s="55"/>
      <c r="AH458" s="55"/>
    </row>
    <row r="459" spans="1:34" ht="15.75">
      <c r="A459" s="39">
        <v>13.069017000000001</v>
      </c>
      <c r="B459" s="39">
        <v>13.310474599999999</v>
      </c>
      <c r="C459" s="39">
        <v>457</v>
      </c>
      <c r="D459">
        <v>457</v>
      </c>
      <c r="E459" s="10">
        <v>1379720</v>
      </c>
      <c r="F459" s="10">
        <v>1081150</v>
      </c>
      <c r="G459" s="10">
        <v>20637</v>
      </c>
      <c r="H459" s="10">
        <v>42226</v>
      </c>
      <c r="I459" s="10">
        <v>44984</v>
      </c>
      <c r="J459" s="10">
        <v>33023</v>
      </c>
      <c r="K459">
        <v>457</v>
      </c>
      <c r="L459" s="10">
        <v>2647</v>
      </c>
      <c r="M459" s="10">
        <v>396987</v>
      </c>
      <c r="N459" s="10">
        <v>5098</v>
      </c>
      <c r="O459">
        <v>0.13424154596393595</v>
      </c>
      <c r="P459">
        <v>0.97319634193384641</v>
      </c>
      <c r="Q459">
        <v>-0.31093337919727249</v>
      </c>
      <c r="R459">
        <v>0.31093337919727243</v>
      </c>
      <c r="S459">
        <f t="shared" si="70"/>
        <v>-0.30910258259703394</v>
      </c>
      <c r="T459" s="148">
        <f t="shared" si="75"/>
        <v>-0.31433621602706302</v>
      </c>
      <c r="U459">
        <f t="shared" si="71"/>
        <v>2.2408673894932107</v>
      </c>
      <c r="V459" s="55">
        <f t="shared" si="76"/>
        <v>2.2455214357564066</v>
      </c>
      <c r="W459">
        <f t="shared" si="72"/>
        <v>0.47011870718087989</v>
      </c>
      <c r="X459" s="55">
        <f t="shared" si="77"/>
        <v>0.47413533106646533</v>
      </c>
      <c r="Y459" s="149">
        <v>13.310474599999999</v>
      </c>
      <c r="Z459" s="55">
        <f t="shared" si="73"/>
        <v>4.7153493964759751E-3</v>
      </c>
      <c r="AA459" s="55">
        <f t="shared" si="78"/>
        <v>4.5859668258594073E-3</v>
      </c>
      <c r="AB459" s="55">
        <f t="shared" si="74"/>
        <v>-5.3569322624659801</v>
      </c>
      <c r="AC459" s="55">
        <f t="shared" si="79"/>
        <v>-5.3849682127017582</v>
      </c>
      <c r="AD459" s="55"/>
      <c r="AE459" s="55"/>
      <c r="AF459" s="55"/>
      <c r="AG459" s="55"/>
      <c r="AH459" s="55"/>
    </row>
    <row r="460" spans="1:34" ht="15.75">
      <c r="A460" s="39">
        <v>13.0711525</v>
      </c>
      <c r="B460" s="39">
        <v>13.3122712</v>
      </c>
      <c r="C460" s="39">
        <v>458</v>
      </c>
      <c r="D460">
        <v>458</v>
      </c>
      <c r="E460" s="10">
        <v>1409160</v>
      </c>
      <c r="F460" s="10">
        <v>1091300</v>
      </c>
      <c r="G460" s="10">
        <v>21245</v>
      </c>
      <c r="H460" s="10">
        <v>43234</v>
      </c>
      <c r="I460" s="10">
        <v>46793</v>
      </c>
      <c r="J460" s="10">
        <v>33539</v>
      </c>
      <c r="K460">
        <v>458</v>
      </c>
      <c r="L460" s="10">
        <v>2168</v>
      </c>
      <c r="M460" s="10">
        <v>405343</v>
      </c>
      <c r="N460" s="10">
        <v>4969</v>
      </c>
      <c r="O460">
        <v>0.14463078011566757</v>
      </c>
      <c r="P460">
        <v>0.97199725922474922</v>
      </c>
      <c r="Q460">
        <v>-0.30856868279522187</v>
      </c>
      <c r="R460">
        <v>0.30856868279522187</v>
      </c>
      <c r="S460">
        <f t="shared" si="70"/>
        <v>-0.33302467828243582</v>
      </c>
      <c r="T460" s="148">
        <f t="shared" si="75"/>
        <v>-0.30424663225906906</v>
      </c>
      <c r="U460">
        <f t="shared" si="71"/>
        <v>2.2381063995219765</v>
      </c>
      <c r="V460" s="55">
        <f t="shared" si="76"/>
        <v>2.2545751606940447</v>
      </c>
      <c r="W460">
        <f t="shared" si="72"/>
        <v>0.45658736723771343</v>
      </c>
      <c r="X460" s="55">
        <f t="shared" si="77"/>
        <v>0.45371319137726868</v>
      </c>
      <c r="Y460" s="149">
        <v>13.3122712</v>
      </c>
      <c r="Z460" s="55">
        <f t="shared" si="73"/>
        <v>4.553285072848896E-3</v>
      </c>
      <c r="AA460" s="55">
        <f t="shared" si="78"/>
        <v>4.5952713407269377E-3</v>
      </c>
      <c r="AB460" s="55">
        <f t="shared" si="74"/>
        <v>-5.3919063124988602</v>
      </c>
      <c r="AC460" s="55">
        <f t="shared" si="79"/>
        <v>-5.3829020158661045</v>
      </c>
      <c r="AD460" s="55"/>
      <c r="AE460" s="55"/>
      <c r="AF460" s="55"/>
      <c r="AG460" s="55"/>
      <c r="AH460" s="55"/>
    </row>
    <row r="461" spans="1:34" ht="15.75">
      <c r="A461" s="39">
        <v>13.073288099999999</v>
      </c>
      <c r="B461" s="39">
        <v>13.3140678</v>
      </c>
      <c r="C461" s="39">
        <v>459</v>
      </c>
      <c r="D461">
        <v>459</v>
      </c>
      <c r="E461" s="10">
        <v>1416130</v>
      </c>
      <c r="F461" s="10">
        <v>1093160</v>
      </c>
      <c r="G461" s="10">
        <v>21888</v>
      </c>
      <c r="H461" s="10">
        <v>42036</v>
      </c>
      <c r="I461" s="10">
        <v>44300</v>
      </c>
      <c r="J461" s="10">
        <v>33797</v>
      </c>
      <c r="K461">
        <v>459</v>
      </c>
      <c r="L461" s="10">
        <v>2342</v>
      </c>
      <c r="M461" s="10">
        <v>412930</v>
      </c>
      <c r="N461" s="10">
        <v>4938</v>
      </c>
      <c r="O461">
        <v>0.11752557450368116</v>
      </c>
      <c r="P461">
        <v>0.99225505281808724</v>
      </c>
      <c r="Q461">
        <v>-0.28341530332529502</v>
      </c>
      <c r="R461">
        <v>0.28341530332529502</v>
      </c>
      <c r="S461">
        <f t="shared" si="70"/>
        <v>-0.27061263589773737</v>
      </c>
      <c r="T461" s="148">
        <f t="shared" si="75"/>
        <v>-0.33108203980869044</v>
      </c>
      <c r="U461">
        <f t="shared" si="71"/>
        <v>2.2847516930669469</v>
      </c>
      <c r="V461" s="55">
        <f t="shared" si="76"/>
        <v>2.25747788323469</v>
      </c>
      <c r="W461">
        <f t="shared" si="72"/>
        <v>0.4344334997132126</v>
      </c>
      <c r="X461" s="55">
        <f t="shared" si="77"/>
        <v>0.44858165840661712</v>
      </c>
      <c r="Y461" s="149">
        <v>13.3140678</v>
      </c>
      <c r="Z461" s="55">
        <f t="shared" si="73"/>
        <v>4.5171795528559404E-3</v>
      </c>
      <c r="AA461" s="55">
        <f t="shared" si="78"/>
        <v>4.6268350688974556E-3</v>
      </c>
      <c r="AB461" s="55">
        <f t="shared" si="74"/>
        <v>-5.3998674726334732</v>
      </c>
      <c r="AC461" s="55">
        <f t="shared" si="79"/>
        <v>-5.3762745144122155</v>
      </c>
      <c r="AD461" s="55"/>
      <c r="AE461" s="55"/>
      <c r="AF461" s="55"/>
      <c r="AG461" s="55"/>
      <c r="AH461" s="55"/>
    </row>
    <row r="462" spans="1:34" ht="15.75">
      <c r="A462" s="39">
        <v>13.0754237</v>
      </c>
      <c r="B462" s="39">
        <v>13.315864400000001</v>
      </c>
      <c r="C462" s="39">
        <v>460</v>
      </c>
      <c r="D462">
        <v>460</v>
      </c>
      <c r="E462" s="10">
        <v>1401790</v>
      </c>
      <c r="F462" s="10">
        <v>1089180</v>
      </c>
      <c r="G462" s="10">
        <v>20749</v>
      </c>
      <c r="H462" s="10">
        <v>42203</v>
      </c>
      <c r="I462" s="10">
        <v>48271</v>
      </c>
      <c r="J462" s="10">
        <v>32695</v>
      </c>
      <c r="K462">
        <v>460</v>
      </c>
      <c r="L462" s="10">
        <v>2392</v>
      </c>
      <c r="M462" s="10">
        <v>400241</v>
      </c>
      <c r="N462" s="10">
        <v>5239</v>
      </c>
      <c r="O462">
        <v>0.16920495421921231</v>
      </c>
      <c r="P462">
        <v>0.97697825107954139</v>
      </c>
      <c r="Q462">
        <v>-0.30834615319039754</v>
      </c>
      <c r="R462">
        <v>0.30834615319039749</v>
      </c>
      <c r="S462">
        <f t="shared" si="70"/>
        <v>-0.38960880524589808</v>
      </c>
      <c r="T462" s="148">
        <f t="shared" si="75"/>
        <v>-0.40029005319410116</v>
      </c>
      <c r="U462">
        <f t="shared" si="71"/>
        <v>2.2495755571151461</v>
      </c>
      <c r="V462" s="55">
        <f t="shared" si="76"/>
        <v>2.269981556108843</v>
      </c>
      <c r="W462">
        <f t="shared" si="72"/>
        <v>0.45472410826892523</v>
      </c>
      <c r="X462" s="55">
        <f t="shared" si="77"/>
        <v>0.44523391232425052</v>
      </c>
      <c r="Y462" s="149">
        <v>13.315864400000001</v>
      </c>
      <c r="Z462" s="55">
        <f t="shared" si="73"/>
        <v>4.8100405809875322E-3</v>
      </c>
      <c r="AA462" s="55">
        <f t="shared" si="78"/>
        <v>4.6349453373877485E-3</v>
      </c>
      <c r="AB462" s="55">
        <f t="shared" si="74"/>
        <v>-5.3370497581043121</v>
      </c>
      <c r="AC462" s="55">
        <f t="shared" si="79"/>
        <v>-5.3744980659041746</v>
      </c>
      <c r="AD462" s="55"/>
      <c r="AE462" s="55"/>
      <c r="AF462" s="55"/>
      <c r="AG462" s="55"/>
      <c r="AH462" s="55"/>
    </row>
    <row r="463" spans="1:34" ht="15.75">
      <c r="A463" s="39">
        <v>13.077559300000001</v>
      </c>
      <c r="B463" s="39">
        <v>13.317660999999999</v>
      </c>
      <c r="C463" s="39">
        <v>461</v>
      </c>
      <c r="D463">
        <v>461</v>
      </c>
      <c r="E463" s="10">
        <v>1423870</v>
      </c>
      <c r="F463" s="10">
        <v>1095330</v>
      </c>
      <c r="G463" s="10">
        <v>20540</v>
      </c>
      <c r="H463" s="10">
        <v>42556</v>
      </c>
      <c r="I463" s="10">
        <v>55123</v>
      </c>
      <c r="J463" s="10">
        <v>32102</v>
      </c>
      <c r="K463">
        <v>461</v>
      </c>
      <c r="L463" s="10">
        <v>2652</v>
      </c>
      <c r="M463" s="10">
        <v>414237</v>
      </c>
      <c r="N463" s="10">
        <v>5014</v>
      </c>
      <c r="O463">
        <v>0.23480075506597833</v>
      </c>
      <c r="P463">
        <v>0.98828808762305342</v>
      </c>
      <c r="Q463">
        <v>-0.31636036095695819</v>
      </c>
      <c r="R463">
        <v>0.31636036095695824</v>
      </c>
      <c r="S463">
        <f t="shared" si="70"/>
        <v>-0.54064871843866791</v>
      </c>
      <c r="T463" s="148">
        <f t="shared" si="75"/>
        <v>-0.52767257615996799</v>
      </c>
      <c r="U463">
        <f t="shared" si="71"/>
        <v>2.275617418144436</v>
      </c>
      <c r="V463" s="55">
        <f t="shared" si="76"/>
        <v>2.2527633163662681</v>
      </c>
      <c r="W463">
        <f t="shared" si="72"/>
        <v>0.4465441289906138</v>
      </c>
      <c r="X463" s="55">
        <f t="shared" si="77"/>
        <v>0.43808321371308895</v>
      </c>
      <c r="Y463" s="149">
        <v>13.317660999999999</v>
      </c>
      <c r="Z463" s="55">
        <f t="shared" si="73"/>
        <v>4.5776158783197756E-3</v>
      </c>
      <c r="AA463" s="55">
        <f t="shared" si="78"/>
        <v>4.6825544410569742E-3</v>
      </c>
      <c r="AB463" s="55">
        <f t="shared" si="74"/>
        <v>-5.3865769669747383</v>
      </c>
      <c r="AC463" s="55">
        <f t="shared" si="79"/>
        <v>-5.36412169433087</v>
      </c>
      <c r="AD463" s="55"/>
      <c r="AE463" s="55"/>
      <c r="AF463" s="55"/>
      <c r="AG463" s="55"/>
      <c r="AH463" s="55"/>
    </row>
    <row r="464" spans="1:34" ht="15.75">
      <c r="A464" s="39">
        <v>13.0796949</v>
      </c>
      <c r="B464" s="39">
        <v>13.3194576</v>
      </c>
      <c r="C464" s="39">
        <v>462</v>
      </c>
      <c r="D464">
        <v>462</v>
      </c>
      <c r="E464" s="10">
        <v>1399250</v>
      </c>
      <c r="F464" s="10">
        <v>1078110</v>
      </c>
      <c r="G464" s="10">
        <v>21163</v>
      </c>
      <c r="H464" s="10">
        <v>42125</v>
      </c>
      <c r="I464" s="10">
        <v>61436</v>
      </c>
      <c r="J464" s="10">
        <v>31984</v>
      </c>
      <c r="K464">
        <v>462</v>
      </c>
      <c r="L464" s="10">
        <v>3116</v>
      </c>
      <c r="M464" s="10">
        <v>392972</v>
      </c>
      <c r="N464" s="10">
        <v>5024</v>
      </c>
      <c r="O464">
        <v>0.28349015494865171</v>
      </c>
      <c r="P464">
        <v>0.96982169329322432</v>
      </c>
      <c r="Q464">
        <v>-0.29896268193897729</v>
      </c>
      <c r="R464">
        <v>0.29896268193897724</v>
      </c>
      <c r="S464">
        <f t="shared" si="70"/>
        <v>-0.6527602047953377</v>
      </c>
      <c r="T464" s="148">
        <f t="shared" si="75"/>
        <v>-0.53693422757857079</v>
      </c>
      <c r="U464">
        <f t="shared" si="71"/>
        <v>2.2330969738392219</v>
      </c>
      <c r="V464" s="55">
        <f t="shared" si="76"/>
        <v>2.243966696139108</v>
      </c>
      <c r="W464">
        <f t="shared" si="72"/>
        <v>0.4129814038797277</v>
      </c>
      <c r="X464" s="55">
        <f t="shared" si="77"/>
        <v>0.43322515996551864</v>
      </c>
      <c r="Y464" s="149">
        <v>13.3194576</v>
      </c>
      <c r="Z464" s="55">
        <f t="shared" si="73"/>
        <v>4.660006863863613E-3</v>
      </c>
      <c r="AA464" s="55">
        <f t="shared" si="78"/>
        <v>4.687238108158083E-3</v>
      </c>
      <c r="AB464" s="55">
        <f t="shared" si="74"/>
        <v>-5.3687383579135615</v>
      </c>
      <c r="AC464" s="55">
        <f t="shared" si="79"/>
        <v>-5.3631493866351443</v>
      </c>
      <c r="AD464" s="55"/>
      <c r="AE464" s="55"/>
      <c r="AF464" s="55"/>
      <c r="AG464" s="55"/>
      <c r="AH464" s="55"/>
    </row>
    <row r="465" spans="1:34" ht="15.75">
      <c r="A465" s="39">
        <v>13.081830500000001</v>
      </c>
      <c r="B465" s="39">
        <v>13.3212542</v>
      </c>
      <c r="C465" s="39">
        <v>463</v>
      </c>
      <c r="D465">
        <v>463</v>
      </c>
      <c r="E465" s="10">
        <v>1378350</v>
      </c>
      <c r="F465" s="10">
        <v>1073570</v>
      </c>
      <c r="G465" s="10">
        <v>21071</v>
      </c>
      <c r="H465" s="10">
        <v>42436</v>
      </c>
      <c r="I465" s="10">
        <v>49672</v>
      </c>
      <c r="J465" s="10">
        <v>32722</v>
      </c>
      <c r="K465">
        <v>463</v>
      </c>
      <c r="L465" s="10">
        <v>2308</v>
      </c>
      <c r="M465" s="10">
        <v>391969</v>
      </c>
      <c r="N465" s="10">
        <v>5179</v>
      </c>
      <c r="O465">
        <v>0.18127180653244429</v>
      </c>
      <c r="P465">
        <v>0.96551728020737959</v>
      </c>
      <c r="Q465">
        <v>-0.30404929363631777</v>
      </c>
      <c r="R465">
        <v>0.30404929363631772</v>
      </c>
      <c r="S465">
        <f t="shared" ref="S465:S528" si="80">LN(J465/I465)</f>
        <v>-0.41739375950170693</v>
      </c>
      <c r="T465" s="148">
        <f t="shared" si="75"/>
        <v>-0.50612194725254778</v>
      </c>
      <c r="U465">
        <f t="shared" ref="U465:U528" si="81">LN(M465/H465)</f>
        <v>2.2231856964336671</v>
      </c>
      <c r="V465" s="55">
        <f t="shared" si="76"/>
        <v>2.2448508130441165</v>
      </c>
      <c r="W465">
        <f t="shared" ref="W465:W528" si="82">LN(J465/G465)</f>
        <v>0.44014994702621441</v>
      </c>
      <c r="X465" s="55">
        <f t="shared" si="77"/>
        <v>0.43523942714159453</v>
      </c>
      <c r="Y465" s="149">
        <v>13.3212542</v>
      </c>
      <c r="Z465" s="55">
        <f t="shared" si="73"/>
        <v>4.8240915822908613E-3</v>
      </c>
      <c r="AA465" s="55">
        <f t="shared" si="78"/>
        <v>4.7424133607163162E-3</v>
      </c>
      <c r="AB465" s="55">
        <f t="shared" si="74"/>
        <v>-5.3341328350171322</v>
      </c>
      <c r="AC465" s="55">
        <f t="shared" si="79"/>
        <v>-5.3513089211172762</v>
      </c>
      <c r="AD465" s="55"/>
      <c r="AE465" s="55"/>
      <c r="AF465" s="55"/>
      <c r="AG465" s="55"/>
      <c r="AH465" s="55"/>
    </row>
    <row r="466" spans="1:34" ht="15.75">
      <c r="A466" s="39">
        <v>13.0839661</v>
      </c>
      <c r="B466" s="39">
        <v>13.3230509</v>
      </c>
      <c r="C466" s="39">
        <v>464</v>
      </c>
      <c r="D466">
        <v>464</v>
      </c>
      <c r="E466" s="10">
        <v>1377260</v>
      </c>
      <c r="F466" s="10">
        <v>1078610</v>
      </c>
      <c r="G466" s="10">
        <v>20387</v>
      </c>
      <c r="H466" s="10">
        <v>41108</v>
      </c>
      <c r="I466" s="10">
        <v>50184</v>
      </c>
      <c r="J466" s="10">
        <v>32056</v>
      </c>
      <c r="K466">
        <v>464</v>
      </c>
      <c r="L466" s="10">
        <v>2206</v>
      </c>
      <c r="M466" s="10">
        <v>401205</v>
      </c>
      <c r="N466" s="10">
        <v>5116</v>
      </c>
      <c r="O466">
        <v>0.19465594510463455</v>
      </c>
      <c r="P466">
        <v>0.98943998890266027</v>
      </c>
      <c r="Q466">
        <v>-0.30457302493690652</v>
      </c>
      <c r="R466">
        <v>0.30457302493690658</v>
      </c>
      <c r="S466">
        <f t="shared" si="80"/>
        <v>-0.44821187746059882</v>
      </c>
      <c r="T466" s="148">
        <f t="shared" si="75"/>
        <v>-0.45151747629919248</v>
      </c>
      <c r="U466">
        <f t="shared" si="81"/>
        <v>2.2782697688594595</v>
      </c>
      <c r="V466" s="55">
        <f t="shared" si="76"/>
        <v>2.2549724254282526</v>
      </c>
      <c r="W466">
        <f t="shared" si="82"/>
        <v>0.45258693051884158</v>
      </c>
      <c r="X466" s="55">
        <f t="shared" si="77"/>
        <v>0.45341527624467964</v>
      </c>
      <c r="Y466" s="149">
        <v>13.3230509</v>
      </c>
      <c r="Z466" s="55">
        <f t="shared" si="73"/>
        <v>4.7431416359944743E-3</v>
      </c>
      <c r="AA466" s="55">
        <f t="shared" si="78"/>
        <v>4.7357074716537452E-3</v>
      </c>
      <c r="AB466" s="55">
        <f t="shared" si="74"/>
        <v>-5.351055570421134</v>
      </c>
      <c r="AC466" s="55">
        <f t="shared" si="79"/>
        <v>-5.3527510661647062</v>
      </c>
      <c r="AD466" s="55"/>
      <c r="AE466" s="55"/>
      <c r="AF466" s="55"/>
      <c r="AG466" s="55"/>
      <c r="AH466" s="55"/>
    </row>
    <row r="467" spans="1:34" ht="15.75">
      <c r="A467" s="39">
        <v>13.0861017</v>
      </c>
      <c r="B467" s="39">
        <v>13.324847500000001</v>
      </c>
      <c r="C467" s="39">
        <v>465</v>
      </c>
      <c r="D467">
        <v>465</v>
      </c>
      <c r="E467" s="10">
        <v>1365490</v>
      </c>
      <c r="F467" s="10">
        <v>1068560</v>
      </c>
      <c r="G467" s="10">
        <v>19867</v>
      </c>
      <c r="H467" s="10">
        <v>40560</v>
      </c>
      <c r="I467" s="10">
        <v>51703</v>
      </c>
      <c r="J467" s="10">
        <v>31708</v>
      </c>
      <c r="K467">
        <v>465</v>
      </c>
      <c r="L467" s="10">
        <v>2027</v>
      </c>
      <c r="M467" s="10">
        <v>390038</v>
      </c>
      <c r="N467" s="10">
        <v>4958</v>
      </c>
      <c r="O467">
        <v>0.212346893681786</v>
      </c>
      <c r="P467">
        <v>0.98300897451240676</v>
      </c>
      <c r="Q467">
        <v>-0.30996565454566977</v>
      </c>
      <c r="R467">
        <v>0.30996565454566977</v>
      </c>
      <c r="S467">
        <f t="shared" si="80"/>
        <v>-0.48894679193527174</v>
      </c>
      <c r="T467" s="148">
        <f t="shared" si="75"/>
        <v>-0.45551720075479302</v>
      </c>
      <c r="U467">
        <f t="shared" si="81"/>
        <v>2.2634618109916316</v>
      </c>
      <c r="V467" s="55">
        <f t="shared" si="76"/>
        <v>2.258378947663394</v>
      </c>
      <c r="W467">
        <f t="shared" si="82"/>
        <v>0.46750895118898295</v>
      </c>
      <c r="X467" s="55">
        <f t="shared" si="77"/>
        <v>0.4513031149400813</v>
      </c>
      <c r="Y467" s="149">
        <v>13.324847500000001</v>
      </c>
      <c r="Z467" s="55">
        <f t="shared" si="73"/>
        <v>4.6398891966758999E-3</v>
      </c>
      <c r="AA467" s="55">
        <f t="shared" si="78"/>
        <v>4.6850506797124847E-3</v>
      </c>
      <c r="AB467" s="55">
        <f t="shared" si="74"/>
        <v>-5.3730647930558515</v>
      </c>
      <c r="AC467" s="55">
        <f t="shared" si="79"/>
        <v>-5.3634208180348901</v>
      </c>
      <c r="AD467" s="55"/>
      <c r="AE467" s="55"/>
      <c r="AF467" s="55"/>
      <c r="AG467" s="55"/>
      <c r="AH467" s="55"/>
    </row>
    <row r="468" spans="1:34" ht="15.75">
      <c r="A468" s="39">
        <v>13.088237299999999</v>
      </c>
      <c r="B468" s="39">
        <v>13.326644099999999</v>
      </c>
      <c r="C468" s="39">
        <v>466</v>
      </c>
      <c r="D468">
        <v>466</v>
      </c>
      <c r="E468" s="10">
        <v>1364760</v>
      </c>
      <c r="F468" s="10">
        <v>1071890</v>
      </c>
      <c r="G468" s="10">
        <v>20971</v>
      </c>
      <c r="H468" s="10">
        <v>41648</v>
      </c>
      <c r="I468" s="10">
        <v>49717</v>
      </c>
      <c r="J468" s="10">
        <v>32361</v>
      </c>
      <c r="K468">
        <v>466</v>
      </c>
      <c r="L468" s="10">
        <v>1613</v>
      </c>
      <c r="M468" s="10">
        <v>388642</v>
      </c>
      <c r="N468" s="10">
        <v>5008</v>
      </c>
      <c r="O468">
        <v>0.18648298131304672</v>
      </c>
      <c r="P468">
        <v>0.96995558163498719</v>
      </c>
      <c r="Q468">
        <v>-0.29797501051788555</v>
      </c>
      <c r="R468">
        <v>0.29797501051788561</v>
      </c>
      <c r="S468">
        <f t="shared" si="80"/>
        <v>-0.4293929328685086</v>
      </c>
      <c r="T468" s="148">
        <f t="shared" si="75"/>
        <v>-0.41884963408040171</v>
      </c>
      <c r="U468">
        <f t="shared" si="81"/>
        <v>2.2334052631390908</v>
      </c>
      <c r="V468" s="55">
        <f t="shared" si="76"/>
        <v>2.2257764833097262</v>
      </c>
      <c r="W468">
        <f t="shared" si="82"/>
        <v>0.43381346311241942</v>
      </c>
      <c r="X468" s="55">
        <f t="shared" si="77"/>
        <v>0.42590145844922406</v>
      </c>
      <c r="Y468" s="149">
        <v>13.326644099999999</v>
      </c>
      <c r="Z468" s="55">
        <f t="shared" si="73"/>
        <v>4.6721212064670817E-3</v>
      </c>
      <c r="AA468" s="55">
        <f t="shared" si="78"/>
        <v>4.6890820260255548E-3</v>
      </c>
      <c r="AB468" s="55">
        <f t="shared" si="74"/>
        <v>-5.3661420906276858</v>
      </c>
      <c r="AC468" s="55">
        <f t="shared" si="79"/>
        <v>-5.3625719680977513</v>
      </c>
      <c r="AD468" s="55"/>
      <c r="AE468" s="55"/>
      <c r="AF468" s="55"/>
      <c r="AG468" s="55"/>
      <c r="AH468" s="55"/>
    </row>
    <row r="469" spans="1:34" ht="15.75">
      <c r="A469" s="39">
        <v>13.0903729</v>
      </c>
      <c r="B469" s="39">
        <v>13.3284407</v>
      </c>
      <c r="C469" s="39">
        <v>467</v>
      </c>
      <c r="D469">
        <v>467</v>
      </c>
      <c r="E469" s="10">
        <v>1366590</v>
      </c>
      <c r="F469" s="10">
        <v>1078180</v>
      </c>
      <c r="G469" s="10">
        <v>22560</v>
      </c>
      <c r="H469" s="10">
        <v>43268</v>
      </c>
      <c r="I469" s="10">
        <v>46098</v>
      </c>
      <c r="J469" s="10">
        <v>32870</v>
      </c>
      <c r="K469">
        <v>467</v>
      </c>
      <c r="L469" s="10">
        <v>2386</v>
      </c>
      <c r="M469" s="10">
        <v>382939</v>
      </c>
      <c r="N469" s="10">
        <v>5127</v>
      </c>
      <c r="O469">
        <v>0.1468823794901114</v>
      </c>
      <c r="P469">
        <v>0.94696277780692406</v>
      </c>
      <c r="Q469">
        <v>-0.28282772572430143</v>
      </c>
      <c r="R469">
        <v>0.28282772572430137</v>
      </c>
      <c r="S469">
        <f t="shared" si="80"/>
        <v>-0.33820917743742479</v>
      </c>
      <c r="T469" s="148">
        <f t="shared" si="75"/>
        <v>-0.36446956222378857</v>
      </c>
      <c r="U469">
        <f t="shared" si="81"/>
        <v>2.1804623757984563</v>
      </c>
      <c r="V469" s="55">
        <f t="shared" si="76"/>
        <v>2.1980665803355897</v>
      </c>
      <c r="W469">
        <f t="shared" si="82"/>
        <v>0.37638196104626986</v>
      </c>
      <c r="X469" s="55">
        <f t="shared" si="77"/>
        <v>0.41431673333476277</v>
      </c>
      <c r="Y469" s="149">
        <v>13.3284407</v>
      </c>
      <c r="Z469" s="55">
        <f t="shared" si="73"/>
        <v>4.7552356749336845E-3</v>
      </c>
      <c r="AA469" s="55">
        <f t="shared" si="78"/>
        <v>4.7948298695968993E-3</v>
      </c>
      <c r="AB469" s="55">
        <f t="shared" si="74"/>
        <v>-5.3485090206097201</v>
      </c>
      <c r="AC469" s="55">
        <f t="shared" si="79"/>
        <v>-5.3405262985967132</v>
      </c>
      <c r="AD469" s="55"/>
      <c r="AE469" s="55"/>
      <c r="AF469" s="55"/>
      <c r="AG469" s="55"/>
      <c r="AH469" s="55"/>
    </row>
    <row r="470" spans="1:34" ht="15.75">
      <c r="A470" s="39">
        <v>13.092508499999999</v>
      </c>
      <c r="B470" s="39">
        <v>13.3302373</v>
      </c>
      <c r="C470" s="39">
        <v>468</v>
      </c>
      <c r="D470">
        <v>468</v>
      </c>
      <c r="E470" s="10">
        <v>1390200</v>
      </c>
      <c r="F470" s="10">
        <v>1085910</v>
      </c>
      <c r="G470" s="10">
        <v>21760</v>
      </c>
      <c r="H470" s="10">
        <v>43753</v>
      </c>
      <c r="I470" s="10">
        <v>46462</v>
      </c>
      <c r="J470" s="10">
        <v>33543</v>
      </c>
      <c r="K470">
        <v>468</v>
      </c>
      <c r="L470" s="10">
        <v>2783</v>
      </c>
      <c r="M470" s="10">
        <v>387181</v>
      </c>
      <c r="N470" s="10">
        <v>5383</v>
      </c>
      <c r="O470">
        <v>0.14149599828329767</v>
      </c>
      <c r="P470">
        <v>0.94690620064518083</v>
      </c>
      <c r="Q470">
        <v>-0.30334894550424601</v>
      </c>
      <c r="R470">
        <v>0.30334894550424601</v>
      </c>
      <c r="S470">
        <f t="shared" si="80"/>
        <v>-0.32580657636543237</v>
      </c>
      <c r="T470" s="148">
        <f t="shared" si="75"/>
        <v>-0.32865354039353684</v>
      </c>
      <c r="U470">
        <f t="shared" si="81"/>
        <v>2.1803321020692223</v>
      </c>
      <c r="V470" s="55">
        <f t="shared" si="76"/>
        <v>2.1937261954213372</v>
      </c>
      <c r="W470">
        <f t="shared" si="82"/>
        <v>0.43275477584559885</v>
      </c>
      <c r="X470" s="55">
        <f t="shared" si="77"/>
        <v>0.40194171509311322</v>
      </c>
      <c r="Y470" s="149">
        <v>13.3302373</v>
      </c>
      <c r="Z470" s="55">
        <f t="shared" si="73"/>
        <v>4.9571327273899308E-3</v>
      </c>
      <c r="AA470" s="55">
        <f t="shared" si="78"/>
        <v>4.8033805532053083E-3</v>
      </c>
      <c r="AB470" s="55">
        <f t="shared" si="74"/>
        <v>-5.306927784552733</v>
      </c>
      <c r="AC470" s="55">
        <f t="shared" si="79"/>
        <v>-5.3387011542465403</v>
      </c>
      <c r="AD470" s="55"/>
      <c r="AE470" s="55"/>
      <c r="AF470" s="55"/>
      <c r="AG470" s="55"/>
      <c r="AH470" s="55"/>
    </row>
    <row r="471" spans="1:34" ht="15.75">
      <c r="A471" s="39">
        <v>13.0946441</v>
      </c>
      <c r="B471" s="39">
        <v>13.332033900000001</v>
      </c>
      <c r="C471" s="39">
        <v>469</v>
      </c>
      <c r="D471">
        <v>469</v>
      </c>
      <c r="E471" s="10">
        <v>1399780</v>
      </c>
      <c r="F471" s="10">
        <v>1101160</v>
      </c>
      <c r="G471" s="10">
        <v>22430</v>
      </c>
      <c r="H471" s="10">
        <v>43264</v>
      </c>
      <c r="I471" s="10">
        <v>46018</v>
      </c>
      <c r="J471" s="10">
        <v>33351</v>
      </c>
      <c r="K471">
        <v>469</v>
      </c>
      <c r="L471" s="10">
        <v>2872</v>
      </c>
      <c r="M471" s="10">
        <v>398499</v>
      </c>
      <c r="N471" s="10">
        <v>5173</v>
      </c>
      <c r="O471">
        <v>0.13981887937923254</v>
      </c>
      <c r="P471">
        <v>0.96430056598219949</v>
      </c>
      <c r="Q471">
        <v>-0.28529739634255535</v>
      </c>
      <c r="R471">
        <v>0.28529739634255535</v>
      </c>
      <c r="S471">
        <f t="shared" si="80"/>
        <v>-0.32194486737775341</v>
      </c>
      <c r="T471" s="148">
        <f t="shared" si="75"/>
        <v>-0.34976791547069258</v>
      </c>
      <c r="U471">
        <f t="shared" si="81"/>
        <v>2.2203841083963338</v>
      </c>
      <c r="V471" s="55">
        <f t="shared" si="76"/>
        <v>2.2197609981509823</v>
      </c>
      <c r="W471">
        <f t="shared" si="82"/>
        <v>0.39668840838747077</v>
      </c>
      <c r="X471" s="55">
        <f t="shared" si="77"/>
        <v>0.42181176192752234</v>
      </c>
      <c r="Y471" s="149">
        <v>13.332033900000001</v>
      </c>
      <c r="Z471" s="55">
        <f t="shared" si="73"/>
        <v>4.6977732572923096E-3</v>
      </c>
      <c r="AA471" s="55">
        <f t="shared" si="78"/>
        <v>4.7691790612769099E-3</v>
      </c>
      <c r="AB471" s="55">
        <f t="shared" si="74"/>
        <v>-5.3606666575771706</v>
      </c>
      <c r="AC471" s="55">
        <f t="shared" si="79"/>
        <v>-5.345972270755289</v>
      </c>
      <c r="AD471" s="55"/>
      <c r="AE471" s="55"/>
      <c r="AF471" s="55"/>
      <c r="AG471" s="55"/>
      <c r="AH471" s="55"/>
    </row>
    <row r="472" spans="1:34" ht="15.75">
      <c r="A472" s="39">
        <v>13.096779700000001</v>
      </c>
      <c r="B472" s="39">
        <v>13.333830499999999</v>
      </c>
      <c r="C472" s="39">
        <v>470</v>
      </c>
      <c r="D472">
        <v>470</v>
      </c>
      <c r="E472" s="10">
        <v>1419760</v>
      </c>
      <c r="F472" s="10">
        <v>1108620</v>
      </c>
      <c r="G472" s="10">
        <v>21636</v>
      </c>
      <c r="H472" s="10">
        <v>42147</v>
      </c>
      <c r="I472" s="10">
        <v>49994</v>
      </c>
      <c r="J472" s="10">
        <v>33460</v>
      </c>
      <c r="K472">
        <v>470</v>
      </c>
      <c r="L472" s="10">
        <v>2966</v>
      </c>
      <c r="M472" s="10">
        <v>403320</v>
      </c>
      <c r="N472" s="10">
        <v>5158</v>
      </c>
      <c r="O472">
        <v>0.17439194924464427</v>
      </c>
      <c r="P472">
        <v>0.98088309129569751</v>
      </c>
      <c r="Q472">
        <v>-0.289589694451378</v>
      </c>
      <c r="R472">
        <v>0.28958969445137805</v>
      </c>
      <c r="S472">
        <f t="shared" si="80"/>
        <v>-0.40155230266889208</v>
      </c>
      <c r="T472" s="148">
        <f t="shared" si="75"/>
        <v>-0.3946092531609402</v>
      </c>
      <c r="U472">
        <f t="shared" si="81"/>
        <v>2.2585667839873906</v>
      </c>
      <c r="V472" s="55">
        <f t="shared" si="76"/>
        <v>2.2224506565811097</v>
      </c>
      <c r="W472">
        <f t="shared" si="82"/>
        <v>0.43599210154949747</v>
      </c>
      <c r="X472" s="55">
        <f t="shared" si="77"/>
        <v>0.40670158612358925</v>
      </c>
      <c r="Y472" s="149">
        <v>13.333830499999999</v>
      </c>
      <c r="Z472" s="55">
        <f t="shared" si="73"/>
        <v>4.6526311991484911E-3</v>
      </c>
      <c r="AA472" s="55">
        <f t="shared" si="78"/>
        <v>4.7114307379506606E-3</v>
      </c>
      <c r="AB472" s="55">
        <f t="shared" si="74"/>
        <v>-5.3703223701359635</v>
      </c>
      <c r="AC472" s="55">
        <f t="shared" si="79"/>
        <v>-5.3578302508005935</v>
      </c>
      <c r="AD472" s="55"/>
      <c r="AE472" s="55"/>
      <c r="AF472" s="55"/>
      <c r="AG472" s="55"/>
      <c r="AH472" s="55"/>
    </row>
    <row r="473" spans="1:34" ht="15.75">
      <c r="A473" s="39">
        <v>13.0989153</v>
      </c>
      <c r="B473" s="39">
        <v>13.3356271</v>
      </c>
      <c r="C473" s="39">
        <v>471</v>
      </c>
      <c r="D473">
        <v>471</v>
      </c>
      <c r="E473" s="10">
        <v>1411630</v>
      </c>
      <c r="F473" s="10">
        <v>1104750</v>
      </c>
      <c r="G473" s="10">
        <v>22503</v>
      </c>
      <c r="H473" s="10">
        <v>43548</v>
      </c>
      <c r="I473" s="10">
        <v>52531</v>
      </c>
      <c r="J473" s="10">
        <v>33151</v>
      </c>
      <c r="K473">
        <v>471</v>
      </c>
      <c r="L473" s="10">
        <v>2592</v>
      </c>
      <c r="M473" s="10">
        <v>388489</v>
      </c>
      <c r="N473" s="10">
        <v>5285</v>
      </c>
      <c r="O473">
        <v>0.19991903484340229</v>
      </c>
      <c r="P473">
        <v>0.95041051208840777</v>
      </c>
      <c r="Q473">
        <v>-0.28672779406595067</v>
      </c>
      <c r="R473">
        <v>0.28672779406595067</v>
      </c>
      <c r="S473">
        <f t="shared" si="80"/>
        <v>-0.46033058943617522</v>
      </c>
      <c r="T473" s="148">
        <f t="shared" si="75"/>
        <v>-0.43113564078076722</v>
      </c>
      <c r="U473">
        <f t="shared" si="81"/>
        <v>2.1884010773596048</v>
      </c>
      <c r="V473" s="55">
        <f t="shared" si="76"/>
        <v>2.2426487706420875</v>
      </c>
      <c r="W473">
        <f t="shared" si="82"/>
        <v>0.38742424843379947</v>
      </c>
      <c r="X473" s="55">
        <f t="shared" si="77"/>
        <v>0.41679522039472089</v>
      </c>
      <c r="Y473" s="149">
        <v>13.3356271</v>
      </c>
      <c r="Z473" s="55">
        <f t="shared" si="73"/>
        <v>4.7838877574111786E-3</v>
      </c>
      <c r="AA473" s="55">
        <f t="shared" si="78"/>
        <v>4.6610497825702738E-3</v>
      </c>
      <c r="AB473" s="55">
        <f t="shared" si="74"/>
        <v>-5.3425017246886481</v>
      </c>
      <c r="AC473" s="55">
        <f t="shared" si="79"/>
        <v>-5.3687309961923964</v>
      </c>
      <c r="AD473" s="55"/>
      <c r="AE473" s="55"/>
      <c r="AF473" s="55"/>
      <c r="AG473" s="55"/>
      <c r="AH473" s="55"/>
    </row>
    <row r="474" spans="1:34" ht="15.75">
      <c r="A474" s="39">
        <v>13.101050900000001</v>
      </c>
      <c r="B474" s="39">
        <v>13.3374237</v>
      </c>
      <c r="C474" s="39">
        <v>472</v>
      </c>
      <c r="D474">
        <v>472</v>
      </c>
      <c r="E474" s="10">
        <v>1437830</v>
      </c>
      <c r="F474" s="10">
        <v>1121050</v>
      </c>
      <c r="G474" s="10">
        <v>21254</v>
      </c>
      <c r="H474" s="10">
        <v>42447</v>
      </c>
      <c r="I474" s="10">
        <v>50151</v>
      </c>
      <c r="J474" s="10">
        <v>32574</v>
      </c>
      <c r="K474">
        <v>472</v>
      </c>
      <c r="L474" s="10">
        <v>2650</v>
      </c>
      <c r="M474" s="10">
        <v>415397</v>
      </c>
      <c r="N474" s="10">
        <v>5097</v>
      </c>
      <c r="O474">
        <v>0.18740850514068289</v>
      </c>
      <c r="P474">
        <v>0.99061635442680451</v>
      </c>
      <c r="Q474">
        <v>-0.30040632506310172</v>
      </c>
      <c r="R474">
        <v>0.30040632506310166</v>
      </c>
      <c r="S474">
        <f t="shared" si="80"/>
        <v>-0.4315240302372344</v>
      </c>
      <c r="T474" s="148">
        <f t="shared" si="75"/>
        <v>-0.45935220597741466</v>
      </c>
      <c r="U474">
        <f t="shared" si="81"/>
        <v>2.2809784505792661</v>
      </c>
      <c r="V474" s="55">
        <f t="shared" si="76"/>
        <v>2.2452502352911647</v>
      </c>
      <c r="W474">
        <f t="shared" si="82"/>
        <v>0.42696931120086568</v>
      </c>
      <c r="X474" s="55">
        <f t="shared" si="77"/>
        <v>0.40012644272636583</v>
      </c>
      <c r="Y474" s="149">
        <v>13.3374237</v>
      </c>
      <c r="Z474" s="55">
        <f t="shared" si="73"/>
        <v>4.5466303911511526E-3</v>
      </c>
      <c r="AA474" s="55">
        <f t="shared" si="78"/>
        <v>4.656781556768453E-3</v>
      </c>
      <c r="AB474" s="55">
        <f t="shared" si="74"/>
        <v>-5.3933688937525757</v>
      </c>
      <c r="AC474" s="55">
        <f t="shared" si="79"/>
        <v>-5.3696496398131712</v>
      </c>
      <c r="AD474" s="55"/>
      <c r="AE474" s="55"/>
      <c r="AF474" s="55"/>
      <c r="AG474" s="55"/>
      <c r="AH474" s="55"/>
    </row>
    <row r="475" spans="1:34" ht="15.75">
      <c r="A475" s="39">
        <v>13.1031864</v>
      </c>
      <c r="B475" s="39">
        <v>13.339220299999999</v>
      </c>
      <c r="C475" s="39">
        <v>473</v>
      </c>
      <c r="D475">
        <v>473</v>
      </c>
      <c r="E475" s="10">
        <v>1432720</v>
      </c>
      <c r="F475" s="10">
        <v>1115990</v>
      </c>
      <c r="G475" s="10">
        <v>22515</v>
      </c>
      <c r="H475" s="10">
        <v>42833</v>
      </c>
      <c r="I475" s="10">
        <v>53859</v>
      </c>
      <c r="J475" s="10">
        <v>33121</v>
      </c>
      <c r="K475">
        <v>473</v>
      </c>
      <c r="L475" s="10">
        <v>2424</v>
      </c>
      <c r="M475" s="10">
        <v>413096</v>
      </c>
      <c r="N475" s="10">
        <v>5178</v>
      </c>
      <c r="O475">
        <v>0.2111548449341461</v>
      </c>
      <c r="P475">
        <v>0.98427249652157955</v>
      </c>
      <c r="Q475">
        <v>-0.27930654191195392</v>
      </c>
      <c r="R475">
        <v>0.27930654191195392</v>
      </c>
      <c r="S475">
        <f t="shared" si="80"/>
        <v>-0.48620199825883426</v>
      </c>
      <c r="T475" s="148">
        <f t="shared" si="75"/>
        <v>-0.45917874992142349</v>
      </c>
      <c r="U475">
        <f t="shared" si="81"/>
        <v>2.2663711779346225</v>
      </c>
      <c r="V475" s="55">
        <f t="shared" si="76"/>
        <v>2.2488618465866912</v>
      </c>
      <c r="W475">
        <f t="shared" si="82"/>
        <v>0.38598576854443245</v>
      </c>
      <c r="X475" s="55">
        <f t="shared" si="77"/>
        <v>0.39358440177751913</v>
      </c>
      <c r="Y475" s="149">
        <v>13.339220299999999</v>
      </c>
      <c r="Z475" s="55">
        <f t="shared" si="73"/>
        <v>4.6398265217430261E-3</v>
      </c>
      <c r="AA475" s="55">
        <f t="shared" si="78"/>
        <v>4.6521620838812991E-3</v>
      </c>
      <c r="AB475" s="55">
        <f t="shared" si="74"/>
        <v>-5.3730783009982872</v>
      </c>
      <c r="AC475" s="55">
        <f t="shared" si="79"/>
        <v>-5.370616672723461</v>
      </c>
      <c r="AD475" s="55"/>
      <c r="AE475" s="55"/>
      <c r="AF475" s="55"/>
      <c r="AG475" s="55"/>
      <c r="AH475" s="55"/>
    </row>
    <row r="476" spans="1:34" ht="15.75">
      <c r="A476" s="39">
        <v>13.105321999999999</v>
      </c>
      <c r="B476" s="39">
        <v>13.341017000000001</v>
      </c>
      <c r="C476" s="39">
        <v>474</v>
      </c>
      <c r="D476">
        <v>474</v>
      </c>
      <c r="E476" s="10">
        <v>1441670</v>
      </c>
      <c r="F476" s="10">
        <v>1107750</v>
      </c>
      <c r="G476" s="10">
        <v>24121</v>
      </c>
      <c r="H476" s="10">
        <v>44867</v>
      </c>
      <c r="I476" s="10">
        <v>55185</v>
      </c>
      <c r="J476" s="10">
        <v>34844</v>
      </c>
      <c r="K476">
        <v>474</v>
      </c>
      <c r="L476" s="10">
        <v>2467</v>
      </c>
      <c r="M476" s="10">
        <v>404616</v>
      </c>
      <c r="N476" s="10">
        <v>5284</v>
      </c>
      <c r="O476">
        <v>0.19969304181949329</v>
      </c>
      <c r="P476">
        <v>0.95511602065768775</v>
      </c>
      <c r="Q476">
        <v>-0.26953172304223005</v>
      </c>
      <c r="R476">
        <v>0.26953172304223</v>
      </c>
      <c r="S476">
        <f t="shared" si="80"/>
        <v>-0.45981022126820181</v>
      </c>
      <c r="T476" s="148">
        <f t="shared" si="75"/>
        <v>-0.49930764586483267</v>
      </c>
      <c r="U476">
        <f t="shared" si="81"/>
        <v>2.199235911246185</v>
      </c>
      <c r="V476" s="55">
        <f t="shared" si="76"/>
        <v>2.2381021152351148</v>
      </c>
      <c r="W476">
        <f t="shared" si="82"/>
        <v>0.36779812558725916</v>
      </c>
      <c r="X476" s="55">
        <f t="shared" si="77"/>
        <v>0.38556412282240576</v>
      </c>
      <c r="Y476" s="149">
        <v>13.341017000000001</v>
      </c>
      <c r="Z476" s="55">
        <f t="shared" si="73"/>
        <v>4.7700293387497178E-3</v>
      </c>
      <c r="AA476" s="55">
        <f t="shared" si="78"/>
        <v>4.6920195573892064E-3</v>
      </c>
      <c r="AB476" s="55">
        <f t="shared" si="74"/>
        <v>-5.3454028234195201</v>
      </c>
      <c r="AC476" s="55">
        <f t="shared" si="79"/>
        <v>-5.3619635882970984</v>
      </c>
      <c r="AD476" s="55"/>
      <c r="AE476" s="55"/>
      <c r="AF476" s="55"/>
      <c r="AG476" s="55"/>
      <c r="AH476" s="55"/>
    </row>
    <row r="477" spans="1:34" ht="15.75">
      <c r="A477" s="39">
        <v>13.1074576</v>
      </c>
      <c r="B477" s="39">
        <v>13.342813599999999</v>
      </c>
      <c r="C477" s="39">
        <v>475</v>
      </c>
      <c r="D477">
        <v>475</v>
      </c>
      <c r="E477" s="10">
        <v>1457920</v>
      </c>
      <c r="F477" s="10">
        <v>1121040</v>
      </c>
      <c r="G477" s="10">
        <v>22454</v>
      </c>
      <c r="H477" s="10">
        <v>43948</v>
      </c>
      <c r="I477" s="10">
        <v>58340</v>
      </c>
      <c r="J477" s="10">
        <v>33595</v>
      </c>
      <c r="K477">
        <v>475</v>
      </c>
      <c r="L477" s="10">
        <v>2928</v>
      </c>
      <c r="M477" s="10">
        <v>416425</v>
      </c>
      <c r="N477" s="10">
        <v>5231</v>
      </c>
      <c r="O477">
        <v>0.23969177935996014</v>
      </c>
      <c r="P477">
        <v>0.9765976785685514</v>
      </c>
      <c r="Q477">
        <v>-0.29164539753397217</v>
      </c>
      <c r="R477">
        <v>0.29164539753397217</v>
      </c>
      <c r="S477">
        <f t="shared" si="80"/>
        <v>-0.55191071806746206</v>
      </c>
      <c r="T477" s="148">
        <f t="shared" si="75"/>
        <v>-0.49188194902011412</v>
      </c>
      <c r="U477">
        <f t="shared" si="81"/>
        <v>2.2486992565245369</v>
      </c>
      <c r="V477" s="55">
        <f t="shared" si="76"/>
        <v>2.2256707392427759</v>
      </c>
      <c r="W477">
        <f t="shared" si="82"/>
        <v>0.40290847433552551</v>
      </c>
      <c r="X477" s="55">
        <f t="shared" si="77"/>
        <v>0.39375977394649841</v>
      </c>
      <c r="Y477" s="149">
        <v>13.342813599999999</v>
      </c>
      <c r="Z477" s="55">
        <f t="shared" si="73"/>
        <v>4.6662028116748735E-3</v>
      </c>
      <c r="AA477" s="55">
        <f t="shared" si="78"/>
        <v>4.6823900885346968E-3</v>
      </c>
      <c r="AB477" s="55">
        <f t="shared" si="74"/>
        <v>-5.3674096404734879</v>
      </c>
      <c r="AC477" s="55">
        <f t="shared" si="79"/>
        <v>-5.3640454702894962</v>
      </c>
      <c r="AD477" s="55"/>
      <c r="AE477" s="55"/>
      <c r="AF477" s="55"/>
      <c r="AG477" s="55"/>
      <c r="AH477" s="55"/>
    </row>
    <row r="478" spans="1:34" ht="15.75">
      <c r="A478" s="39">
        <v>13.109593200000001</v>
      </c>
      <c r="B478" s="39">
        <v>13.3446102</v>
      </c>
      <c r="C478" s="39">
        <v>476</v>
      </c>
      <c r="D478">
        <v>476</v>
      </c>
      <c r="E478" s="10">
        <v>1424160</v>
      </c>
      <c r="F478" s="10">
        <v>1117560</v>
      </c>
      <c r="G478" s="10">
        <v>21807</v>
      </c>
      <c r="H478" s="10">
        <v>43428</v>
      </c>
      <c r="I478" s="10">
        <v>52286</v>
      </c>
      <c r="J478" s="10">
        <v>32878</v>
      </c>
      <c r="K478">
        <v>476</v>
      </c>
      <c r="L478" s="10">
        <v>2440</v>
      </c>
      <c r="M478" s="10">
        <v>403502</v>
      </c>
      <c r="N478" s="10">
        <v>5153</v>
      </c>
      <c r="O478">
        <v>0.20148002744230309</v>
      </c>
      <c r="P478">
        <v>0.96807586253376732</v>
      </c>
      <c r="Q478">
        <v>-0.29917390557899309</v>
      </c>
      <c r="R478">
        <v>0.29917390557899309</v>
      </c>
      <c r="S478">
        <f t="shared" si="80"/>
        <v>-0.46392490772467843</v>
      </c>
      <c r="T478" s="148">
        <f t="shared" si="75"/>
        <v>-0.49419148330129398</v>
      </c>
      <c r="U478">
        <f t="shared" si="81"/>
        <v>2.2290770499576058</v>
      </c>
      <c r="V478" s="55">
        <f t="shared" si="76"/>
        <v>2.2402021639091871</v>
      </c>
      <c r="W478">
        <f t="shared" si="82"/>
        <v>0.41057272191671063</v>
      </c>
      <c r="X478" s="55">
        <f t="shared" si="77"/>
        <v>0.41558044853594822</v>
      </c>
      <c r="Y478" s="149">
        <v>13.3446102</v>
      </c>
      <c r="Z478" s="55">
        <f t="shared" si="73"/>
        <v>4.6109381151794981E-3</v>
      </c>
      <c r="AA478" s="55">
        <f t="shared" si="78"/>
        <v>4.635171896858776E-3</v>
      </c>
      <c r="AB478" s="55">
        <f t="shared" si="74"/>
        <v>-5.3793239469754797</v>
      </c>
      <c r="AC478" s="55">
        <f t="shared" si="79"/>
        <v>-5.3740943609700542</v>
      </c>
      <c r="AD478" s="55"/>
      <c r="AE478" s="55"/>
      <c r="AF478" s="55"/>
      <c r="AG478" s="55"/>
      <c r="AH478" s="55"/>
    </row>
    <row r="479" spans="1:34" ht="15.75">
      <c r="A479" s="39">
        <v>13.1117288</v>
      </c>
      <c r="B479" s="39">
        <v>13.3464068</v>
      </c>
      <c r="C479" s="39">
        <v>477</v>
      </c>
      <c r="D479">
        <v>477</v>
      </c>
      <c r="E479" s="10">
        <v>1443980</v>
      </c>
      <c r="F479" s="10">
        <v>1121560</v>
      </c>
      <c r="G479" s="10">
        <v>21832</v>
      </c>
      <c r="H479" s="10">
        <v>43300</v>
      </c>
      <c r="I479" s="10">
        <v>53698</v>
      </c>
      <c r="J479" s="10">
        <v>33671</v>
      </c>
      <c r="K479">
        <v>477</v>
      </c>
      <c r="L479" s="10">
        <v>2454</v>
      </c>
      <c r="M479" s="10">
        <v>407884</v>
      </c>
      <c r="N479" s="10">
        <v>5191</v>
      </c>
      <c r="O479">
        <v>0.20270209580174176</v>
      </c>
      <c r="P479">
        <v>0.974048773298133</v>
      </c>
      <c r="Q479">
        <v>-0.29739437369152527</v>
      </c>
      <c r="R479">
        <v>0.29739437369152533</v>
      </c>
      <c r="S479">
        <f t="shared" si="80"/>
        <v>-0.46673882411174156</v>
      </c>
      <c r="T479" s="148">
        <f t="shared" si="75"/>
        <v>-0.48548849655133702</v>
      </c>
      <c r="U479">
        <f t="shared" si="81"/>
        <v>2.2428301852454178</v>
      </c>
      <c r="V479" s="55">
        <f t="shared" si="76"/>
        <v>2.2430882222430455</v>
      </c>
      <c r="W479">
        <f t="shared" si="82"/>
        <v>0.43326014935560864</v>
      </c>
      <c r="X479" s="55">
        <f t="shared" si="77"/>
        <v>0.41676691996705978</v>
      </c>
      <c r="Y479" s="149">
        <v>13.3464068</v>
      </c>
      <c r="Z479" s="55">
        <f t="shared" si="73"/>
        <v>4.6283747637219583E-3</v>
      </c>
      <c r="AA479" s="55">
        <f t="shared" si="78"/>
        <v>4.6352429999120441E-3</v>
      </c>
      <c r="AB479" s="55">
        <f t="shared" si="74"/>
        <v>-5.3755494954611933</v>
      </c>
      <c r="AC479" s="55">
        <f t="shared" si="79"/>
        <v>-5.374079123435167</v>
      </c>
      <c r="AD479" s="55"/>
      <c r="AE479" s="55"/>
      <c r="AF479" s="55"/>
      <c r="AG479" s="55"/>
      <c r="AH479" s="55"/>
    </row>
    <row r="480" spans="1:34" ht="15.75">
      <c r="A480" s="39">
        <v>13.113864400000001</v>
      </c>
      <c r="B480" s="39">
        <v>13.348203399999999</v>
      </c>
      <c r="C480" s="39">
        <v>478</v>
      </c>
      <c r="D480">
        <v>478</v>
      </c>
      <c r="E480" s="10">
        <v>1453700</v>
      </c>
      <c r="F480" s="10">
        <v>1117560</v>
      </c>
      <c r="G480" s="10">
        <v>21928</v>
      </c>
      <c r="H480" s="10">
        <v>43591</v>
      </c>
      <c r="I480" s="10">
        <v>55703</v>
      </c>
      <c r="J480" s="10">
        <v>32925</v>
      </c>
      <c r="K480">
        <v>478</v>
      </c>
      <c r="L480" s="10">
        <v>2004</v>
      </c>
      <c r="M480" s="10">
        <v>416634</v>
      </c>
      <c r="N480" s="10">
        <v>5215</v>
      </c>
      <c r="O480">
        <v>0.22835280199520983</v>
      </c>
      <c r="P480">
        <v>0.98035787619508874</v>
      </c>
      <c r="Q480">
        <v>-0.29839780953970368</v>
      </c>
      <c r="R480">
        <v>0.29839780953970368</v>
      </c>
      <c r="S480">
        <f t="shared" si="80"/>
        <v>-0.52580175781759109</v>
      </c>
      <c r="T480" s="148">
        <f t="shared" si="75"/>
        <v>-0.50707289026912228</v>
      </c>
      <c r="U480">
        <f t="shared" si="81"/>
        <v>2.2573574315261138</v>
      </c>
      <c r="V480" s="55">
        <f t="shared" si="76"/>
        <v>2.229783796821442</v>
      </c>
      <c r="W480">
        <f t="shared" si="82"/>
        <v>0.40646788862886002</v>
      </c>
      <c r="X480" s="55">
        <f t="shared" si="77"/>
        <v>0.40212031703010725</v>
      </c>
      <c r="Y480" s="149">
        <v>13.348203399999999</v>
      </c>
      <c r="Z480" s="55">
        <f t="shared" si="73"/>
        <v>4.6664161208346752E-3</v>
      </c>
      <c r="AA480" s="55">
        <f t="shared" si="78"/>
        <v>4.6195462641141312E-3</v>
      </c>
      <c r="AB480" s="55">
        <f t="shared" si="74"/>
        <v>-5.3673639278688308</v>
      </c>
      <c r="AC480" s="55">
        <f t="shared" si="79"/>
        <v>-5.3775008650638298</v>
      </c>
      <c r="AD480" s="55"/>
      <c r="AE480" s="55"/>
      <c r="AF480" s="55"/>
      <c r="AG480" s="55"/>
      <c r="AH480" s="55"/>
    </row>
    <row r="481" spans="1:34" ht="15.75">
      <c r="A481" s="39">
        <v>13.116</v>
      </c>
      <c r="B481" s="39">
        <v>13.35</v>
      </c>
      <c r="C481" s="39">
        <v>479</v>
      </c>
      <c r="D481">
        <v>479</v>
      </c>
      <c r="E481" s="10">
        <v>1441240</v>
      </c>
      <c r="F481" s="10">
        <v>1109590</v>
      </c>
      <c r="G481" s="10">
        <v>23332</v>
      </c>
      <c r="H481" s="10">
        <v>44910</v>
      </c>
      <c r="I481" s="10">
        <v>57119</v>
      </c>
      <c r="J481" s="10">
        <v>33665</v>
      </c>
      <c r="K481">
        <v>479</v>
      </c>
      <c r="L481" s="10">
        <v>2275</v>
      </c>
      <c r="M481" s="10">
        <v>400945</v>
      </c>
      <c r="N481" s="10">
        <v>5064</v>
      </c>
      <c r="O481">
        <v>0.22960197670288721</v>
      </c>
      <c r="P481">
        <v>0.95074174689727975</v>
      </c>
      <c r="Q481">
        <v>-0.28439108730473694</v>
      </c>
      <c r="R481">
        <v>0.28439108730473694</v>
      </c>
      <c r="S481">
        <f t="shared" si="80"/>
        <v>-0.52867808887803425</v>
      </c>
      <c r="T481" s="148">
        <f t="shared" si="75"/>
        <v>-0.50296345839632139</v>
      </c>
      <c r="U481">
        <f t="shared" si="81"/>
        <v>2.1891637736927945</v>
      </c>
      <c r="V481" s="55">
        <f t="shared" si="76"/>
        <v>2.2013762604474851</v>
      </c>
      <c r="W481">
        <f t="shared" si="82"/>
        <v>0.36663291310585305</v>
      </c>
      <c r="X481" s="55">
        <f t="shared" si="77"/>
        <v>0.37769012302098365</v>
      </c>
      <c r="Y481" s="149">
        <v>13.35</v>
      </c>
      <c r="Z481" s="55">
        <f t="shared" si="73"/>
        <v>4.5638479077857591E-3</v>
      </c>
      <c r="AA481" s="55">
        <f t="shared" si="78"/>
        <v>4.675178629687045E-3</v>
      </c>
      <c r="AB481" s="55">
        <f t="shared" si="74"/>
        <v>-5.3895891718614672</v>
      </c>
      <c r="AC481" s="55">
        <f t="shared" si="79"/>
        <v>-5.3656926584444689</v>
      </c>
      <c r="AD481" s="55"/>
      <c r="AE481" s="55"/>
      <c r="AF481" s="55"/>
      <c r="AG481" s="55"/>
      <c r="AH481" s="55"/>
    </row>
    <row r="482" spans="1:34" ht="15.75">
      <c r="A482" s="39">
        <v>13.134499999999999</v>
      </c>
      <c r="B482" s="39">
        <v>13.3705</v>
      </c>
      <c r="C482" s="39">
        <v>480</v>
      </c>
      <c r="D482">
        <v>480</v>
      </c>
      <c r="E482" s="10">
        <v>1433720</v>
      </c>
      <c r="F482" s="10">
        <v>1107271.25</v>
      </c>
      <c r="G482" s="10">
        <v>23840.5</v>
      </c>
      <c r="H482" s="10">
        <v>45443.125</v>
      </c>
      <c r="I482" s="10">
        <v>53826.5</v>
      </c>
      <c r="J482" s="10">
        <v>34170.25</v>
      </c>
      <c r="K482">
        <v>480</v>
      </c>
      <c r="L482" s="10">
        <v>2501</v>
      </c>
      <c r="M482" s="10">
        <v>393102</v>
      </c>
      <c r="N482" s="10">
        <v>5309.6666670000004</v>
      </c>
      <c r="O482">
        <v>0.19734798504339748</v>
      </c>
      <c r="P482">
        <v>0.93703706442310708</v>
      </c>
      <c r="Q482">
        <v>-0.28015282948126963</v>
      </c>
      <c r="R482">
        <v>0.28015282948126963</v>
      </c>
      <c r="S482">
        <f t="shared" si="80"/>
        <v>-0.45441052849333879</v>
      </c>
      <c r="T482" s="148">
        <f t="shared" si="75"/>
        <v>-0.47323540315461621</v>
      </c>
      <c r="U482">
        <f t="shared" si="81"/>
        <v>2.1576075761235476</v>
      </c>
      <c r="V482" s="55">
        <f t="shared" si="76"/>
        <v>2.1728735512954902</v>
      </c>
      <c r="W482">
        <f t="shared" si="82"/>
        <v>0.35996956732823776</v>
      </c>
      <c r="X482" s="55">
        <f t="shared" si="77"/>
        <v>0.37007690242810626</v>
      </c>
      <c r="Y482" s="149">
        <v>13.3705</v>
      </c>
      <c r="Z482" s="55">
        <f t="shared" si="73"/>
        <v>4.7952718604407007E-3</v>
      </c>
      <c r="AA482" s="55">
        <f t="shared" si="78"/>
        <v>4.6679925764749131E-3</v>
      </c>
      <c r="AB482" s="55">
        <f t="shared" si="74"/>
        <v>-5.3401248756031059</v>
      </c>
      <c r="AC482" s="55">
        <f t="shared" si="79"/>
        <v>-5.3672361778359372</v>
      </c>
      <c r="AD482" s="55"/>
      <c r="AE482" s="55"/>
      <c r="AF482" s="55"/>
      <c r="AG482" s="55"/>
      <c r="AH482" s="55"/>
    </row>
    <row r="483" spans="1:34" ht="15.75">
      <c r="A483" s="39">
        <v>13.153</v>
      </c>
      <c r="B483" s="39">
        <v>13.391</v>
      </c>
      <c r="C483" s="39">
        <v>481</v>
      </c>
      <c r="D483">
        <v>481</v>
      </c>
      <c r="E483" s="10">
        <v>1435560</v>
      </c>
      <c r="F483" s="10">
        <v>1110260</v>
      </c>
      <c r="G483" s="10">
        <v>23364</v>
      </c>
      <c r="H483" s="10">
        <v>45365</v>
      </c>
      <c r="I483" s="10">
        <v>53061</v>
      </c>
      <c r="J483" s="10">
        <v>34289</v>
      </c>
      <c r="K483">
        <v>481</v>
      </c>
      <c r="L483" s="10">
        <v>2143</v>
      </c>
      <c r="M483" s="10">
        <v>398055</v>
      </c>
      <c r="N483" s="10">
        <v>5157</v>
      </c>
      <c r="O483">
        <v>0.18962061094764701</v>
      </c>
      <c r="P483">
        <v>0.94322216828307459</v>
      </c>
      <c r="Q483">
        <v>-0.28817371764564148</v>
      </c>
      <c r="R483">
        <v>0.28817371764564148</v>
      </c>
      <c r="S483">
        <f t="shared" si="80"/>
        <v>-0.43661759209247553</v>
      </c>
      <c r="T483" s="148">
        <f t="shared" si="75"/>
        <v>-0.46572545054158687</v>
      </c>
      <c r="U483">
        <f t="shared" si="81"/>
        <v>2.171849304070129</v>
      </c>
      <c r="V483" s="55">
        <f t="shared" si="76"/>
        <v>2.1774503690362099</v>
      </c>
      <c r="W483">
        <f t="shared" si="82"/>
        <v>0.38362822685022785</v>
      </c>
      <c r="X483" s="55">
        <f t="shared" si="77"/>
        <v>0.36903223015370945</v>
      </c>
      <c r="Y483" s="149">
        <v>13.391</v>
      </c>
      <c r="Z483" s="55">
        <f t="shared" si="73"/>
        <v>4.6448579611982777E-3</v>
      </c>
      <c r="AA483" s="55">
        <f t="shared" si="78"/>
        <v>4.7098401446316164E-3</v>
      </c>
      <c r="AB483" s="55">
        <f t="shared" si="74"/>
        <v>-5.3719944860432367</v>
      </c>
      <c r="AC483" s="55">
        <f t="shared" si="79"/>
        <v>-5.3581906666777641</v>
      </c>
      <c r="AD483" s="55"/>
      <c r="AE483" s="55"/>
      <c r="AF483" s="55"/>
      <c r="AG483" s="55"/>
      <c r="AH483" s="55"/>
    </row>
    <row r="484" spans="1:34" ht="15.75">
      <c r="A484" s="129">
        <v>13.1715</v>
      </c>
      <c r="B484" s="129">
        <v>13.4115</v>
      </c>
      <c r="C484" s="129">
        <v>482</v>
      </c>
      <c r="D484" s="130">
        <v>482</v>
      </c>
      <c r="E484" s="131">
        <v>1458350</v>
      </c>
      <c r="F484" s="131">
        <v>1115710</v>
      </c>
      <c r="G484" s="131">
        <v>23659</v>
      </c>
      <c r="H484" s="131">
        <v>45572</v>
      </c>
      <c r="I484" s="131">
        <v>56452</v>
      </c>
      <c r="J484" s="131">
        <v>34030</v>
      </c>
      <c r="K484" s="130">
        <v>482</v>
      </c>
      <c r="L484" s="131">
        <v>1979</v>
      </c>
      <c r="M484" s="131">
        <v>412480</v>
      </c>
      <c r="N484" s="131">
        <v>5232</v>
      </c>
      <c r="O484" s="130">
        <v>0.21981738376530652</v>
      </c>
      <c r="P484" s="130">
        <v>0.95670480696569415</v>
      </c>
      <c r="Q484" s="130">
        <v>-0.28470170444528842</v>
      </c>
      <c r="R484" s="130">
        <v>0.28470170444528842</v>
      </c>
      <c r="S484" s="130">
        <f t="shared" si="80"/>
        <v>-0.50614823103894624</v>
      </c>
      <c r="T484" s="148">
        <f t="shared" si="75"/>
        <v>-0.45993079634645256</v>
      </c>
      <c r="U484" s="130">
        <f t="shared" si="81"/>
        <v>2.2028942269149532</v>
      </c>
      <c r="V484" s="132">
        <f t="shared" si="76"/>
        <v>2.2079504958260565</v>
      </c>
      <c r="W484" s="130">
        <f t="shared" si="82"/>
        <v>0.36349889628266274</v>
      </c>
      <c r="X484" s="132">
        <f t="shared" si="77"/>
        <v>0.37155617265506485</v>
      </c>
      <c r="Y484" s="149">
        <v>13.4115</v>
      </c>
      <c r="Z484" s="132">
        <f t="shared" si="73"/>
        <v>4.6893906122558726E-3</v>
      </c>
      <c r="AA484" s="132">
        <f t="shared" si="78"/>
        <v>4.6876992403012468E-3</v>
      </c>
      <c r="AB484" s="132">
        <f t="shared" si="74"/>
        <v>-5.3624526383869497</v>
      </c>
      <c r="AC484" s="132">
        <f t="shared" si="79"/>
        <v>-5.3628401799067476</v>
      </c>
      <c r="AD484" s="55"/>
      <c r="AE484" s="55"/>
      <c r="AF484" s="55"/>
      <c r="AG484" s="55"/>
      <c r="AH484" s="55"/>
    </row>
    <row r="485" spans="1:34" ht="15.75">
      <c r="A485" s="39">
        <v>13.19</v>
      </c>
      <c r="B485" s="39">
        <v>13.432</v>
      </c>
      <c r="C485" s="39">
        <v>483</v>
      </c>
      <c r="D485">
        <v>483</v>
      </c>
      <c r="E485" s="10">
        <v>1439490</v>
      </c>
      <c r="F485" s="10">
        <v>1104920</v>
      </c>
      <c r="G485" s="10">
        <v>22653</v>
      </c>
      <c r="H485" s="10">
        <v>44152</v>
      </c>
      <c r="I485" s="10">
        <v>50646</v>
      </c>
      <c r="J485" s="10">
        <v>32715</v>
      </c>
      <c r="K485">
        <v>483</v>
      </c>
      <c r="L485" s="10">
        <v>1800</v>
      </c>
      <c r="M485" s="10">
        <v>418529</v>
      </c>
      <c r="N485" s="10">
        <v>5225</v>
      </c>
      <c r="O485">
        <v>0.18979822601894436</v>
      </c>
      <c r="P485">
        <v>0.97677517470964725</v>
      </c>
      <c r="Q485">
        <v>-0.28982465606951952</v>
      </c>
      <c r="R485">
        <v>0.28982465606951957</v>
      </c>
      <c r="S485">
        <f t="shared" si="80"/>
        <v>-0.43702656590793587</v>
      </c>
      <c r="T485" s="148">
        <f t="shared" si="75"/>
        <v>-0.46404337790014849</v>
      </c>
      <c r="U485">
        <f t="shared" si="81"/>
        <v>2.2491079564930883</v>
      </c>
      <c r="V485" s="55">
        <f t="shared" si="76"/>
        <v>2.238410296260295</v>
      </c>
      <c r="W485">
        <f t="shared" si="82"/>
        <v>0.36754139483230386</v>
      </c>
      <c r="X485" s="55">
        <f t="shared" si="77"/>
        <v>0.37151122698795741</v>
      </c>
      <c r="Y485" s="149">
        <v>13.432</v>
      </c>
      <c r="Z485" s="55">
        <f t="shared" si="73"/>
        <v>4.7288491474495892E-3</v>
      </c>
      <c r="AA485" s="55">
        <f t="shared" si="78"/>
        <v>4.7232358939617641E-3</v>
      </c>
      <c r="AB485" s="55">
        <f t="shared" si="74"/>
        <v>-5.354073415290058</v>
      </c>
      <c r="AC485" s="55">
        <f t="shared" si="79"/>
        <v>-5.3552759087020254</v>
      </c>
      <c r="AD485" s="55"/>
      <c r="AE485" s="55"/>
      <c r="AF485" s="55"/>
      <c r="AG485" s="55"/>
      <c r="AH485" s="55"/>
    </row>
    <row r="486" spans="1:34" ht="15.75">
      <c r="A486" s="39">
        <v>13.208500000000001</v>
      </c>
      <c r="B486" s="39">
        <v>13.452500000000001</v>
      </c>
      <c r="C486" s="39">
        <v>484</v>
      </c>
      <c r="D486">
        <v>484</v>
      </c>
      <c r="E486" s="10">
        <v>1467430</v>
      </c>
      <c r="F486" s="10">
        <v>1108710</v>
      </c>
      <c r="G486" s="10">
        <v>22670</v>
      </c>
      <c r="H486" s="10">
        <v>45170</v>
      </c>
      <c r="I486" s="10">
        <v>52117</v>
      </c>
      <c r="J486" s="10">
        <v>33266</v>
      </c>
      <c r="K486">
        <v>484</v>
      </c>
      <c r="L486" s="10">
        <v>5064</v>
      </c>
      <c r="M486" s="10">
        <v>434268</v>
      </c>
      <c r="N486" s="10">
        <v>5268</v>
      </c>
      <c r="O486">
        <v>0.19497882537308875</v>
      </c>
      <c r="P486">
        <v>0.98290773802846665</v>
      </c>
      <c r="Q486">
        <v>-0.29939857043487683</v>
      </c>
      <c r="R486">
        <v>0.29939857043487683</v>
      </c>
      <c r="S486">
        <f t="shared" si="80"/>
        <v>-0.44895533675356342</v>
      </c>
      <c r="T486" s="148">
        <f t="shared" si="75"/>
        <v>-0.46240000569950251</v>
      </c>
      <c r="U486">
        <f t="shared" si="81"/>
        <v>2.2632287053728439</v>
      </c>
      <c r="V486" s="55">
        <f t="shared" si="76"/>
        <v>2.2712996523012721</v>
      </c>
      <c r="W486">
        <f t="shared" si="82"/>
        <v>0.38349338984890552</v>
      </c>
      <c r="X486" s="55">
        <f t="shared" si="77"/>
        <v>0.38486687204095221</v>
      </c>
      <c r="Y486" s="149">
        <v>13.452500000000001</v>
      </c>
      <c r="Z486" s="55">
        <f t="shared" si="73"/>
        <v>4.7514679221798304E-3</v>
      </c>
      <c r="AA486" s="55">
        <f t="shared" si="78"/>
        <v>4.6496621263362077E-3</v>
      </c>
      <c r="AB486" s="55">
        <f t="shared" si="74"/>
        <v>-5.3493016724290676</v>
      </c>
      <c r="AC486" s="55">
        <f t="shared" si="79"/>
        <v>-5.3713465653488406</v>
      </c>
      <c r="AD486" s="55"/>
      <c r="AE486" s="55"/>
      <c r="AF486" s="55"/>
      <c r="AG486" s="55"/>
      <c r="AH486" s="55"/>
    </row>
    <row r="487" spans="1:34" ht="15.75">
      <c r="A487" s="39">
        <v>13.227</v>
      </c>
      <c r="B487" s="39">
        <v>13.473000000000001</v>
      </c>
      <c r="C487" s="39">
        <v>485</v>
      </c>
      <c r="D487">
        <v>485</v>
      </c>
      <c r="E487" s="10">
        <v>1447930</v>
      </c>
      <c r="F487" s="10">
        <v>1099880</v>
      </c>
      <c r="G487" s="10">
        <v>21432</v>
      </c>
      <c r="H487" s="10">
        <v>43726</v>
      </c>
      <c r="I487" s="10">
        <v>52967</v>
      </c>
      <c r="J487" s="10">
        <v>32087</v>
      </c>
      <c r="K487">
        <v>485</v>
      </c>
      <c r="L487" s="10">
        <v>8914</v>
      </c>
      <c r="M487" s="10">
        <v>436813</v>
      </c>
      <c r="N487" s="10">
        <v>4915</v>
      </c>
      <c r="O487">
        <v>0.21767626132994533</v>
      </c>
      <c r="P487">
        <v>0.99955580449153736</v>
      </c>
      <c r="Q487">
        <v>-0.30967704984366118</v>
      </c>
      <c r="R487">
        <v>0.30967704984366118</v>
      </c>
      <c r="S487">
        <f t="shared" si="80"/>
        <v>-0.50121811443700826</v>
      </c>
      <c r="T487" s="148">
        <f t="shared" si="75"/>
        <v>-0.43257927873405905</v>
      </c>
      <c r="U487">
        <f t="shared" si="81"/>
        <v>2.3015622950378845</v>
      </c>
      <c r="V487" s="55">
        <f t="shared" si="76"/>
        <v>2.268829234431669</v>
      </c>
      <c r="W487">
        <f t="shared" si="82"/>
        <v>0.4035658314416472</v>
      </c>
      <c r="X487" s="55">
        <f t="shared" si="77"/>
        <v>0.38851004783115378</v>
      </c>
      <c r="Y487" s="149">
        <v>13.473000000000001</v>
      </c>
      <c r="Z487" s="55">
        <f t="shared" si="73"/>
        <v>4.4686693093792052E-3</v>
      </c>
      <c r="AA487" s="55">
        <f t="shared" si="78"/>
        <v>4.6603907834522106E-3</v>
      </c>
      <c r="AB487" s="55">
        <f t="shared" si="74"/>
        <v>-5.4106646083273953</v>
      </c>
      <c r="AC487" s="55">
        <f t="shared" si="79"/>
        <v>-5.3690854844014737</v>
      </c>
      <c r="AD487" s="55"/>
      <c r="AE487" s="55"/>
      <c r="AF487" s="55"/>
      <c r="AG487" s="55"/>
      <c r="AH487" s="55"/>
    </row>
    <row r="488" spans="1:34" ht="15.75">
      <c r="A488" s="39">
        <v>13.2455</v>
      </c>
      <c r="B488" s="39">
        <v>13.493499999999999</v>
      </c>
      <c r="C488" s="39">
        <v>486</v>
      </c>
      <c r="D488">
        <v>486</v>
      </c>
      <c r="E488" s="10">
        <v>1420210</v>
      </c>
      <c r="F488" s="10">
        <v>1095140</v>
      </c>
      <c r="G488" s="10">
        <v>22641</v>
      </c>
      <c r="H488" s="10">
        <v>43889</v>
      </c>
      <c r="I488" s="10">
        <v>46796</v>
      </c>
      <c r="J488" s="10">
        <v>33057</v>
      </c>
      <c r="K488">
        <v>486</v>
      </c>
      <c r="L488" s="10">
        <v>2726</v>
      </c>
      <c r="M488" s="10">
        <v>412964</v>
      </c>
      <c r="N488" s="10">
        <v>5214</v>
      </c>
      <c r="O488">
        <v>0.15094529451663749</v>
      </c>
      <c r="P488">
        <v>0.97355650816335515</v>
      </c>
      <c r="Q488">
        <v>-0.28746008095438413</v>
      </c>
      <c r="R488">
        <v>0.28746008095438413</v>
      </c>
      <c r="S488">
        <f t="shared" si="80"/>
        <v>-0.34756438501160541</v>
      </c>
      <c r="T488" s="148">
        <f t="shared" si="75"/>
        <v>-0.42844344919547012</v>
      </c>
      <c r="U488">
        <f t="shared" si="81"/>
        <v>2.2416967028842776</v>
      </c>
      <c r="V488" s="55">
        <f t="shared" si="76"/>
        <v>2.2611403253315276</v>
      </c>
      <c r="W488">
        <f t="shared" si="82"/>
        <v>0.37847092220290851</v>
      </c>
      <c r="X488" s="55">
        <f t="shared" si="77"/>
        <v>0.38676163477021624</v>
      </c>
      <c r="Y488" s="149">
        <v>13.493499999999999</v>
      </c>
      <c r="Z488" s="55">
        <f t="shared" si="73"/>
        <v>4.761035118797597E-3</v>
      </c>
      <c r="AA488" s="55">
        <f t="shared" si="78"/>
        <v>4.6618543315062278E-3</v>
      </c>
      <c r="AB488" s="55">
        <f t="shared" si="74"/>
        <v>-5.3472901724479591</v>
      </c>
      <c r="AC488" s="55">
        <f t="shared" si="79"/>
        <v>-5.3687776064381305</v>
      </c>
      <c r="AD488" s="55"/>
      <c r="AE488" s="55"/>
      <c r="AF488" s="55"/>
      <c r="AG488" s="55"/>
      <c r="AH488" s="55"/>
    </row>
    <row r="489" spans="1:34" ht="15.75">
      <c r="A489" s="39">
        <v>13.263999999999999</v>
      </c>
      <c r="B489" s="39">
        <v>13.513999999999999</v>
      </c>
      <c r="C489" s="39">
        <v>487</v>
      </c>
      <c r="D489">
        <v>487</v>
      </c>
      <c r="E489" s="10">
        <v>1419530</v>
      </c>
      <c r="F489" s="10">
        <v>1086870</v>
      </c>
      <c r="G489" s="10">
        <v>21974</v>
      </c>
      <c r="H489" s="10">
        <v>43753</v>
      </c>
      <c r="I489" s="10">
        <v>49633</v>
      </c>
      <c r="J489" s="10">
        <v>32076</v>
      </c>
      <c r="K489">
        <v>487</v>
      </c>
      <c r="L489" s="10">
        <v>2539</v>
      </c>
      <c r="M489" s="10">
        <v>411053</v>
      </c>
      <c r="N489" s="10">
        <v>5169</v>
      </c>
      <c r="O489">
        <v>0.18959032153298397</v>
      </c>
      <c r="P489">
        <v>0.97288998564632512</v>
      </c>
      <c r="Q489">
        <v>-0.29909871635062024</v>
      </c>
      <c r="R489">
        <v>0.2990987163506203</v>
      </c>
      <c r="S489">
        <f t="shared" si="80"/>
        <v>-0.43654784813779679</v>
      </c>
      <c r="T489" s="148">
        <f t="shared" si="75"/>
        <v>-0.40742730252335163</v>
      </c>
      <c r="U489">
        <f t="shared" si="81"/>
        <v>2.2401619780724196</v>
      </c>
      <c r="V489" s="55">
        <f t="shared" si="76"/>
        <v>2.2695580251974246</v>
      </c>
      <c r="W489">
        <f t="shared" si="82"/>
        <v>0.37824815066609302</v>
      </c>
      <c r="X489" s="55">
        <f t="shared" si="77"/>
        <v>0.38899264435373421</v>
      </c>
      <c r="Y489" s="149">
        <v>13.513999999999999</v>
      </c>
      <c r="Z489" s="55">
        <f t="shared" si="73"/>
        <v>4.7558585663418805E-3</v>
      </c>
      <c r="AA489" s="55">
        <f t="shared" si="78"/>
        <v>4.6800563973580234E-3</v>
      </c>
      <c r="AB489" s="55">
        <f t="shared" si="74"/>
        <v>-5.348378038539038</v>
      </c>
      <c r="AC489" s="55">
        <f t="shared" si="79"/>
        <v>-5.3647290296318291</v>
      </c>
      <c r="AD489" s="55"/>
      <c r="AE489" s="55"/>
      <c r="AF489" s="55"/>
      <c r="AG489" s="55"/>
      <c r="AH489" s="55"/>
    </row>
    <row r="490" spans="1:34" ht="15.75">
      <c r="A490" s="39">
        <v>13.282500000000001</v>
      </c>
      <c r="B490" s="39">
        <v>13.5345</v>
      </c>
      <c r="C490" s="39">
        <v>488</v>
      </c>
      <c r="D490">
        <v>488</v>
      </c>
      <c r="E490" s="10">
        <v>1437430</v>
      </c>
      <c r="F490" s="10">
        <v>1092350</v>
      </c>
      <c r="G490" s="10">
        <v>21088</v>
      </c>
      <c r="H490" s="10">
        <v>42110</v>
      </c>
      <c r="I490" s="10">
        <v>49261</v>
      </c>
      <c r="J490" s="10">
        <v>31784</v>
      </c>
      <c r="K490">
        <v>488</v>
      </c>
      <c r="L490" s="10">
        <v>2544</v>
      </c>
      <c r="M490" s="10">
        <v>431428</v>
      </c>
      <c r="N490" s="10">
        <v>4941</v>
      </c>
      <c r="O490">
        <v>0.19029467173823383</v>
      </c>
      <c r="P490">
        <v>1.0105230862977683</v>
      </c>
      <c r="Q490">
        <v>-0.30034984850634922</v>
      </c>
      <c r="R490">
        <v>0.30034984850634922</v>
      </c>
      <c r="S490">
        <f t="shared" si="80"/>
        <v>-0.43816967442065263</v>
      </c>
      <c r="T490" s="148">
        <f t="shared" si="75"/>
        <v>-0.40699455956324931</v>
      </c>
      <c r="U490">
        <f t="shared" si="81"/>
        <v>2.326815394635577</v>
      </c>
      <c r="V490" s="55">
        <f t="shared" si="76"/>
        <v>2.2792793277974739</v>
      </c>
      <c r="W490">
        <f t="shared" si="82"/>
        <v>0.41025886019220115</v>
      </c>
      <c r="X490" s="55">
        <f t="shared" si="77"/>
        <v>0.39860061943387287</v>
      </c>
      <c r="Y490" s="149">
        <v>13.5345</v>
      </c>
      <c r="Z490" s="55">
        <f t="shared" si="73"/>
        <v>4.5232755069345909E-3</v>
      </c>
      <c r="AA490" s="55">
        <f t="shared" si="78"/>
        <v>4.6434394093998596E-3</v>
      </c>
      <c r="AB490" s="55">
        <f t="shared" si="74"/>
        <v>-5.3985188779084883</v>
      </c>
      <c r="AC490" s="55">
        <f t="shared" si="79"/>
        <v>-5.3725101170924221</v>
      </c>
      <c r="AD490" s="55"/>
      <c r="AE490" s="55"/>
      <c r="AF490" s="55"/>
      <c r="AG490" s="55"/>
      <c r="AH490" s="55"/>
    </row>
    <row r="491" spans="1:34" ht="15.75">
      <c r="A491" s="39">
        <v>13.301</v>
      </c>
      <c r="B491" s="39">
        <v>13.555</v>
      </c>
      <c r="C491" s="39">
        <v>489</v>
      </c>
      <c r="D491">
        <v>489</v>
      </c>
      <c r="E491" s="10">
        <v>1412340</v>
      </c>
      <c r="F491" s="10">
        <v>1088540</v>
      </c>
      <c r="G491" s="10">
        <v>20931</v>
      </c>
      <c r="H491" s="10">
        <v>42893</v>
      </c>
      <c r="I491" s="10">
        <v>44469</v>
      </c>
      <c r="J491" s="10">
        <v>31454</v>
      </c>
      <c r="K491">
        <v>489</v>
      </c>
      <c r="L491" s="10">
        <v>3060</v>
      </c>
      <c r="M491" s="10">
        <v>415536</v>
      </c>
      <c r="N491" s="10">
        <v>5063</v>
      </c>
      <c r="O491">
        <v>0.15038148087767286</v>
      </c>
      <c r="P491">
        <v>0.98622223239169482</v>
      </c>
      <c r="Q491">
        <v>-0.3115964448023758</v>
      </c>
      <c r="R491">
        <v>0.31159644480237586</v>
      </c>
      <c r="S491">
        <f t="shared" si="80"/>
        <v>-0.34626615613129857</v>
      </c>
      <c r="T491" s="148">
        <f t="shared" si="75"/>
        <v>-0.38253474806301635</v>
      </c>
      <c r="U491">
        <f t="shared" si="81"/>
        <v>2.270860610684426</v>
      </c>
      <c r="V491" s="55">
        <f t="shared" si="76"/>
        <v>2.2788312304832807</v>
      </c>
      <c r="W491">
        <f t="shared" si="82"/>
        <v>0.4072948474433245</v>
      </c>
      <c r="X491" s="55">
        <f t="shared" si="77"/>
        <v>0.40613126214720624</v>
      </c>
      <c r="Y491" s="149">
        <v>13.555</v>
      </c>
      <c r="Z491" s="55">
        <f t="shared" si="73"/>
        <v>4.6511841549231082E-3</v>
      </c>
      <c r="AA491" s="55">
        <f t="shared" si="78"/>
        <v>4.6348438583855324E-3</v>
      </c>
      <c r="AB491" s="55">
        <f t="shared" si="74"/>
        <v>-5.3706334348297435</v>
      </c>
      <c r="AC491" s="55">
        <f t="shared" si="79"/>
        <v>-5.3743223952249437</v>
      </c>
      <c r="AD491" s="55"/>
      <c r="AE491" s="55"/>
      <c r="AF491" s="55"/>
      <c r="AG491" s="55"/>
      <c r="AH491" s="55"/>
    </row>
    <row r="492" spans="1:34" ht="15.75">
      <c r="A492" s="39">
        <v>13.3195</v>
      </c>
      <c r="B492" s="39">
        <v>13.5755</v>
      </c>
      <c r="C492" s="39">
        <v>490</v>
      </c>
      <c r="D492">
        <v>490</v>
      </c>
      <c r="E492" s="10">
        <v>1404150</v>
      </c>
      <c r="F492" s="10">
        <v>1086030</v>
      </c>
      <c r="G492" s="10">
        <v>21816</v>
      </c>
      <c r="H492" s="10">
        <v>42796</v>
      </c>
      <c r="I492" s="10">
        <v>46836</v>
      </c>
      <c r="J492" s="10">
        <v>32573</v>
      </c>
      <c r="K492">
        <v>490</v>
      </c>
      <c r="L492" s="10">
        <v>2560</v>
      </c>
      <c r="M492" s="10">
        <v>401522</v>
      </c>
      <c r="N492" s="10">
        <v>5137</v>
      </c>
      <c r="O492">
        <v>0.1577220380441493</v>
      </c>
      <c r="P492">
        <v>0.97230616707359563</v>
      </c>
      <c r="Q492">
        <v>-0.2926280539134955</v>
      </c>
      <c r="R492">
        <v>0.2926280539134955</v>
      </c>
      <c r="S492">
        <f t="shared" si="80"/>
        <v>-0.36316841363709779</v>
      </c>
      <c r="T492" s="148">
        <f t="shared" si="75"/>
        <v>-0.34669335745631019</v>
      </c>
      <c r="U492">
        <f t="shared" si="81"/>
        <v>2.2388176861298392</v>
      </c>
      <c r="V492" s="55">
        <f t="shared" si="76"/>
        <v>2.247313284974378</v>
      </c>
      <c r="W492">
        <f t="shared" si="82"/>
        <v>0.40084007880609296</v>
      </c>
      <c r="X492" s="55">
        <f t="shared" si="77"/>
        <v>0.39678175980946701</v>
      </c>
      <c r="Y492" s="149">
        <v>13.5755</v>
      </c>
      <c r="Z492" s="55">
        <f t="shared" si="73"/>
        <v>4.7300719132988963E-3</v>
      </c>
      <c r="AA492" s="55">
        <f t="shared" si="78"/>
        <v>4.6924536070460576E-3</v>
      </c>
      <c r="AB492" s="55">
        <f t="shared" si="74"/>
        <v>-5.3538148729365975</v>
      </c>
      <c r="AC492" s="55">
        <f t="shared" si="79"/>
        <v>-5.3618233992108095</v>
      </c>
      <c r="AD492" s="55"/>
      <c r="AE492" s="55"/>
      <c r="AF492" s="55"/>
      <c r="AG492" s="55"/>
      <c r="AH492" s="55"/>
    </row>
    <row r="493" spans="1:34" ht="15.75">
      <c r="A493" s="39">
        <v>13.337999999999999</v>
      </c>
      <c r="B493" s="39">
        <v>13.596</v>
      </c>
      <c r="C493" s="39">
        <v>491</v>
      </c>
      <c r="D493">
        <v>491</v>
      </c>
      <c r="E493" s="10">
        <v>1409180</v>
      </c>
      <c r="F493" s="10">
        <v>1091330</v>
      </c>
      <c r="G493" s="10">
        <v>22332</v>
      </c>
      <c r="H493" s="10">
        <v>43294</v>
      </c>
      <c r="I493" s="10">
        <v>45553</v>
      </c>
      <c r="J493" s="10">
        <v>32728</v>
      </c>
      <c r="K493">
        <v>491</v>
      </c>
      <c r="L493" s="10">
        <v>2101</v>
      </c>
      <c r="M493" s="10">
        <v>403540</v>
      </c>
      <c r="N493" s="10">
        <v>5125</v>
      </c>
      <c r="O493">
        <v>0.14359751724553926</v>
      </c>
      <c r="P493">
        <v>0.96945887685143661</v>
      </c>
      <c r="Q493">
        <v>-0.28750009363118095</v>
      </c>
      <c r="R493">
        <v>0.28750009363118095</v>
      </c>
      <c r="S493">
        <f t="shared" si="80"/>
        <v>-0.3306455026005341</v>
      </c>
      <c r="T493" s="148">
        <f t="shared" si="75"/>
        <v>-0.35646470971583727</v>
      </c>
      <c r="U493">
        <f t="shared" si="81"/>
        <v>2.2322615581088683</v>
      </c>
      <c r="V493" s="55">
        <f t="shared" si="76"/>
        <v>2.2485897542268165</v>
      </c>
      <c r="W493">
        <f t="shared" si="82"/>
        <v>0.38221035317898344</v>
      </c>
      <c r="X493" s="55">
        <f t="shared" si="77"/>
        <v>0.39093926304809967</v>
      </c>
      <c r="Y493" s="149">
        <v>13.596</v>
      </c>
      <c r="Z493" s="55">
        <f t="shared" si="73"/>
        <v>4.6961047529161665E-3</v>
      </c>
      <c r="AA493" s="55">
        <f t="shared" si="78"/>
        <v>4.6802562515703729E-3</v>
      </c>
      <c r="AB493" s="55">
        <f t="shared" si="74"/>
        <v>-5.3610218898660884</v>
      </c>
      <c r="AC493" s="55">
        <f t="shared" si="79"/>
        <v>-5.36445618864267</v>
      </c>
      <c r="AD493" s="55"/>
      <c r="AE493" s="55"/>
      <c r="AF493" s="55"/>
      <c r="AG493" s="55"/>
      <c r="AH493" s="55"/>
    </row>
    <row r="494" spans="1:34" ht="15.75">
      <c r="A494" s="39">
        <v>13.3565</v>
      </c>
      <c r="B494" s="39">
        <v>13.6165</v>
      </c>
      <c r="C494" s="39">
        <v>492</v>
      </c>
      <c r="D494">
        <v>492</v>
      </c>
      <c r="E494" s="10">
        <v>1442020</v>
      </c>
      <c r="F494" s="10">
        <v>1106490</v>
      </c>
      <c r="G494" s="10">
        <v>21851</v>
      </c>
      <c r="H494" s="10">
        <v>43752</v>
      </c>
      <c r="I494" s="10">
        <v>46974</v>
      </c>
      <c r="J494" s="10">
        <v>32266</v>
      </c>
      <c r="K494">
        <v>492</v>
      </c>
      <c r="L494" s="10">
        <v>2740</v>
      </c>
      <c r="M494" s="10">
        <v>425484</v>
      </c>
      <c r="N494" s="10">
        <v>5106</v>
      </c>
      <c r="O494">
        <v>0.16311241397880935</v>
      </c>
      <c r="P494">
        <v>0.98788532304965471</v>
      </c>
      <c r="Q494">
        <v>-0.30152659333729881</v>
      </c>
      <c r="R494">
        <v>0.30152659333729875</v>
      </c>
      <c r="S494">
        <f t="shared" si="80"/>
        <v>-0.37558021290987986</v>
      </c>
      <c r="T494" s="148">
        <f t="shared" si="75"/>
        <v>-0.3629502637068045</v>
      </c>
      <c r="U494">
        <f t="shared" si="81"/>
        <v>2.274690018441742</v>
      </c>
      <c r="V494" s="55">
        <f t="shared" si="76"/>
        <v>2.258974706008682</v>
      </c>
      <c r="W494">
        <f t="shared" si="82"/>
        <v>0.38976735715922256</v>
      </c>
      <c r="X494" s="55">
        <f t="shared" si="77"/>
        <v>0.38014203802476842</v>
      </c>
      <c r="Y494" s="149">
        <v>13.6165</v>
      </c>
      <c r="Z494" s="55">
        <f t="shared" si="73"/>
        <v>4.6145920884960549E-3</v>
      </c>
      <c r="AA494" s="55">
        <f t="shared" si="78"/>
        <v>4.6848581093498348E-3</v>
      </c>
      <c r="AB494" s="55">
        <f t="shared" si="74"/>
        <v>-5.3785318031253251</v>
      </c>
      <c r="AC494" s="55">
        <f t="shared" si="79"/>
        <v>-5.3634847118398064</v>
      </c>
      <c r="AD494" s="55"/>
      <c r="AE494" s="55"/>
      <c r="AF494" s="55"/>
      <c r="AG494" s="55"/>
      <c r="AH494" s="55"/>
    </row>
    <row r="495" spans="1:34" ht="15.75">
      <c r="A495" s="39">
        <v>13.375</v>
      </c>
      <c r="B495" s="39">
        <v>13.637</v>
      </c>
      <c r="C495" s="39">
        <v>493</v>
      </c>
      <c r="D495">
        <v>493</v>
      </c>
      <c r="E495" s="10">
        <v>1443050</v>
      </c>
      <c r="F495" s="10">
        <v>1109430</v>
      </c>
      <c r="G495" s="10">
        <v>22528</v>
      </c>
      <c r="H495" s="10">
        <v>43470</v>
      </c>
      <c r="I495" s="10">
        <v>47743</v>
      </c>
      <c r="J495" s="10">
        <v>32564</v>
      </c>
      <c r="K495">
        <v>493</v>
      </c>
      <c r="L495" s="10">
        <v>2927</v>
      </c>
      <c r="M495" s="10">
        <v>420752</v>
      </c>
      <c r="N495" s="10">
        <v>5263</v>
      </c>
      <c r="O495">
        <v>0.16617195897523723</v>
      </c>
      <c r="P495">
        <v>0.98583654883468197</v>
      </c>
      <c r="Q495">
        <v>-0.28546700272881881</v>
      </c>
      <c r="R495">
        <v>0.28546700272881886</v>
      </c>
      <c r="S495">
        <f t="shared" si="80"/>
        <v>-0.38262507560999953</v>
      </c>
      <c r="T495" s="148">
        <f t="shared" si="75"/>
        <v>-0.40294440598548853</v>
      </c>
      <c r="U495">
        <f t="shared" si="81"/>
        <v>2.2699725414754353</v>
      </c>
      <c r="V495" s="55">
        <f t="shared" si="76"/>
        <v>2.2654051011843777</v>
      </c>
      <c r="W495">
        <f t="shared" si="82"/>
        <v>0.36844840373609944</v>
      </c>
      <c r="X495" s="55">
        <f t="shared" si="77"/>
        <v>0.389756081094292</v>
      </c>
      <c r="Y495" s="149">
        <v>13.637</v>
      </c>
      <c r="Z495" s="55">
        <f t="shared" si="73"/>
        <v>4.7438774866372822E-3</v>
      </c>
      <c r="AA495" s="55">
        <f t="shared" si="78"/>
        <v>4.6826514992019752E-3</v>
      </c>
      <c r="AB495" s="55">
        <f t="shared" si="74"/>
        <v>-5.3509004425280056</v>
      </c>
      <c r="AC495" s="55">
        <f t="shared" si="79"/>
        <v>-5.3639549242803852</v>
      </c>
      <c r="AD495" s="55"/>
      <c r="AE495" s="55"/>
      <c r="AF495" s="55"/>
      <c r="AG495" s="55"/>
      <c r="AH495" s="55"/>
    </row>
    <row r="496" spans="1:34" ht="15.75">
      <c r="A496" s="39">
        <v>13.3935</v>
      </c>
      <c r="B496" s="39">
        <v>13.657500000000001</v>
      </c>
      <c r="C496" s="39">
        <v>494</v>
      </c>
      <c r="D496">
        <v>494</v>
      </c>
      <c r="E496" s="10">
        <v>1439710</v>
      </c>
      <c r="F496" s="10">
        <v>1109930</v>
      </c>
      <c r="G496" s="10">
        <v>21774</v>
      </c>
      <c r="H496" s="10">
        <v>43964</v>
      </c>
      <c r="I496" s="10">
        <v>51542</v>
      </c>
      <c r="J496" s="10">
        <v>32844</v>
      </c>
      <c r="K496">
        <v>494</v>
      </c>
      <c r="L496" s="10">
        <v>2083</v>
      </c>
      <c r="M496" s="10">
        <v>417767</v>
      </c>
      <c r="N496" s="10">
        <v>5205</v>
      </c>
      <c r="O496">
        <v>0.1957052231457973</v>
      </c>
      <c r="P496">
        <v>0.9778369322752225</v>
      </c>
      <c r="Q496">
        <v>-0.30515898061079066</v>
      </c>
      <c r="R496">
        <v>0.30515898061079066</v>
      </c>
      <c r="S496">
        <f t="shared" si="80"/>
        <v>-0.45062792943658614</v>
      </c>
      <c r="T496" s="148">
        <f t="shared" si="75"/>
        <v>-0.3831407935187523</v>
      </c>
      <c r="U496">
        <f t="shared" si="81"/>
        <v>2.2515527436359557</v>
      </c>
      <c r="V496" s="55">
        <f t="shared" si="76"/>
        <v>2.2487129609322181</v>
      </c>
      <c r="W496">
        <f t="shared" si="82"/>
        <v>0.4110524823875541</v>
      </c>
      <c r="X496" s="55">
        <f t="shared" si="77"/>
        <v>0.38564521501347288</v>
      </c>
      <c r="Y496" s="149">
        <v>13.657500000000001</v>
      </c>
      <c r="Z496" s="55">
        <f t="shared" si="73"/>
        <v>4.6894849224725886E-3</v>
      </c>
      <c r="AA496" s="55">
        <f t="shared" si="78"/>
        <v>4.6555974594357299E-3</v>
      </c>
      <c r="AB496" s="55">
        <f t="shared" si="74"/>
        <v>-5.3624325271878259</v>
      </c>
      <c r="AC496" s="55">
        <f t="shared" si="79"/>
        <v>-5.3698698093721902</v>
      </c>
      <c r="AD496" s="55"/>
      <c r="AE496" s="55"/>
      <c r="AF496" s="55"/>
      <c r="AG496" s="55"/>
      <c r="AH496" s="55"/>
    </row>
    <row r="497" spans="1:34" ht="15.75">
      <c r="A497" s="39">
        <v>13.412000000000001</v>
      </c>
      <c r="B497" s="39">
        <v>13.678000000000001</v>
      </c>
      <c r="C497" s="39">
        <v>495</v>
      </c>
      <c r="D497">
        <v>495</v>
      </c>
      <c r="E497" s="10">
        <v>1418630</v>
      </c>
      <c r="F497" s="10">
        <v>1103800</v>
      </c>
      <c r="G497" s="10">
        <v>22973</v>
      </c>
      <c r="H497" s="10">
        <v>43444</v>
      </c>
      <c r="I497" s="10">
        <v>45967</v>
      </c>
      <c r="J497" s="10">
        <v>33507</v>
      </c>
      <c r="K497">
        <v>495</v>
      </c>
      <c r="L497" s="10">
        <v>2739</v>
      </c>
      <c r="M497" s="10">
        <v>401853</v>
      </c>
      <c r="N497" s="10">
        <v>5004</v>
      </c>
      <c r="O497">
        <v>0.13731061513064738</v>
      </c>
      <c r="P497">
        <v>0.96613740984165009</v>
      </c>
      <c r="Q497">
        <v>-0.27671209244183337</v>
      </c>
      <c r="R497">
        <v>0.27671209244183331</v>
      </c>
      <c r="S497">
        <f t="shared" si="80"/>
        <v>-0.31616937550967134</v>
      </c>
      <c r="T497" s="148">
        <f t="shared" si="75"/>
        <v>-0.36206057058257318</v>
      </c>
      <c r="U497">
        <f t="shared" si="81"/>
        <v>2.2246135976852623</v>
      </c>
      <c r="V497" s="55">
        <f t="shared" si="76"/>
        <v>2.2333338360047255</v>
      </c>
      <c r="W497">
        <f t="shared" si="82"/>
        <v>0.37743475891676526</v>
      </c>
      <c r="X497" s="55">
        <f t="shared" si="77"/>
        <v>0.39286734646888838</v>
      </c>
      <c r="Y497" s="149">
        <v>13.678000000000001</v>
      </c>
      <c r="Z497" s="55">
        <f t="shared" si="73"/>
        <v>4.5334299691973182E-3</v>
      </c>
      <c r="AA497" s="55">
        <f t="shared" si="78"/>
        <v>4.638685228631245E-3</v>
      </c>
      <c r="AB497" s="55">
        <f t="shared" si="74"/>
        <v>-5.3962764584007363</v>
      </c>
      <c r="AC497" s="55">
        <f t="shared" si="79"/>
        <v>-5.3734540757694695</v>
      </c>
      <c r="AD497" s="55"/>
      <c r="AE497" s="55"/>
      <c r="AF497" s="55"/>
      <c r="AG497" s="55"/>
      <c r="AH497" s="55"/>
    </row>
    <row r="498" spans="1:34" ht="15.75">
      <c r="A498" s="39">
        <v>13.4305</v>
      </c>
      <c r="B498" s="39">
        <v>13.698499999999999</v>
      </c>
      <c r="C498" s="39">
        <v>496</v>
      </c>
      <c r="D498">
        <v>496</v>
      </c>
      <c r="E498" s="10">
        <v>1431980</v>
      </c>
      <c r="F498" s="10">
        <v>1110770</v>
      </c>
      <c r="G498" s="10">
        <v>22473</v>
      </c>
      <c r="H498" s="10">
        <v>44172</v>
      </c>
      <c r="I498" s="10">
        <v>45687</v>
      </c>
      <c r="J498" s="10">
        <v>33196</v>
      </c>
      <c r="K498">
        <v>496</v>
      </c>
      <c r="L498" s="10">
        <v>3099</v>
      </c>
      <c r="M498" s="10">
        <v>408269</v>
      </c>
      <c r="N498" s="10">
        <v>5213</v>
      </c>
      <c r="O498">
        <v>0.13870688547981835</v>
      </c>
      <c r="P498">
        <v>0.96579934155715041</v>
      </c>
      <c r="Q498">
        <v>-0.29348601170361888</v>
      </c>
      <c r="R498">
        <v>0.29348601170361888</v>
      </c>
      <c r="S498">
        <f t="shared" si="80"/>
        <v>-0.31938440680146196</v>
      </c>
      <c r="T498" s="148">
        <f t="shared" si="75"/>
        <v>-0.35981089914238162</v>
      </c>
      <c r="U498">
        <f t="shared" si="81"/>
        <v>2.2238351666929592</v>
      </c>
      <c r="V498" s="55">
        <f t="shared" si="76"/>
        <v>2.2356130837110233</v>
      </c>
      <c r="W498">
        <f t="shared" si="82"/>
        <v>0.39011479810234595</v>
      </c>
      <c r="X498" s="55">
        <f t="shared" si="77"/>
        <v>0.38490667502719927</v>
      </c>
      <c r="Y498" s="149">
        <v>13.698499999999999</v>
      </c>
      <c r="Z498" s="55">
        <f t="shared" si="73"/>
        <v>4.6931407942238266E-3</v>
      </c>
      <c r="AA498" s="55">
        <f t="shared" si="78"/>
        <v>4.575894401886574E-3</v>
      </c>
      <c r="AB498" s="55">
        <f t="shared" si="74"/>
        <v>-5.3616532417198473</v>
      </c>
      <c r="AC498" s="55">
        <f t="shared" si="79"/>
        <v>-5.3871201344971</v>
      </c>
      <c r="AD498" s="55"/>
      <c r="AE498" s="55"/>
      <c r="AF498" s="55"/>
      <c r="AG498" s="55"/>
      <c r="AH498" s="55"/>
    </row>
    <row r="499" spans="1:34" ht="15.75">
      <c r="A499" s="39">
        <v>13.449</v>
      </c>
      <c r="B499" s="39">
        <v>13.718999999999999</v>
      </c>
      <c r="C499" s="39">
        <v>497</v>
      </c>
      <c r="D499">
        <v>497</v>
      </c>
      <c r="E499" s="10">
        <v>1445140</v>
      </c>
      <c r="F499" s="10">
        <v>1110170</v>
      </c>
      <c r="G499" s="10">
        <v>21973</v>
      </c>
      <c r="H499" s="10">
        <v>43530</v>
      </c>
      <c r="I499" s="10">
        <v>50444</v>
      </c>
      <c r="J499" s="10">
        <v>32362</v>
      </c>
      <c r="K499">
        <v>497</v>
      </c>
      <c r="L499" s="10">
        <v>2576</v>
      </c>
      <c r="M499" s="10">
        <v>416481</v>
      </c>
      <c r="N499" s="10">
        <v>4997</v>
      </c>
      <c r="O499">
        <v>0.19277416346808579</v>
      </c>
      <c r="P499">
        <v>0.98080652638042953</v>
      </c>
      <c r="Q499">
        <v>-0.296899311443099</v>
      </c>
      <c r="R499">
        <v>0.29689931144309906</v>
      </c>
      <c r="S499">
        <f t="shared" si="80"/>
        <v>-0.44387891511601169</v>
      </c>
      <c r="T499" s="148">
        <f t="shared" si="75"/>
        <v>-0.47937008158223104</v>
      </c>
      <c r="U499">
        <f t="shared" si="81"/>
        <v>2.2583904867548483</v>
      </c>
      <c r="V499" s="55">
        <f t="shared" si="76"/>
        <v>2.2541261663845003</v>
      </c>
      <c r="W499">
        <f t="shared" si="82"/>
        <v>0.38717046806248656</v>
      </c>
      <c r="X499" s="55">
        <f t="shared" si="77"/>
        <v>0.40492036847997781</v>
      </c>
      <c r="Y499" s="149">
        <v>13.718999999999999</v>
      </c>
      <c r="Z499" s="55">
        <f t="shared" si="73"/>
        <v>4.5011124422385763E-3</v>
      </c>
      <c r="AA499" s="55">
        <f t="shared" si="78"/>
        <v>4.681847990544003E-3</v>
      </c>
      <c r="AB499" s="55">
        <f t="shared" si="74"/>
        <v>-5.4034307033707183</v>
      </c>
      <c r="AC499" s="55">
        <f t="shared" si="79"/>
        <v>-5.364531474522356</v>
      </c>
      <c r="AD499" s="55"/>
      <c r="AE499" s="55"/>
      <c r="AF499" s="55"/>
      <c r="AG499" s="55"/>
      <c r="AH499" s="55"/>
    </row>
    <row r="500" spans="1:34" ht="15.75">
      <c r="A500" s="39">
        <v>13.467499999999999</v>
      </c>
      <c r="B500" s="39">
        <v>13.7395</v>
      </c>
      <c r="C500" s="39">
        <v>498</v>
      </c>
      <c r="D500">
        <v>498</v>
      </c>
      <c r="E500" s="10">
        <v>1445470</v>
      </c>
      <c r="F500" s="10">
        <v>1110220</v>
      </c>
      <c r="G500" s="10">
        <v>20669</v>
      </c>
      <c r="H500" s="10">
        <v>42254</v>
      </c>
      <c r="I500" s="10">
        <v>62863</v>
      </c>
      <c r="J500" s="10">
        <v>32012</v>
      </c>
      <c r="K500">
        <v>498</v>
      </c>
      <c r="L500" s="10">
        <v>2411</v>
      </c>
      <c r="M500" s="10">
        <v>413167</v>
      </c>
      <c r="N500" s="10">
        <v>5386</v>
      </c>
      <c r="O500">
        <v>0.29308229471411973</v>
      </c>
      <c r="P500">
        <v>0.99025779878597942</v>
      </c>
      <c r="Q500">
        <v>-0.31054836271807362</v>
      </c>
      <c r="R500">
        <v>0.31054836271807357</v>
      </c>
      <c r="S500">
        <f t="shared" si="80"/>
        <v>-0.67484692282921965</v>
      </c>
      <c r="T500" s="148">
        <f t="shared" si="75"/>
        <v>-0.56045118668053762</v>
      </c>
      <c r="U500">
        <f t="shared" si="81"/>
        <v>2.2801528457056932</v>
      </c>
      <c r="V500" s="55">
        <f t="shared" si="76"/>
        <v>2.2481082823428884</v>
      </c>
      <c r="W500">
        <f t="shared" si="82"/>
        <v>0.43747583927510092</v>
      </c>
      <c r="X500" s="55">
        <f t="shared" si="77"/>
        <v>0.38801147315380352</v>
      </c>
      <c r="Y500" s="149">
        <v>13.7395</v>
      </c>
      <c r="Z500" s="55">
        <f t="shared" si="73"/>
        <v>4.851290735169606E-3</v>
      </c>
      <c r="AA500" s="55">
        <f t="shared" si="78"/>
        <v>4.785724217588631E-3</v>
      </c>
      <c r="AB500" s="55">
        <f t="shared" si="74"/>
        <v>-5.3285104784765025</v>
      </c>
      <c r="AC500" s="55">
        <f t="shared" si="79"/>
        <v>-5.3431017026641685</v>
      </c>
      <c r="AD500" s="55"/>
      <c r="AE500" s="55"/>
      <c r="AF500" s="55"/>
      <c r="AG500" s="55"/>
      <c r="AH500" s="55"/>
    </row>
    <row r="501" spans="1:34" ht="15.75">
      <c r="A501" s="39">
        <v>13.486000000000001</v>
      </c>
      <c r="B501" s="39">
        <v>13.76</v>
      </c>
      <c r="C501" s="39">
        <v>499</v>
      </c>
      <c r="D501">
        <v>499</v>
      </c>
      <c r="E501" s="10">
        <v>1430510</v>
      </c>
      <c r="F501" s="10">
        <v>1100750</v>
      </c>
      <c r="G501" s="10">
        <v>23678</v>
      </c>
      <c r="H501" s="10">
        <v>43611</v>
      </c>
      <c r="I501" s="10">
        <v>58356</v>
      </c>
      <c r="J501" s="10">
        <v>33246</v>
      </c>
      <c r="K501">
        <v>499</v>
      </c>
      <c r="L501" s="10">
        <v>3004</v>
      </c>
      <c r="M501" s="10">
        <v>395872</v>
      </c>
      <c r="N501" s="10">
        <v>5509</v>
      </c>
      <c r="O501">
        <v>0.24434611507225473</v>
      </c>
      <c r="P501">
        <v>0.95795874006113335</v>
      </c>
      <c r="Q501">
        <v>-0.26525102893317148</v>
      </c>
      <c r="R501">
        <v>0.26525102893317154</v>
      </c>
      <c r="S501">
        <f t="shared" si="80"/>
        <v>-0.56262772209638146</v>
      </c>
      <c r="T501" s="148">
        <f t="shared" si="75"/>
        <v>-0.55267256512441632</v>
      </c>
      <c r="U501">
        <f t="shared" si="81"/>
        <v>2.2057815145681237</v>
      </c>
      <c r="V501" s="55">
        <f t="shared" si="76"/>
        <v>2.2232761424666925</v>
      </c>
      <c r="W501">
        <f t="shared" si="82"/>
        <v>0.33938811212382303</v>
      </c>
      <c r="X501" s="55">
        <f t="shared" si="77"/>
        <v>0.36698467139724172</v>
      </c>
      <c r="Y501" s="149">
        <v>13.76</v>
      </c>
      <c r="Z501" s="55">
        <f t="shared" si="73"/>
        <v>5.0047694753577107E-3</v>
      </c>
      <c r="AA501" s="55">
        <f t="shared" si="78"/>
        <v>4.9762230717123749E-3</v>
      </c>
      <c r="AB501" s="55">
        <f t="shared" si="74"/>
        <v>-5.2973639261452838</v>
      </c>
      <c r="AC501" s="55">
        <f t="shared" si="79"/>
        <v>-5.3032581339300862</v>
      </c>
      <c r="AD501" s="55"/>
      <c r="AE501" s="55"/>
      <c r="AF501" s="55"/>
      <c r="AG501" s="55"/>
      <c r="AH501" s="55"/>
    </row>
    <row r="502" spans="1:34" ht="15.75">
      <c r="A502" s="39">
        <v>13.5045</v>
      </c>
      <c r="B502" s="39">
        <v>13.7805</v>
      </c>
      <c r="C502" s="39">
        <v>500</v>
      </c>
      <c r="D502">
        <v>500</v>
      </c>
      <c r="E502" s="10">
        <v>1436350</v>
      </c>
      <c r="F502" s="10">
        <v>1097660</v>
      </c>
      <c r="G502" s="10">
        <v>24785</v>
      </c>
      <c r="H502" s="10">
        <v>45671</v>
      </c>
      <c r="I502" s="10">
        <v>52189</v>
      </c>
      <c r="J502" s="10">
        <v>34272</v>
      </c>
      <c r="K502">
        <v>500</v>
      </c>
      <c r="L502" s="10">
        <v>2565</v>
      </c>
      <c r="M502" s="10">
        <v>405596</v>
      </c>
      <c r="N502" s="10">
        <v>5568</v>
      </c>
      <c r="O502">
        <v>0.18263952621217433</v>
      </c>
      <c r="P502">
        <v>0.94845314241418499</v>
      </c>
      <c r="Q502">
        <v>-0.26545159766574922</v>
      </c>
      <c r="R502">
        <v>0.26545159766574922</v>
      </c>
      <c r="S502">
        <f t="shared" si="80"/>
        <v>-0.42054305044764778</v>
      </c>
      <c r="T502" s="148">
        <f t="shared" si="75"/>
        <v>-0.48518675083913454</v>
      </c>
      <c r="U502">
        <f t="shared" si="81"/>
        <v>2.183894067126261</v>
      </c>
      <c r="V502" s="55">
        <f t="shared" si="76"/>
        <v>2.2066068744440859</v>
      </c>
      <c r="W502">
        <f t="shared" si="82"/>
        <v>0.32409006279280111</v>
      </c>
      <c r="X502" s="55">
        <f t="shared" si="77"/>
        <v>0.33713895949449735</v>
      </c>
      <c r="Y502" s="149">
        <v>13.7805</v>
      </c>
      <c r="Z502" s="55">
        <f t="shared" si="73"/>
        <v>5.0726090046098061E-3</v>
      </c>
      <c r="AA502" s="55">
        <f t="shared" si="78"/>
        <v>5.0524224959159515E-3</v>
      </c>
      <c r="AB502" s="55">
        <f t="shared" si="74"/>
        <v>-5.283899997168473</v>
      </c>
      <c r="AC502" s="55">
        <f t="shared" si="79"/>
        <v>-5.2879099299354442</v>
      </c>
      <c r="AD502" s="55"/>
      <c r="AE502" s="55"/>
      <c r="AF502" s="55"/>
      <c r="AG502" s="55"/>
      <c r="AH502" s="55"/>
    </row>
    <row r="503" spans="1:34" ht="15.75">
      <c r="A503" s="39">
        <v>13.523</v>
      </c>
      <c r="B503" s="39">
        <v>13.801</v>
      </c>
      <c r="C503" s="39">
        <v>501</v>
      </c>
      <c r="D503">
        <v>501</v>
      </c>
      <c r="E503" s="10">
        <v>1447370</v>
      </c>
      <c r="F503" s="10">
        <v>1102780</v>
      </c>
      <c r="G503" s="10">
        <v>23982</v>
      </c>
      <c r="H503" s="10">
        <v>44772</v>
      </c>
      <c r="I503" s="10">
        <v>54469</v>
      </c>
      <c r="J503" s="10">
        <v>33962</v>
      </c>
      <c r="K503">
        <v>501</v>
      </c>
      <c r="L503" s="10">
        <v>2844</v>
      </c>
      <c r="M503" s="10">
        <v>416434</v>
      </c>
      <c r="N503" s="10">
        <v>5602</v>
      </c>
      <c r="O503">
        <v>0.20515614446158312</v>
      </c>
      <c r="P503">
        <v>0.96853968542722613</v>
      </c>
      <c r="Q503">
        <v>-0.27112109644470539</v>
      </c>
      <c r="R503">
        <v>0.27112109644470539</v>
      </c>
      <c r="S503">
        <f t="shared" si="80"/>
        <v>-0.47238947997337427</v>
      </c>
      <c r="T503" s="148">
        <f t="shared" si="75"/>
        <v>-0.48907729097606545</v>
      </c>
      <c r="U503">
        <f t="shared" si="81"/>
        <v>2.2301450416378734</v>
      </c>
      <c r="V503" s="55">
        <f t="shared" si="76"/>
        <v>2.218899134134988</v>
      </c>
      <c r="W503">
        <f t="shared" si="82"/>
        <v>0.34793870356686796</v>
      </c>
      <c r="X503" s="55">
        <f t="shared" si="77"/>
        <v>0.33159786947841907</v>
      </c>
      <c r="Y503" s="149">
        <v>13.801</v>
      </c>
      <c r="Z503" s="55">
        <f t="shared" si="73"/>
        <v>5.0798890077803369E-3</v>
      </c>
      <c r="AA503" s="55">
        <f t="shared" si="78"/>
        <v>5.1811543930995697E-3</v>
      </c>
      <c r="AB503" s="55">
        <f t="shared" si="74"/>
        <v>-5.2824658664925748</v>
      </c>
      <c r="AC503" s="55">
        <f t="shared" si="79"/>
        <v>-5.2631322358453057</v>
      </c>
      <c r="AD503" s="55"/>
      <c r="AE503" s="55"/>
      <c r="AF503" s="55"/>
      <c r="AG503" s="55"/>
      <c r="AH503" s="55"/>
    </row>
    <row r="504" spans="1:34" ht="15.75">
      <c r="A504" s="39">
        <v>13.541499999999999</v>
      </c>
      <c r="B504" s="39">
        <v>13.8215</v>
      </c>
      <c r="C504" s="39">
        <v>502</v>
      </c>
      <c r="D504">
        <v>502</v>
      </c>
      <c r="E504" s="10">
        <v>1461510</v>
      </c>
      <c r="F504" s="10">
        <v>1102400</v>
      </c>
      <c r="G504" s="10">
        <v>24198</v>
      </c>
      <c r="H504" s="10">
        <v>45062</v>
      </c>
      <c r="I504" s="10">
        <v>59343</v>
      </c>
      <c r="J504" s="10">
        <v>33416</v>
      </c>
      <c r="K504">
        <v>502</v>
      </c>
      <c r="L504" s="10">
        <v>2486</v>
      </c>
      <c r="M504" s="10">
        <v>424409</v>
      </c>
      <c r="N504" s="10">
        <v>5943</v>
      </c>
      <c r="O504">
        <v>0.24941503541153143</v>
      </c>
      <c r="P504">
        <v>0.97397412172277475</v>
      </c>
      <c r="Q504">
        <v>-0.27003099084404425</v>
      </c>
      <c r="R504">
        <v>0.27003099084404419</v>
      </c>
      <c r="S504">
        <f t="shared" si="80"/>
        <v>-0.57429934250717418</v>
      </c>
      <c r="T504" s="148">
        <f t="shared" si="75"/>
        <v>-0.57579382843353255</v>
      </c>
      <c r="U504">
        <f t="shared" si="81"/>
        <v>2.2426582936408295</v>
      </c>
      <c r="V504" s="55">
        <f t="shared" si="76"/>
        <v>2.2157644322977124</v>
      </c>
      <c r="W504">
        <f t="shared" si="82"/>
        <v>0.32276484207558809</v>
      </c>
      <c r="X504" s="55">
        <f t="shared" si="77"/>
        <v>0.32039339318957888</v>
      </c>
      <c r="Y504" s="149">
        <v>13.8215</v>
      </c>
      <c r="Z504" s="55">
        <f t="shared" si="73"/>
        <v>5.3909651669085635E-3</v>
      </c>
      <c r="AA504" s="55">
        <f t="shared" si="78"/>
        <v>5.4656513786107306E-3</v>
      </c>
      <c r="AB504" s="55">
        <f t="shared" si="74"/>
        <v>-5.22303084387487</v>
      </c>
      <c r="AC504" s="55">
        <f t="shared" si="79"/>
        <v>-5.2112952240361325</v>
      </c>
      <c r="AD504" s="55"/>
      <c r="AE504" s="55"/>
      <c r="AF504" s="55"/>
      <c r="AG504" s="55"/>
      <c r="AH504" s="55"/>
    </row>
    <row r="505" spans="1:34" ht="15.75">
      <c r="A505" s="39">
        <v>13.56</v>
      </c>
      <c r="B505" s="39">
        <v>13.842000000000001</v>
      </c>
      <c r="C505" s="39">
        <v>503</v>
      </c>
      <c r="D505">
        <v>503</v>
      </c>
      <c r="E505" s="10">
        <v>1445050</v>
      </c>
      <c r="F505" s="10">
        <v>1106630</v>
      </c>
      <c r="G505" s="10">
        <v>24835</v>
      </c>
      <c r="H505" s="10">
        <v>44547</v>
      </c>
      <c r="I505" s="10">
        <v>65590</v>
      </c>
      <c r="J505" s="10">
        <v>33206</v>
      </c>
      <c r="K505">
        <v>503</v>
      </c>
      <c r="L505" s="10">
        <v>1931</v>
      </c>
      <c r="M505" s="10">
        <v>391911</v>
      </c>
      <c r="N505" s="10">
        <v>6558</v>
      </c>
      <c r="O505">
        <v>0.29562106733477828</v>
      </c>
      <c r="P505">
        <v>0.94436899128316254</v>
      </c>
      <c r="Q505">
        <v>-0.25375429763725621</v>
      </c>
      <c r="R505">
        <v>0.25375429763725615</v>
      </c>
      <c r="S505">
        <f t="shared" si="80"/>
        <v>-0.68069266282004948</v>
      </c>
      <c r="T505" s="148">
        <f t="shared" si="75"/>
        <v>-0.63599010989063398</v>
      </c>
      <c r="U505">
        <f t="shared" si="81"/>
        <v>2.1744899616144338</v>
      </c>
      <c r="V505" s="55">
        <f t="shared" si="76"/>
        <v>2.202727855499246</v>
      </c>
      <c r="W505">
        <f t="shared" si="82"/>
        <v>0.2904766339262807</v>
      </c>
      <c r="X505" s="55">
        <f t="shared" si="77"/>
        <v>0.30598976880293971</v>
      </c>
      <c r="Y505" s="149">
        <v>13.842000000000001</v>
      </c>
      <c r="Z505" s="55">
        <f t="shared" si="73"/>
        <v>5.9260999611432906E-3</v>
      </c>
      <c r="AA505" s="55">
        <f t="shared" si="78"/>
        <v>5.7995660465398682E-3</v>
      </c>
      <c r="AB505" s="55">
        <f t="shared" si="74"/>
        <v>-5.1283889617409528</v>
      </c>
      <c r="AC505" s="55">
        <f t="shared" si="79"/>
        <v>-5.1513006124180416</v>
      </c>
      <c r="AD505" s="55"/>
      <c r="AE505" s="55"/>
      <c r="AF505" s="55"/>
      <c r="AG505" s="55"/>
      <c r="AH505" s="55"/>
    </row>
    <row r="506" spans="1:34" ht="15.75">
      <c r="A506" s="39">
        <v>13.5785</v>
      </c>
      <c r="B506" s="39">
        <v>13.862500000000001</v>
      </c>
      <c r="C506" s="39">
        <v>504</v>
      </c>
      <c r="D506">
        <v>504</v>
      </c>
      <c r="E506" s="10">
        <v>1497490</v>
      </c>
      <c r="F506" s="10">
        <v>1138510</v>
      </c>
      <c r="G506" s="10">
        <v>25768</v>
      </c>
      <c r="H506" s="10">
        <v>45938</v>
      </c>
      <c r="I506" s="10">
        <v>67144</v>
      </c>
      <c r="J506" s="10">
        <v>34948</v>
      </c>
      <c r="K506">
        <v>504</v>
      </c>
      <c r="L506" s="10">
        <v>2161</v>
      </c>
      <c r="M506" s="10">
        <v>410891</v>
      </c>
      <c r="N506" s="10">
        <v>6924</v>
      </c>
      <c r="O506">
        <v>0.28358488306532559</v>
      </c>
      <c r="P506">
        <v>0.95155454532778039</v>
      </c>
      <c r="Q506">
        <v>-0.25109137160567907</v>
      </c>
      <c r="R506">
        <v>0.25109137160567913</v>
      </c>
      <c r="S506">
        <f t="shared" si="80"/>
        <v>-0.65297832434467828</v>
      </c>
      <c r="T506" s="148">
        <f t="shared" si="75"/>
        <v>-0.54934391812576866</v>
      </c>
      <c r="U506">
        <f t="shared" si="81"/>
        <v>2.1910353112424743</v>
      </c>
      <c r="V506" s="55">
        <f t="shared" si="76"/>
        <v>2.1872918299110249</v>
      </c>
      <c r="W506">
        <f t="shared" si="82"/>
        <v>0.3047278304069504</v>
      </c>
      <c r="X506" s="55">
        <f t="shared" si="77"/>
        <v>0.32519376968082686</v>
      </c>
      <c r="Y506" s="149">
        <v>13.862500000000001</v>
      </c>
      <c r="Z506" s="55">
        <f t="shared" si="73"/>
        <v>6.0816330115677506E-3</v>
      </c>
      <c r="AA506" s="55">
        <f t="shared" si="78"/>
        <v>5.8161074052247219E-3</v>
      </c>
      <c r="AB506" s="55">
        <f t="shared" si="74"/>
        <v>-5.1024820316383011</v>
      </c>
      <c r="AC506" s="55">
        <f t="shared" si="79"/>
        <v>-5.1482463002127368</v>
      </c>
      <c r="AD506" s="55"/>
      <c r="AE506" s="55"/>
      <c r="AF506" s="55"/>
      <c r="AG506" s="55"/>
      <c r="AH506" s="55"/>
    </row>
    <row r="507" spans="1:34" ht="15.75">
      <c r="A507" s="39">
        <v>13.597</v>
      </c>
      <c r="B507" s="39">
        <v>13.882999999999999</v>
      </c>
      <c r="C507" s="39">
        <v>505</v>
      </c>
      <c r="D507">
        <v>505</v>
      </c>
      <c r="E507" s="10">
        <v>1530812.571</v>
      </c>
      <c r="F507" s="10">
        <v>1185349.548</v>
      </c>
      <c r="G507" s="10">
        <v>25741.470239999999</v>
      </c>
      <c r="H507" s="10">
        <v>48615.044049999997</v>
      </c>
      <c r="I507" s="10">
        <v>51564.885710000002</v>
      </c>
      <c r="J507" s="10">
        <v>37655.542860000001</v>
      </c>
      <c r="K507">
        <v>505</v>
      </c>
      <c r="L507" s="10">
        <v>2448.666667</v>
      </c>
      <c r="M507" s="10">
        <v>437153</v>
      </c>
      <c r="N507" s="10">
        <v>6449</v>
      </c>
      <c r="O507">
        <v>0.1365251465272953</v>
      </c>
      <c r="P507">
        <v>0.95386277951632892</v>
      </c>
      <c r="Q507">
        <v>-0.27613733532666296</v>
      </c>
      <c r="R507">
        <v>0.27613733532666296</v>
      </c>
      <c r="S507">
        <f t="shared" si="80"/>
        <v>-0.31436076721257805</v>
      </c>
      <c r="T507" s="148">
        <f t="shared" si="75"/>
        <v>-0.41050883276371392</v>
      </c>
      <c r="U507">
        <f t="shared" si="81"/>
        <v>2.1963502168761653</v>
      </c>
      <c r="V507" s="55">
        <f t="shared" si="76"/>
        <v>2.1918762566311929</v>
      </c>
      <c r="W507">
        <f t="shared" si="82"/>
        <v>0.38037684470924948</v>
      </c>
      <c r="X507" s="55">
        <f t="shared" si="77"/>
        <v>0.35973204685212368</v>
      </c>
      <c r="Y507" s="149">
        <v>13.882999999999999</v>
      </c>
      <c r="Z507" s="55">
        <f t="shared" si="73"/>
        <v>5.4405892429631236E-3</v>
      </c>
      <c r="AA507" s="55">
        <f t="shared" si="78"/>
        <v>5.6357793458505405E-3</v>
      </c>
      <c r="AB507" s="55">
        <f t="shared" si="74"/>
        <v>-5.2138679072589555</v>
      </c>
      <c r="AC507" s="55">
        <f t="shared" si="79"/>
        <v>-5.1801554688256592</v>
      </c>
      <c r="AD507" s="55"/>
      <c r="AE507" s="55"/>
      <c r="AF507" s="55"/>
      <c r="AG507" s="55"/>
      <c r="AH507" s="55"/>
    </row>
    <row r="508" spans="1:34" ht="15.75">
      <c r="A508" s="39">
        <v>13.6324364</v>
      </c>
      <c r="B508" s="39">
        <v>13.9212364</v>
      </c>
      <c r="C508" s="39">
        <v>506</v>
      </c>
      <c r="D508">
        <v>506</v>
      </c>
      <c r="E508" s="10">
        <v>1523050.571</v>
      </c>
      <c r="F508" s="10">
        <v>1183086.3810000001</v>
      </c>
      <c r="G508" s="10">
        <v>25365.761900000001</v>
      </c>
      <c r="H508" s="10">
        <v>48560.352379999997</v>
      </c>
      <c r="I508" s="10">
        <v>48993.085709999999</v>
      </c>
      <c r="J508" s="10">
        <v>37618.342859999997</v>
      </c>
      <c r="K508">
        <v>506</v>
      </c>
      <c r="L508" s="10">
        <v>2416.6476189999998</v>
      </c>
      <c r="M508" s="10">
        <v>433135.51429999998</v>
      </c>
      <c r="N508" s="10">
        <v>6371.057143</v>
      </c>
      <c r="O508">
        <v>0.11473513293285641</v>
      </c>
      <c r="P508">
        <v>0.95034196496493972</v>
      </c>
      <c r="Q508">
        <v>-0.28203391799499383</v>
      </c>
      <c r="R508">
        <v>0.28203391799499389</v>
      </c>
      <c r="S508">
        <f t="shared" si="80"/>
        <v>-0.26418740673388535</v>
      </c>
      <c r="T508" s="148">
        <f t="shared" si="75"/>
        <v>-0.28256455839979594</v>
      </c>
      <c r="U508">
        <f t="shared" si="81"/>
        <v>2.1882432417749396</v>
      </c>
      <c r="V508" s="55">
        <f t="shared" si="76"/>
        <v>2.1913585330738852</v>
      </c>
      <c r="W508">
        <f t="shared" si="82"/>
        <v>0.39409146544017121</v>
      </c>
      <c r="X508" s="55">
        <f t="shared" si="77"/>
        <v>0.39085903865005295</v>
      </c>
      <c r="Y508" s="149">
        <v>13.9212364</v>
      </c>
      <c r="Z508" s="55">
        <f t="shared" si="73"/>
        <v>5.3851157830207491E-3</v>
      </c>
      <c r="AA508" s="55">
        <f t="shared" si="78"/>
        <v>5.3974428332684461E-3</v>
      </c>
      <c r="AB508" s="55">
        <f t="shared" si="74"/>
        <v>-5.2241164675797203</v>
      </c>
      <c r="AC508" s="55">
        <f t="shared" si="79"/>
        <v>-5.2218469062957142</v>
      </c>
      <c r="AD508" s="55"/>
      <c r="AE508" s="55"/>
      <c r="AF508" s="55"/>
      <c r="AG508" s="55"/>
      <c r="AH508" s="55"/>
    </row>
    <row r="509" spans="1:34" ht="15.75">
      <c r="A509" s="39">
        <v>13.6678727</v>
      </c>
      <c r="B509" s="39">
        <v>13.959472699999999</v>
      </c>
      <c r="C509" s="39">
        <v>507</v>
      </c>
      <c r="D509">
        <v>507</v>
      </c>
      <c r="E509" s="10">
        <v>1508441.1429999999</v>
      </c>
      <c r="F509" s="10">
        <v>1172639.429</v>
      </c>
      <c r="G509" s="10">
        <v>24931.85714</v>
      </c>
      <c r="H509" s="10">
        <v>48050.371429999999</v>
      </c>
      <c r="I509" s="10">
        <v>48589.171430000002</v>
      </c>
      <c r="J509" s="10">
        <v>37123.685709999998</v>
      </c>
      <c r="K509">
        <v>507</v>
      </c>
      <c r="L509" s="10">
        <v>2384.6285710000002</v>
      </c>
      <c r="M509" s="10">
        <v>429118.02860000002</v>
      </c>
      <c r="N509" s="10">
        <v>6293.114286</v>
      </c>
      <c r="O509">
        <v>0.11688840602322979</v>
      </c>
      <c r="P509">
        <v>0.95088001187550975</v>
      </c>
      <c r="Q509">
        <v>-0.28494211940784725</v>
      </c>
      <c r="R509">
        <v>0.28494211940784725</v>
      </c>
      <c r="S509">
        <f t="shared" si="80"/>
        <v>-0.26914550125292447</v>
      </c>
      <c r="T509" s="148">
        <f t="shared" si="75"/>
        <v>-0.26918165247259829</v>
      </c>
      <c r="U509">
        <f t="shared" si="81"/>
        <v>2.1894821405705498</v>
      </c>
      <c r="V509" s="55">
        <f t="shared" si="76"/>
        <v>2.1894904730692013</v>
      </c>
      <c r="W509">
        <f t="shared" si="82"/>
        <v>0.39810880580073804</v>
      </c>
      <c r="X509" s="55">
        <f t="shared" si="77"/>
        <v>0.39815059662766478</v>
      </c>
      <c r="Y509" s="149">
        <v>13.959472699999999</v>
      </c>
      <c r="Z509" s="55">
        <f t="shared" si="73"/>
        <v>5.3666234738214656E-3</v>
      </c>
      <c r="AA509" s="55">
        <f t="shared" si="78"/>
        <v>5.3665126570697948E-3</v>
      </c>
      <c r="AB509" s="55">
        <f t="shared" si="74"/>
        <v>-5.227556344048466</v>
      </c>
      <c r="AC509" s="55">
        <f t="shared" si="79"/>
        <v>-5.2275810232106075</v>
      </c>
      <c r="AD509" s="55"/>
      <c r="AE509" s="55"/>
      <c r="AF509" s="55"/>
      <c r="AG509" s="55"/>
      <c r="AH509" s="55"/>
    </row>
    <row r="510" spans="1:34" ht="15.75">
      <c r="A510" s="39">
        <v>13.7033091</v>
      </c>
      <c r="B510" s="39">
        <v>13.9977091</v>
      </c>
      <c r="C510" s="39">
        <v>508</v>
      </c>
      <c r="D510">
        <v>508</v>
      </c>
      <c r="E510" s="10">
        <v>1493831.7139999999</v>
      </c>
      <c r="F510" s="10">
        <v>1162192.476</v>
      </c>
      <c r="G510" s="10">
        <v>24497.952379999999</v>
      </c>
      <c r="H510" s="10">
        <v>47540.390480000002</v>
      </c>
      <c r="I510" s="10">
        <v>48185.257140000002</v>
      </c>
      <c r="J510" s="10">
        <v>36629.028570000002</v>
      </c>
      <c r="K510">
        <v>508</v>
      </c>
      <c r="L510" s="10">
        <v>2352.609524</v>
      </c>
      <c r="M510" s="10">
        <v>425100.5429</v>
      </c>
      <c r="N510" s="10">
        <v>6215.171429</v>
      </c>
      <c r="O510">
        <v>0.11908877993925848</v>
      </c>
      <c r="P510">
        <v>0.95142891506063443</v>
      </c>
      <c r="Q510">
        <v>-0.28793295843826683</v>
      </c>
      <c r="R510">
        <v>0.28793295843826677</v>
      </c>
      <c r="S510">
        <f t="shared" si="80"/>
        <v>-0.27421204943098493</v>
      </c>
      <c r="T510" s="148">
        <f t="shared" si="75"/>
        <v>-0.27424942257140628</v>
      </c>
      <c r="U510">
        <f t="shared" si="81"/>
        <v>2.190746036862115</v>
      </c>
      <c r="V510" s="55">
        <f t="shared" si="76"/>
        <v>2.1907546244591849</v>
      </c>
      <c r="W510">
        <f t="shared" si="82"/>
        <v>0.40225151864208497</v>
      </c>
      <c r="X510" s="55">
        <f t="shared" si="77"/>
        <v>0.4022953091083396</v>
      </c>
      <c r="Y510" s="149">
        <v>13.9977091</v>
      </c>
      <c r="Z510" s="55">
        <f t="shared" si="73"/>
        <v>5.3477987143671713E-3</v>
      </c>
      <c r="AA510" s="55">
        <f t="shared" si="78"/>
        <v>5.3476848787222626E-3</v>
      </c>
      <c r="AB510" s="55">
        <f t="shared" si="74"/>
        <v>-5.2310702580036361</v>
      </c>
      <c r="AC510" s="55">
        <f t="shared" si="79"/>
        <v>-5.2310957507140525</v>
      </c>
      <c r="AD510" s="55"/>
      <c r="AE510" s="55"/>
      <c r="AF510" s="55"/>
      <c r="AG510" s="55"/>
      <c r="AH510" s="55"/>
    </row>
    <row r="511" spans="1:34" ht="15.75">
      <c r="A511" s="39">
        <v>13.7387455</v>
      </c>
      <c r="B511" s="39">
        <v>14.0359455</v>
      </c>
      <c r="C511" s="39">
        <v>509</v>
      </c>
      <c r="D511">
        <v>509</v>
      </c>
      <c r="E511" s="10">
        <v>1479222.2860000001</v>
      </c>
      <c r="F511" s="10">
        <v>1151745.524</v>
      </c>
      <c r="G511" s="10">
        <v>24064.047620000001</v>
      </c>
      <c r="H511" s="10">
        <v>47030.409520000001</v>
      </c>
      <c r="I511" s="10">
        <v>47781.342859999997</v>
      </c>
      <c r="J511" s="10">
        <v>36134.371429999999</v>
      </c>
      <c r="K511">
        <v>509</v>
      </c>
      <c r="L511" s="10">
        <v>2320.5904759999999</v>
      </c>
      <c r="M511" s="10">
        <v>421083.05709999998</v>
      </c>
      <c r="N511" s="10">
        <v>6137.2285709999996</v>
      </c>
      <c r="O511">
        <v>0.12133784670125621</v>
      </c>
      <c r="P511">
        <v>0.95198900688381971</v>
      </c>
      <c r="Q511">
        <v>-0.2910100820752185</v>
      </c>
      <c r="R511">
        <v>0.2910100820752185</v>
      </c>
      <c r="S511">
        <f t="shared" si="80"/>
        <v>-0.27939071703030938</v>
      </c>
      <c r="T511" s="148">
        <f t="shared" si="75"/>
        <v>-0.27942936840841598</v>
      </c>
      <c r="U511">
        <f t="shared" si="81"/>
        <v>2.1920356959448895</v>
      </c>
      <c r="V511" s="55">
        <f t="shared" si="76"/>
        <v>2.1920445492009355</v>
      </c>
      <c r="W511">
        <f t="shared" si="82"/>
        <v>0.40652560288219586</v>
      </c>
      <c r="X511" s="55">
        <f t="shared" si="77"/>
        <v>0.40657152355172316</v>
      </c>
      <c r="Y511" s="149">
        <v>14.0359455</v>
      </c>
      <c r="Z511" s="55">
        <f t="shared" si="73"/>
        <v>5.3286324479781527E-3</v>
      </c>
      <c r="AA511" s="55">
        <f t="shared" si="78"/>
        <v>5.3285154900290579E-3</v>
      </c>
      <c r="AB511" s="55">
        <f t="shared" si="74"/>
        <v>-5.2346606500900545</v>
      </c>
      <c r="AC511" s="55">
        <f t="shared" si="79"/>
        <v>-5.2346869914714231</v>
      </c>
      <c r="AD511" s="55"/>
      <c r="AE511" s="55"/>
      <c r="AF511" s="55"/>
      <c r="AG511" s="55"/>
      <c r="AH511" s="55"/>
    </row>
    <row r="512" spans="1:34" ht="15.75">
      <c r="A512" s="39">
        <v>13.774181799999999</v>
      </c>
      <c r="B512" s="39">
        <v>14.0741818</v>
      </c>
      <c r="C512" s="39">
        <v>510</v>
      </c>
      <c r="D512">
        <v>510</v>
      </c>
      <c r="E512" s="10">
        <v>1464612.8570000001</v>
      </c>
      <c r="F512" s="10">
        <v>1141298.571</v>
      </c>
      <c r="G512" s="10">
        <v>23630.14286</v>
      </c>
      <c r="H512" s="10">
        <v>46520.428569999996</v>
      </c>
      <c r="I512" s="10">
        <v>47377.428569999996</v>
      </c>
      <c r="J512" s="10">
        <v>35639.714290000004</v>
      </c>
      <c r="K512">
        <v>510</v>
      </c>
      <c r="L512" s="10">
        <v>2288.5714290000001</v>
      </c>
      <c r="M512" s="10">
        <v>417065.57140000002</v>
      </c>
      <c r="N512" s="10">
        <v>6059.2857139999996</v>
      </c>
      <c r="O512">
        <v>0.12363727170394302</v>
      </c>
      <c r="P512">
        <v>0.95256063346774844</v>
      </c>
      <c r="Q512">
        <v>-0.2941773597773214</v>
      </c>
      <c r="R512">
        <v>0.2941773597773214</v>
      </c>
      <c r="S512">
        <f t="shared" si="80"/>
        <v>-0.28468533876395358</v>
      </c>
      <c r="T512" s="148">
        <f t="shared" si="75"/>
        <v>-0.28472532881898727</v>
      </c>
      <c r="U512">
        <f t="shared" si="81"/>
        <v>2.1933519147958025</v>
      </c>
      <c r="V512" s="55">
        <f t="shared" si="76"/>
        <v>2.1933610447719727</v>
      </c>
      <c r="W512">
        <f t="shared" si="82"/>
        <v>0.4109374491308887</v>
      </c>
      <c r="X512" s="55">
        <f t="shared" si="77"/>
        <v>0.41098564127104381</v>
      </c>
      <c r="Y512" s="149">
        <v>14.0741818</v>
      </c>
      <c r="Z512" s="55">
        <f t="shared" si="73"/>
        <v>5.3091153077418508E-3</v>
      </c>
      <c r="AA512" s="55">
        <f t="shared" si="78"/>
        <v>5.3089951049447642E-3</v>
      </c>
      <c r="AB512" s="55">
        <f t="shared" si="74"/>
        <v>-5.2383300663205787</v>
      </c>
      <c r="AC512" s="55">
        <f t="shared" si="79"/>
        <v>-5.2383572962073197</v>
      </c>
      <c r="AD512" s="55"/>
      <c r="AE512" s="55"/>
      <c r="AF512" s="55"/>
      <c r="AG512" s="55"/>
      <c r="AH512" s="55"/>
    </row>
    <row r="513" spans="1:34" ht="15.75">
      <c r="A513" s="39">
        <v>13.809618199999999</v>
      </c>
      <c r="B513" s="39">
        <v>14.1124182</v>
      </c>
      <c r="C513" s="39">
        <v>511</v>
      </c>
      <c r="D513">
        <v>511</v>
      </c>
      <c r="E513" s="10">
        <v>1450003.429</v>
      </c>
      <c r="F513" s="10">
        <v>1130851.6189999999</v>
      </c>
      <c r="G513" s="10">
        <v>23196.238099999999</v>
      </c>
      <c r="H513" s="10">
        <v>46010.447619999999</v>
      </c>
      <c r="I513" s="10">
        <v>46973.514289999999</v>
      </c>
      <c r="J513" s="10">
        <v>35145.057139999997</v>
      </c>
      <c r="K513">
        <v>511</v>
      </c>
      <c r="L513" s="10">
        <v>2256.552381</v>
      </c>
      <c r="M513" s="10">
        <v>413048.0857</v>
      </c>
      <c r="N513" s="10">
        <v>5981.3428569999996</v>
      </c>
      <c r="O513">
        <v>0.12598879908732602</v>
      </c>
      <c r="P513">
        <v>0.95314415534648944</v>
      </c>
      <c r="Q513">
        <v>-0.2974389004324714</v>
      </c>
      <c r="R513">
        <v>0.2974389004324714</v>
      </c>
      <c r="S513">
        <f t="shared" si="80"/>
        <v>-0.29009993066269885</v>
      </c>
      <c r="T513" s="148">
        <f t="shared" si="75"/>
        <v>-0.29014132252756591</v>
      </c>
      <c r="U513">
        <f t="shared" si="81"/>
        <v>2.1946955235752275</v>
      </c>
      <c r="V513" s="55">
        <f t="shared" si="76"/>
        <v>2.1947049419511004</v>
      </c>
      <c r="W513">
        <f t="shared" si="82"/>
        <v>0.41549387180004699</v>
      </c>
      <c r="X513" s="55">
        <f t="shared" si="77"/>
        <v>0.41554448920517945</v>
      </c>
      <c r="Y513" s="149">
        <v>14.1124182</v>
      </c>
      <c r="Z513" s="55">
        <f t="shared" si="73"/>
        <v>5.2892375591142874E-3</v>
      </c>
      <c r="AA513" s="55">
        <f t="shared" si="78"/>
        <v>5.2891139954936916E-3</v>
      </c>
      <c r="AB513" s="55">
        <f t="shared" si="74"/>
        <v>-5.242081172211325</v>
      </c>
      <c r="AC513" s="55">
        <f t="shared" si="79"/>
        <v>-5.2421093304227204</v>
      </c>
      <c r="AD513" s="55"/>
      <c r="AE513" s="55"/>
      <c r="AF513" s="55"/>
      <c r="AG513" s="55"/>
      <c r="AH513" s="55"/>
    </row>
    <row r="514" spans="1:34" ht="15.75">
      <c r="A514" s="39">
        <v>13.845054599999999</v>
      </c>
      <c r="B514" s="39">
        <v>14.150654599999999</v>
      </c>
      <c r="C514" s="39">
        <v>512</v>
      </c>
      <c r="D514">
        <v>512</v>
      </c>
      <c r="E514" s="10">
        <v>1435394</v>
      </c>
      <c r="F514" s="10">
        <v>1120404.6669999999</v>
      </c>
      <c r="G514" s="10">
        <v>22762.333330000001</v>
      </c>
      <c r="H514" s="10">
        <v>45500.466670000002</v>
      </c>
      <c r="I514" s="10">
        <v>46569.599999999999</v>
      </c>
      <c r="J514" s="10">
        <v>34650.400000000001</v>
      </c>
      <c r="K514">
        <v>512</v>
      </c>
      <c r="L514" s="10">
        <v>2224.5333329999999</v>
      </c>
      <c r="M514" s="10">
        <v>409030.6</v>
      </c>
      <c r="N514" s="10">
        <v>5903.4</v>
      </c>
      <c r="O514">
        <v>0.12839425524623152</v>
      </c>
      <c r="P514">
        <v>0.95373994827124042</v>
      </c>
      <c r="Q514">
        <v>-0.30079907213808793</v>
      </c>
      <c r="R514">
        <v>0.30079907213808793</v>
      </c>
      <c r="S514">
        <f t="shared" si="80"/>
        <v>-0.29563869815604532</v>
      </c>
      <c r="T514" s="148">
        <f t="shared" si="75"/>
        <v>-0.29568155992517547</v>
      </c>
      <c r="U514">
        <f t="shared" si="81"/>
        <v>2.1960673874822705</v>
      </c>
      <c r="V514" s="55">
        <f t="shared" si="76"/>
        <v>2.1960771066259923</v>
      </c>
      <c r="W514">
        <f t="shared" si="82"/>
        <v>0.42020214668460271</v>
      </c>
      <c r="X514" s="55">
        <f t="shared" si="77"/>
        <v>0.4202553552558484</v>
      </c>
      <c r="Y514" s="149">
        <v>14.150654599999999</v>
      </c>
      <c r="Z514" s="55">
        <f t="shared" si="73"/>
        <v>5.2689891196249367E-3</v>
      </c>
      <c r="AA514" s="55">
        <f t="shared" si="78"/>
        <v>5.2688620686280789E-3</v>
      </c>
      <c r="AB514" s="55">
        <f t="shared" si="74"/>
        <v>-5.2459167527362558</v>
      </c>
      <c r="AC514" s="55">
        <f t="shared" si="79"/>
        <v>-5.2459458823918084</v>
      </c>
      <c r="AD514" s="55"/>
      <c r="AE514" s="55"/>
      <c r="AF514" s="55"/>
      <c r="AG514" s="55"/>
      <c r="AH514" s="55"/>
    </row>
    <row r="515" spans="1:34" ht="15.75">
      <c r="A515" s="39">
        <v>13.8804909</v>
      </c>
      <c r="B515" s="39">
        <v>14.188890900000001</v>
      </c>
      <c r="C515" s="39">
        <v>513</v>
      </c>
      <c r="D515">
        <v>513</v>
      </c>
      <c r="E515" s="10">
        <v>1420784.571</v>
      </c>
      <c r="F515" s="10">
        <v>1109957.7139999999</v>
      </c>
      <c r="G515" s="10">
        <v>22328.42857</v>
      </c>
      <c r="H515" s="10">
        <v>44990.485710000001</v>
      </c>
      <c r="I515" s="10">
        <v>46165.685709999998</v>
      </c>
      <c r="J515" s="10">
        <v>34155.742859999998</v>
      </c>
      <c r="K515">
        <v>513</v>
      </c>
      <c r="L515" s="10">
        <v>2192.5142860000001</v>
      </c>
      <c r="M515" s="10">
        <v>405013.11430000002</v>
      </c>
      <c r="N515" s="10">
        <v>5825.4571429999996</v>
      </c>
      <c r="O515">
        <v>0.13085555529459053</v>
      </c>
      <c r="P515">
        <v>0.95434840410745314</v>
      </c>
      <c r="Q515">
        <v>-0.30426252239107054</v>
      </c>
      <c r="R515">
        <v>0.3042625223910706</v>
      </c>
      <c r="S515">
        <f t="shared" si="80"/>
        <v>-0.3013060509567822</v>
      </c>
      <c r="T515" s="148">
        <f t="shared" si="75"/>
        <v>-0.3013504544378382</v>
      </c>
      <c r="U515">
        <f t="shared" si="81"/>
        <v>2.197468408820479</v>
      </c>
      <c r="V515" s="55">
        <f t="shared" si="76"/>
        <v>2.1974784414678319</v>
      </c>
      <c r="W515">
        <f t="shared" si="82"/>
        <v>0.4250700472828956</v>
      </c>
      <c r="X515" s="55">
        <f t="shared" si="77"/>
        <v>0.42512602873108762</v>
      </c>
      <c r="Y515" s="149">
        <v>14.188890900000001</v>
      </c>
      <c r="Z515" s="55">
        <f t="shared" ref="Z515:Z578" si="83">N515/F515</f>
        <v>5.2483595271450136E-3</v>
      </c>
      <c r="AA515" s="55">
        <f t="shared" si="78"/>
        <v>5.248228851451567E-3</v>
      </c>
      <c r="AB515" s="55">
        <f t="shared" ref="AB515:AB578" si="84">LN(Z515)</f>
        <v>-5.2498397222278435</v>
      </c>
      <c r="AC515" s="55">
        <f t="shared" si="79"/>
        <v>-5.2498698699139865</v>
      </c>
      <c r="AD515" s="55"/>
      <c r="AE515" s="55"/>
      <c r="AF515" s="55"/>
      <c r="AG515" s="55"/>
      <c r="AH515" s="55"/>
    </row>
    <row r="516" spans="1:34" ht="15.75">
      <c r="A516" s="39">
        <v>13.9159273</v>
      </c>
      <c r="B516" s="39">
        <v>14.227127299999999</v>
      </c>
      <c r="C516" s="39">
        <v>514</v>
      </c>
      <c r="D516">
        <v>514</v>
      </c>
      <c r="E516" s="10">
        <v>1406175.1429999999</v>
      </c>
      <c r="F516" s="10">
        <v>1099510.7620000001</v>
      </c>
      <c r="G516" s="10">
        <v>21894.523809999999</v>
      </c>
      <c r="H516" s="10">
        <v>44480.504760000003</v>
      </c>
      <c r="I516" s="10">
        <v>45761.771430000001</v>
      </c>
      <c r="J516" s="10">
        <v>33661.085709999999</v>
      </c>
      <c r="K516">
        <v>514</v>
      </c>
      <c r="L516" s="10">
        <v>2160.495238</v>
      </c>
      <c r="M516" s="10">
        <v>400995.6286</v>
      </c>
      <c r="N516" s="10">
        <v>5747.5142859999996</v>
      </c>
      <c r="O516">
        <v>0.13337470790334929</v>
      </c>
      <c r="P516">
        <v>0.95496993131381847</v>
      </c>
      <c r="Q516">
        <v>-0.30783420288806562</v>
      </c>
      <c r="R516">
        <v>0.30783420288806562</v>
      </c>
      <c r="S516">
        <f t="shared" si="80"/>
        <v>-0.30710661420068719</v>
      </c>
      <c r="T516" s="148">
        <f t="shared" ref="T516:T579" si="85">AVERAGE(S515:S517)</f>
        <v>-0.30715263520090286</v>
      </c>
      <c r="U516">
        <f t="shared" si="81"/>
        <v>2.1988995281007462</v>
      </c>
      <c r="V516" s="55">
        <f t="shared" ref="V516:V579" si="86">AVERAGE(U515:U517)</f>
        <v>2.1989098881361246</v>
      </c>
      <c r="W516">
        <f t="shared" si="82"/>
        <v>0.43010589222576456</v>
      </c>
      <c r="X516" s="55">
        <f t="shared" ref="X516:X579" si="87">AVERAGE(W515:W517)</f>
        <v>0.430164844235782</v>
      </c>
      <c r="Y516" s="149">
        <v>14.227127299999999</v>
      </c>
      <c r="Z516" s="55">
        <f t="shared" si="83"/>
        <v>5.2273379075847542E-3</v>
      </c>
      <c r="AA516" s="55">
        <f t="shared" ref="AA516:AA579" si="88">AVERAGE(Z515:Z517)</f>
        <v>5.2272034729455774E-3</v>
      </c>
      <c r="AB516" s="55">
        <f t="shared" si="84"/>
        <v>-5.2538531347778603</v>
      </c>
      <c r="AC516" s="55">
        <f t="shared" ref="AC516:AC579" si="89">AVERAGE(AB515:AB517)</f>
        <v>-5.2538843480315771</v>
      </c>
      <c r="AD516" s="55"/>
      <c r="AE516" s="55"/>
      <c r="AF516" s="55"/>
      <c r="AG516" s="55"/>
      <c r="AH516" s="55"/>
    </row>
    <row r="517" spans="1:34" ht="15.75">
      <c r="A517" s="39">
        <v>13.951363600000001</v>
      </c>
      <c r="B517" s="39">
        <v>14.265363600000001</v>
      </c>
      <c r="C517" s="39">
        <v>515</v>
      </c>
      <c r="D517">
        <v>515</v>
      </c>
      <c r="E517" s="10">
        <v>1391565.7139999999</v>
      </c>
      <c r="F517" s="10">
        <v>1089063.81</v>
      </c>
      <c r="G517" s="10">
        <v>21460.619050000001</v>
      </c>
      <c r="H517" s="10">
        <v>43970.523809999999</v>
      </c>
      <c r="I517" s="10">
        <v>45357.85714</v>
      </c>
      <c r="J517" s="10">
        <v>33166.428569999996</v>
      </c>
      <c r="K517">
        <v>515</v>
      </c>
      <c r="L517" s="10">
        <v>2128.4761899999999</v>
      </c>
      <c r="M517" s="10">
        <v>396978.14289999998</v>
      </c>
      <c r="N517" s="10">
        <v>5669.5714289999996</v>
      </c>
      <c r="O517">
        <v>0.13595382051144406</v>
      </c>
      <c r="P517">
        <v>0.95560495643877541</v>
      </c>
      <c r="Q517">
        <v>-0.31151939388533062</v>
      </c>
      <c r="R517">
        <v>0.31151939388533056</v>
      </c>
      <c r="S517">
        <f t="shared" si="80"/>
        <v>-0.31304524044523918</v>
      </c>
      <c r="T517" s="148">
        <f t="shared" si="85"/>
        <v>-0.31309296074383275</v>
      </c>
      <c r="U517">
        <f t="shared" si="81"/>
        <v>2.2003617274871488</v>
      </c>
      <c r="V517" s="55">
        <f t="shared" si="86"/>
        <v>2.2003724291696973</v>
      </c>
      <c r="W517">
        <f t="shared" si="82"/>
        <v>0.43531859319868593</v>
      </c>
      <c r="X517" s="55">
        <f t="shared" si="87"/>
        <v>0.43538073105257674</v>
      </c>
      <c r="Y517" s="149">
        <v>14.265363600000001</v>
      </c>
      <c r="Z517" s="55">
        <f t="shared" si="83"/>
        <v>5.2059129841069635E-3</v>
      </c>
      <c r="AA517" s="55">
        <f t="shared" si="88"/>
        <v>5.2057746445575807E-3</v>
      </c>
      <c r="AB517" s="55">
        <f t="shared" si="84"/>
        <v>-5.2579601870890293</v>
      </c>
      <c r="AC517" s="55">
        <f t="shared" si="89"/>
        <v>-5.2579925173366666</v>
      </c>
      <c r="AD517" s="55"/>
      <c r="AE517" s="55"/>
      <c r="AF517" s="55"/>
      <c r="AG517" s="55"/>
      <c r="AH517" s="55"/>
    </row>
    <row r="518" spans="1:34" ht="15.75">
      <c r="A518" s="39">
        <v>13.986800000000001</v>
      </c>
      <c r="B518" s="39">
        <v>14.303599999999999</v>
      </c>
      <c r="C518" s="39">
        <v>516</v>
      </c>
      <c r="D518">
        <v>516</v>
      </c>
      <c r="E518" s="10">
        <v>1376956.2860000001</v>
      </c>
      <c r="F518" s="10">
        <v>1078616.8570000001</v>
      </c>
      <c r="G518" s="10">
        <v>21026.71429</v>
      </c>
      <c r="H518" s="10">
        <v>43460.542860000001</v>
      </c>
      <c r="I518" s="10">
        <v>44953.942860000003</v>
      </c>
      <c r="J518" s="10">
        <v>32671.771430000001</v>
      </c>
      <c r="K518">
        <v>516</v>
      </c>
      <c r="L518" s="10">
        <v>2096.4571430000001</v>
      </c>
      <c r="M518" s="10">
        <v>392960.65710000001</v>
      </c>
      <c r="N518" s="10">
        <v>5591.6285710000002</v>
      </c>
      <c r="O518">
        <v>0.13859510710660067</v>
      </c>
      <c r="P518">
        <v>0.95625392460876624</v>
      </c>
      <c r="Q518">
        <v>-0.31532373316398637</v>
      </c>
      <c r="R518">
        <v>0.31532373316398637</v>
      </c>
      <c r="S518">
        <f t="shared" si="80"/>
        <v>-0.31912702758557188</v>
      </c>
      <c r="T518" s="148">
        <f t="shared" si="85"/>
        <v>-0.3191765332423937</v>
      </c>
      <c r="U518">
        <f t="shared" si="81"/>
        <v>2.2018560319211971</v>
      </c>
      <c r="V518" s="55">
        <f t="shared" si="86"/>
        <v>2.2018670908032703</v>
      </c>
      <c r="W518">
        <f t="shared" si="82"/>
        <v>0.44071770773327967</v>
      </c>
      <c r="X518" s="55">
        <f t="shared" si="87"/>
        <v>0.44078326733958112</v>
      </c>
      <c r="Y518" s="149">
        <v>14.303599999999999</v>
      </c>
      <c r="Z518" s="55">
        <f t="shared" si="83"/>
        <v>5.1840730419810228E-3</v>
      </c>
      <c r="AA518" s="55">
        <f t="shared" si="88"/>
        <v>5.1839306408336889E-3</v>
      </c>
      <c r="AB518" s="55">
        <f t="shared" si="84"/>
        <v>-5.2621642301431102</v>
      </c>
      <c r="AC518" s="55">
        <f t="shared" si="89"/>
        <v>-5.2621977326748262</v>
      </c>
      <c r="AD518" s="55"/>
      <c r="AE518" s="55"/>
      <c r="AF518" s="55"/>
      <c r="AG518" s="55"/>
      <c r="AH518" s="55"/>
    </row>
    <row r="519" spans="1:34" ht="15.75">
      <c r="A519" s="39">
        <v>14.022236400000001</v>
      </c>
      <c r="B519" s="39">
        <v>14.3418364</v>
      </c>
      <c r="C519" s="39">
        <v>517</v>
      </c>
      <c r="D519">
        <v>517</v>
      </c>
      <c r="E519" s="10">
        <v>1362346.8570000001</v>
      </c>
      <c r="F519" s="10">
        <v>1068169.905</v>
      </c>
      <c r="G519" s="10">
        <v>20592.809519999999</v>
      </c>
      <c r="H519" s="10">
        <v>42950.561900000001</v>
      </c>
      <c r="I519" s="10">
        <v>44550.028570000002</v>
      </c>
      <c r="J519" s="10">
        <v>32177.114290000001</v>
      </c>
      <c r="K519">
        <v>517</v>
      </c>
      <c r="L519" s="10">
        <v>2064.438095</v>
      </c>
      <c r="M519" s="10">
        <v>388943.17139999999</v>
      </c>
      <c r="N519" s="10">
        <v>5513.6857140000002</v>
      </c>
      <c r="O519">
        <v>0.14130089380249949</v>
      </c>
      <c r="P519">
        <v>0.95691730121313823</v>
      </c>
      <c r="Q519">
        <v>-0.31925324749136835</v>
      </c>
      <c r="R519">
        <v>0.31925324749136835</v>
      </c>
      <c r="S519">
        <f t="shared" si="80"/>
        <v>-0.32535733169636999</v>
      </c>
      <c r="T519" s="148">
        <f t="shared" si="85"/>
        <v>-0.32540871524375214</v>
      </c>
      <c r="U519">
        <f t="shared" si="81"/>
        <v>2.203383513001465</v>
      </c>
      <c r="V519" s="55">
        <f t="shared" si="86"/>
        <v>2.2033949446779695</v>
      </c>
      <c r="W519">
        <f t="shared" si="82"/>
        <v>0.44631350108677781</v>
      </c>
      <c r="X519" s="55">
        <f t="shared" si="87"/>
        <v>0.44638273988316968</v>
      </c>
      <c r="Y519" s="149">
        <v>14.3418364</v>
      </c>
      <c r="Z519" s="55">
        <f t="shared" si="83"/>
        <v>5.1618058964130803E-3</v>
      </c>
      <c r="AA519" s="55">
        <f t="shared" si="88"/>
        <v>5.1616592787940936E-3</v>
      </c>
      <c r="AB519" s="55">
        <f t="shared" si="84"/>
        <v>-5.2664687807923389</v>
      </c>
      <c r="AC519" s="55">
        <f t="shared" si="89"/>
        <v>-5.2665035124982849</v>
      </c>
      <c r="AD519" s="55"/>
      <c r="AE519" s="55"/>
      <c r="AF519" s="55"/>
      <c r="AG519" s="55"/>
      <c r="AH519" s="55"/>
    </row>
    <row r="520" spans="1:34" ht="15.75">
      <c r="A520" s="39">
        <v>14.057672699999999</v>
      </c>
      <c r="B520" s="39">
        <v>14.380072699999999</v>
      </c>
      <c r="C520" s="39">
        <v>518</v>
      </c>
      <c r="D520">
        <v>518</v>
      </c>
      <c r="E520" s="10">
        <v>1347737.429</v>
      </c>
      <c r="F520" s="10">
        <v>1057722.952</v>
      </c>
      <c r="G520" s="10">
        <v>20158.904760000001</v>
      </c>
      <c r="H520" s="10">
        <v>42440.580950000003</v>
      </c>
      <c r="I520" s="10">
        <v>44146.114289999998</v>
      </c>
      <c r="J520" s="10">
        <v>31682.457139999999</v>
      </c>
      <c r="K520">
        <v>518</v>
      </c>
      <c r="L520" s="10">
        <v>2032.419048</v>
      </c>
      <c r="M520" s="10">
        <v>384925.68569999997</v>
      </c>
      <c r="N520" s="10">
        <v>5435.7428570000002</v>
      </c>
      <c r="O520">
        <v>0.14407362727166431</v>
      </c>
      <c r="P520">
        <v>0.95759557195958489</v>
      </c>
      <c r="Q520">
        <v>-0.3233143870807767</v>
      </c>
      <c r="R520">
        <v>0.3233143870807767</v>
      </c>
      <c r="S520">
        <f t="shared" si="80"/>
        <v>-0.33174178644931462</v>
      </c>
      <c r="T520" s="148">
        <f t="shared" si="85"/>
        <v>-0.33179514554542849</v>
      </c>
      <c r="U520">
        <f t="shared" si="81"/>
        <v>2.2049452891112469</v>
      </c>
      <c r="V520" s="55">
        <f t="shared" si="86"/>
        <v>2.2049571108939308</v>
      </c>
      <c r="W520">
        <f t="shared" si="82"/>
        <v>0.45211701082945155</v>
      </c>
      <c r="X520" s="55">
        <f t="shared" si="87"/>
        <v>0.45219021262941372</v>
      </c>
      <c r="Y520" s="149">
        <v>14.380072699999999</v>
      </c>
      <c r="Z520" s="55">
        <f t="shared" si="83"/>
        <v>5.1390988979881759E-3</v>
      </c>
      <c r="AA520" s="55">
        <f t="shared" si="88"/>
        <v>5.1389478894011296E-3</v>
      </c>
      <c r="AB520" s="55">
        <f t="shared" si="84"/>
        <v>-5.2708775265594037</v>
      </c>
      <c r="AC520" s="55">
        <f t="shared" si="89"/>
        <v>-5.2709135502445319</v>
      </c>
      <c r="AD520" s="55"/>
      <c r="AE520" s="55"/>
      <c r="AF520" s="55"/>
      <c r="AG520" s="55"/>
      <c r="AH520" s="55"/>
    </row>
    <row r="521" spans="1:34" ht="15.75">
      <c r="A521" s="39">
        <v>14.0931091</v>
      </c>
      <c r="B521" s="39">
        <v>14.4183091</v>
      </c>
      <c r="C521" s="39">
        <v>519</v>
      </c>
      <c r="D521">
        <v>519</v>
      </c>
      <c r="E521" s="10">
        <v>1333128</v>
      </c>
      <c r="F521" s="10">
        <v>1047276</v>
      </c>
      <c r="G521" s="10">
        <v>19725</v>
      </c>
      <c r="H521" s="10">
        <v>41930.6</v>
      </c>
      <c r="I521" s="10">
        <v>43742.2</v>
      </c>
      <c r="J521" s="10">
        <v>31187.8</v>
      </c>
      <c r="K521">
        <v>519</v>
      </c>
      <c r="L521" s="10">
        <v>2000.4</v>
      </c>
      <c r="M521" s="10">
        <v>380908.2</v>
      </c>
      <c r="N521" s="10">
        <v>5357.8</v>
      </c>
      <c r="O521">
        <v>0.14691588142383383</v>
      </c>
      <c r="P521">
        <v>0.95828924511098923</v>
      </c>
      <c r="Q521">
        <v>-0.32751406504213865</v>
      </c>
      <c r="R521">
        <v>0.3275140650421387</v>
      </c>
      <c r="S521">
        <f t="shared" si="80"/>
        <v>-0.33828631849060076</v>
      </c>
      <c r="T521" s="148">
        <f t="shared" si="85"/>
        <v>-0.33834175859237031</v>
      </c>
      <c r="U521">
        <f t="shared" si="81"/>
        <v>2.2065425305690809</v>
      </c>
      <c r="V521" s="55">
        <f t="shared" si="86"/>
        <v>2.2065547603589164</v>
      </c>
      <c r="W521">
        <f t="shared" si="82"/>
        <v>0.45814012597201181</v>
      </c>
      <c r="X521" s="55">
        <f t="shared" si="87"/>
        <v>0.45821760130873157</v>
      </c>
      <c r="Y521" s="149">
        <v>14.4183091</v>
      </c>
      <c r="Z521" s="55">
        <f t="shared" si="83"/>
        <v>5.1159388738021309E-3</v>
      </c>
      <c r="AA521" s="55">
        <f t="shared" si="88"/>
        <v>5.1157833022470725E-3</v>
      </c>
      <c r="AB521" s="55">
        <f t="shared" si="84"/>
        <v>-5.2753943433818504</v>
      </c>
      <c r="AC521" s="55">
        <f t="shared" si="89"/>
        <v>-5.2754317236733206</v>
      </c>
      <c r="AD521" s="55"/>
      <c r="AE521" s="55"/>
      <c r="AF521" s="55"/>
      <c r="AG521" s="55"/>
      <c r="AH521" s="55"/>
    </row>
    <row r="522" spans="1:34" ht="15.75">
      <c r="A522" s="39">
        <v>14.1285455</v>
      </c>
      <c r="B522" s="39">
        <v>14.456545500000001</v>
      </c>
      <c r="C522" s="39">
        <v>520</v>
      </c>
      <c r="D522">
        <v>520</v>
      </c>
      <c r="E522" s="10">
        <v>1318518.571</v>
      </c>
      <c r="F522" s="10">
        <v>1036829.048</v>
      </c>
      <c r="G522" s="10">
        <v>19291.095239999999</v>
      </c>
      <c r="H522" s="10">
        <v>41420.619050000001</v>
      </c>
      <c r="I522" s="10">
        <v>43338.285709999996</v>
      </c>
      <c r="J522" s="10">
        <v>30693.14286</v>
      </c>
      <c r="K522">
        <v>520</v>
      </c>
      <c r="L522" s="10">
        <v>1968.380952</v>
      </c>
      <c r="M522" s="10">
        <v>376890.71429999999</v>
      </c>
      <c r="N522" s="10">
        <v>5279.8571430000002</v>
      </c>
      <c r="O522">
        <v>0.14983036756682744</v>
      </c>
      <c r="P522">
        <v>0.95899885225311499</v>
      </c>
      <c r="Q522">
        <v>-0.33185970019016259</v>
      </c>
      <c r="R522">
        <v>0.33185970019016264</v>
      </c>
      <c r="S522">
        <f t="shared" si="80"/>
        <v>-0.3449971708371955</v>
      </c>
      <c r="T522" s="148">
        <f t="shared" si="85"/>
        <v>-0.34505480407904104</v>
      </c>
      <c r="U522">
        <f t="shared" si="81"/>
        <v>2.2081764613964219</v>
      </c>
      <c r="V522" s="55">
        <f t="shared" si="86"/>
        <v>2.2081891182207918</v>
      </c>
      <c r="W522">
        <f t="shared" si="82"/>
        <v>0.46439566712473129</v>
      </c>
      <c r="X522" s="55">
        <f t="shared" si="87"/>
        <v>0.46447775839500599</v>
      </c>
      <c r="Y522" s="149">
        <v>14.456545500000001</v>
      </c>
      <c r="Z522" s="55">
        <f t="shared" si="83"/>
        <v>5.0923121349509106E-3</v>
      </c>
      <c r="AA522" s="55">
        <f t="shared" si="88"/>
        <v>5.0921518146221532E-3</v>
      </c>
      <c r="AB522" s="55">
        <f t="shared" si="84"/>
        <v>-5.2800233010787077</v>
      </c>
      <c r="AC522" s="55">
        <f t="shared" si="89"/>
        <v>-5.2800621077924026</v>
      </c>
      <c r="AD522" s="55"/>
      <c r="AE522" s="55"/>
      <c r="AF522" s="55"/>
      <c r="AG522" s="55"/>
      <c r="AH522" s="55"/>
    </row>
    <row r="523" spans="1:34" ht="15.75">
      <c r="A523" s="39">
        <v>14.1639818</v>
      </c>
      <c r="B523" s="39">
        <v>14.4947818</v>
      </c>
      <c r="C523" s="39">
        <v>521</v>
      </c>
      <c r="D523">
        <v>521</v>
      </c>
      <c r="E523" s="10">
        <v>1303909.1429999999</v>
      </c>
      <c r="F523" s="10">
        <v>1026382.095</v>
      </c>
      <c r="G523" s="10">
        <v>18857.190480000001</v>
      </c>
      <c r="H523" s="10">
        <v>40910.638099999996</v>
      </c>
      <c r="I523" s="10">
        <v>42934.371429999999</v>
      </c>
      <c r="J523" s="10">
        <v>30198.485710000001</v>
      </c>
      <c r="K523">
        <v>521</v>
      </c>
      <c r="L523" s="10">
        <v>1936.361905</v>
      </c>
      <c r="M523" s="10">
        <v>372873.22859999997</v>
      </c>
      <c r="N523" s="10">
        <v>5201.9142860000002</v>
      </c>
      <c r="O523">
        <v>0.15281994310654423</v>
      </c>
      <c r="P523">
        <v>0.95972494976218792</v>
      </c>
      <c r="Q523">
        <v>-0.33635926543915967</v>
      </c>
      <c r="R523">
        <v>0.33635926543915962</v>
      </c>
      <c r="S523">
        <f t="shared" si="80"/>
        <v>-0.35188092290932693</v>
      </c>
      <c r="T523" s="148">
        <f t="shared" si="85"/>
        <v>-0.35194086867359403</v>
      </c>
      <c r="U523">
        <f t="shared" si="81"/>
        <v>2.2098483626968735</v>
      </c>
      <c r="V523" s="55">
        <f t="shared" si="86"/>
        <v>2.2098614667899326</v>
      </c>
      <c r="W523">
        <f t="shared" si="82"/>
        <v>0.47089748208827498</v>
      </c>
      <c r="X523" s="55">
        <f t="shared" si="87"/>
        <v>0.47098456752248014</v>
      </c>
      <c r="Y523" s="149">
        <v>14.4947818</v>
      </c>
      <c r="Z523" s="55">
        <f t="shared" si="83"/>
        <v>5.0682044351134164E-3</v>
      </c>
      <c r="AA523" s="55">
        <f t="shared" si="88"/>
        <v>5.068039165685918E-3</v>
      </c>
      <c r="AB523" s="55">
        <f t="shared" si="84"/>
        <v>-5.2847686789166479</v>
      </c>
      <c r="AC523" s="55">
        <f t="shared" si="89"/>
        <v>-5.2848089874548636</v>
      </c>
      <c r="AD523" s="55"/>
      <c r="AE523" s="55"/>
      <c r="AF523" s="55"/>
      <c r="AG523" s="55"/>
      <c r="AH523" s="55"/>
    </row>
    <row r="524" spans="1:34" ht="15.75">
      <c r="A524" s="39">
        <v>14.1994182</v>
      </c>
      <c r="B524" s="39">
        <v>14.533018200000001</v>
      </c>
      <c r="C524" s="39">
        <v>522</v>
      </c>
      <c r="D524">
        <v>522</v>
      </c>
      <c r="E524" s="10">
        <v>1289299.7139999999</v>
      </c>
      <c r="F524" s="10">
        <v>1015935.143</v>
      </c>
      <c r="G524" s="10">
        <v>18423.28571</v>
      </c>
      <c r="H524" s="10">
        <v>40400.657140000003</v>
      </c>
      <c r="I524" s="10">
        <v>42530.457139999999</v>
      </c>
      <c r="J524" s="10">
        <v>29703.828570000001</v>
      </c>
      <c r="K524">
        <v>522</v>
      </c>
      <c r="L524" s="10">
        <v>1904.3428570000001</v>
      </c>
      <c r="M524" s="10">
        <v>368855.74290000001</v>
      </c>
      <c r="N524" s="10">
        <v>5123.9714290000002</v>
      </c>
      <c r="O524">
        <v>0.15588762099016501</v>
      </c>
      <c r="P524">
        <v>0.96046812037717821</v>
      </c>
      <c r="Q524">
        <v>-0.34102134198579065</v>
      </c>
      <c r="R524">
        <v>0.34102134198579065</v>
      </c>
      <c r="S524">
        <f t="shared" si="80"/>
        <v>-0.35894451227425961</v>
      </c>
      <c r="T524" s="148">
        <f t="shared" si="85"/>
        <v>-0.35900689963843746</v>
      </c>
      <c r="U524">
        <f t="shared" si="81"/>
        <v>2.211559576276501</v>
      </c>
      <c r="V524" s="55">
        <f t="shared" si="86"/>
        <v>2.2115731486571431</v>
      </c>
      <c r="W524">
        <f t="shared" si="82"/>
        <v>0.47766055335443408</v>
      </c>
      <c r="X524" s="55">
        <f t="shared" si="87"/>
        <v>0.47775304962762344</v>
      </c>
      <c r="Y524" s="149">
        <v>14.533018200000001</v>
      </c>
      <c r="Z524" s="55">
        <f t="shared" si="83"/>
        <v>5.043600926993427E-3</v>
      </c>
      <c r="AA524" s="55">
        <f t="shared" si="88"/>
        <v>5.0434305091728972E-3</v>
      </c>
      <c r="AB524" s="55">
        <f t="shared" si="84"/>
        <v>-5.2896349823692352</v>
      </c>
      <c r="AC524" s="55">
        <f t="shared" si="89"/>
        <v>-5.2896768709059589</v>
      </c>
      <c r="AD524" s="55"/>
      <c r="AE524" s="55"/>
      <c r="AF524" s="55"/>
      <c r="AG524" s="55"/>
      <c r="AH524" s="55"/>
    </row>
    <row r="525" spans="1:34" ht="15.75">
      <c r="A525" s="39">
        <v>14.2348546</v>
      </c>
      <c r="B525" s="39">
        <v>14.5712546</v>
      </c>
      <c r="C525" s="39">
        <v>523</v>
      </c>
      <c r="D525">
        <v>523</v>
      </c>
      <c r="E525" s="10">
        <v>1274690.2860000001</v>
      </c>
      <c r="F525" s="10">
        <v>1005488.19</v>
      </c>
      <c r="G525" s="10">
        <v>17989.380949999999</v>
      </c>
      <c r="H525" s="10">
        <v>39890.676189999998</v>
      </c>
      <c r="I525" s="10">
        <v>42126.542860000001</v>
      </c>
      <c r="J525" s="10">
        <v>29209.171429999999</v>
      </c>
      <c r="K525">
        <v>523</v>
      </c>
      <c r="L525" s="10">
        <v>1872.3238100000001</v>
      </c>
      <c r="M525" s="10">
        <v>364838.25709999999</v>
      </c>
      <c r="N525" s="10">
        <v>5046.0285709999998</v>
      </c>
      <c r="O525">
        <v>0.15903658233779461</v>
      </c>
      <c r="P525">
        <v>0.96122897422222608</v>
      </c>
      <c r="Q525">
        <v>-0.34585517945735722</v>
      </c>
      <c r="R525">
        <v>0.34585517945735728</v>
      </c>
      <c r="S525">
        <f t="shared" si="80"/>
        <v>-0.36619526373172595</v>
      </c>
      <c r="T525" s="148">
        <f t="shared" si="85"/>
        <v>-0.36626022995568097</v>
      </c>
      <c r="U525">
        <f t="shared" si="81"/>
        <v>2.2133115069980556</v>
      </c>
      <c r="V525" s="55">
        <f t="shared" si="86"/>
        <v>2.2133255708342863</v>
      </c>
      <c r="W525">
        <f t="shared" si="82"/>
        <v>0.48470111344016137</v>
      </c>
      <c r="X525" s="55">
        <f t="shared" si="87"/>
        <v>0.48479948375239651</v>
      </c>
      <c r="Y525" s="149">
        <v>14.5712546</v>
      </c>
      <c r="Z525" s="55">
        <f t="shared" si="83"/>
        <v>5.0184861654118482E-3</v>
      </c>
      <c r="AA525" s="55">
        <f t="shared" si="88"/>
        <v>5.0183103770658271E-3</v>
      </c>
      <c r="AB525" s="55">
        <f t="shared" si="84"/>
        <v>-5.2946269514319937</v>
      </c>
      <c r="AC525" s="55">
        <f t="shared" si="89"/>
        <v>-5.2946705059082229</v>
      </c>
      <c r="AD525" s="55"/>
      <c r="AE525" s="55"/>
      <c r="AF525" s="55"/>
      <c r="AG525" s="55"/>
      <c r="AH525" s="55"/>
    </row>
    <row r="526" spans="1:34" ht="15.75">
      <c r="A526" s="39">
        <v>14.270290899999999</v>
      </c>
      <c r="B526" s="39">
        <v>14.609490900000001</v>
      </c>
      <c r="C526" s="39">
        <v>524</v>
      </c>
      <c r="D526">
        <v>524</v>
      </c>
      <c r="E526" s="10">
        <v>1260080.8570000001</v>
      </c>
      <c r="F526" s="10">
        <v>995041.23809999996</v>
      </c>
      <c r="G526" s="10">
        <v>17555.476190000001</v>
      </c>
      <c r="H526" s="10">
        <v>39380.695240000001</v>
      </c>
      <c r="I526" s="10">
        <v>41722.628570000001</v>
      </c>
      <c r="J526" s="10">
        <v>28714.514289999999</v>
      </c>
      <c r="K526">
        <v>524</v>
      </c>
      <c r="L526" s="10">
        <v>1840.304762</v>
      </c>
      <c r="M526" s="10">
        <v>360820.77140000003</v>
      </c>
      <c r="N526" s="10">
        <v>4968.0857139999998</v>
      </c>
      <c r="O526">
        <v>0.16227018710314539</v>
      </c>
      <c r="P526">
        <v>0.96200815160668252</v>
      </c>
      <c r="Q526">
        <v>-0.35087076490793229</v>
      </c>
      <c r="R526">
        <v>0.35087076490793234</v>
      </c>
      <c r="S526">
        <f t="shared" si="80"/>
        <v>-0.37364091386105736</v>
      </c>
      <c r="T526" s="148">
        <f t="shared" si="85"/>
        <v>-0.37370860713029347</v>
      </c>
      <c r="U526">
        <f t="shared" si="81"/>
        <v>2.2151056292283031</v>
      </c>
      <c r="V526" s="55">
        <f t="shared" si="86"/>
        <v>2.2151202082040524</v>
      </c>
      <c r="W526">
        <f t="shared" si="82"/>
        <v>0.49203678446259402</v>
      </c>
      <c r="X526" s="55">
        <f t="shared" si="87"/>
        <v>0.49214154210358291</v>
      </c>
      <c r="Y526" s="149">
        <v>14.609490900000001</v>
      </c>
      <c r="Z526" s="55">
        <f t="shared" si="83"/>
        <v>4.9928440387922053E-3</v>
      </c>
      <c r="AA526" s="55">
        <f t="shared" si="88"/>
        <v>4.9926626572658244E-3</v>
      </c>
      <c r="AB526" s="55">
        <f t="shared" si="84"/>
        <v>-5.2997495839234379</v>
      </c>
      <c r="AC526" s="55">
        <f t="shared" si="89"/>
        <v>-5.299794893938528</v>
      </c>
      <c r="AD526" s="55"/>
      <c r="AE526" s="55"/>
      <c r="AF526" s="55"/>
      <c r="AG526" s="55"/>
      <c r="AH526" s="55"/>
    </row>
    <row r="527" spans="1:34" ht="15.75">
      <c r="A527" s="39">
        <v>14.305727299999999</v>
      </c>
      <c r="B527" s="39">
        <v>14.6477273</v>
      </c>
      <c r="C527" s="39">
        <v>525</v>
      </c>
      <c r="D527">
        <v>525</v>
      </c>
      <c r="E527" s="10">
        <v>1245471.429</v>
      </c>
      <c r="F527" s="10">
        <v>984594.28570000001</v>
      </c>
      <c r="G527" s="10">
        <v>17121.57143</v>
      </c>
      <c r="H527" s="10">
        <v>38870.714290000004</v>
      </c>
      <c r="I527" s="10">
        <v>41318.714290000004</v>
      </c>
      <c r="J527" s="10">
        <v>28219.85714</v>
      </c>
      <c r="K527">
        <v>525</v>
      </c>
      <c r="L527" s="10">
        <v>1808.2857140000001</v>
      </c>
      <c r="M527" s="10">
        <v>356803.28570000001</v>
      </c>
      <c r="N527" s="10">
        <v>4890.1428569999998</v>
      </c>
      <c r="O527">
        <v>0.16559198830837005</v>
      </c>
      <c r="P527">
        <v>0.96280632369729857</v>
      </c>
      <c r="Q527">
        <v>-0.35607889929281228</v>
      </c>
      <c r="R527">
        <v>0.35607889929281228</v>
      </c>
      <c r="S527">
        <f t="shared" si="80"/>
        <v>-0.3812896437980971</v>
      </c>
      <c r="T527" s="148">
        <f t="shared" si="85"/>
        <v>-0.38136022217576021</v>
      </c>
      <c r="U527">
        <f t="shared" si="81"/>
        <v>2.2169434883857995</v>
      </c>
      <c r="V527" s="55">
        <f t="shared" si="86"/>
        <v>2.2169586082073613</v>
      </c>
      <c r="W527">
        <f t="shared" si="82"/>
        <v>0.49968672840799344</v>
      </c>
      <c r="X527" s="55">
        <f t="shared" si="87"/>
        <v>0.4997984453203646</v>
      </c>
      <c r="Y527" s="149">
        <v>14.6477273</v>
      </c>
      <c r="Z527" s="55">
        <f t="shared" si="83"/>
        <v>4.9666577675934196E-3</v>
      </c>
      <c r="AA527" s="55">
        <f t="shared" si="88"/>
        <v>4.966470549692255E-3</v>
      </c>
      <c r="AB527" s="55">
        <f t="shared" si="84"/>
        <v>-5.3050081464601524</v>
      </c>
      <c r="AC527" s="55">
        <f t="shared" si="89"/>
        <v>-5.3050553095999389</v>
      </c>
      <c r="AD527" s="55"/>
      <c r="AE527" s="55"/>
      <c r="AF527" s="55"/>
      <c r="AG527" s="55"/>
      <c r="AH527" s="55"/>
    </row>
    <row r="528" spans="1:34" ht="15.75">
      <c r="A528" s="39">
        <v>14.3411636</v>
      </c>
      <c r="B528" s="39">
        <v>14.685963599999999</v>
      </c>
      <c r="C528" s="39">
        <v>526</v>
      </c>
      <c r="D528">
        <v>526</v>
      </c>
      <c r="E528" s="10">
        <v>1230862</v>
      </c>
      <c r="F528" s="10">
        <v>974147.33330000006</v>
      </c>
      <c r="G528" s="10">
        <v>16687.666669999999</v>
      </c>
      <c r="H528" s="10">
        <v>38360.733330000003</v>
      </c>
      <c r="I528" s="10">
        <v>40914.800000000003</v>
      </c>
      <c r="J528" s="10">
        <v>27725.200000000001</v>
      </c>
      <c r="K528">
        <v>526</v>
      </c>
      <c r="L528" s="10">
        <v>1776.2666670000001</v>
      </c>
      <c r="M528" s="10">
        <v>352785.8</v>
      </c>
      <c r="N528" s="10">
        <v>4812.2</v>
      </c>
      <c r="O528">
        <v>0.16900574491347695</v>
      </c>
      <c r="P528">
        <v>0.96362419515312947</v>
      </c>
      <c r="Q528">
        <v>-0.36149128455150814</v>
      </c>
      <c r="R528">
        <v>0.36149128455150809</v>
      </c>
      <c r="S528">
        <f t="shared" si="80"/>
        <v>-0.38915010886812629</v>
      </c>
      <c r="T528" s="148">
        <f t="shared" si="85"/>
        <v>-0.38922374367972462</v>
      </c>
      <c r="U528">
        <f t="shared" si="81"/>
        <v>2.218826707007981</v>
      </c>
      <c r="V528" s="55">
        <f t="shared" si="86"/>
        <v>2.2188423945490912</v>
      </c>
      <c r="W528">
        <f t="shared" si="82"/>
        <v>0.50767182309050651</v>
      </c>
      <c r="X528" s="55">
        <f t="shared" si="87"/>
        <v>0.50779113685449173</v>
      </c>
      <c r="Y528" s="149">
        <v>14.685963599999999</v>
      </c>
      <c r="Z528" s="55">
        <f t="shared" si="83"/>
        <v>4.9399098426911427E-3</v>
      </c>
      <c r="AA528" s="55">
        <f t="shared" si="88"/>
        <v>4.9397165360373181E-3</v>
      </c>
      <c r="AB528" s="55">
        <f t="shared" si="84"/>
        <v>-5.3104081984162281</v>
      </c>
      <c r="AC528" s="55">
        <f t="shared" si="89"/>
        <v>-5.3104573183775807</v>
      </c>
      <c r="AD528" s="55"/>
      <c r="AE528" s="55"/>
      <c r="AF528" s="55"/>
      <c r="AG528" s="55"/>
      <c r="AH528" s="55"/>
    </row>
    <row r="529" spans="1:34" ht="15.75">
      <c r="A529" s="39">
        <v>14.3766</v>
      </c>
      <c r="B529" s="39">
        <v>14.7242</v>
      </c>
      <c r="C529" s="39">
        <v>527</v>
      </c>
      <c r="D529">
        <v>527</v>
      </c>
      <c r="E529" s="10">
        <v>1216252.571</v>
      </c>
      <c r="F529" s="10">
        <v>963700.38100000005</v>
      </c>
      <c r="G529" s="10">
        <v>16253.7619</v>
      </c>
      <c r="H529" s="10">
        <v>37850.752379999998</v>
      </c>
      <c r="I529" s="10">
        <v>40510.885710000002</v>
      </c>
      <c r="J529" s="10">
        <v>27230.542860000001</v>
      </c>
      <c r="K529">
        <v>527</v>
      </c>
      <c r="L529" s="10">
        <v>1744.247619</v>
      </c>
      <c r="M529" s="10">
        <v>348768.31430000003</v>
      </c>
      <c r="N529" s="10">
        <v>4734.2571429999998</v>
      </c>
      <c r="O529">
        <v>0.17251543909564335</v>
      </c>
      <c r="P529">
        <v>0.96446250564657665</v>
      </c>
      <c r="Q529">
        <v>-0.36712062310978061</v>
      </c>
      <c r="R529">
        <v>0.36712062310978066</v>
      </c>
      <c r="S529">
        <f t="shared" ref="S529:S592" si="90">LN(J529/I529)</f>
        <v>-0.39723147837295059</v>
      </c>
      <c r="T529" s="148">
        <f t="shared" si="85"/>
        <v>-0.39730835349405363</v>
      </c>
      <c r="U529">
        <f t="shared" ref="U529:U592" si="91">LN(M529/H529)</f>
        <v>2.220756988253493</v>
      </c>
      <c r="V529" s="55">
        <f t="shared" si="86"/>
        <v>2.2207732726327518</v>
      </c>
      <c r="W529">
        <f t="shared" ref="W529:W592" si="92">LN(J529/G529)</f>
        <v>0.51601485906497502</v>
      </c>
      <c r="X529" s="55">
        <f t="shared" si="87"/>
        <v>0.51614248242712213</v>
      </c>
      <c r="Y529" s="149">
        <v>14.7242</v>
      </c>
      <c r="Z529" s="55">
        <f t="shared" si="83"/>
        <v>4.9125819978273928E-3</v>
      </c>
      <c r="AA529" s="55">
        <f t="shared" si="88"/>
        <v>4.9123823360243324E-3</v>
      </c>
      <c r="AB529" s="55">
        <f t="shared" si="84"/>
        <v>-5.3159556102563634</v>
      </c>
      <c r="AC529" s="55">
        <f t="shared" si="89"/>
        <v>-5.3160067982373596</v>
      </c>
      <c r="AD529" s="55"/>
      <c r="AE529" s="55"/>
      <c r="AF529" s="55"/>
      <c r="AG529" s="55"/>
      <c r="AH529" s="55"/>
    </row>
    <row r="530" spans="1:34" ht="15.75">
      <c r="A530" s="39">
        <v>14.4120364</v>
      </c>
      <c r="B530" s="39">
        <v>14.7624364</v>
      </c>
      <c r="C530" s="39">
        <v>528</v>
      </c>
      <c r="D530">
        <v>528</v>
      </c>
      <c r="E530" s="10">
        <v>1201643.1429999999</v>
      </c>
      <c r="F530" s="10">
        <v>953253.42859999998</v>
      </c>
      <c r="G530" s="10">
        <v>15819.85714</v>
      </c>
      <c r="H530" s="10">
        <v>37340.771430000001</v>
      </c>
      <c r="I530" s="10">
        <v>40106.971429999998</v>
      </c>
      <c r="J530" s="10">
        <v>26735.885709999999</v>
      </c>
      <c r="K530">
        <v>528</v>
      </c>
      <c r="L530" s="10">
        <v>1712.2285710000001</v>
      </c>
      <c r="M530" s="10">
        <v>344750.82860000001</v>
      </c>
      <c r="N530" s="10">
        <v>4656.3142859999998</v>
      </c>
      <c r="O530">
        <v>0.17612529260048199</v>
      </c>
      <c r="P530">
        <v>0.96532203278818396</v>
      </c>
      <c r="Q530">
        <v>-0.3729807285603543</v>
      </c>
      <c r="R530">
        <v>0.3729807285603543</v>
      </c>
      <c r="S530">
        <f t="shared" si="90"/>
        <v>-0.4055434732410842</v>
      </c>
      <c r="T530" s="148">
        <f t="shared" si="85"/>
        <v>-0.40562378630160495</v>
      </c>
      <c r="U530">
        <f t="shared" si="91"/>
        <v>2.2227361226367819</v>
      </c>
      <c r="V530" s="55">
        <f t="shared" si="86"/>
        <v>2.2227530344895237</v>
      </c>
      <c r="W530">
        <f t="shared" si="92"/>
        <v>0.52474076512588474</v>
      </c>
      <c r="X530" s="55">
        <f t="shared" si="87"/>
        <v>0.52487749922108196</v>
      </c>
      <c r="Y530" s="149">
        <v>14.7624364</v>
      </c>
      <c r="Z530" s="55">
        <f t="shared" si="83"/>
        <v>4.8846551675544633E-3</v>
      </c>
      <c r="AA530" s="55">
        <f t="shared" si="88"/>
        <v>4.8844488684012368E-3</v>
      </c>
      <c r="AB530" s="55">
        <f t="shared" si="84"/>
        <v>-5.3216565860394853</v>
      </c>
      <c r="AC530" s="55">
        <f t="shared" si="89"/>
        <v>-5.3217099615812939</v>
      </c>
      <c r="AD530" s="55"/>
      <c r="AE530" s="55"/>
      <c r="AF530" s="55"/>
      <c r="AG530" s="55"/>
      <c r="AH530" s="55"/>
    </row>
    <row r="531" spans="1:34" ht="15.75">
      <c r="A531" s="39">
        <v>14.447472700000001</v>
      </c>
      <c r="B531" s="39">
        <v>14.8006727</v>
      </c>
      <c r="C531" s="39">
        <v>529</v>
      </c>
      <c r="D531">
        <v>529</v>
      </c>
      <c r="E531" s="10">
        <v>1187033.7139999999</v>
      </c>
      <c r="F531" s="10">
        <v>942806.47620000003</v>
      </c>
      <c r="G531" s="10">
        <v>15385.952380000001</v>
      </c>
      <c r="H531" s="10">
        <v>36830.790480000003</v>
      </c>
      <c r="I531" s="10">
        <v>39703.057139999997</v>
      </c>
      <c r="J531" s="10">
        <v>26241.228569999999</v>
      </c>
      <c r="K531">
        <v>529</v>
      </c>
      <c r="L531" s="10">
        <v>1680.2095240000001</v>
      </c>
      <c r="M531" s="10">
        <v>340733.34289999999</v>
      </c>
      <c r="N531" s="10">
        <v>4578.3714289999998</v>
      </c>
      <c r="O531">
        <v>0.17983978466234724</v>
      </c>
      <c r="P531">
        <v>0.96620359410276468</v>
      </c>
      <c r="Q531">
        <v>-0.37908665604143332</v>
      </c>
      <c r="R531">
        <v>0.37908665604143332</v>
      </c>
      <c r="S531">
        <f t="shared" si="90"/>
        <v>-0.41409640729077996</v>
      </c>
      <c r="T531" s="148">
        <f t="shared" si="85"/>
        <v>-0.41418037303197169</v>
      </c>
      <c r="U531">
        <f t="shared" si="91"/>
        <v>2.2247659925782957</v>
      </c>
      <c r="V531" s="55">
        <f t="shared" si="86"/>
        <v>2.224783564625425</v>
      </c>
      <c r="W531">
        <f t="shared" si="92"/>
        <v>0.53387687347238622</v>
      </c>
      <c r="X531" s="55">
        <f t="shared" si="87"/>
        <v>0.53402361782902341</v>
      </c>
      <c r="Y531" s="149">
        <v>14.8006727</v>
      </c>
      <c r="Z531" s="55">
        <f t="shared" si="83"/>
        <v>4.856109439821856E-3</v>
      </c>
      <c r="AA531" s="55">
        <f t="shared" si="88"/>
        <v>4.8558962056553974E-3</v>
      </c>
      <c r="AB531" s="55">
        <f t="shared" si="84"/>
        <v>-5.3275176884480349</v>
      </c>
      <c r="AC531" s="55">
        <f t="shared" si="89"/>
        <v>-5.3275733798991709</v>
      </c>
      <c r="AD531" s="55"/>
      <c r="AE531" s="55"/>
      <c r="AF531" s="55"/>
      <c r="AG531" s="55"/>
      <c r="AH531" s="55"/>
    </row>
    <row r="532" spans="1:34" ht="15.75">
      <c r="A532" s="39">
        <v>14.482909100000001</v>
      </c>
      <c r="B532" s="39">
        <v>14.8389091</v>
      </c>
      <c r="C532" s="39">
        <v>530</v>
      </c>
      <c r="D532">
        <v>530</v>
      </c>
      <c r="E532" s="10">
        <v>1172424.2860000001</v>
      </c>
      <c r="F532" s="10">
        <v>932359.52379999997</v>
      </c>
      <c r="G532" s="10">
        <v>14952.047619999999</v>
      </c>
      <c r="H532" s="10">
        <v>36320.809520000003</v>
      </c>
      <c r="I532" s="10">
        <v>39299.14286</v>
      </c>
      <c r="J532" s="10">
        <v>25746.57143</v>
      </c>
      <c r="K532">
        <v>530</v>
      </c>
      <c r="L532" s="10">
        <v>1648.190476</v>
      </c>
      <c r="M532" s="10">
        <v>336715.85710000002</v>
      </c>
      <c r="N532" s="10">
        <v>4500.4285710000004</v>
      </c>
      <c r="O532">
        <v>0.18366367429841798</v>
      </c>
      <c r="P532">
        <v>0.96710804974665765</v>
      </c>
      <c r="Q532">
        <v>-0.38545484799890273</v>
      </c>
      <c r="R532">
        <v>0.38545484799890273</v>
      </c>
      <c r="S532">
        <f t="shared" si="90"/>
        <v>-0.42290123856405093</v>
      </c>
      <c r="T532" s="148">
        <f t="shared" si="85"/>
        <v>-0.42298908792470091</v>
      </c>
      <c r="U532">
        <f t="shared" si="91"/>
        <v>2.2268485786611976</v>
      </c>
      <c r="V532" s="55">
        <f t="shared" si="86"/>
        <v>2.2268668458194321</v>
      </c>
      <c r="W532">
        <f t="shared" si="92"/>
        <v>0.54345321488879927</v>
      </c>
      <c r="X532" s="55">
        <f t="shared" si="87"/>
        <v>0.54361098522053208</v>
      </c>
      <c r="Y532" s="149">
        <v>14.8389091</v>
      </c>
      <c r="Z532" s="55">
        <f t="shared" si="83"/>
        <v>4.826924009589873E-3</v>
      </c>
      <c r="AA532" s="55">
        <f t="shared" si="88"/>
        <v>4.8267035271494438E-3</v>
      </c>
      <c r="AB532" s="55">
        <f t="shared" si="84"/>
        <v>-5.3335458652099925</v>
      </c>
      <c r="AC532" s="55">
        <f t="shared" si="89"/>
        <v>-5.3336040103419009</v>
      </c>
      <c r="AD532" s="55"/>
      <c r="AE532" s="55"/>
      <c r="AF532" s="55"/>
      <c r="AG532" s="55"/>
      <c r="AH532" s="55"/>
    </row>
    <row r="533" spans="1:34" ht="15.75">
      <c r="A533" s="39">
        <v>14.518345500000001</v>
      </c>
      <c r="B533" s="39">
        <v>14.877145499999999</v>
      </c>
      <c r="C533" s="39">
        <v>531</v>
      </c>
      <c r="D533">
        <v>531</v>
      </c>
      <c r="E533" s="10">
        <v>1157814.8570000001</v>
      </c>
      <c r="F533" s="10">
        <v>921912.57140000002</v>
      </c>
      <c r="G533" s="10">
        <v>14518.14286</v>
      </c>
      <c r="H533" s="10">
        <v>35810.828569999998</v>
      </c>
      <c r="I533" s="10">
        <v>38895.228569999999</v>
      </c>
      <c r="J533" s="10">
        <v>25251.914290000001</v>
      </c>
      <c r="K533">
        <v>531</v>
      </c>
      <c r="L533" s="10">
        <v>1616.171429</v>
      </c>
      <c r="M533" s="10">
        <v>332698.3714</v>
      </c>
      <c r="N533" s="10">
        <v>4422.4857140000004</v>
      </c>
      <c r="O533">
        <v>0.18760202141219584</v>
      </c>
      <c r="P533">
        <v>0.96803630536861396</v>
      </c>
      <c r="Q533">
        <v>-0.39210330398967891</v>
      </c>
      <c r="R533">
        <v>0.39210330398967885</v>
      </c>
      <c r="S533">
        <f t="shared" si="90"/>
        <v>-0.4319696179192718</v>
      </c>
      <c r="T533" s="148">
        <f t="shared" si="85"/>
        <v>-0.43206160188507331</v>
      </c>
      <c r="U533">
        <f t="shared" si="91"/>
        <v>2.2289859662188025</v>
      </c>
      <c r="V533" s="55">
        <f t="shared" si="86"/>
        <v>2.2290049657028788</v>
      </c>
      <c r="W533">
        <f t="shared" si="92"/>
        <v>0.55350286730041098</v>
      </c>
      <c r="X533" s="55">
        <f t="shared" si="87"/>
        <v>0.55367281304774807</v>
      </c>
      <c r="Y533" s="149">
        <v>14.877145499999999</v>
      </c>
      <c r="Z533" s="55">
        <f t="shared" si="83"/>
        <v>4.7970771320366016E-3</v>
      </c>
      <c r="AA533" s="55">
        <f t="shared" si="88"/>
        <v>4.7968490679146806E-3</v>
      </c>
      <c r="AB533" s="55">
        <f t="shared" si="84"/>
        <v>-5.3397484773676727</v>
      </c>
      <c r="AC533" s="55">
        <f t="shared" si="89"/>
        <v>-5.3398092249786009</v>
      </c>
      <c r="AD533" s="55"/>
      <c r="AE533" s="55"/>
      <c r="AF533" s="55"/>
      <c r="AG533" s="55"/>
      <c r="AH533" s="55"/>
    </row>
    <row r="534" spans="1:34" ht="15.75">
      <c r="A534" s="39">
        <v>14.553781799999999</v>
      </c>
      <c r="B534" s="39">
        <v>14.9153818</v>
      </c>
      <c r="C534" s="39">
        <v>532</v>
      </c>
      <c r="D534">
        <v>532</v>
      </c>
      <c r="E534" s="10">
        <v>1143205.429</v>
      </c>
      <c r="F534" s="10">
        <v>911465.61899999995</v>
      </c>
      <c r="G534" s="10">
        <v>14084.2381</v>
      </c>
      <c r="H534" s="10">
        <v>35300.84762</v>
      </c>
      <c r="I534" s="10">
        <v>38491.314290000002</v>
      </c>
      <c r="J534" s="10">
        <v>24757.257140000002</v>
      </c>
      <c r="K534">
        <v>532</v>
      </c>
      <c r="L534" s="10">
        <v>1584.1523810000001</v>
      </c>
      <c r="M534" s="10">
        <v>328680.88569999998</v>
      </c>
      <c r="N534" s="10">
        <v>4344.5428570000004</v>
      </c>
      <c r="O534">
        <v>0.19166021291228708</v>
      </c>
      <c r="P534">
        <v>0.96898931510385045</v>
      </c>
      <c r="Q534">
        <v>-0.39905177510538653</v>
      </c>
      <c r="R534">
        <v>0.39905177510538647</v>
      </c>
      <c r="S534">
        <f t="shared" si="90"/>
        <v>-0.44131394917189709</v>
      </c>
      <c r="T534" s="148">
        <f t="shared" si="85"/>
        <v>-0.44141033859759754</v>
      </c>
      <c r="U534">
        <f t="shared" si="91"/>
        <v>2.2311803522286362</v>
      </c>
      <c r="V534" s="55">
        <f t="shared" si="86"/>
        <v>2.2312001238157415</v>
      </c>
      <c r="W534">
        <f t="shared" si="92"/>
        <v>0.56406235695403428</v>
      </c>
      <c r="X534" s="55">
        <f t="shared" si="87"/>
        <v>0.56424578440495343</v>
      </c>
      <c r="Y534" s="149">
        <v>14.9153818</v>
      </c>
      <c r="Z534" s="55">
        <f t="shared" si="83"/>
        <v>4.7665460621175671E-3</v>
      </c>
      <c r="AA534" s="55">
        <f t="shared" si="88"/>
        <v>4.7663100648826194E-3</v>
      </c>
      <c r="AB534" s="55">
        <f t="shared" si="84"/>
        <v>-5.3461333323581348</v>
      </c>
      <c r="AC534" s="55">
        <f t="shared" si="89"/>
        <v>-5.3461968425807305</v>
      </c>
      <c r="AD534" s="55"/>
      <c r="AE534" s="55"/>
      <c r="AF534" s="55"/>
      <c r="AG534" s="55"/>
      <c r="AH534" s="55"/>
    </row>
    <row r="535" spans="1:34" ht="15.75">
      <c r="A535" s="39">
        <v>14.589218199999999</v>
      </c>
      <c r="B535" s="39">
        <v>14.953618199999999</v>
      </c>
      <c r="C535" s="39">
        <v>533</v>
      </c>
      <c r="D535">
        <v>533</v>
      </c>
      <c r="E535" s="10">
        <v>1128596</v>
      </c>
      <c r="F535" s="10">
        <v>901018.66669999994</v>
      </c>
      <c r="G535" s="10">
        <v>13650.333329999999</v>
      </c>
      <c r="H535" s="10">
        <v>34790.866670000003</v>
      </c>
      <c r="I535" s="10">
        <v>38087.4</v>
      </c>
      <c r="J535" s="10">
        <v>24262.6</v>
      </c>
      <c r="K535">
        <v>533</v>
      </c>
      <c r="L535" s="10">
        <v>1552.133333</v>
      </c>
      <c r="M535" s="10">
        <v>324663.40000000002</v>
      </c>
      <c r="N535" s="10">
        <v>4266.6000000000004</v>
      </c>
      <c r="O535">
        <v>0.19584398859946484</v>
      </c>
      <c r="P535">
        <v>0.9699680849126221</v>
      </c>
      <c r="Q535">
        <v>-0.4063219909031901</v>
      </c>
      <c r="R535">
        <v>0.4063219909031901</v>
      </c>
      <c r="S535">
        <f t="shared" si="90"/>
        <v>-0.45094744870162357</v>
      </c>
      <c r="T535" s="148">
        <f t="shared" si="85"/>
        <v>-0.45104853914850773</v>
      </c>
      <c r="U535">
        <f t="shared" si="91"/>
        <v>2.2334340529997863</v>
      </c>
      <c r="V535" s="55">
        <f t="shared" si="86"/>
        <v>2.2334546393004264</v>
      </c>
      <c r="W535">
        <f t="shared" si="92"/>
        <v>0.57517212896041525</v>
      </c>
      <c r="X535" s="55">
        <f t="shared" si="87"/>
        <v>0.57537052520962939</v>
      </c>
      <c r="Y535" s="149">
        <v>14.953618199999999</v>
      </c>
      <c r="Z535" s="55">
        <f t="shared" si="83"/>
        <v>4.7353070004936895E-3</v>
      </c>
      <c r="AA535" s="55">
        <f t="shared" si="88"/>
        <v>4.7350626984375031E-3</v>
      </c>
      <c r="AB535" s="55">
        <f t="shared" si="84"/>
        <v>-5.3527087180163848</v>
      </c>
      <c r="AC535" s="55">
        <f t="shared" si="89"/>
        <v>-5.3527751636162391</v>
      </c>
      <c r="AD535" s="55"/>
      <c r="AE535" s="55"/>
      <c r="AF535" s="55"/>
      <c r="AG535" s="55"/>
      <c r="AH535" s="55"/>
    </row>
    <row r="536" spans="1:34" ht="15.75">
      <c r="A536" s="39">
        <v>14.6246546</v>
      </c>
      <c r="B536" s="39">
        <v>14.9918546</v>
      </c>
      <c r="C536" s="39">
        <v>534</v>
      </c>
      <c r="D536">
        <v>534</v>
      </c>
      <c r="E536" s="10">
        <v>1113986.571</v>
      </c>
      <c r="F536" s="10">
        <v>890571.71429999999</v>
      </c>
      <c r="G536" s="10">
        <v>13216.42857</v>
      </c>
      <c r="H536" s="10">
        <v>34280.885710000002</v>
      </c>
      <c r="I536" s="10">
        <v>37683.485710000001</v>
      </c>
      <c r="J536" s="10">
        <v>23767.942859999999</v>
      </c>
      <c r="K536">
        <v>534</v>
      </c>
      <c r="L536" s="10">
        <v>1520.114286</v>
      </c>
      <c r="M536" s="10">
        <v>320645.9143</v>
      </c>
      <c r="N536" s="10">
        <v>4188.6571430000004</v>
      </c>
      <c r="O536">
        <v>0.20015947335640741</v>
      </c>
      <c r="P536">
        <v>0.97097367627170617</v>
      </c>
      <c r="Q536">
        <v>-0.41393792109578775</v>
      </c>
      <c r="R536">
        <v>0.41393792109578775</v>
      </c>
      <c r="S536">
        <f t="shared" si="90"/>
        <v>-0.46088421957200243</v>
      </c>
      <c r="T536" s="148">
        <f t="shared" si="85"/>
        <v>-0.46099033176789056</v>
      </c>
      <c r="U536">
        <f t="shared" si="91"/>
        <v>2.2357495126728568</v>
      </c>
      <c r="V536" s="55">
        <f t="shared" si="86"/>
        <v>2.2357709588843049</v>
      </c>
      <c r="W536">
        <f t="shared" si="92"/>
        <v>0.5868770897144383</v>
      </c>
      <c r="X536" s="55">
        <f t="shared" si="87"/>
        <v>0.58709215824884253</v>
      </c>
      <c r="Y536" s="149">
        <v>14.9918546</v>
      </c>
      <c r="Z536" s="55">
        <f t="shared" si="83"/>
        <v>4.7033350327012518E-3</v>
      </c>
      <c r="AA536" s="55">
        <f t="shared" si="88"/>
        <v>4.7030820309753437E-3</v>
      </c>
      <c r="AB536" s="55">
        <f t="shared" si="84"/>
        <v>-5.3594834404741967</v>
      </c>
      <c r="AC536" s="55">
        <f t="shared" si="89"/>
        <v>-5.3595530083926493</v>
      </c>
      <c r="AD536" s="55"/>
      <c r="AE536" s="55"/>
      <c r="AF536" s="55"/>
      <c r="AG536" s="55"/>
      <c r="AH536" s="55"/>
    </row>
    <row r="537" spans="1:34" ht="15.75">
      <c r="A537" s="39">
        <v>14.6600909</v>
      </c>
      <c r="B537" s="39">
        <v>15.030090899999999</v>
      </c>
      <c r="C537" s="39">
        <v>535</v>
      </c>
      <c r="D537">
        <v>535</v>
      </c>
      <c r="E537" s="10">
        <v>1099377.1429999999</v>
      </c>
      <c r="F537" s="10">
        <v>880124.76190000004</v>
      </c>
      <c r="G537" s="10">
        <v>12782.523810000001</v>
      </c>
      <c r="H537" s="10">
        <v>33770.904759999998</v>
      </c>
      <c r="I537" s="10">
        <v>37279.571430000004</v>
      </c>
      <c r="J537" s="10">
        <v>23273.28571</v>
      </c>
      <c r="K537">
        <v>535</v>
      </c>
      <c r="L537" s="10">
        <v>1488.0952380000001</v>
      </c>
      <c r="M537" s="10">
        <v>316628.42859999998</v>
      </c>
      <c r="N537" s="10">
        <v>4110.7142860000004</v>
      </c>
      <c r="O537">
        <v>0.20461320993676047</v>
      </c>
      <c r="P537">
        <v>0.97200720954465902</v>
      </c>
      <c r="Q537">
        <v>-0.42192608566278195</v>
      </c>
      <c r="R537">
        <v>0.42192608566278195</v>
      </c>
      <c r="S537">
        <f t="shared" si="90"/>
        <v>-0.4711393270300458</v>
      </c>
      <c r="T537" s="148">
        <f t="shared" si="85"/>
        <v>-0.47125080963024102</v>
      </c>
      <c r="U537">
        <f t="shared" si="91"/>
        <v>2.2381293109802716</v>
      </c>
      <c r="V537" s="55">
        <f t="shared" si="86"/>
        <v>2.238151666106972</v>
      </c>
      <c r="W537">
        <f t="shared" si="92"/>
        <v>0.59922725607167404</v>
      </c>
      <c r="X537" s="55">
        <f t="shared" si="87"/>
        <v>0.59946095324541782</v>
      </c>
      <c r="Y537" s="149">
        <v>15.030090899999999</v>
      </c>
      <c r="Z537" s="55">
        <f t="shared" si="83"/>
        <v>4.6706040597310917E-3</v>
      </c>
      <c r="AA537" s="55">
        <f t="shared" si="88"/>
        <v>4.6703419405011194E-3</v>
      </c>
      <c r="AB537" s="55">
        <f t="shared" si="84"/>
        <v>-5.3664668666873681</v>
      </c>
      <c r="AC537" s="55">
        <f t="shared" si="89"/>
        <v>-5.3665397590687478</v>
      </c>
      <c r="AD537" s="55"/>
      <c r="AE537" s="55"/>
      <c r="AF537" s="55"/>
      <c r="AG537" s="55"/>
      <c r="AH537" s="55"/>
    </row>
    <row r="538" spans="1:34" ht="15.75">
      <c r="A538" s="39">
        <v>14.6955273</v>
      </c>
      <c r="B538" s="39">
        <v>15.0683273</v>
      </c>
      <c r="C538" s="39">
        <v>536</v>
      </c>
      <c r="D538">
        <v>536</v>
      </c>
      <c r="E538" s="10">
        <v>1084767.7139999999</v>
      </c>
      <c r="F538" s="10">
        <v>869677.80949999997</v>
      </c>
      <c r="G538" s="10">
        <v>12348.619049999999</v>
      </c>
      <c r="H538" s="10">
        <v>33260.92381</v>
      </c>
      <c r="I538" s="10">
        <v>36875.657140000003</v>
      </c>
      <c r="J538" s="10">
        <v>22778.628570000001</v>
      </c>
      <c r="K538">
        <v>536</v>
      </c>
      <c r="L538" s="10">
        <v>1456.07619</v>
      </c>
      <c r="M538" s="10">
        <v>312610.94290000002</v>
      </c>
      <c r="N538" s="10">
        <v>4032.7714289999999</v>
      </c>
      <c r="O538">
        <v>0.2092121953513926</v>
      </c>
      <c r="P538">
        <v>0.97306986894211678</v>
      </c>
      <c r="Q538">
        <v>-0.43031591440054728</v>
      </c>
      <c r="R538">
        <v>0.43031591440054734</v>
      </c>
      <c r="S538">
        <f t="shared" si="90"/>
        <v>-0.48172888228867489</v>
      </c>
      <c r="T538" s="148">
        <f t="shared" si="85"/>
        <v>-0.48184611726435822</v>
      </c>
      <c r="U538">
        <f t="shared" si="91"/>
        <v>2.2405761746677877</v>
      </c>
      <c r="V538" s="55">
        <f t="shared" si="86"/>
        <v>2.2405994907292439</v>
      </c>
      <c r="W538">
        <f t="shared" si="92"/>
        <v>0.6122785139501411</v>
      </c>
      <c r="X538" s="55">
        <f t="shared" si="87"/>
        <v>0.61253309628286701</v>
      </c>
      <c r="Y538" s="149">
        <v>15.0683273</v>
      </c>
      <c r="Z538" s="55">
        <f t="shared" si="83"/>
        <v>4.6370867290710148E-3</v>
      </c>
      <c r="AA538" s="55">
        <f t="shared" si="88"/>
        <v>4.6368150485285959E-3</v>
      </c>
      <c r="AB538" s="55">
        <f t="shared" si="84"/>
        <v>-5.3736689700446814</v>
      </c>
      <c r="AC538" s="55">
        <f t="shared" si="89"/>
        <v>-5.3737454060661491</v>
      </c>
      <c r="AD538" s="55"/>
      <c r="AE538" s="55"/>
      <c r="AF538" s="55"/>
      <c r="AG538" s="55"/>
      <c r="AH538" s="55"/>
    </row>
    <row r="539" spans="1:34" ht="15.75">
      <c r="A539" s="39">
        <v>14.730963600000001</v>
      </c>
      <c r="B539" s="39">
        <v>15.106563599999999</v>
      </c>
      <c r="C539" s="39">
        <v>537</v>
      </c>
      <c r="D539">
        <v>537</v>
      </c>
      <c r="E539" s="10">
        <v>1070158.2860000001</v>
      </c>
      <c r="F539" s="10">
        <v>859230.85710000002</v>
      </c>
      <c r="G539" s="10">
        <v>11914.71429</v>
      </c>
      <c r="H539" s="10">
        <v>32750.942859999999</v>
      </c>
      <c r="I539" s="10">
        <v>36471.742859999998</v>
      </c>
      <c r="J539" s="10">
        <v>22283.971430000001</v>
      </c>
      <c r="K539">
        <v>537</v>
      </c>
      <c r="L539" s="10">
        <v>1424.057143</v>
      </c>
      <c r="M539" s="10">
        <v>308593.4571</v>
      </c>
      <c r="N539" s="10">
        <v>3954.828571</v>
      </c>
      <c r="O539">
        <v>0.21396392427510078</v>
      </c>
      <c r="P539">
        <v>0.97416290645006531</v>
      </c>
      <c r="Q539">
        <v>-0.4391401747178007</v>
      </c>
      <c r="R539">
        <v>0.43914017471780076</v>
      </c>
      <c r="S539">
        <f t="shared" si="90"/>
        <v>-0.49267014247435392</v>
      </c>
      <c r="T539" s="148">
        <f t="shared" si="85"/>
        <v>-0.49279354599463127</v>
      </c>
      <c r="U539">
        <f t="shared" si="91"/>
        <v>2.2430929865396734</v>
      </c>
      <c r="V539" s="55">
        <f t="shared" si="86"/>
        <v>2.2431173200012591</v>
      </c>
      <c r="W539">
        <f t="shared" si="92"/>
        <v>0.6260935188267861</v>
      </c>
      <c r="X539" s="55">
        <f t="shared" si="87"/>
        <v>0.62637160271035297</v>
      </c>
      <c r="Y539" s="149">
        <v>15.106563599999999</v>
      </c>
      <c r="Z539" s="55">
        <f t="shared" si="83"/>
        <v>4.6027543567836796E-3</v>
      </c>
      <c r="AA539" s="55">
        <f t="shared" si="88"/>
        <v>4.6024726451996444E-3</v>
      </c>
      <c r="AB539" s="55">
        <f t="shared" si="84"/>
        <v>-5.381100381466398</v>
      </c>
      <c r="AC539" s="55">
        <f t="shared" si="89"/>
        <v>-5.3811805986746357</v>
      </c>
      <c r="AD539" s="55"/>
      <c r="AE539" s="55"/>
      <c r="AF539" s="55"/>
      <c r="AG539" s="55"/>
      <c r="AH539" s="55"/>
    </row>
    <row r="540" spans="1:34" ht="15.75">
      <c r="A540" s="39">
        <v>14.766400000000001</v>
      </c>
      <c r="B540" s="39">
        <v>15.1448</v>
      </c>
      <c r="C540" s="39">
        <v>538</v>
      </c>
      <c r="D540">
        <v>538</v>
      </c>
      <c r="E540" s="10">
        <v>1055548.8570000001</v>
      </c>
      <c r="F540" s="10">
        <v>848783.90480000002</v>
      </c>
      <c r="G540" s="10">
        <v>11480.809520000001</v>
      </c>
      <c r="H540" s="10">
        <v>32240.961899999998</v>
      </c>
      <c r="I540" s="10">
        <v>36067.828569999998</v>
      </c>
      <c r="J540" s="10">
        <v>21789.314289999998</v>
      </c>
      <c r="K540">
        <v>538</v>
      </c>
      <c r="L540" s="10">
        <v>1392.0380950000001</v>
      </c>
      <c r="M540" s="10">
        <v>304575.97139999998</v>
      </c>
      <c r="N540" s="10">
        <v>3876.885714</v>
      </c>
      <c r="O540">
        <v>0.21887643360252071</v>
      </c>
      <c r="P540">
        <v>0.97528764762229059</v>
      </c>
      <c r="Q540">
        <v>-0.44843547882693424</v>
      </c>
      <c r="R540">
        <v>0.44843547882693424</v>
      </c>
      <c r="S540">
        <f t="shared" si="90"/>
        <v>-0.5039816132208651</v>
      </c>
      <c r="T540" s="148">
        <f t="shared" si="85"/>
        <v>-0.50411164210651993</v>
      </c>
      <c r="U540">
        <f t="shared" si="91"/>
        <v>2.2456827987963162</v>
      </c>
      <c r="V540" s="55">
        <f t="shared" si="86"/>
        <v>2.2457082092241749</v>
      </c>
      <c r="W540">
        <f t="shared" si="92"/>
        <v>0.64074277535413171</v>
      </c>
      <c r="X540" s="55">
        <f t="shared" si="87"/>
        <v>0.64104740680853156</v>
      </c>
      <c r="Y540" s="149">
        <v>15.1448</v>
      </c>
      <c r="Z540" s="55">
        <f t="shared" si="83"/>
        <v>4.5675768497442414E-3</v>
      </c>
      <c r="AA540" s="55">
        <f t="shared" si="88"/>
        <v>4.5672846064639368E-3</v>
      </c>
      <c r="AB540" s="55">
        <f t="shared" si="84"/>
        <v>-5.3887724445128269</v>
      </c>
      <c r="AC540" s="55">
        <f t="shared" si="89"/>
        <v>-5.3888567014370992</v>
      </c>
      <c r="AD540" s="55"/>
      <c r="AE540" s="55"/>
      <c r="AF540" s="55"/>
      <c r="AG540" s="55"/>
      <c r="AH540" s="55"/>
    </row>
    <row r="541" spans="1:34" ht="15.75">
      <c r="A541" s="39">
        <v>14.801836399999999</v>
      </c>
      <c r="B541" s="39">
        <v>15.183036400000001</v>
      </c>
      <c r="C541" s="39">
        <v>539</v>
      </c>
      <c r="D541">
        <v>539</v>
      </c>
      <c r="E541" s="10">
        <v>1040939.429</v>
      </c>
      <c r="F541" s="10">
        <v>838336.95239999995</v>
      </c>
      <c r="G541" s="10">
        <v>11046.904759999999</v>
      </c>
      <c r="H541" s="10">
        <v>31730.980950000001</v>
      </c>
      <c r="I541" s="10">
        <v>35663.914290000001</v>
      </c>
      <c r="J541" s="10">
        <v>21294.657139999999</v>
      </c>
      <c r="K541">
        <v>539</v>
      </c>
      <c r="L541" s="10">
        <v>1360.0190480000001</v>
      </c>
      <c r="M541" s="10">
        <v>300558.48570000002</v>
      </c>
      <c r="N541" s="10">
        <v>3798.942857</v>
      </c>
      <c r="O541">
        <v>0.22395835541252432</v>
      </c>
      <c r="P541">
        <v>0.97644549562032157</v>
      </c>
      <c r="Q541">
        <v>-0.45824288855043471</v>
      </c>
      <c r="R541">
        <v>0.45824288855043466</v>
      </c>
      <c r="S541">
        <f t="shared" si="90"/>
        <v>-0.51568317062434077</v>
      </c>
      <c r="T541" s="148">
        <f t="shared" si="85"/>
        <v>-0.51582032470255257</v>
      </c>
      <c r="U541">
        <f t="shared" si="91"/>
        <v>2.2483488423365352</v>
      </c>
      <c r="V541" s="55">
        <f t="shared" si="86"/>
        <v>2.2483753948731859</v>
      </c>
      <c r="W541">
        <f t="shared" si="92"/>
        <v>0.65630592624467654</v>
      </c>
      <c r="X541" s="55">
        <f t="shared" si="87"/>
        <v>0.65664067450879837</v>
      </c>
      <c r="Y541" s="149">
        <v>15.183036400000001</v>
      </c>
      <c r="Z541" s="55">
        <f t="shared" si="83"/>
        <v>4.5315226128638921E-3</v>
      </c>
      <c r="AA541" s="55">
        <f t="shared" si="88"/>
        <v>4.5312193061472121E-3</v>
      </c>
      <c r="AB541" s="55">
        <f t="shared" si="84"/>
        <v>-5.3966972783320726</v>
      </c>
      <c r="AC541" s="55">
        <f t="shared" si="89"/>
        <v>-5.3967858562662512</v>
      </c>
      <c r="AD541" s="55"/>
      <c r="AE541" s="55"/>
      <c r="AF541" s="55"/>
      <c r="AG541" s="55"/>
      <c r="AH541" s="55"/>
    </row>
    <row r="542" spans="1:34" ht="15.75">
      <c r="A542" s="39">
        <v>14.8372727</v>
      </c>
      <c r="B542" s="39">
        <v>15.2212727</v>
      </c>
      <c r="C542" s="39">
        <v>540</v>
      </c>
      <c r="D542">
        <v>540</v>
      </c>
      <c r="E542" s="10">
        <v>1026330</v>
      </c>
      <c r="F542" s="10">
        <v>827890</v>
      </c>
      <c r="G542" s="10">
        <v>10613</v>
      </c>
      <c r="H542" s="10">
        <v>31221</v>
      </c>
      <c r="I542" s="10">
        <v>35260</v>
      </c>
      <c r="J542" s="10">
        <v>20800</v>
      </c>
      <c r="K542">
        <v>540</v>
      </c>
      <c r="L542" s="10">
        <v>1328</v>
      </c>
      <c r="M542" s="10">
        <v>296541</v>
      </c>
      <c r="N542" s="10">
        <v>3721</v>
      </c>
      <c r="O542">
        <v>0.22921897300054167</v>
      </c>
      <c r="P542">
        <v>0.9776379384787961</v>
      </c>
      <c r="Q542">
        <v>-0.46860864505168448</v>
      </c>
      <c r="R542">
        <v>0.46860864505168448</v>
      </c>
      <c r="S542">
        <f t="shared" si="90"/>
        <v>-0.52779619026245184</v>
      </c>
      <c r="T542" s="148">
        <f t="shared" si="85"/>
        <v>-0.58901867604677483</v>
      </c>
      <c r="U542">
        <f t="shared" si="91"/>
        <v>2.251094543486706</v>
      </c>
      <c r="V542" s="55">
        <f t="shared" si="86"/>
        <v>2.2713836683508006</v>
      </c>
      <c r="W542">
        <f t="shared" si="92"/>
        <v>0.67287332192758686</v>
      </c>
      <c r="X542" s="55">
        <f t="shared" si="87"/>
        <v>0.6282050035048693</v>
      </c>
      <c r="Y542" s="149">
        <v>15.2212727</v>
      </c>
      <c r="Z542" s="55">
        <f t="shared" si="83"/>
        <v>4.4945584558335047E-3</v>
      </c>
      <c r="AA542" s="55">
        <f t="shared" si="88"/>
        <v>4.4053816533711201E-3</v>
      </c>
      <c r="AB542" s="55">
        <f t="shared" si="84"/>
        <v>-5.4048878459538532</v>
      </c>
      <c r="AC542" s="55">
        <f t="shared" si="89"/>
        <v>-5.4255414736341043</v>
      </c>
      <c r="AD542" s="55"/>
      <c r="AE542" s="55"/>
      <c r="AF542" s="55"/>
      <c r="AG542" s="55"/>
      <c r="AH542" s="55"/>
    </row>
    <row r="543" spans="1:34" ht="15.75">
      <c r="A543" s="39">
        <v>14.8727091</v>
      </c>
      <c r="B543" s="39">
        <v>15.259509100000001</v>
      </c>
      <c r="C543" s="39">
        <v>541</v>
      </c>
      <c r="D543">
        <v>541</v>
      </c>
      <c r="E543" s="10">
        <v>1229330</v>
      </c>
      <c r="F543" s="10">
        <v>956310</v>
      </c>
      <c r="G543" s="10">
        <v>14384</v>
      </c>
      <c r="H543" s="10">
        <v>37208</v>
      </c>
      <c r="I543" s="10">
        <v>51683</v>
      </c>
      <c r="J543" s="10">
        <v>25067</v>
      </c>
      <c r="K543">
        <v>541</v>
      </c>
      <c r="L543" s="10">
        <v>1819</v>
      </c>
      <c r="M543" s="10">
        <v>376618</v>
      </c>
      <c r="N543" s="10">
        <v>4007</v>
      </c>
      <c r="O543">
        <v>0.31424535382215435</v>
      </c>
      <c r="P543">
        <v>1.0052647462506381</v>
      </c>
      <c r="Q543">
        <v>-0.41275665211430657</v>
      </c>
      <c r="R543">
        <v>0.41275665211430651</v>
      </c>
      <c r="S543">
        <f t="shared" si="90"/>
        <v>-0.72357666725353209</v>
      </c>
      <c r="T543" s="148">
        <f t="shared" si="85"/>
        <v>-0.54239048228057252</v>
      </c>
      <c r="U543">
        <f t="shared" si="91"/>
        <v>2.3147076192291611</v>
      </c>
      <c r="V543" s="55">
        <f t="shared" si="86"/>
        <v>2.2919409183055737</v>
      </c>
      <c r="W543">
        <f t="shared" si="92"/>
        <v>0.55543576234234449</v>
      </c>
      <c r="X543" s="55">
        <f t="shared" si="87"/>
        <v>0.57366393041366093</v>
      </c>
      <c r="Y543" s="149">
        <v>15.259509100000001</v>
      </c>
      <c r="Z543" s="55">
        <f t="shared" si="83"/>
        <v>4.1900638914159636E-3</v>
      </c>
      <c r="AA543" s="55">
        <f t="shared" si="88"/>
        <v>4.2376625294224335E-3</v>
      </c>
      <c r="AB543" s="55">
        <f t="shared" si="84"/>
        <v>-5.4750392966163863</v>
      </c>
      <c r="AC543" s="55">
        <f t="shared" si="89"/>
        <v>-5.4647739250936853</v>
      </c>
      <c r="AD543" s="55"/>
      <c r="AE543" s="55"/>
      <c r="AF543" s="55"/>
      <c r="AG543" s="55"/>
      <c r="AH543" s="55"/>
    </row>
    <row r="544" spans="1:34" ht="15.75">
      <c r="A544" s="129">
        <v>14.9081455</v>
      </c>
      <c r="B544" s="129">
        <v>15.2977455</v>
      </c>
      <c r="C544" s="129">
        <v>542</v>
      </c>
      <c r="D544" s="130">
        <v>542</v>
      </c>
      <c r="E544" s="131">
        <v>1357630</v>
      </c>
      <c r="F544" s="131">
        <v>1037890</v>
      </c>
      <c r="G544" s="131">
        <v>17509</v>
      </c>
      <c r="H544" s="131">
        <v>42676</v>
      </c>
      <c r="I544" s="131">
        <v>41729</v>
      </c>
      <c r="J544" s="131">
        <v>28657</v>
      </c>
      <c r="K544" s="130">
        <v>542</v>
      </c>
      <c r="L544" s="131">
        <v>1694</v>
      </c>
      <c r="M544" s="131">
        <v>429945</v>
      </c>
      <c r="N544" s="131">
        <v>4181</v>
      </c>
      <c r="O544" s="130">
        <v>0.16320725365119243</v>
      </c>
      <c r="P544" s="130">
        <v>1.0032291962757129</v>
      </c>
      <c r="Q544" s="130">
        <v>-0.3869223637362178</v>
      </c>
      <c r="R544" s="130">
        <v>0.38692236373621786</v>
      </c>
      <c r="S544" s="130">
        <f t="shared" si="90"/>
        <v>-0.37579858932573373</v>
      </c>
      <c r="T544" s="148">
        <f t="shared" si="85"/>
        <v>-0.5083661431327311</v>
      </c>
      <c r="U544" s="130">
        <f t="shared" si="91"/>
        <v>2.3100205922008543</v>
      </c>
      <c r="V544" s="132">
        <f t="shared" si="86"/>
        <v>2.2890474175952367</v>
      </c>
      <c r="W544" s="130">
        <f t="shared" si="92"/>
        <v>0.49268270697105127</v>
      </c>
      <c r="X544" s="132">
        <f t="shared" si="87"/>
        <v>0.51186310395053369</v>
      </c>
      <c r="Y544" s="149">
        <v>15.2977455</v>
      </c>
      <c r="Z544" s="132">
        <f t="shared" si="83"/>
        <v>4.0283652410178341E-3</v>
      </c>
      <c r="AA544" s="132">
        <f t="shared" si="88"/>
        <v>4.0874528015861838E-3</v>
      </c>
      <c r="AB544" s="132">
        <f t="shared" si="84"/>
        <v>-5.51439463271082</v>
      </c>
      <c r="AC544" s="132">
        <f t="shared" si="89"/>
        <v>-5.4999907989460004</v>
      </c>
      <c r="AD544" s="55"/>
      <c r="AE544" s="55"/>
      <c r="AF544" s="55"/>
      <c r="AG544" s="55"/>
      <c r="AH544" s="55"/>
    </row>
    <row r="545" spans="1:34" ht="15.75">
      <c r="A545" s="39">
        <v>14.9435818</v>
      </c>
      <c r="B545" s="39">
        <v>15.335981800000001</v>
      </c>
      <c r="C545" s="39">
        <v>543</v>
      </c>
      <c r="D545">
        <v>543</v>
      </c>
      <c r="E545" s="10">
        <v>1344680</v>
      </c>
      <c r="F545" s="10">
        <v>1034390</v>
      </c>
      <c r="G545" s="10">
        <v>18047</v>
      </c>
      <c r="H545" s="10">
        <v>43506</v>
      </c>
      <c r="I545" s="10">
        <v>44978</v>
      </c>
      <c r="J545" s="10">
        <v>29384</v>
      </c>
      <c r="K545">
        <v>543</v>
      </c>
      <c r="L545" s="10">
        <v>2242</v>
      </c>
      <c r="M545" s="10">
        <v>409654</v>
      </c>
      <c r="N545" s="10">
        <v>4183</v>
      </c>
      <c r="O545">
        <v>0.18488922477360462</v>
      </c>
      <c r="P545">
        <v>0.97386804430314822</v>
      </c>
      <c r="Q545">
        <v>-0.38214413717679058</v>
      </c>
      <c r="R545">
        <v>0.38214413717679058</v>
      </c>
      <c r="S545">
        <f t="shared" si="90"/>
        <v>-0.42572317281892735</v>
      </c>
      <c r="T545" s="148">
        <f t="shared" si="85"/>
        <v>-0.43121670050132238</v>
      </c>
      <c r="U545">
        <f t="shared" si="91"/>
        <v>2.2424140413556941</v>
      </c>
      <c r="V545" s="55">
        <f t="shared" si="86"/>
        <v>2.2597322336164276</v>
      </c>
      <c r="W545">
        <f t="shared" si="92"/>
        <v>0.48747084253820522</v>
      </c>
      <c r="X545" s="55">
        <f t="shared" si="87"/>
        <v>0.48227913754411933</v>
      </c>
      <c r="Y545" s="149">
        <v>15.335981800000001</v>
      </c>
      <c r="Z545" s="55">
        <f t="shared" si="83"/>
        <v>4.0439292723247521E-3</v>
      </c>
      <c r="AA545" s="55">
        <f t="shared" si="88"/>
        <v>4.131794832673826E-3</v>
      </c>
      <c r="AB545" s="55">
        <f t="shared" si="84"/>
        <v>-5.510538467510794</v>
      </c>
      <c r="AC545" s="55">
        <f t="shared" si="89"/>
        <v>-5.4895726528010682</v>
      </c>
      <c r="AD545" s="55"/>
      <c r="AE545" s="55"/>
      <c r="AF545" s="55"/>
      <c r="AG545" s="55"/>
      <c r="AH545" s="55"/>
    </row>
    <row r="546" spans="1:34" ht="15.75">
      <c r="A546" s="39">
        <v>14.979018200000001</v>
      </c>
      <c r="B546" s="39">
        <v>15.3742182</v>
      </c>
      <c r="C546" s="39">
        <v>544</v>
      </c>
      <c r="D546">
        <v>544</v>
      </c>
      <c r="E546" s="10">
        <v>1341850</v>
      </c>
      <c r="F546" s="10">
        <v>1024730</v>
      </c>
      <c r="G546" s="10">
        <v>17915</v>
      </c>
      <c r="H546" s="10">
        <v>43328</v>
      </c>
      <c r="I546" s="10">
        <v>46733</v>
      </c>
      <c r="J546" s="10">
        <v>28569</v>
      </c>
      <c r="K546">
        <v>544</v>
      </c>
      <c r="L546" s="10">
        <v>2417</v>
      </c>
      <c r="M546" s="10">
        <v>401642</v>
      </c>
      <c r="N546" s="10">
        <v>4430</v>
      </c>
      <c r="O546">
        <v>0.21372862217195754</v>
      </c>
      <c r="P546">
        <v>0.96707047833671211</v>
      </c>
      <c r="Q546">
        <v>-0.38355183016690209</v>
      </c>
      <c r="R546">
        <v>0.38355183016690209</v>
      </c>
      <c r="S546">
        <f t="shared" si="90"/>
        <v>-0.49212833935930617</v>
      </c>
      <c r="T546" s="148">
        <f t="shared" si="85"/>
        <v>-0.46090076328241647</v>
      </c>
      <c r="U546">
        <f t="shared" si="91"/>
        <v>2.2267620672927344</v>
      </c>
      <c r="V546" s="55">
        <f t="shared" si="86"/>
        <v>2.2407934781352559</v>
      </c>
      <c r="W546">
        <f t="shared" si="92"/>
        <v>0.46668386312310156</v>
      </c>
      <c r="X546" s="55">
        <f t="shared" si="87"/>
        <v>0.48124426867587605</v>
      </c>
      <c r="Y546" s="149">
        <v>15.3742182</v>
      </c>
      <c r="Z546" s="55">
        <f t="shared" si="83"/>
        <v>4.323089984678891E-3</v>
      </c>
      <c r="AA546" s="55">
        <f t="shared" si="88"/>
        <v>4.2368364490486905E-3</v>
      </c>
      <c r="AB546" s="55">
        <f t="shared" si="84"/>
        <v>-5.4437848581815897</v>
      </c>
      <c r="AC546" s="55">
        <f t="shared" si="89"/>
        <v>-5.4644668038322193</v>
      </c>
      <c r="AD546" s="55"/>
      <c r="AE546" s="55"/>
      <c r="AF546" s="55"/>
      <c r="AG546" s="55"/>
      <c r="AH546" s="55"/>
    </row>
    <row r="547" spans="1:34" ht="15.75">
      <c r="A547" s="39">
        <v>15.014454600000001</v>
      </c>
      <c r="B547" s="39">
        <v>15.4124546</v>
      </c>
      <c r="C547" s="39">
        <v>545</v>
      </c>
      <c r="D547">
        <v>545</v>
      </c>
      <c r="E547" s="10">
        <v>1358830</v>
      </c>
      <c r="F547" s="10">
        <v>1032810</v>
      </c>
      <c r="G547" s="10">
        <v>17276</v>
      </c>
      <c r="H547" s="10">
        <v>43714</v>
      </c>
      <c r="I547" s="10">
        <v>44869</v>
      </c>
      <c r="J547" s="10">
        <v>28188</v>
      </c>
      <c r="K547">
        <v>545</v>
      </c>
      <c r="L547" s="10">
        <v>1953</v>
      </c>
      <c r="M547" s="10">
        <v>416078</v>
      </c>
      <c r="N547" s="10">
        <v>4486</v>
      </c>
      <c r="O547">
        <v>0.20188212765008895</v>
      </c>
      <c r="P547">
        <v>0.9785542052769497</v>
      </c>
      <c r="Q547">
        <v>-0.40317735255656045</v>
      </c>
      <c r="R547">
        <v>0.40317735255656045</v>
      </c>
      <c r="S547">
        <f t="shared" si="90"/>
        <v>-0.46485077766901589</v>
      </c>
      <c r="T547" s="148">
        <f t="shared" si="85"/>
        <v>-0.47687118007708817</v>
      </c>
      <c r="U547">
        <f t="shared" si="91"/>
        <v>2.2532043257573395</v>
      </c>
      <c r="V547" s="55">
        <f t="shared" si="86"/>
        <v>2.2456231358933159</v>
      </c>
      <c r="W547">
        <f t="shared" si="92"/>
        <v>0.48957810036632143</v>
      </c>
      <c r="X547" s="55">
        <f t="shared" si="87"/>
        <v>0.49147761529446016</v>
      </c>
      <c r="Y547" s="149">
        <v>15.4124546</v>
      </c>
      <c r="Z547" s="55">
        <f t="shared" si="83"/>
        <v>4.3434900901424267E-3</v>
      </c>
      <c r="AA547" s="55">
        <f t="shared" si="88"/>
        <v>4.2679088924945556E-3</v>
      </c>
      <c r="AB547" s="55">
        <f t="shared" si="84"/>
        <v>-5.4390770858042732</v>
      </c>
      <c r="AC547" s="55">
        <f t="shared" si="89"/>
        <v>-5.4568702997221834</v>
      </c>
      <c r="AD547" s="55"/>
      <c r="AE547" s="55"/>
      <c r="AF547" s="55"/>
      <c r="AG547" s="55"/>
      <c r="AH547" s="55"/>
    </row>
    <row r="548" spans="1:34" ht="15.75">
      <c r="A548" s="39">
        <v>15.049890899999999</v>
      </c>
      <c r="B548" s="39">
        <v>15.4506909</v>
      </c>
      <c r="C548" s="39">
        <v>546</v>
      </c>
      <c r="D548">
        <v>546</v>
      </c>
      <c r="E548" s="10">
        <v>1362090</v>
      </c>
      <c r="F548" s="10">
        <v>1037430</v>
      </c>
      <c r="G548" s="10">
        <v>17091</v>
      </c>
      <c r="H548" s="10">
        <v>43774</v>
      </c>
      <c r="I548" s="10">
        <v>46079</v>
      </c>
      <c r="J548" s="10">
        <v>28695</v>
      </c>
      <c r="K548">
        <v>546</v>
      </c>
      <c r="L548" s="10">
        <v>2087</v>
      </c>
      <c r="M548" s="10">
        <v>418193</v>
      </c>
      <c r="N548" s="10">
        <v>4292</v>
      </c>
      <c r="O548">
        <v>0.20569681643646742</v>
      </c>
      <c r="P548">
        <v>0.98016052544456789</v>
      </c>
      <c r="Q548">
        <v>-0.40844875940398406</v>
      </c>
      <c r="R548">
        <v>0.40844875940398406</v>
      </c>
      <c r="S548">
        <f t="shared" si="90"/>
        <v>-0.47363442320294247</v>
      </c>
      <c r="T548" s="148">
        <f t="shared" si="85"/>
        <v>-0.46069222882967198</v>
      </c>
      <c r="U548">
        <f t="shared" si="91"/>
        <v>2.2569030146298732</v>
      </c>
      <c r="V548" s="55">
        <f t="shared" si="86"/>
        <v>2.2478226987254377</v>
      </c>
      <c r="W548">
        <f t="shared" si="92"/>
        <v>0.51817088239395759</v>
      </c>
      <c r="X548" s="55">
        <f t="shared" si="87"/>
        <v>0.51148426261255098</v>
      </c>
      <c r="Y548" s="149">
        <v>15.4506909</v>
      </c>
      <c r="Z548" s="55">
        <f t="shared" si="83"/>
        <v>4.1371466026623484E-3</v>
      </c>
      <c r="AA548" s="55">
        <f t="shared" si="88"/>
        <v>4.3302026865535519E-3</v>
      </c>
      <c r="AB548" s="55">
        <f t="shared" si="84"/>
        <v>-5.4877489551806882</v>
      </c>
      <c r="AC548" s="55">
        <f t="shared" si="89"/>
        <v>-5.4427635050950363</v>
      </c>
      <c r="AD548" s="55"/>
      <c r="AE548" s="55"/>
      <c r="AF548" s="55"/>
      <c r="AG548" s="55"/>
      <c r="AH548" s="55"/>
    </row>
    <row r="549" spans="1:34" ht="15.75">
      <c r="A549" s="39">
        <v>15.085327299999999</v>
      </c>
      <c r="B549" s="39">
        <v>15.4889273</v>
      </c>
      <c r="C549" s="39">
        <v>547</v>
      </c>
      <c r="D549">
        <v>547</v>
      </c>
      <c r="E549" s="10">
        <v>1310610</v>
      </c>
      <c r="F549" s="10">
        <v>995350</v>
      </c>
      <c r="G549" s="10">
        <v>16295</v>
      </c>
      <c r="H549" s="10">
        <v>42745</v>
      </c>
      <c r="I549" s="10">
        <v>42998</v>
      </c>
      <c r="J549" s="10">
        <v>27593</v>
      </c>
      <c r="K549">
        <v>547</v>
      </c>
      <c r="L549" s="10">
        <v>1626</v>
      </c>
      <c r="M549" s="10">
        <v>398861</v>
      </c>
      <c r="N549" s="10">
        <v>4489</v>
      </c>
      <c r="O549">
        <v>0.19264933442275384</v>
      </c>
      <c r="P549">
        <v>0.96993625233848213</v>
      </c>
      <c r="Q549">
        <v>-0.41883095661610192</v>
      </c>
      <c r="R549">
        <v>0.41883095661610192</v>
      </c>
      <c r="S549">
        <f t="shared" si="90"/>
        <v>-0.44359148561705758</v>
      </c>
      <c r="T549" s="148">
        <f t="shared" si="85"/>
        <v>-0.44684283974894073</v>
      </c>
      <c r="U549">
        <f t="shared" si="91"/>
        <v>2.2333607557891</v>
      </c>
      <c r="V549" s="55">
        <f t="shared" si="86"/>
        <v>2.2421297473926725</v>
      </c>
      <c r="W549">
        <f t="shared" si="92"/>
        <v>0.52670380507737369</v>
      </c>
      <c r="X549" s="55">
        <f t="shared" si="87"/>
        <v>0.52967018567196666</v>
      </c>
      <c r="Y549" s="149">
        <v>15.4889273</v>
      </c>
      <c r="Z549" s="55">
        <f t="shared" si="83"/>
        <v>4.5099713668558796E-3</v>
      </c>
      <c r="AA549" s="55">
        <f t="shared" si="88"/>
        <v>4.3882614989845829E-3</v>
      </c>
      <c r="AB549" s="55">
        <f t="shared" si="84"/>
        <v>-5.4014644743001474</v>
      </c>
      <c r="AC549" s="55">
        <f t="shared" si="89"/>
        <v>-5.4296577009721547</v>
      </c>
      <c r="AD549" s="55"/>
      <c r="AE549" s="55"/>
      <c r="AF549" s="55"/>
      <c r="AG549" s="55"/>
      <c r="AH549" s="55"/>
    </row>
    <row r="550" spans="1:34" ht="15.75">
      <c r="A550" s="39">
        <v>15.1207636</v>
      </c>
      <c r="B550" s="39">
        <v>15.5271636</v>
      </c>
      <c r="C550" s="39">
        <v>548</v>
      </c>
      <c r="D550">
        <v>548</v>
      </c>
      <c r="E550" s="10">
        <v>1279380</v>
      </c>
      <c r="F550" s="10">
        <v>974913.33330000006</v>
      </c>
      <c r="G550" s="10">
        <v>15574.666670000001</v>
      </c>
      <c r="H550" s="10">
        <v>41527.666669999999</v>
      </c>
      <c r="I550" s="10">
        <v>40980</v>
      </c>
      <c r="J550" s="10">
        <v>26837</v>
      </c>
      <c r="K550">
        <v>548</v>
      </c>
      <c r="L550" s="10">
        <v>1681</v>
      </c>
      <c r="M550" s="10">
        <v>388574.6667</v>
      </c>
      <c r="N550" s="10">
        <v>4404.3333329999996</v>
      </c>
      <c r="O550">
        <v>0.18383798788361072</v>
      </c>
      <c r="P550">
        <v>0.97113695322825844</v>
      </c>
      <c r="Q550">
        <v>-0.42591876930181016</v>
      </c>
      <c r="R550">
        <v>0.42591876930181022</v>
      </c>
      <c r="S550">
        <f t="shared" si="90"/>
        <v>-0.42330261042682199</v>
      </c>
      <c r="T550" s="148">
        <f t="shared" si="85"/>
        <v>-0.42275794277375095</v>
      </c>
      <c r="U550">
        <f t="shared" si="91"/>
        <v>2.2361254717590437</v>
      </c>
      <c r="V550" s="55">
        <f t="shared" si="86"/>
        <v>2.236178357547677</v>
      </c>
      <c r="W550">
        <f t="shared" si="92"/>
        <v>0.54413586954456894</v>
      </c>
      <c r="X550" s="55">
        <f t="shared" si="87"/>
        <v>0.54458504169605682</v>
      </c>
      <c r="Y550" s="149">
        <v>15.5271636</v>
      </c>
      <c r="Z550" s="55">
        <f t="shared" si="83"/>
        <v>4.5176665274355206E-3</v>
      </c>
      <c r="AA550" s="55">
        <f t="shared" si="88"/>
        <v>4.51777637032024E-3</v>
      </c>
      <c r="AB550" s="55">
        <f t="shared" si="84"/>
        <v>-5.3997596734356286</v>
      </c>
      <c r="AC550" s="55">
        <f t="shared" si="89"/>
        <v>-5.3997363687222828</v>
      </c>
      <c r="AD550" s="55"/>
      <c r="AE550" s="55"/>
      <c r="AF550" s="55"/>
      <c r="AG550" s="55"/>
      <c r="AH550" s="55"/>
    </row>
    <row r="551" spans="1:34" ht="15.75">
      <c r="A551" s="39">
        <v>15.1562</v>
      </c>
      <c r="B551" s="39">
        <v>15.5654</v>
      </c>
      <c r="C551" s="39">
        <v>549</v>
      </c>
      <c r="D551">
        <v>549</v>
      </c>
      <c r="E551" s="10">
        <v>1248150</v>
      </c>
      <c r="F551" s="10">
        <v>954476.66669999994</v>
      </c>
      <c r="G551" s="10">
        <v>14854.333329999999</v>
      </c>
      <c r="H551" s="10">
        <v>40310.333330000001</v>
      </c>
      <c r="I551" s="10">
        <v>38962</v>
      </c>
      <c r="J551" s="10">
        <v>26081</v>
      </c>
      <c r="K551">
        <v>549</v>
      </c>
      <c r="L551" s="10">
        <v>1736</v>
      </c>
      <c r="M551" s="10">
        <v>378288.3333</v>
      </c>
      <c r="N551" s="10">
        <v>4319.6666670000004</v>
      </c>
      <c r="O551">
        <v>0.17431700287586779</v>
      </c>
      <c r="P551">
        <v>0.97240655813655863</v>
      </c>
      <c r="Q551">
        <v>-0.43356322416964194</v>
      </c>
      <c r="R551">
        <v>0.43356322416964188</v>
      </c>
      <c r="S551">
        <f t="shared" si="90"/>
        <v>-0.40137973227737334</v>
      </c>
      <c r="T551" s="148">
        <f t="shared" si="85"/>
        <v>-0.40076451506052929</v>
      </c>
      <c r="U551">
        <f t="shared" si="91"/>
        <v>2.2390488450948878</v>
      </c>
      <c r="V551" s="55">
        <f t="shared" si="86"/>
        <v>2.2391064223199417</v>
      </c>
      <c r="W551">
        <f t="shared" si="92"/>
        <v>0.56291545046622793</v>
      </c>
      <c r="X551" s="55">
        <f t="shared" si="87"/>
        <v>0.56342004262562706</v>
      </c>
      <c r="Y551" s="149">
        <v>15.5654</v>
      </c>
      <c r="Z551" s="55">
        <f t="shared" si="83"/>
        <v>4.5256912166693206E-3</v>
      </c>
      <c r="AA551" s="55">
        <f t="shared" si="88"/>
        <v>4.5258082692046335E-3</v>
      </c>
      <c r="AB551" s="55">
        <f t="shared" si="84"/>
        <v>-5.3979849584310715</v>
      </c>
      <c r="AC551" s="55">
        <f t="shared" si="89"/>
        <v>-5.3979601892089848</v>
      </c>
      <c r="AD551" s="55"/>
      <c r="AE551" s="55"/>
      <c r="AF551" s="55"/>
      <c r="AG551" s="55"/>
      <c r="AH551" s="55"/>
    </row>
    <row r="552" spans="1:34" ht="15.75">
      <c r="A552" s="39">
        <v>15.1916364</v>
      </c>
      <c r="B552" s="39">
        <v>15.603636399999999</v>
      </c>
      <c r="C552" s="39">
        <v>550</v>
      </c>
      <c r="D552">
        <v>550</v>
      </c>
      <c r="E552" s="10">
        <v>1216920</v>
      </c>
      <c r="F552" s="10">
        <v>934040</v>
      </c>
      <c r="G552" s="10">
        <v>14134</v>
      </c>
      <c r="H552" s="10">
        <v>39093</v>
      </c>
      <c r="I552" s="10">
        <v>36944</v>
      </c>
      <c r="J552" s="10">
        <v>25325</v>
      </c>
      <c r="K552">
        <v>550</v>
      </c>
      <c r="L552" s="10">
        <v>1791</v>
      </c>
      <c r="M552" s="10">
        <v>368002</v>
      </c>
      <c r="N552" s="10">
        <v>4235</v>
      </c>
      <c r="O552">
        <v>0.16399446154078309</v>
      </c>
      <c r="P552">
        <v>0.97375117945823109</v>
      </c>
      <c r="Q552">
        <v>-0.4418339125262663</v>
      </c>
      <c r="R552">
        <v>0.44183391252626636</v>
      </c>
      <c r="S552">
        <f t="shared" si="90"/>
        <v>-0.37761120247739244</v>
      </c>
      <c r="T552" s="148">
        <f t="shared" si="85"/>
        <v>-0.40997696942460821</v>
      </c>
      <c r="U552">
        <f t="shared" si="91"/>
        <v>2.2421449501058928</v>
      </c>
      <c r="V552" s="55">
        <f t="shared" si="86"/>
        <v>2.2534012691747272</v>
      </c>
      <c r="W552">
        <f t="shared" si="92"/>
        <v>0.58320880786608442</v>
      </c>
      <c r="X552" s="55">
        <f t="shared" si="87"/>
        <v>0.55004542602960027</v>
      </c>
      <c r="Y552" s="149">
        <v>15.603636399999999</v>
      </c>
      <c r="Z552" s="55">
        <f t="shared" si="83"/>
        <v>4.5340670635090575E-3</v>
      </c>
      <c r="AA552" s="55">
        <f t="shared" si="88"/>
        <v>4.4748884457420403E-3</v>
      </c>
      <c r="AB552" s="55">
        <f t="shared" si="84"/>
        <v>-5.396135935760257</v>
      </c>
      <c r="AC552" s="55">
        <f t="shared" si="89"/>
        <v>-5.4094264256270534</v>
      </c>
      <c r="AD552" s="55"/>
      <c r="AE552" s="55"/>
      <c r="AF552" s="55"/>
      <c r="AG552" s="55"/>
      <c r="AH552" s="55"/>
    </row>
    <row r="553" spans="1:34" ht="15.75">
      <c r="A553" s="39">
        <v>15.227072700000001</v>
      </c>
      <c r="B553" s="39">
        <v>15.6418727</v>
      </c>
      <c r="C553" s="39">
        <v>551</v>
      </c>
      <c r="D553">
        <v>551</v>
      </c>
      <c r="E553" s="10">
        <v>1253480</v>
      </c>
      <c r="F553" s="10">
        <v>967260</v>
      </c>
      <c r="G553" s="10">
        <v>15404</v>
      </c>
      <c r="H553" s="10">
        <v>38559</v>
      </c>
      <c r="I553" s="10">
        <v>40028</v>
      </c>
      <c r="J553" s="10">
        <v>25499</v>
      </c>
      <c r="K553">
        <v>551</v>
      </c>
      <c r="L553" s="10">
        <v>1762</v>
      </c>
      <c r="M553" s="10">
        <v>376606</v>
      </c>
      <c r="N553" s="10">
        <v>4222</v>
      </c>
      <c r="O553">
        <v>0.19584074216892575</v>
      </c>
      <c r="P553">
        <v>0.98976147255431501</v>
      </c>
      <c r="Q553">
        <v>-0.39849225231035346</v>
      </c>
      <c r="R553">
        <v>0.39849225231035351</v>
      </c>
      <c r="S553">
        <f t="shared" si="90"/>
        <v>-0.45093997351905879</v>
      </c>
      <c r="T553" s="148">
        <f t="shared" si="85"/>
        <v>-0.42924161933752164</v>
      </c>
      <c r="U553">
        <f t="shared" si="91"/>
        <v>2.2790100123234009</v>
      </c>
      <c r="V553" s="55">
        <f t="shared" si="86"/>
        <v>2.2690710003610151</v>
      </c>
      <c r="W553">
        <f t="shared" si="92"/>
        <v>0.50401201975648835</v>
      </c>
      <c r="X553" s="55">
        <f t="shared" si="87"/>
        <v>0.5302550473205444</v>
      </c>
      <c r="Y553" s="149">
        <v>15.6418727</v>
      </c>
      <c r="Z553" s="55">
        <f t="shared" si="83"/>
        <v>4.3649070570477427E-3</v>
      </c>
      <c r="AA553" s="55">
        <f t="shared" si="88"/>
        <v>4.4573365507769953E-3</v>
      </c>
      <c r="AB553" s="55">
        <f t="shared" si="84"/>
        <v>-5.4341583826898336</v>
      </c>
      <c r="AC553" s="55">
        <f t="shared" si="89"/>
        <v>-5.4133274431338592</v>
      </c>
      <c r="AD553" s="55"/>
      <c r="AE553" s="55"/>
      <c r="AF553" s="55"/>
      <c r="AG553" s="55"/>
      <c r="AH553" s="55"/>
    </row>
    <row r="554" spans="1:34" ht="15.75">
      <c r="A554" s="39">
        <v>15.262509100000001</v>
      </c>
      <c r="B554" s="39">
        <v>15.680109099999999</v>
      </c>
      <c r="C554" s="39">
        <v>552</v>
      </c>
      <c r="D554">
        <v>552</v>
      </c>
      <c r="E554" s="10">
        <v>1302720</v>
      </c>
      <c r="F554" s="10">
        <v>997980</v>
      </c>
      <c r="G554" s="10">
        <v>15879</v>
      </c>
      <c r="H554" s="10">
        <v>40784</v>
      </c>
      <c r="I554" s="10">
        <v>41584</v>
      </c>
      <c r="J554" s="10">
        <v>26273</v>
      </c>
      <c r="K554">
        <v>552</v>
      </c>
      <c r="L554" s="10">
        <v>2037</v>
      </c>
      <c r="M554" s="10">
        <v>401155</v>
      </c>
      <c r="N554" s="10">
        <v>4464</v>
      </c>
      <c r="O554">
        <v>0.19941659633479664</v>
      </c>
      <c r="P554">
        <v>0.99282239149789553</v>
      </c>
      <c r="Q554">
        <v>-0.409666669414262</v>
      </c>
      <c r="R554">
        <v>0.409666669414262</v>
      </c>
      <c r="S554">
        <f t="shared" si="90"/>
        <v>-0.45917368201611369</v>
      </c>
      <c r="T554" s="148">
        <f t="shared" si="85"/>
        <v>-0.44957009068414822</v>
      </c>
      <c r="U554">
        <f t="shared" si="91"/>
        <v>2.2860580386537523</v>
      </c>
      <c r="V554" s="55">
        <f t="shared" si="86"/>
        <v>2.2886991483527193</v>
      </c>
      <c r="W554">
        <f t="shared" si="92"/>
        <v>0.50354431433906055</v>
      </c>
      <c r="X554" s="55">
        <f t="shared" si="87"/>
        <v>0.4918770099444032</v>
      </c>
      <c r="Y554" s="149">
        <v>15.680109099999999</v>
      </c>
      <c r="Z554" s="55">
        <f t="shared" si="83"/>
        <v>4.4730355317741839E-3</v>
      </c>
      <c r="AA554" s="55">
        <f t="shared" si="88"/>
        <v>4.4006657082951038E-3</v>
      </c>
      <c r="AB554" s="55">
        <f t="shared" si="84"/>
        <v>-5.4096880109514887</v>
      </c>
      <c r="AC554" s="55">
        <f t="shared" si="89"/>
        <v>-5.4260667026414202</v>
      </c>
      <c r="AD554" s="55"/>
      <c r="AE554" s="55"/>
      <c r="AF554" s="55"/>
      <c r="AG554" s="55"/>
      <c r="AH554" s="55"/>
    </row>
    <row r="555" spans="1:34" ht="15.75">
      <c r="A555" s="39">
        <v>15.297945500000001</v>
      </c>
      <c r="B555" s="39">
        <v>15.7183455</v>
      </c>
      <c r="C555" s="39">
        <v>553</v>
      </c>
      <c r="D555">
        <v>553</v>
      </c>
      <c r="E555" s="10">
        <v>1362770</v>
      </c>
      <c r="F555" s="10">
        <v>1026110</v>
      </c>
      <c r="G555" s="10">
        <v>17319</v>
      </c>
      <c r="H555" s="10">
        <v>42522</v>
      </c>
      <c r="I555" s="10">
        <v>42883</v>
      </c>
      <c r="J555" s="10">
        <v>27657</v>
      </c>
      <c r="K555">
        <v>553</v>
      </c>
      <c r="L555" s="10">
        <v>2458</v>
      </c>
      <c r="M555" s="10">
        <v>424559</v>
      </c>
      <c r="N555" s="10">
        <v>4478</v>
      </c>
      <c r="O555">
        <v>0.19048009033488789</v>
      </c>
      <c r="P555">
        <v>0.99932436854656337</v>
      </c>
      <c r="Q555">
        <v>-0.39009087092686673</v>
      </c>
      <c r="R555">
        <v>0.39009087092686673</v>
      </c>
      <c r="S555">
        <f t="shared" si="90"/>
        <v>-0.43859661651727205</v>
      </c>
      <c r="T555" s="148">
        <f t="shared" si="85"/>
        <v>-0.46364261455075195</v>
      </c>
      <c r="U555">
        <f t="shared" si="91"/>
        <v>2.3010293940810045</v>
      </c>
      <c r="V555" s="55">
        <f t="shared" si="86"/>
        <v>2.2936832864141317</v>
      </c>
      <c r="W555">
        <f t="shared" si="92"/>
        <v>0.46807469573766075</v>
      </c>
      <c r="X555" s="55">
        <f t="shared" si="87"/>
        <v>0.46490666973318823</v>
      </c>
      <c r="Y555" s="149">
        <v>15.7183455</v>
      </c>
      <c r="Z555" s="55">
        <f t="shared" si="83"/>
        <v>4.3640545360633847E-3</v>
      </c>
      <c r="AA555" s="55">
        <f t="shared" si="88"/>
        <v>4.5550430975745959E-3</v>
      </c>
      <c r="AB555" s="55">
        <f t="shared" si="84"/>
        <v>-5.4343537142829383</v>
      </c>
      <c r="AC555" s="55">
        <f t="shared" si="89"/>
        <v>-5.3924521921852202</v>
      </c>
      <c r="AD555" s="55"/>
      <c r="AE555" s="55"/>
      <c r="AF555" s="55"/>
      <c r="AG555" s="55"/>
      <c r="AH555" s="55"/>
    </row>
    <row r="556" spans="1:34" ht="15.75">
      <c r="A556" s="39">
        <v>15.3333818</v>
      </c>
      <c r="B556" s="39">
        <v>15.756581799999999</v>
      </c>
      <c r="C556" s="39">
        <v>554</v>
      </c>
      <c r="D556">
        <v>554</v>
      </c>
      <c r="E556" s="10">
        <v>1416310</v>
      </c>
      <c r="F556" s="10">
        <v>1065650</v>
      </c>
      <c r="G556" s="10">
        <v>18641</v>
      </c>
      <c r="H556" s="10">
        <v>44563</v>
      </c>
      <c r="I556" s="10">
        <v>46601</v>
      </c>
      <c r="J556" s="10">
        <v>28459</v>
      </c>
      <c r="K556">
        <v>554</v>
      </c>
      <c r="L556" s="10">
        <v>2896</v>
      </c>
      <c r="M556" s="10">
        <v>441804</v>
      </c>
      <c r="N556" s="10">
        <v>5145</v>
      </c>
      <c r="O556">
        <v>0.21417560055407919</v>
      </c>
      <c r="P556">
        <v>0.99625522352566109</v>
      </c>
      <c r="Q556">
        <v>-0.3785052135847678</v>
      </c>
      <c r="R556">
        <v>0.37850521358476785</v>
      </c>
      <c r="S556">
        <f t="shared" si="90"/>
        <v>-0.49315754511887011</v>
      </c>
      <c r="T556" s="148">
        <f t="shared" si="85"/>
        <v>-0.48865664538528525</v>
      </c>
      <c r="U556">
        <f t="shared" si="91"/>
        <v>2.2939624265076382</v>
      </c>
      <c r="V556" s="55">
        <f t="shared" si="86"/>
        <v>2.3322444266186224</v>
      </c>
      <c r="W556">
        <f t="shared" si="92"/>
        <v>0.42310099912284349</v>
      </c>
      <c r="X556" s="55">
        <f t="shared" si="87"/>
        <v>0.44463783228198556</v>
      </c>
      <c r="Y556" s="149">
        <v>15.756581799999999</v>
      </c>
      <c r="Z556" s="55">
        <f t="shared" si="83"/>
        <v>4.82803922488622E-3</v>
      </c>
      <c r="AA556" s="55">
        <f t="shared" si="88"/>
        <v>4.6237710357565718E-3</v>
      </c>
      <c r="AB556" s="55">
        <f t="shared" si="84"/>
        <v>-5.3333148513212345</v>
      </c>
      <c r="AC556" s="55">
        <f t="shared" si="89"/>
        <v>-5.3774308516374454</v>
      </c>
      <c r="AD556" s="55"/>
      <c r="AE556" s="55"/>
      <c r="AF556" s="55"/>
      <c r="AG556" s="55"/>
      <c r="AH556" s="55"/>
    </row>
    <row r="557" spans="1:34" ht="15.75">
      <c r="A557" s="39">
        <v>15.3688182</v>
      </c>
      <c r="B557" s="39">
        <v>15.7948182</v>
      </c>
      <c r="C557" s="39">
        <v>555</v>
      </c>
      <c r="D557">
        <v>555</v>
      </c>
      <c r="E557" s="10">
        <v>1475980</v>
      </c>
      <c r="F557" s="10">
        <v>1105740</v>
      </c>
      <c r="G557" s="10">
        <v>18775</v>
      </c>
      <c r="H557" s="10">
        <v>43808</v>
      </c>
      <c r="I557" s="10">
        <v>49873</v>
      </c>
      <c r="J557" s="10">
        <v>29232</v>
      </c>
      <c r="K557">
        <v>555</v>
      </c>
      <c r="L557" s="10">
        <v>2169</v>
      </c>
      <c r="M557" s="10">
        <v>483745</v>
      </c>
      <c r="N557" s="10">
        <v>5174</v>
      </c>
      <c r="O557">
        <v>0.23200696301958335</v>
      </c>
      <c r="P557">
        <v>1.0430630627180193</v>
      </c>
      <c r="Q557">
        <v>-0.36797348077768993</v>
      </c>
      <c r="R557">
        <v>0.36797348077768993</v>
      </c>
      <c r="S557">
        <f t="shared" si="90"/>
        <v>-0.53421577451971358</v>
      </c>
      <c r="T557" s="148">
        <f t="shared" si="85"/>
        <v>-0.59566456013663627</v>
      </c>
      <c r="U557">
        <f t="shared" si="91"/>
        <v>2.4017414592672246</v>
      </c>
      <c r="V557" s="55">
        <f t="shared" si="86"/>
        <v>2.3453180968601335</v>
      </c>
      <c r="W557">
        <f t="shared" si="92"/>
        <v>0.44273780198545237</v>
      </c>
      <c r="X557" s="55">
        <f t="shared" si="87"/>
        <v>0.42824568655667017</v>
      </c>
      <c r="Y557" s="149">
        <v>15.7948182</v>
      </c>
      <c r="Z557" s="55">
        <f t="shared" si="83"/>
        <v>4.6792193463201116E-3</v>
      </c>
      <c r="AA557" s="55">
        <f t="shared" si="88"/>
        <v>4.6288654462339979E-3</v>
      </c>
      <c r="AB557" s="55">
        <f t="shared" si="84"/>
        <v>-5.3646239893081633</v>
      </c>
      <c r="AC557" s="55">
        <f t="shared" si="89"/>
        <v>-5.3762655337633118</v>
      </c>
      <c r="AD557" s="55"/>
      <c r="AE557" s="55"/>
      <c r="AF557" s="55"/>
      <c r="AG557" s="55"/>
      <c r="AH557" s="55"/>
    </row>
    <row r="558" spans="1:34" ht="15.75">
      <c r="A558" s="39">
        <v>15.4042546</v>
      </c>
      <c r="B558" s="39">
        <v>15.833054600000001</v>
      </c>
      <c r="C558" s="39">
        <v>556</v>
      </c>
      <c r="D558">
        <v>556</v>
      </c>
      <c r="E558" s="10">
        <v>1502390</v>
      </c>
      <c r="F558" s="10">
        <v>1106560</v>
      </c>
      <c r="G558" s="10">
        <v>19743</v>
      </c>
      <c r="H558" s="10">
        <v>45819</v>
      </c>
      <c r="I558" s="10">
        <v>64156</v>
      </c>
      <c r="J558" s="10">
        <v>30015</v>
      </c>
      <c r="K558">
        <v>556</v>
      </c>
      <c r="L558" s="10">
        <v>2334</v>
      </c>
      <c r="M558" s="10">
        <v>475777</v>
      </c>
      <c r="N558" s="10">
        <v>4846</v>
      </c>
      <c r="O558">
        <v>0.32989893102434387</v>
      </c>
      <c r="P558">
        <v>1.0163578370788962</v>
      </c>
      <c r="Q558">
        <v>-0.3656324609570048</v>
      </c>
      <c r="R558">
        <v>0.36563246095700475</v>
      </c>
      <c r="S558">
        <f t="shared" si="90"/>
        <v>-0.75962036077132511</v>
      </c>
      <c r="T558" s="148">
        <f t="shared" si="85"/>
        <v>-0.69382314791960376</v>
      </c>
      <c r="U558">
        <f t="shared" si="91"/>
        <v>2.3402504048055373</v>
      </c>
      <c r="V558" s="55">
        <f t="shared" si="86"/>
        <v>2.3551392761994649</v>
      </c>
      <c r="W558">
        <f t="shared" si="92"/>
        <v>0.4188982585617147</v>
      </c>
      <c r="X558" s="55">
        <f t="shared" si="87"/>
        <v>0.42334528680454331</v>
      </c>
      <c r="Y558" s="149">
        <v>15.833054600000001</v>
      </c>
      <c r="Z558" s="55">
        <f t="shared" si="83"/>
        <v>4.3793377674956621E-3</v>
      </c>
      <c r="AA558" s="55">
        <f t="shared" si="88"/>
        <v>4.3821562601395149E-3</v>
      </c>
      <c r="AB558" s="55">
        <f t="shared" si="84"/>
        <v>-5.4308577606605368</v>
      </c>
      <c r="AC558" s="55">
        <f t="shared" si="89"/>
        <v>-5.4317342614189243</v>
      </c>
      <c r="AD558" s="55"/>
      <c r="AE558" s="55"/>
      <c r="AF558" s="55"/>
      <c r="AG558" s="55"/>
      <c r="AH558" s="55"/>
    </row>
    <row r="559" spans="1:34" ht="15.75">
      <c r="A559" s="39">
        <v>15.4396909</v>
      </c>
      <c r="B559" s="39">
        <v>15.8712909</v>
      </c>
      <c r="C559" s="39">
        <v>557</v>
      </c>
      <c r="D559">
        <v>557</v>
      </c>
      <c r="E559" s="10">
        <v>1390970</v>
      </c>
      <c r="F559" s="10">
        <v>1043320</v>
      </c>
      <c r="G559" s="10">
        <v>18487</v>
      </c>
      <c r="H559" s="10">
        <v>42546</v>
      </c>
      <c r="I559" s="10">
        <v>61136</v>
      </c>
      <c r="J559" s="10">
        <v>27812</v>
      </c>
      <c r="K559">
        <v>557</v>
      </c>
      <c r="L559" s="10">
        <v>4330</v>
      </c>
      <c r="M559" s="10">
        <v>434420</v>
      </c>
      <c r="N559" s="10">
        <v>4265</v>
      </c>
      <c r="O559">
        <v>0.34206479963075548</v>
      </c>
      <c r="P559">
        <v>1.0090510755042228</v>
      </c>
      <c r="Q559">
        <v>-0.36199229453700005</v>
      </c>
      <c r="R559">
        <v>0.36199229453700005</v>
      </c>
      <c r="S559">
        <f t="shared" si="90"/>
        <v>-0.7876333084677728</v>
      </c>
      <c r="T559" s="148">
        <f t="shared" si="85"/>
        <v>-0.74600348997840404</v>
      </c>
      <c r="U559">
        <f t="shared" si="91"/>
        <v>2.323425964525633</v>
      </c>
      <c r="V559" s="55">
        <f t="shared" si="86"/>
        <v>2.3386375467578264</v>
      </c>
      <c r="W559">
        <f t="shared" si="92"/>
        <v>0.40839979986646285</v>
      </c>
      <c r="X559" s="55">
        <f t="shared" si="87"/>
        <v>0.47502919370565344</v>
      </c>
      <c r="Y559" s="149">
        <v>15.8712909</v>
      </c>
      <c r="Z559" s="55">
        <f t="shared" si="83"/>
        <v>4.0879116666027683E-3</v>
      </c>
      <c r="AA559" s="55">
        <f t="shared" si="88"/>
        <v>4.1770562313268944E-3</v>
      </c>
      <c r="AB559" s="55">
        <f t="shared" si="84"/>
        <v>-5.499721034288072</v>
      </c>
      <c r="AC559" s="55">
        <f t="shared" si="89"/>
        <v>-5.4787287436689596</v>
      </c>
      <c r="AD559" s="55"/>
      <c r="AE559" s="55"/>
      <c r="AF559" s="55"/>
      <c r="AG559" s="55"/>
      <c r="AH559" s="55"/>
    </row>
    <row r="560" spans="1:34" ht="15.75">
      <c r="A560" s="39">
        <v>15.4751273</v>
      </c>
      <c r="B560" s="39">
        <v>15.909527300000001</v>
      </c>
      <c r="C560" s="39">
        <v>558</v>
      </c>
      <c r="D560">
        <v>558</v>
      </c>
      <c r="E560" s="10">
        <v>798810</v>
      </c>
      <c r="F560" s="10">
        <v>594500</v>
      </c>
      <c r="G560" s="10">
        <v>7372</v>
      </c>
      <c r="H560" s="10">
        <v>21173</v>
      </c>
      <c r="I560" s="10">
        <v>26742</v>
      </c>
      <c r="J560" s="10">
        <v>13403</v>
      </c>
      <c r="K560">
        <v>558</v>
      </c>
      <c r="L560" s="10">
        <v>1014</v>
      </c>
      <c r="M560" s="10">
        <v>222508</v>
      </c>
      <c r="N560" s="10">
        <v>2416</v>
      </c>
      <c r="O560">
        <v>0.29999186687946666</v>
      </c>
      <c r="P560">
        <v>1.0215632326029267</v>
      </c>
      <c r="Q560">
        <v>-0.45819707096876899</v>
      </c>
      <c r="R560">
        <v>0.45819707096876905</v>
      </c>
      <c r="S560">
        <f t="shared" si="90"/>
        <v>-0.69075680069611411</v>
      </c>
      <c r="T560" s="148">
        <f t="shared" si="85"/>
        <v>-0.73830634522027294</v>
      </c>
      <c r="U560">
        <f t="shared" si="91"/>
        <v>2.3522362709423077</v>
      </c>
      <c r="V560" s="55">
        <f t="shared" si="86"/>
        <v>2.356536121900318</v>
      </c>
      <c r="W560">
        <f t="shared" si="92"/>
        <v>0.59778952268878283</v>
      </c>
      <c r="X560" s="55">
        <f t="shared" si="87"/>
        <v>0.49979312719375907</v>
      </c>
      <c r="Y560" s="149">
        <v>15.909527300000001</v>
      </c>
      <c r="Z560" s="55">
        <f t="shared" si="83"/>
        <v>4.0639192598822538E-3</v>
      </c>
      <c r="AA560" s="55">
        <f t="shared" si="88"/>
        <v>4.1089114031360808E-3</v>
      </c>
      <c r="AB560" s="55">
        <f t="shared" si="84"/>
        <v>-5.5056074360582681</v>
      </c>
      <c r="AC560" s="55">
        <f t="shared" si="89"/>
        <v>-5.4946641856869611</v>
      </c>
      <c r="AD560" s="55"/>
      <c r="AE560" s="55"/>
      <c r="AF560" s="55"/>
      <c r="AG560" s="55"/>
      <c r="AH560" s="55"/>
    </row>
    <row r="561" spans="1:34" ht="15.75">
      <c r="A561" s="39">
        <v>15.510563599999999</v>
      </c>
      <c r="B561" s="39">
        <v>15.9477636</v>
      </c>
      <c r="C561" s="39">
        <v>559</v>
      </c>
      <c r="D561">
        <v>559</v>
      </c>
      <c r="E561" s="10">
        <v>1106095</v>
      </c>
      <c r="F561" s="10">
        <v>824570</v>
      </c>
      <c r="G561" s="10">
        <v>12413.5</v>
      </c>
      <c r="H561" s="10">
        <v>31369</v>
      </c>
      <c r="I561" s="10">
        <v>42457.5</v>
      </c>
      <c r="J561" s="10">
        <v>20327.5</v>
      </c>
      <c r="K561">
        <v>559</v>
      </c>
      <c r="L561" s="10">
        <v>1887.5</v>
      </c>
      <c r="M561" s="10">
        <v>343699</v>
      </c>
      <c r="N561" s="10">
        <v>3442.5</v>
      </c>
      <c r="O561">
        <v>0.31987044853974334</v>
      </c>
      <c r="P561">
        <v>1.039677594333841</v>
      </c>
      <c r="Q561">
        <v>-0.40260642564361676</v>
      </c>
      <c r="R561">
        <v>0.40260642564361671</v>
      </c>
      <c r="S561">
        <f t="shared" si="90"/>
        <v>-0.73652892649693202</v>
      </c>
      <c r="T561" s="148">
        <f t="shared" si="85"/>
        <v>-0.72852671461673835</v>
      </c>
      <c r="U561">
        <f t="shared" si="91"/>
        <v>2.3939461302330129</v>
      </c>
      <c r="V561" s="55">
        <f t="shared" si="86"/>
        <v>2.3869082508851047</v>
      </c>
      <c r="W561">
        <f t="shared" si="92"/>
        <v>0.49319005902603158</v>
      </c>
      <c r="X561" s="55">
        <f t="shared" si="87"/>
        <v>0.51216011802307893</v>
      </c>
      <c r="Y561" s="149">
        <v>15.9477636</v>
      </c>
      <c r="Z561" s="55">
        <f t="shared" si="83"/>
        <v>4.1749032829232202E-3</v>
      </c>
      <c r="AA561" s="55">
        <f t="shared" si="88"/>
        <v>4.1587624865813185E-3</v>
      </c>
      <c r="AB561" s="55">
        <f t="shared" si="84"/>
        <v>-5.4786640867145424</v>
      </c>
      <c r="AC561" s="55">
        <f t="shared" si="89"/>
        <v>-5.4826872027570701</v>
      </c>
      <c r="AD561" s="55"/>
      <c r="AE561" s="55"/>
      <c r="AF561" s="55"/>
      <c r="AG561" s="55"/>
      <c r="AH561" s="55"/>
    </row>
    <row r="562" spans="1:34" ht="15.75">
      <c r="A562" s="39">
        <v>15.545999999999999</v>
      </c>
      <c r="B562" s="39">
        <v>15.986000000000001</v>
      </c>
      <c r="C562" s="39">
        <v>560</v>
      </c>
      <c r="D562">
        <v>560</v>
      </c>
      <c r="E562" s="10">
        <v>1413380</v>
      </c>
      <c r="F562" s="10">
        <v>1054640</v>
      </c>
      <c r="G562" s="10">
        <v>17455</v>
      </c>
      <c r="H562" s="10">
        <v>41565</v>
      </c>
      <c r="I562" s="10">
        <v>58173</v>
      </c>
      <c r="J562" s="10">
        <v>27252</v>
      </c>
      <c r="K562">
        <v>560</v>
      </c>
      <c r="L562" s="10">
        <v>2761</v>
      </c>
      <c r="M562" s="10">
        <v>464890</v>
      </c>
      <c r="N562" s="10">
        <v>4469</v>
      </c>
      <c r="O562">
        <v>0.32932308081225375</v>
      </c>
      <c r="P562">
        <v>1.0486224195694631</v>
      </c>
      <c r="Q562">
        <v>-0.37680793168771537</v>
      </c>
      <c r="R562">
        <v>0.37680793168771531</v>
      </c>
      <c r="S562">
        <f t="shared" si="90"/>
        <v>-0.7582944166571689</v>
      </c>
      <c r="T562" s="148">
        <f t="shared" si="85"/>
        <v>-0.7555351778110696</v>
      </c>
      <c r="U562">
        <f t="shared" si="91"/>
        <v>2.4145423514799931</v>
      </c>
      <c r="V562" s="55">
        <f t="shared" si="86"/>
        <v>2.3869241984338578</v>
      </c>
      <c r="W562">
        <f t="shared" si="92"/>
        <v>0.44550077235442243</v>
      </c>
      <c r="X562" s="55">
        <f t="shared" si="87"/>
        <v>0.45857578608999289</v>
      </c>
      <c r="Y562" s="149">
        <v>15.986000000000001</v>
      </c>
      <c r="Z562" s="55">
        <f t="shared" si="83"/>
        <v>4.2374649169384816E-3</v>
      </c>
      <c r="AA562" s="55">
        <f t="shared" si="88"/>
        <v>4.2728541820398367E-3</v>
      </c>
      <c r="AB562" s="55">
        <f t="shared" si="84"/>
        <v>-5.4637900854983998</v>
      </c>
      <c r="AC562" s="55">
        <f t="shared" si="89"/>
        <v>-5.4557326981109773</v>
      </c>
      <c r="AD562" s="55"/>
      <c r="AE562" s="55"/>
      <c r="AF562" s="55"/>
      <c r="AG562" s="55"/>
      <c r="AH562" s="55"/>
    </row>
    <row r="563" spans="1:34" ht="15.75">
      <c r="A563" s="39">
        <v>15.585800000000001</v>
      </c>
      <c r="B563" s="39">
        <v>16.021599999999999</v>
      </c>
      <c r="C563" s="39">
        <v>561</v>
      </c>
      <c r="D563">
        <v>561</v>
      </c>
      <c r="E563" s="10">
        <v>1514120</v>
      </c>
      <c r="F563" s="10">
        <v>1106170</v>
      </c>
      <c r="G563" s="10">
        <v>19392</v>
      </c>
      <c r="H563" s="10">
        <v>46767</v>
      </c>
      <c r="I563" s="10">
        <v>64954</v>
      </c>
      <c r="J563" s="10">
        <v>30021</v>
      </c>
      <c r="K563">
        <v>561</v>
      </c>
      <c r="L563" s="10">
        <v>2737</v>
      </c>
      <c r="M563" s="10">
        <v>491500</v>
      </c>
      <c r="N563" s="10">
        <v>4874</v>
      </c>
      <c r="O563">
        <v>0.33518074646942214</v>
      </c>
      <c r="P563">
        <v>1.021584010400197</v>
      </c>
      <c r="Q563">
        <v>-0.38231690928176526</v>
      </c>
      <c r="R563">
        <v>0.38231690928176526</v>
      </c>
      <c r="S563">
        <f t="shared" si="90"/>
        <v>-0.7717821902791081</v>
      </c>
      <c r="T563" s="148">
        <f t="shared" si="85"/>
        <v>-0.75222127856569954</v>
      </c>
      <c r="U563">
        <f t="shared" si="91"/>
        <v>2.3522841135885679</v>
      </c>
      <c r="V563" s="55">
        <f t="shared" si="86"/>
        <v>2.3656462634094799</v>
      </c>
      <c r="W563">
        <f t="shared" si="92"/>
        <v>0.43703652688952471</v>
      </c>
      <c r="X563" s="55">
        <f t="shared" si="87"/>
        <v>0.43787699239093381</v>
      </c>
      <c r="Y563" s="149">
        <v>16.021599999999999</v>
      </c>
      <c r="Z563" s="55">
        <f t="shared" si="83"/>
        <v>4.4061943462578084E-3</v>
      </c>
      <c r="AA563" s="55">
        <f t="shared" si="88"/>
        <v>4.3244227339145911E-3</v>
      </c>
      <c r="AB563" s="55">
        <f t="shared" si="84"/>
        <v>-5.4247439221199878</v>
      </c>
      <c r="AC563" s="55">
        <f t="shared" si="89"/>
        <v>-5.4436040210293113</v>
      </c>
      <c r="AD563" s="55"/>
      <c r="AE563" s="55"/>
      <c r="AF563" s="55"/>
      <c r="AG563" s="55"/>
      <c r="AH563" s="55"/>
    </row>
    <row r="564" spans="1:34" ht="15.75">
      <c r="A564" s="39">
        <v>15.6256</v>
      </c>
      <c r="B564" s="39">
        <v>16.057200000000002</v>
      </c>
      <c r="C564" s="39">
        <v>562</v>
      </c>
      <c r="D564">
        <v>562</v>
      </c>
      <c r="E564" s="10">
        <v>1501410</v>
      </c>
      <c r="F564" s="10">
        <v>1102640</v>
      </c>
      <c r="G564" s="10">
        <v>19787</v>
      </c>
      <c r="H564" s="10">
        <v>46862</v>
      </c>
      <c r="I564" s="10">
        <v>62973</v>
      </c>
      <c r="J564" s="10">
        <v>30451</v>
      </c>
      <c r="K564">
        <v>562</v>
      </c>
      <c r="L564" s="10">
        <v>2131</v>
      </c>
      <c r="M564" s="10">
        <v>481699</v>
      </c>
      <c r="N564" s="10">
        <v>4774</v>
      </c>
      <c r="O564">
        <v>0.31555282407220059</v>
      </c>
      <c r="P564">
        <v>1.0119549250316908</v>
      </c>
      <c r="Q564">
        <v>-0.37444086592337178</v>
      </c>
      <c r="R564">
        <v>0.37444086592337178</v>
      </c>
      <c r="S564">
        <f t="shared" si="90"/>
        <v>-0.72658722876082193</v>
      </c>
      <c r="T564" s="148">
        <f t="shared" si="85"/>
        <v>-0.74400366634157844</v>
      </c>
      <c r="U564">
        <f t="shared" si="91"/>
        <v>2.3301123251598783</v>
      </c>
      <c r="V564" s="55">
        <f t="shared" si="86"/>
        <v>2.3486933140814137</v>
      </c>
      <c r="W564">
        <f t="shared" si="92"/>
        <v>0.43109367792885428</v>
      </c>
      <c r="X564" s="55">
        <f t="shared" si="87"/>
        <v>0.42995139891575823</v>
      </c>
      <c r="Y564" s="149">
        <v>16.057200000000002</v>
      </c>
      <c r="Z564" s="55">
        <f t="shared" si="83"/>
        <v>4.3296089385474858E-3</v>
      </c>
      <c r="AA564" s="55">
        <f t="shared" si="88"/>
        <v>4.3392095047403269E-3</v>
      </c>
      <c r="AB564" s="55">
        <f t="shared" si="84"/>
        <v>-5.4422780554695454</v>
      </c>
      <c r="AC564" s="55">
        <f t="shared" si="89"/>
        <v>-5.4401326274711002</v>
      </c>
      <c r="AD564" s="55"/>
      <c r="AE564" s="55"/>
      <c r="AF564" s="55"/>
      <c r="AG564" s="55"/>
      <c r="AH564" s="55"/>
    </row>
    <row r="565" spans="1:34" ht="15.75">
      <c r="A565" s="39">
        <v>15.6654</v>
      </c>
      <c r="B565" s="39">
        <v>16.0928</v>
      </c>
      <c r="C565" s="39">
        <v>563</v>
      </c>
      <c r="D565">
        <v>563</v>
      </c>
      <c r="E565" s="10">
        <v>1510020</v>
      </c>
      <c r="F565" s="10">
        <v>1109340</v>
      </c>
      <c r="G565" s="10">
        <v>19705</v>
      </c>
      <c r="H565" s="10">
        <v>46026</v>
      </c>
      <c r="I565" s="10">
        <v>62567</v>
      </c>
      <c r="J565" s="10">
        <v>30042</v>
      </c>
      <c r="K565">
        <v>563</v>
      </c>
      <c r="L565" s="10">
        <v>2490</v>
      </c>
      <c r="M565" s="10">
        <v>489258</v>
      </c>
      <c r="N565" s="10">
        <v>4750</v>
      </c>
      <c r="O565">
        <v>0.31861648988218394</v>
      </c>
      <c r="P565">
        <v>1.0265347025339691</v>
      </c>
      <c r="Q565">
        <v>-0.36842679392801964</v>
      </c>
      <c r="R565">
        <v>0.36842679392801964</v>
      </c>
      <c r="S565">
        <f t="shared" si="90"/>
        <v>-0.73364157998480506</v>
      </c>
      <c r="T565" s="148">
        <f t="shared" si="85"/>
        <v>-0.75881786667750217</v>
      </c>
      <c r="U565">
        <f t="shared" si="91"/>
        <v>2.3636835034957939</v>
      </c>
      <c r="V565" s="55">
        <f t="shared" si="86"/>
        <v>2.345921465499885</v>
      </c>
      <c r="W565">
        <f t="shared" si="92"/>
        <v>0.42172399192889576</v>
      </c>
      <c r="X565" s="55">
        <f t="shared" si="87"/>
        <v>0.43081115418892607</v>
      </c>
      <c r="Y565" s="149">
        <v>16.0928</v>
      </c>
      <c r="Z565" s="55">
        <f t="shared" si="83"/>
        <v>4.2818252294156882E-3</v>
      </c>
      <c r="AA565" s="55">
        <f t="shared" si="88"/>
        <v>4.2460602772344978E-3</v>
      </c>
      <c r="AB565" s="55">
        <f t="shared" si="84"/>
        <v>-5.4533759048237664</v>
      </c>
      <c r="AC565" s="55">
        <f t="shared" si="89"/>
        <v>-5.4619732918258377</v>
      </c>
      <c r="AD565" s="55"/>
      <c r="AE565" s="55"/>
      <c r="AF565" s="55"/>
      <c r="AG565" s="55"/>
      <c r="AH565" s="55"/>
    </row>
    <row r="566" spans="1:34" ht="15.75">
      <c r="A566" s="39">
        <v>15.7052</v>
      </c>
      <c r="B566" s="39">
        <v>16.128399999999999</v>
      </c>
      <c r="C566" s="39">
        <v>564</v>
      </c>
      <c r="D566">
        <v>564</v>
      </c>
      <c r="E566" s="10">
        <v>1525393.75</v>
      </c>
      <c r="F566" s="10">
        <v>1116295</v>
      </c>
      <c r="G566" s="10">
        <v>19598.875</v>
      </c>
      <c r="H566" s="10">
        <v>46823.75</v>
      </c>
      <c r="I566" s="10">
        <v>68807.5</v>
      </c>
      <c r="J566" s="10">
        <v>30419.625</v>
      </c>
      <c r="K566">
        <v>564</v>
      </c>
      <c r="L566" s="10">
        <v>2367.666667</v>
      </c>
      <c r="M566" s="10">
        <v>488021.3333</v>
      </c>
      <c r="N566" s="10">
        <v>4606.6666670000004</v>
      </c>
      <c r="O566">
        <v>0.35448192284852509</v>
      </c>
      <c r="P566">
        <v>1.0179726147693096</v>
      </c>
      <c r="Q566">
        <v>-0.37823504931578067</v>
      </c>
      <c r="R566">
        <v>0.37823504931578072</v>
      </c>
      <c r="S566">
        <f t="shared" si="90"/>
        <v>-0.81622479128687919</v>
      </c>
      <c r="T566" s="148">
        <f t="shared" si="85"/>
        <v>-0.75125013060901324</v>
      </c>
      <c r="U566">
        <f t="shared" si="91"/>
        <v>2.3439685678439828</v>
      </c>
      <c r="V566" s="55">
        <f t="shared" si="86"/>
        <v>2.355677183151633</v>
      </c>
      <c r="W566">
        <f t="shared" si="92"/>
        <v>0.43961579270902806</v>
      </c>
      <c r="X566" s="55">
        <f t="shared" si="87"/>
        <v>0.43534318707074821</v>
      </c>
      <c r="Y566" s="149">
        <v>16.128399999999999</v>
      </c>
      <c r="Z566" s="55">
        <f t="shared" si="83"/>
        <v>4.1267466637403202E-3</v>
      </c>
      <c r="AA566" s="55">
        <f t="shared" si="88"/>
        <v>4.1120794431536685E-3</v>
      </c>
      <c r="AB566" s="55">
        <f t="shared" si="84"/>
        <v>-5.4902659151841986</v>
      </c>
      <c r="AC566" s="55">
        <f t="shared" si="89"/>
        <v>-5.4944505438593438</v>
      </c>
      <c r="AD566" s="55"/>
      <c r="AE566" s="55"/>
      <c r="AF566" s="55"/>
      <c r="AG566" s="55"/>
      <c r="AH566" s="55"/>
    </row>
    <row r="567" spans="1:34" ht="15.75">
      <c r="A567" s="39">
        <v>15.744999999999999</v>
      </c>
      <c r="B567" s="39">
        <v>16.164000000000001</v>
      </c>
      <c r="C567" s="39">
        <v>565</v>
      </c>
      <c r="D567">
        <v>565</v>
      </c>
      <c r="E567" s="10">
        <v>1522310</v>
      </c>
      <c r="F567" s="10">
        <v>1128660</v>
      </c>
      <c r="G567" s="10">
        <v>19448</v>
      </c>
      <c r="H567" s="10">
        <v>46586</v>
      </c>
      <c r="I567" s="10">
        <v>61333</v>
      </c>
      <c r="J567" s="10">
        <v>30339</v>
      </c>
      <c r="K567">
        <v>565</v>
      </c>
      <c r="L567" s="10">
        <v>2203</v>
      </c>
      <c r="M567" s="10">
        <v>493084</v>
      </c>
      <c r="N567" s="10">
        <v>4433</v>
      </c>
      <c r="O567">
        <v>0.30569294602706604</v>
      </c>
      <c r="P567">
        <v>1.0246654880611716</v>
      </c>
      <c r="Q567">
        <v>-0.37938047651453261</v>
      </c>
      <c r="R567">
        <v>0.37938047651453255</v>
      </c>
      <c r="S567">
        <f t="shared" si="90"/>
        <v>-0.70388402055535571</v>
      </c>
      <c r="T567" s="148">
        <f t="shared" si="85"/>
        <v>-0.78034647940312774</v>
      </c>
      <c r="U567">
        <f t="shared" si="91"/>
        <v>2.3593794781151223</v>
      </c>
      <c r="V567" s="55">
        <f t="shared" si="86"/>
        <v>2.356982585344678</v>
      </c>
      <c r="W567">
        <f t="shared" si="92"/>
        <v>0.44468977657432079</v>
      </c>
      <c r="X567" s="55">
        <f t="shared" si="87"/>
        <v>0.44324772250249467</v>
      </c>
      <c r="Y567" s="149">
        <v>16.164000000000001</v>
      </c>
      <c r="Z567" s="55">
        <f t="shared" si="83"/>
        <v>3.9276664363049989E-3</v>
      </c>
      <c r="AA567" s="55">
        <f t="shared" si="88"/>
        <v>4.0186440350911748E-3</v>
      </c>
      <c r="AB567" s="55">
        <f t="shared" si="84"/>
        <v>-5.5397098115700674</v>
      </c>
      <c r="AC567" s="55">
        <f t="shared" si="89"/>
        <v>-5.5170189884655798</v>
      </c>
      <c r="AD567" s="55"/>
      <c r="AE567" s="55"/>
      <c r="AF567" s="55"/>
      <c r="AG567" s="55"/>
      <c r="AH567" s="55"/>
    </row>
    <row r="568" spans="1:34" ht="15.75">
      <c r="A568" s="39">
        <v>15.784800000000001</v>
      </c>
      <c r="B568" s="39">
        <v>16.1996</v>
      </c>
      <c r="C568" s="39">
        <v>566</v>
      </c>
      <c r="D568">
        <v>566</v>
      </c>
      <c r="E568" s="10">
        <v>1551270</v>
      </c>
      <c r="F568" s="10">
        <v>1132320</v>
      </c>
      <c r="G568" s="10">
        <v>19502</v>
      </c>
      <c r="H568" s="10">
        <v>47445</v>
      </c>
      <c r="I568" s="10">
        <v>69192</v>
      </c>
      <c r="J568" s="10">
        <v>30446</v>
      </c>
      <c r="K568">
        <v>566</v>
      </c>
      <c r="L568" s="10">
        <v>2859</v>
      </c>
      <c r="M568" s="10">
        <v>506321</v>
      </c>
      <c r="N568" s="10">
        <v>4531</v>
      </c>
      <c r="O568">
        <v>0.3565256410566327</v>
      </c>
      <c r="P568">
        <v>1.0282354894412802</v>
      </c>
      <c r="Q568">
        <v>-0.38611129886920259</v>
      </c>
      <c r="R568">
        <v>0.38611129886920265</v>
      </c>
      <c r="S568">
        <f t="shared" si="90"/>
        <v>-0.82093062636714842</v>
      </c>
      <c r="T568" s="148">
        <f t="shared" si="85"/>
        <v>-0.80087901560101482</v>
      </c>
      <c r="U568">
        <f t="shared" si="91"/>
        <v>2.3675997100749284</v>
      </c>
      <c r="V568" s="55">
        <f t="shared" si="86"/>
        <v>2.3582349792839028</v>
      </c>
      <c r="W568">
        <f t="shared" si="92"/>
        <v>0.44543759822413509</v>
      </c>
      <c r="X568" s="55">
        <f t="shared" si="87"/>
        <v>0.44993833191237065</v>
      </c>
      <c r="Y568" s="149">
        <v>16.1996</v>
      </c>
      <c r="Z568" s="55">
        <f t="shared" si="83"/>
        <v>4.0015190052282044E-3</v>
      </c>
      <c r="AA568" s="55">
        <f t="shared" si="88"/>
        <v>3.9829556978337897E-3</v>
      </c>
      <c r="AB568" s="55">
        <f t="shared" si="84"/>
        <v>-5.5210812386424735</v>
      </c>
      <c r="AC568" s="55">
        <f t="shared" si="89"/>
        <v>-5.525781206917407</v>
      </c>
      <c r="AD568" s="55"/>
      <c r="AE568" s="55"/>
      <c r="AF568" s="55"/>
      <c r="AG568" s="55"/>
      <c r="AH568" s="55"/>
    </row>
    <row r="569" spans="1:34" ht="15.75">
      <c r="A569" s="39">
        <v>15.8246</v>
      </c>
      <c r="B569" s="39">
        <v>16.235199999999999</v>
      </c>
      <c r="C569" s="39">
        <v>567</v>
      </c>
      <c r="D569">
        <v>567</v>
      </c>
      <c r="E569" s="10">
        <v>1542210</v>
      </c>
      <c r="F569" s="10">
        <v>1115760</v>
      </c>
      <c r="G569" s="10">
        <v>19317</v>
      </c>
      <c r="H569" s="10">
        <v>47634</v>
      </c>
      <c r="I569" s="10">
        <v>73589</v>
      </c>
      <c r="J569" s="10">
        <v>30590</v>
      </c>
      <c r="K569">
        <v>567</v>
      </c>
      <c r="L569" s="10">
        <v>2596</v>
      </c>
      <c r="M569" s="10">
        <v>498335</v>
      </c>
      <c r="N569" s="10">
        <v>4485</v>
      </c>
      <c r="O569">
        <v>0.38123342435918844</v>
      </c>
      <c r="P569">
        <v>1.0196043381002333</v>
      </c>
      <c r="Q569">
        <v>-0.39197737251624304</v>
      </c>
      <c r="R569">
        <v>0.39197737251624304</v>
      </c>
      <c r="S569">
        <f t="shared" si="90"/>
        <v>-0.87782239988054045</v>
      </c>
      <c r="T569" s="148">
        <f t="shared" si="85"/>
        <v>-0.89018663152710664</v>
      </c>
      <c r="U569">
        <f t="shared" si="91"/>
        <v>2.3477257496616586</v>
      </c>
      <c r="V569" s="55">
        <f t="shared" si="86"/>
        <v>2.3541142384356362</v>
      </c>
      <c r="W569">
        <f t="shared" si="92"/>
        <v>0.45968762093865601</v>
      </c>
      <c r="X569" s="55">
        <f t="shared" si="87"/>
        <v>0.46053972108494773</v>
      </c>
      <c r="Y569" s="149">
        <v>16.235199999999999</v>
      </c>
      <c r="Z569" s="55">
        <f t="shared" si="83"/>
        <v>4.019681651968165E-3</v>
      </c>
      <c r="AA569" s="55">
        <f t="shared" si="88"/>
        <v>3.9063653527526493E-3</v>
      </c>
      <c r="AB569" s="55">
        <f t="shared" si="84"/>
        <v>-5.5165525705396794</v>
      </c>
      <c r="AC569" s="55">
        <f t="shared" si="89"/>
        <v>-5.5458750802906955</v>
      </c>
      <c r="AD569" s="55"/>
      <c r="AE569" s="55"/>
      <c r="AF569" s="55"/>
      <c r="AG569" s="55"/>
      <c r="AH569" s="55"/>
    </row>
    <row r="570" spans="1:34" ht="15.75">
      <c r="A570" s="39">
        <v>15.8644</v>
      </c>
      <c r="B570" s="39">
        <v>16.270800000000001</v>
      </c>
      <c r="C570" s="39">
        <v>568</v>
      </c>
      <c r="D570">
        <v>568</v>
      </c>
      <c r="E570" s="10">
        <v>1492190</v>
      </c>
      <c r="F570" s="10">
        <v>1077640</v>
      </c>
      <c r="G570" s="10">
        <v>18122</v>
      </c>
      <c r="H570" s="10">
        <v>45697</v>
      </c>
      <c r="I570" s="10">
        <v>77125</v>
      </c>
      <c r="J570" s="10">
        <v>29184</v>
      </c>
      <c r="K570">
        <v>568</v>
      </c>
      <c r="L570" s="10">
        <v>2697</v>
      </c>
      <c r="M570" s="10">
        <v>477732</v>
      </c>
      <c r="N570" s="10">
        <v>3985</v>
      </c>
      <c r="O570">
        <v>0.42205036039297589</v>
      </c>
      <c r="P570">
        <v>1.0192966430259047</v>
      </c>
      <c r="Q570">
        <v>-0.40168156358063317</v>
      </c>
      <c r="R570">
        <v>0.40168156358063317</v>
      </c>
      <c r="S570">
        <f t="shared" si="90"/>
        <v>-0.97180686833363106</v>
      </c>
      <c r="T570" s="148">
        <f t="shared" si="85"/>
        <v>-1.004285889800286</v>
      </c>
      <c r="U570">
        <f t="shared" si="91"/>
        <v>2.347017255570321</v>
      </c>
      <c r="V570" s="55">
        <f t="shared" si="86"/>
        <v>2.3599207356811185</v>
      </c>
      <c r="W570">
        <f t="shared" si="92"/>
        <v>0.47649394409205204</v>
      </c>
      <c r="X570" s="55">
        <f t="shared" si="87"/>
        <v>0.48303836922433946</v>
      </c>
      <c r="Y570" s="149">
        <v>16.270800000000001</v>
      </c>
      <c r="Z570" s="55">
        <f t="shared" si="83"/>
        <v>3.697895401061579E-3</v>
      </c>
      <c r="AA570" s="55">
        <f t="shared" si="88"/>
        <v>3.8463788533451017E-3</v>
      </c>
      <c r="AB570" s="55">
        <f t="shared" si="84"/>
        <v>-5.5999914316899337</v>
      </c>
      <c r="AC570" s="55">
        <f t="shared" si="89"/>
        <v>-5.5612135646655183</v>
      </c>
      <c r="AD570" s="55"/>
      <c r="AE570" s="55"/>
      <c r="AF570" s="55"/>
      <c r="AG570" s="55"/>
      <c r="AH570" s="55"/>
    </row>
    <row r="571" spans="1:34" ht="15.75">
      <c r="A571" s="39">
        <v>15.904199999999999</v>
      </c>
      <c r="B571" s="39">
        <v>16.3064</v>
      </c>
      <c r="C571" s="39">
        <v>569</v>
      </c>
      <c r="D571">
        <v>569</v>
      </c>
      <c r="E571" s="10">
        <v>1471930</v>
      </c>
      <c r="F571" s="10">
        <v>1055590</v>
      </c>
      <c r="G571" s="10">
        <v>16397</v>
      </c>
      <c r="H571" s="10">
        <v>43495</v>
      </c>
      <c r="I571" s="10">
        <v>87642</v>
      </c>
      <c r="J571" s="10">
        <v>27386</v>
      </c>
      <c r="K571">
        <v>569</v>
      </c>
      <c r="L571" s="10">
        <v>2318</v>
      </c>
      <c r="M571" s="10">
        <v>472324</v>
      </c>
      <c r="N571" s="10">
        <v>4034</v>
      </c>
      <c r="O571">
        <v>0.50518367582852008</v>
      </c>
      <c r="P571">
        <v>1.0358006785799792</v>
      </c>
      <c r="Q571">
        <v>-0.42367493851151039</v>
      </c>
      <c r="R571">
        <v>0.42367493851151039</v>
      </c>
      <c r="S571">
        <f t="shared" si="90"/>
        <v>-1.1632284011866867</v>
      </c>
      <c r="T571" s="148">
        <f t="shared" si="85"/>
        <v>-1.0881230370067698</v>
      </c>
      <c r="U571">
        <f t="shared" si="91"/>
        <v>2.3850192018113767</v>
      </c>
      <c r="V571" s="55">
        <f t="shared" si="86"/>
        <v>2.3780781180811257</v>
      </c>
      <c r="W571">
        <f t="shared" si="92"/>
        <v>0.5129335426423105</v>
      </c>
      <c r="X571" s="55">
        <f t="shared" si="87"/>
        <v>0.48860554784119853</v>
      </c>
      <c r="Y571" s="149">
        <v>16.3064</v>
      </c>
      <c r="Z571" s="55">
        <f t="shared" si="83"/>
        <v>3.8215595070055608E-3</v>
      </c>
      <c r="AA571" s="55">
        <f t="shared" si="88"/>
        <v>3.7975571246323028E-3</v>
      </c>
      <c r="AB571" s="55">
        <f t="shared" si="84"/>
        <v>-5.5670966917669418</v>
      </c>
      <c r="AC571" s="55">
        <f t="shared" si="89"/>
        <v>-5.5735860374905526</v>
      </c>
      <c r="AD571" s="55"/>
      <c r="AE571" s="55"/>
      <c r="AF571" s="55"/>
      <c r="AG571" s="55"/>
      <c r="AH571" s="55"/>
    </row>
    <row r="572" spans="1:34" ht="15.75">
      <c r="A572" s="39">
        <v>15.944000000000001</v>
      </c>
      <c r="B572" s="39">
        <v>16.341999999999999</v>
      </c>
      <c r="C572" s="39">
        <v>570</v>
      </c>
      <c r="D572">
        <v>570</v>
      </c>
      <c r="E572" s="10">
        <v>1505690</v>
      </c>
      <c r="F572" s="10">
        <v>1073010</v>
      </c>
      <c r="G572" s="10">
        <v>17152</v>
      </c>
      <c r="H572" s="10">
        <v>44275</v>
      </c>
      <c r="I572" s="10">
        <v>85442</v>
      </c>
      <c r="J572" s="10">
        <v>27619</v>
      </c>
      <c r="K572">
        <v>570</v>
      </c>
      <c r="L572" s="10">
        <v>2344</v>
      </c>
      <c r="M572" s="10">
        <v>489125</v>
      </c>
      <c r="N572" s="10">
        <v>4156</v>
      </c>
      <c r="O572">
        <v>0.49046345559004811</v>
      </c>
      <c r="P572">
        <v>1.0432612910466241</v>
      </c>
      <c r="Q572">
        <v>-0.41184380184943636</v>
      </c>
      <c r="R572">
        <v>0.41184380184943631</v>
      </c>
      <c r="S572">
        <f t="shared" si="90"/>
        <v>-1.1293338414999918</v>
      </c>
      <c r="T572" s="148">
        <f t="shared" si="85"/>
        <v>-1.1174415566588882</v>
      </c>
      <c r="U572">
        <f t="shared" si="91"/>
        <v>2.4021978968616793</v>
      </c>
      <c r="V572" s="55">
        <f t="shared" si="86"/>
        <v>2.3789759063739369</v>
      </c>
      <c r="W572">
        <f t="shared" si="92"/>
        <v>0.4763891567892331</v>
      </c>
      <c r="X572" s="55">
        <f t="shared" si="87"/>
        <v>0.48011938134724014</v>
      </c>
      <c r="Y572" s="149">
        <v>16.341999999999999</v>
      </c>
      <c r="Z572" s="55">
        <f t="shared" si="83"/>
        <v>3.8732164658297685E-3</v>
      </c>
      <c r="AA572" s="55">
        <f t="shared" si="88"/>
        <v>3.8714413318113997E-3</v>
      </c>
      <c r="AB572" s="55">
        <f t="shared" si="84"/>
        <v>-5.5536699890147814</v>
      </c>
      <c r="AC572" s="55">
        <f t="shared" si="89"/>
        <v>-5.5541818709888391</v>
      </c>
      <c r="AD572" s="55"/>
      <c r="AE572" s="55"/>
      <c r="AF572" s="55"/>
      <c r="AG572" s="55"/>
      <c r="AH572" s="55"/>
    </row>
    <row r="573" spans="1:34" ht="15.75">
      <c r="A573" s="39">
        <v>16.0036667</v>
      </c>
      <c r="B573" s="39">
        <v>16.4141111</v>
      </c>
      <c r="C573" s="39">
        <v>571</v>
      </c>
      <c r="D573">
        <v>571</v>
      </c>
      <c r="E573" s="10">
        <v>1527680</v>
      </c>
      <c r="F573" s="10">
        <v>1106250</v>
      </c>
      <c r="G573" s="10">
        <v>18867</v>
      </c>
      <c r="H573" s="10">
        <v>46438</v>
      </c>
      <c r="I573" s="10">
        <v>85474</v>
      </c>
      <c r="J573" s="10">
        <v>29620</v>
      </c>
      <c r="K573">
        <v>571</v>
      </c>
      <c r="L573" s="10">
        <v>2369</v>
      </c>
      <c r="M573" s="10">
        <v>486788</v>
      </c>
      <c r="N573" s="10">
        <v>4336</v>
      </c>
      <c r="O573">
        <v>0.46024897430043704</v>
      </c>
      <c r="P573">
        <v>1.0204663565303602</v>
      </c>
      <c r="Q573">
        <v>-0.39117065774951021</v>
      </c>
      <c r="R573">
        <v>0.39117065774951015</v>
      </c>
      <c r="S573">
        <f t="shared" si="90"/>
        <v>-1.0597624272899859</v>
      </c>
      <c r="T573" s="148">
        <f t="shared" si="85"/>
        <v>-1.0784908468904399</v>
      </c>
      <c r="U573">
        <f t="shared" si="91"/>
        <v>2.3497106204487546</v>
      </c>
      <c r="V573" s="55">
        <f t="shared" si="86"/>
        <v>2.389162059994848</v>
      </c>
      <c r="W573">
        <f t="shared" si="92"/>
        <v>0.45103544461017669</v>
      </c>
      <c r="X573" s="55">
        <f t="shared" si="87"/>
        <v>0.47176860058418385</v>
      </c>
      <c r="Y573" s="149">
        <v>16.4141111</v>
      </c>
      <c r="Z573" s="55">
        <f t="shared" si="83"/>
        <v>3.91954802259887E-3</v>
      </c>
      <c r="AA573" s="55">
        <f t="shared" si="88"/>
        <v>3.8111504064682541E-3</v>
      </c>
      <c r="AB573" s="55">
        <f t="shared" si="84"/>
        <v>-5.5417789321847941</v>
      </c>
      <c r="AC573" s="55">
        <f t="shared" si="89"/>
        <v>-5.5703439579904961</v>
      </c>
      <c r="AD573" s="55"/>
      <c r="AE573" s="55"/>
      <c r="AF573" s="55"/>
      <c r="AG573" s="55"/>
      <c r="AH573" s="55"/>
    </row>
    <row r="574" spans="1:34" ht="15.75">
      <c r="A574" s="39">
        <v>16.0633333</v>
      </c>
      <c r="B574" s="39">
        <v>16.4862222</v>
      </c>
      <c r="C574" s="39">
        <v>572</v>
      </c>
      <c r="D574">
        <v>572</v>
      </c>
      <c r="E574" s="10">
        <v>1552950</v>
      </c>
      <c r="F574" s="10">
        <v>1106110</v>
      </c>
      <c r="G574" s="10">
        <v>17740</v>
      </c>
      <c r="H574" s="10">
        <v>44635</v>
      </c>
      <c r="I574" s="10">
        <v>82276</v>
      </c>
      <c r="J574" s="10">
        <v>28896</v>
      </c>
      <c r="K574">
        <v>572</v>
      </c>
      <c r="L574" s="10">
        <v>2252</v>
      </c>
      <c r="M574" s="10">
        <v>499744</v>
      </c>
      <c r="N574" s="10">
        <v>4027</v>
      </c>
      <c r="O574">
        <v>0.45443544087256355</v>
      </c>
      <c r="P574">
        <v>1.0490720495081205</v>
      </c>
      <c r="Q574">
        <v>-0.40072192361417236</v>
      </c>
      <c r="R574">
        <v>0.40072192361417236</v>
      </c>
      <c r="S574">
        <f t="shared" si="90"/>
        <v>-1.0463762718813419</v>
      </c>
      <c r="T574" s="148">
        <f t="shared" si="85"/>
        <v>-1.0417271532714683</v>
      </c>
      <c r="U574">
        <f t="shared" si="91"/>
        <v>2.4155776626741101</v>
      </c>
      <c r="V574" s="55">
        <f t="shared" si="86"/>
        <v>2.3744706997407792</v>
      </c>
      <c r="W574">
        <f t="shared" si="92"/>
        <v>0.48788120035314153</v>
      </c>
      <c r="X574" s="55">
        <f t="shared" si="87"/>
        <v>0.46318239528626132</v>
      </c>
      <c r="Y574" s="149">
        <v>16.4862222</v>
      </c>
      <c r="Z574" s="55">
        <f t="shared" si="83"/>
        <v>3.6406867309761236E-3</v>
      </c>
      <c r="AA574" s="55">
        <f t="shared" si="88"/>
        <v>3.8320621935300611E-3</v>
      </c>
      <c r="AB574" s="55">
        <f t="shared" si="84"/>
        <v>-5.6155829527719137</v>
      </c>
      <c r="AC574" s="55">
        <f t="shared" si="89"/>
        <v>-5.5649881412983602</v>
      </c>
      <c r="AD574" s="55"/>
      <c r="AE574" s="55"/>
      <c r="AF574" s="55"/>
      <c r="AG574" s="55"/>
      <c r="AH574" s="55"/>
    </row>
    <row r="575" spans="1:34" ht="15.75">
      <c r="A575" s="39">
        <v>16.123000000000001</v>
      </c>
      <c r="B575" s="39">
        <v>16.558333300000001</v>
      </c>
      <c r="C575" s="39">
        <v>573</v>
      </c>
      <c r="D575">
        <v>573</v>
      </c>
      <c r="E575" s="10">
        <v>1523980</v>
      </c>
      <c r="F575" s="10">
        <v>1096050</v>
      </c>
      <c r="G575" s="10">
        <v>18737</v>
      </c>
      <c r="H575" s="10">
        <v>45584</v>
      </c>
      <c r="I575" s="10">
        <v>81465</v>
      </c>
      <c r="J575" s="10">
        <v>29404</v>
      </c>
      <c r="K575">
        <v>573</v>
      </c>
      <c r="L575" s="10">
        <v>2412</v>
      </c>
      <c r="M575" s="10">
        <v>481873</v>
      </c>
      <c r="N575" s="10">
        <v>4314</v>
      </c>
      <c r="O575">
        <v>0.44256464777074461</v>
      </c>
      <c r="P575">
        <v>1.0241201609766395</v>
      </c>
      <c r="Q575">
        <v>-0.38611237510581592</v>
      </c>
      <c r="R575">
        <v>0.38611237510581592</v>
      </c>
      <c r="S575">
        <f t="shared" si="90"/>
        <v>-1.0190427606430772</v>
      </c>
      <c r="T575" s="148">
        <f t="shared" si="85"/>
        <v>-1.0819174493254822</v>
      </c>
      <c r="U575">
        <f t="shared" si="91"/>
        <v>2.3581238160994724</v>
      </c>
      <c r="V575" s="55">
        <f t="shared" si="86"/>
        <v>2.3755191250354741</v>
      </c>
      <c r="W575">
        <f t="shared" si="92"/>
        <v>0.45063054089546578</v>
      </c>
      <c r="X575" s="55">
        <f t="shared" si="87"/>
        <v>0.46482186782826207</v>
      </c>
      <c r="Y575" s="149">
        <v>16.558333300000001</v>
      </c>
      <c r="Z575" s="55">
        <f t="shared" si="83"/>
        <v>3.9359518270151907E-3</v>
      </c>
      <c r="AA575" s="55">
        <f t="shared" si="88"/>
        <v>3.7363266299193358E-3</v>
      </c>
      <c r="AB575" s="55">
        <f t="shared" si="84"/>
        <v>-5.5376025389383718</v>
      </c>
      <c r="AC575" s="55">
        <f t="shared" si="89"/>
        <v>-5.5903544451194911</v>
      </c>
      <c r="AD575" s="55"/>
      <c r="AE575" s="55"/>
      <c r="AF575" s="55"/>
      <c r="AG575" s="55"/>
      <c r="AH575" s="55"/>
    </row>
    <row r="576" spans="1:34" ht="15.75">
      <c r="A576" s="39">
        <v>16.182666699999999</v>
      </c>
      <c r="B576" s="39">
        <v>16.630444399999998</v>
      </c>
      <c r="C576" s="39">
        <v>574</v>
      </c>
      <c r="D576">
        <v>574</v>
      </c>
      <c r="E576" s="10">
        <v>1517300</v>
      </c>
      <c r="F576" s="10">
        <v>1089380</v>
      </c>
      <c r="G576" s="10">
        <v>18403</v>
      </c>
      <c r="H576" s="10">
        <v>44928</v>
      </c>
      <c r="I576" s="10">
        <v>94519</v>
      </c>
      <c r="J576" s="10">
        <v>29034</v>
      </c>
      <c r="K576">
        <v>574</v>
      </c>
      <c r="L576" s="10">
        <v>1679</v>
      </c>
      <c r="M576" s="10">
        <v>472443</v>
      </c>
      <c r="N576" s="10">
        <v>3957</v>
      </c>
      <c r="O576">
        <v>0.51261224570738573</v>
      </c>
      <c r="P576">
        <v>1.0218323324908816</v>
      </c>
      <c r="Q576">
        <v>-0.38762845999307288</v>
      </c>
      <c r="R576">
        <v>0.38762845999307288</v>
      </c>
      <c r="S576">
        <f t="shared" si="90"/>
        <v>-1.1803333154520275</v>
      </c>
      <c r="T576" s="148">
        <f t="shared" si="85"/>
        <v>-1.1165917264724856</v>
      </c>
      <c r="U576">
        <f t="shared" si="91"/>
        <v>2.3528558963328394</v>
      </c>
      <c r="V576" s="55">
        <f t="shared" si="86"/>
        <v>2.3423456470705606</v>
      </c>
      <c r="W576">
        <f t="shared" si="92"/>
        <v>0.45595386223617901</v>
      </c>
      <c r="X576" s="55">
        <f t="shared" si="87"/>
        <v>0.45309139492923195</v>
      </c>
      <c r="Y576" s="149">
        <v>16.630444399999998</v>
      </c>
      <c r="Z576" s="55">
        <f t="shared" si="83"/>
        <v>3.632341331766693E-3</v>
      </c>
      <c r="AA576" s="55">
        <f t="shared" si="88"/>
        <v>3.8996297502642552E-3</v>
      </c>
      <c r="AB576" s="55">
        <f t="shared" si="84"/>
        <v>-5.6178778436481878</v>
      </c>
      <c r="AC576" s="55">
        <f t="shared" si="89"/>
        <v>-5.5482713109348749</v>
      </c>
      <c r="AD576" s="55"/>
      <c r="AE576" s="55"/>
      <c r="AF576" s="55"/>
      <c r="AG576" s="55"/>
      <c r="AH576" s="55"/>
    </row>
    <row r="577" spans="1:34" ht="15.75">
      <c r="A577" s="39">
        <v>16.242333299999999</v>
      </c>
      <c r="B577" s="39">
        <v>16.7025556</v>
      </c>
      <c r="C577" s="39">
        <v>575</v>
      </c>
      <c r="D577">
        <v>575</v>
      </c>
      <c r="E577" s="10">
        <v>1516450</v>
      </c>
      <c r="F577" s="10">
        <v>1091610</v>
      </c>
      <c r="G577" s="10">
        <v>19087</v>
      </c>
      <c r="H577" s="10">
        <v>45660</v>
      </c>
      <c r="I577" s="10">
        <v>94831</v>
      </c>
      <c r="J577" s="10">
        <v>30015</v>
      </c>
      <c r="K577">
        <v>575</v>
      </c>
      <c r="L577" s="10">
        <v>2733</v>
      </c>
      <c r="M577" s="10">
        <v>462793</v>
      </c>
      <c r="N577" s="10">
        <v>4509</v>
      </c>
      <c r="O577">
        <v>0.49961198255934641</v>
      </c>
      <c r="P577">
        <v>1.0058508742310173</v>
      </c>
      <c r="Q577">
        <v>-0.37879823364953474</v>
      </c>
      <c r="R577">
        <v>0.3787982336495348</v>
      </c>
      <c r="S577">
        <f t="shared" si="90"/>
        <v>-1.1503991033223522</v>
      </c>
      <c r="T577" s="148">
        <f t="shared" si="85"/>
        <v>-1.154549701714872</v>
      </c>
      <c r="U577">
        <f t="shared" si="91"/>
        <v>2.316057228779369</v>
      </c>
      <c r="V577" s="55">
        <f t="shared" si="86"/>
        <v>2.330303283971126</v>
      </c>
      <c r="W577">
        <f t="shared" si="92"/>
        <v>0.45268978165605112</v>
      </c>
      <c r="X577" s="55">
        <f t="shared" si="87"/>
        <v>0.45061128360748137</v>
      </c>
      <c r="Y577" s="149">
        <v>16.7025556</v>
      </c>
      <c r="Z577" s="55">
        <f t="shared" si="83"/>
        <v>4.1305960920108827E-3</v>
      </c>
      <c r="AA577" s="55">
        <f t="shared" si="88"/>
        <v>3.8767106510666418E-3</v>
      </c>
      <c r="AB577" s="55">
        <f t="shared" si="84"/>
        <v>-5.4893335502180616</v>
      </c>
      <c r="AC577" s="55">
        <f t="shared" si="89"/>
        <v>-5.5541457854972505</v>
      </c>
      <c r="AD577" s="55"/>
      <c r="AE577" s="55"/>
      <c r="AF577" s="55"/>
      <c r="AG577" s="55"/>
      <c r="AH577" s="55"/>
    </row>
    <row r="578" spans="1:34" ht="15.75">
      <c r="A578" s="39">
        <v>16.302</v>
      </c>
      <c r="B578" s="39">
        <v>16.774666700000001</v>
      </c>
      <c r="C578" s="39">
        <v>576</v>
      </c>
      <c r="D578">
        <v>576</v>
      </c>
      <c r="E578" s="10">
        <v>1543650</v>
      </c>
      <c r="F578" s="10">
        <v>1111400</v>
      </c>
      <c r="G578" s="10">
        <v>19456</v>
      </c>
      <c r="H578" s="10">
        <v>46497</v>
      </c>
      <c r="I578" s="10">
        <v>94091</v>
      </c>
      <c r="J578" s="10">
        <v>30306</v>
      </c>
      <c r="K578">
        <v>576</v>
      </c>
      <c r="L578" s="10">
        <v>2555</v>
      </c>
      <c r="M578" s="10">
        <v>474084</v>
      </c>
      <c r="N578" s="10">
        <v>4298</v>
      </c>
      <c r="O578">
        <v>0.4920194653467107</v>
      </c>
      <c r="P578">
        <v>1.0084303654471605</v>
      </c>
      <c r="Q578">
        <v>-0.37837137539460297</v>
      </c>
      <c r="R578">
        <v>0.37837137539460303</v>
      </c>
      <c r="S578">
        <f t="shared" si="90"/>
        <v>-1.1329166863702365</v>
      </c>
      <c r="T578" s="148">
        <f t="shared" si="85"/>
        <v>-1.176720040640501</v>
      </c>
      <c r="U578">
        <f t="shared" si="91"/>
        <v>2.3219967268011694</v>
      </c>
      <c r="V578" s="55">
        <f t="shared" si="86"/>
        <v>2.3095514071797041</v>
      </c>
      <c r="W578">
        <f t="shared" si="92"/>
        <v>0.44319020693021399</v>
      </c>
      <c r="X578" s="55">
        <f t="shared" si="87"/>
        <v>0.44347601412011867</v>
      </c>
      <c r="Y578" s="149">
        <v>16.774666700000001</v>
      </c>
      <c r="Z578" s="55">
        <f t="shared" si="83"/>
        <v>3.8671945294223502E-3</v>
      </c>
      <c r="AA578" s="55">
        <f t="shared" si="88"/>
        <v>3.9877379111177202E-3</v>
      </c>
      <c r="AB578" s="55">
        <f t="shared" si="84"/>
        <v>-5.5552259626255021</v>
      </c>
      <c r="AC578" s="55">
        <f t="shared" si="89"/>
        <v>-5.5249007435749187</v>
      </c>
      <c r="AD578" s="55"/>
      <c r="AE578" s="55"/>
      <c r="AF578" s="55"/>
      <c r="AG578" s="55"/>
      <c r="AH578" s="55"/>
    </row>
    <row r="579" spans="1:34" ht="15.75">
      <c r="A579" s="39">
        <v>16.361666700000001</v>
      </c>
      <c r="B579" s="39">
        <v>16.846777800000002</v>
      </c>
      <c r="C579" s="39">
        <v>577</v>
      </c>
      <c r="D579">
        <v>577</v>
      </c>
      <c r="E579" s="10">
        <v>1535110</v>
      </c>
      <c r="F579" s="10">
        <v>1099000</v>
      </c>
      <c r="G579" s="10">
        <v>19564</v>
      </c>
      <c r="H579" s="10">
        <v>46318</v>
      </c>
      <c r="I579" s="10">
        <v>105118</v>
      </c>
      <c r="J579" s="10">
        <v>30212</v>
      </c>
      <c r="K579">
        <v>577</v>
      </c>
      <c r="L579" s="10">
        <v>2564</v>
      </c>
      <c r="M579" s="10">
        <v>457662</v>
      </c>
      <c r="N579" s="10">
        <v>4358</v>
      </c>
      <c r="O579">
        <v>0.5414976132793623</v>
      </c>
      <c r="P579">
        <v>0.99479505575192972</v>
      </c>
      <c r="Q579">
        <v>-0.37429214424465435</v>
      </c>
      <c r="R579">
        <v>0.37429214424465435</v>
      </c>
      <c r="S579">
        <f t="shared" si="90"/>
        <v>-1.2468443322289144</v>
      </c>
      <c r="T579" s="148">
        <f t="shared" si="85"/>
        <v>-1.2300208250123854</v>
      </c>
      <c r="U579">
        <f t="shared" si="91"/>
        <v>2.2906002659585738</v>
      </c>
      <c r="V579" s="55">
        <f t="shared" si="86"/>
        <v>2.3191752940747516</v>
      </c>
      <c r="W579">
        <f t="shared" si="92"/>
        <v>0.43454805377409078</v>
      </c>
      <c r="X579" s="55">
        <f t="shared" si="87"/>
        <v>0.44940516555999666</v>
      </c>
      <c r="Y579" s="149">
        <v>16.846777800000002</v>
      </c>
      <c r="Z579" s="55">
        <f t="shared" ref="Z579:Z642" si="93">N579/F579</f>
        <v>3.9654231119199274E-3</v>
      </c>
      <c r="AA579" s="55">
        <f t="shared" si="88"/>
        <v>4.0026204294348862E-3</v>
      </c>
      <c r="AB579" s="55">
        <f t="shared" ref="AB579:AB642" si="94">LN(Z579)</f>
        <v>-5.5301427178811933</v>
      </c>
      <c r="AC579" s="55">
        <f t="shared" si="89"/>
        <v>-5.5213170814449812</v>
      </c>
      <c r="AD579" s="55"/>
      <c r="AE579" s="55"/>
      <c r="AF579" s="55"/>
      <c r="AG579" s="55"/>
      <c r="AH579" s="55"/>
    </row>
    <row r="580" spans="1:34" ht="15.75">
      <c r="A580" s="39">
        <v>16.421333300000001</v>
      </c>
      <c r="B580" s="39">
        <v>16.918888899999999</v>
      </c>
      <c r="C580" s="39">
        <v>578</v>
      </c>
      <c r="D580">
        <v>578</v>
      </c>
      <c r="E580" s="10">
        <v>1541280</v>
      </c>
      <c r="F580" s="10">
        <v>1097900</v>
      </c>
      <c r="G580" s="10">
        <v>18207</v>
      </c>
      <c r="H580" s="10">
        <v>45317</v>
      </c>
      <c r="I580" s="10">
        <v>108049</v>
      </c>
      <c r="J580" s="10">
        <v>29145</v>
      </c>
      <c r="K580">
        <v>578</v>
      </c>
      <c r="L580" s="10">
        <v>2713</v>
      </c>
      <c r="M580" s="10">
        <v>472771</v>
      </c>
      <c r="N580" s="10">
        <v>4584</v>
      </c>
      <c r="O580">
        <v>0.56905669216081989</v>
      </c>
      <c r="P580">
        <v>1.0183896771499577</v>
      </c>
      <c r="Q580">
        <v>-0.39602275949821136</v>
      </c>
      <c r="R580">
        <v>0.39602275949821131</v>
      </c>
      <c r="S580">
        <f t="shared" si="90"/>
        <v>-1.3103014564380056</v>
      </c>
      <c r="T580" s="148">
        <f t="shared" ref="T580:T643" si="95">AVERAGE(S579:S581)</f>
        <v>-1.3147879087052239</v>
      </c>
      <c r="U580">
        <f t="shared" si="91"/>
        <v>2.3449288894645117</v>
      </c>
      <c r="V580" s="55">
        <f t="shared" ref="V580:V643" si="96">AVERAGE(U579:U581)</f>
        <v>2.3386299335255627</v>
      </c>
      <c r="W580">
        <f t="shared" si="92"/>
        <v>0.4704772359756853</v>
      </c>
      <c r="X580" s="55">
        <f t="shared" ref="X580:X643" si="97">AVERAGE(W579:W581)</f>
        <v>0.46308157723870425</v>
      </c>
      <c r="Y580" s="149">
        <v>16.918888899999999</v>
      </c>
      <c r="Z580" s="55">
        <f t="shared" si="93"/>
        <v>4.1752436469623825E-3</v>
      </c>
      <c r="AA580" s="55">
        <f t="shared" ref="AA580:AA643" si="98">AVERAGE(Z579:Z581)</f>
        <v>4.0247665761813768E-3</v>
      </c>
      <c r="AB580" s="55">
        <f t="shared" si="94"/>
        <v>-5.4785825638282484</v>
      </c>
      <c r="AC580" s="55">
        <f t="shared" ref="AC580:AC643" si="99">AVERAGE(AB579:AB581)</f>
        <v>-5.5156390473539796</v>
      </c>
      <c r="AD580" s="55"/>
      <c r="AE580" s="55"/>
      <c r="AF580" s="55"/>
      <c r="AG580" s="55"/>
      <c r="AH580" s="55"/>
    </row>
    <row r="581" spans="1:34" ht="15.75">
      <c r="A581" s="39">
        <v>16.481000000000002</v>
      </c>
      <c r="B581" s="39">
        <v>16.991</v>
      </c>
      <c r="C581" s="39">
        <v>579</v>
      </c>
      <c r="D581">
        <v>579</v>
      </c>
      <c r="E581" s="10">
        <v>1554520</v>
      </c>
      <c r="F581" s="10">
        <v>1103560</v>
      </c>
      <c r="G581" s="10">
        <v>17505</v>
      </c>
      <c r="H581" s="10">
        <v>44953</v>
      </c>
      <c r="I581" s="10">
        <v>113741</v>
      </c>
      <c r="J581" s="10">
        <v>28409</v>
      </c>
      <c r="K581">
        <v>579</v>
      </c>
      <c r="L581" s="10">
        <v>3074</v>
      </c>
      <c r="M581" s="10">
        <v>485888</v>
      </c>
      <c r="N581" s="10">
        <v>4341</v>
      </c>
      <c r="O581">
        <v>0.60246109543120308</v>
      </c>
      <c r="P581">
        <v>1.0337774931298738</v>
      </c>
      <c r="Q581">
        <v>-0.40959656517219806</v>
      </c>
      <c r="R581">
        <v>0.40959656517219806</v>
      </c>
      <c r="S581">
        <f t="shared" si="90"/>
        <v>-1.3872179374487514</v>
      </c>
      <c r="T581" s="148">
        <f t="shared" si="95"/>
        <v>-1.4018437373194468</v>
      </c>
      <c r="U581">
        <f t="shared" si="91"/>
        <v>2.3803606451536021</v>
      </c>
      <c r="V581" s="55">
        <f t="shared" si="96"/>
        <v>2.3542670131731795</v>
      </c>
      <c r="W581">
        <f t="shared" si="92"/>
        <v>0.48421944196633665</v>
      </c>
      <c r="X581" s="55">
        <f t="shared" si="97"/>
        <v>0.47793994886357222</v>
      </c>
      <c r="Y581" s="149">
        <v>16.991</v>
      </c>
      <c r="Z581" s="55">
        <f t="shared" si="93"/>
        <v>3.9336329696618216E-3</v>
      </c>
      <c r="AA581" s="55">
        <f t="shared" si="98"/>
        <v>3.9733225993479927E-3</v>
      </c>
      <c r="AB581" s="55">
        <f t="shared" si="94"/>
        <v>-5.538191860352498</v>
      </c>
      <c r="AC581" s="55">
        <f t="shared" si="99"/>
        <v>-5.5288713852353188</v>
      </c>
      <c r="AD581" s="55"/>
      <c r="AE581" s="55"/>
      <c r="AF581" s="55"/>
      <c r="AG581" s="55"/>
      <c r="AH581" s="55"/>
    </row>
    <row r="582" spans="1:34" ht="15.75">
      <c r="A582" s="39">
        <v>16.517033300000001</v>
      </c>
      <c r="B582" s="39">
        <v>17.013833300000002</v>
      </c>
      <c r="C582" s="39">
        <v>580</v>
      </c>
      <c r="D582">
        <v>580</v>
      </c>
      <c r="E582" s="10">
        <v>1568680</v>
      </c>
      <c r="F582" s="10">
        <v>1081580</v>
      </c>
      <c r="G582" s="10">
        <v>17997</v>
      </c>
      <c r="H582" s="10">
        <v>45170</v>
      </c>
      <c r="I582" s="10">
        <v>131281</v>
      </c>
      <c r="J582" s="10">
        <v>29059</v>
      </c>
      <c r="K582">
        <v>580</v>
      </c>
      <c r="L582" s="10">
        <v>2631</v>
      </c>
      <c r="M582" s="10">
        <v>467755</v>
      </c>
      <c r="N582" s="10">
        <v>4122</v>
      </c>
      <c r="O582">
        <v>0.65492121123337932</v>
      </c>
      <c r="P582">
        <v>1.015168347964055</v>
      </c>
      <c r="Q582">
        <v>-0.39964997390427676</v>
      </c>
      <c r="R582">
        <v>0.39964997390427681</v>
      </c>
      <c r="S582">
        <f t="shared" si="90"/>
        <v>-1.5080118180715838</v>
      </c>
      <c r="T582" s="148">
        <f t="shared" si="95"/>
        <v>-1.4675931485803531</v>
      </c>
      <c r="U582">
        <f t="shared" si="91"/>
        <v>2.3375115049014257</v>
      </c>
      <c r="V582" s="55">
        <f t="shared" si="96"/>
        <v>2.3494671449703595</v>
      </c>
      <c r="W582">
        <f t="shared" si="92"/>
        <v>0.4791231686486947</v>
      </c>
      <c r="X582" s="55">
        <f t="shared" si="97"/>
        <v>0.61710693401705208</v>
      </c>
      <c r="Y582" s="149">
        <v>17.013833300000002</v>
      </c>
      <c r="Z582" s="55">
        <f t="shared" si="93"/>
        <v>3.8110911814197746E-3</v>
      </c>
      <c r="AA582" s="55">
        <f t="shared" si="98"/>
        <v>3.9222631584665086E-3</v>
      </c>
      <c r="AB582" s="55">
        <f t="shared" si="94"/>
        <v>-5.5698397315252093</v>
      </c>
      <c r="AC582" s="55">
        <f t="shared" si="99"/>
        <v>-5.5413304459638075</v>
      </c>
      <c r="AD582" s="55"/>
      <c r="AE582" s="55"/>
      <c r="AF582" s="55"/>
      <c r="AG582" s="55"/>
      <c r="AH582" s="55"/>
    </row>
    <row r="583" spans="1:34" ht="15.75">
      <c r="A583" s="39">
        <v>16.553066699999999</v>
      </c>
      <c r="B583" s="39">
        <v>17.036666700000001</v>
      </c>
      <c r="C583" s="39">
        <v>581</v>
      </c>
      <c r="D583">
        <v>581</v>
      </c>
      <c r="E583" s="10">
        <v>1113210</v>
      </c>
      <c r="F583" s="10">
        <v>803070</v>
      </c>
      <c r="G583" s="10">
        <v>8189</v>
      </c>
      <c r="H583" s="10">
        <v>31251</v>
      </c>
      <c r="I583" s="10">
        <v>89866</v>
      </c>
      <c r="J583" s="10">
        <v>19901</v>
      </c>
      <c r="K583">
        <v>581</v>
      </c>
      <c r="L583" s="10">
        <v>1492</v>
      </c>
      <c r="M583" s="10">
        <v>321366</v>
      </c>
      <c r="N583" s="10">
        <v>3230</v>
      </c>
      <c r="O583">
        <v>0.65472051165781697</v>
      </c>
      <c r="P583">
        <v>1.012136008326914</v>
      </c>
      <c r="Q583">
        <v>-0.58163304776760039</v>
      </c>
      <c r="R583">
        <v>0.58163304776760039</v>
      </c>
      <c r="S583">
        <f t="shared" si="90"/>
        <v>-1.5075496902207237</v>
      </c>
      <c r="T583" s="148">
        <f t="shared" si="95"/>
        <v>-1.5660458458302287</v>
      </c>
      <c r="U583">
        <f t="shared" si="91"/>
        <v>2.3305292848560497</v>
      </c>
      <c r="V583" s="55">
        <f t="shared" si="96"/>
        <v>2.3183836822731565</v>
      </c>
      <c r="W583">
        <f t="shared" si="92"/>
        <v>0.88797819143612489</v>
      </c>
      <c r="X583" s="55">
        <f t="shared" si="97"/>
        <v>0.7305001267157073</v>
      </c>
      <c r="Y583" s="149">
        <v>17.036666700000001</v>
      </c>
      <c r="Z583" s="55">
        <f t="shared" si="93"/>
        <v>4.0220653243179302E-3</v>
      </c>
      <c r="AA583" s="55">
        <f t="shared" si="98"/>
        <v>3.9557934502765912E-3</v>
      </c>
      <c r="AB583" s="55">
        <f t="shared" si="94"/>
        <v>-5.5159597460137144</v>
      </c>
      <c r="AC583" s="55">
        <f t="shared" si="99"/>
        <v>-5.5329136096390705</v>
      </c>
      <c r="AD583" s="55"/>
      <c r="AE583" s="55"/>
      <c r="AF583" s="55"/>
      <c r="AG583" s="55"/>
      <c r="AH583" s="55"/>
    </row>
    <row r="584" spans="1:34" ht="15.75">
      <c r="A584" s="39">
        <v>16.589099999999998</v>
      </c>
      <c r="B584" s="39">
        <v>17.0595</v>
      </c>
      <c r="C584" s="39">
        <v>582</v>
      </c>
      <c r="D584">
        <v>582</v>
      </c>
      <c r="E584" s="10">
        <v>1172160</v>
      </c>
      <c r="F584" s="10">
        <v>1021510</v>
      </c>
      <c r="G584" s="10">
        <v>8866</v>
      </c>
      <c r="H584" s="10">
        <v>33538</v>
      </c>
      <c r="I584" s="10">
        <v>108766</v>
      </c>
      <c r="J584" s="10">
        <v>20219</v>
      </c>
      <c r="K584">
        <v>582</v>
      </c>
      <c r="L584" s="10">
        <v>1315</v>
      </c>
      <c r="M584" s="10">
        <v>330230</v>
      </c>
      <c r="N584" s="10">
        <v>4121</v>
      </c>
      <c r="O584">
        <v>0.73073348486354051</v>
      </c>
      <c r="P584">
        <v>0.99327936414635198</v>
      </c>
      <c r="Q584">
        <v>-0.57780943342774282</v>
      </c>
      <c r="R584">
        <v>0.57780943342774282</v>
      </c>
      <c r="S584">
        <f t="shared" si="90"/>
        <v>-1.6825760291983785</v>
      </c>
      <c r="T584" s="148">
        <f t="shared" si="95"/>
        <v>-1.6592740470703014</v>
      </c>
      <c r="U584">
        <f t="shared" si="91"/>
        <v>2.2871102570619946</v>
      </c>
      <c r="V584" s="55">
        <f t="shared" si="96"/>
        <v>2.3023665073932809</v>
      </c>
      <c r="W584">
        <f t="shared" si="92"/>
        <v>0.82439902006230203</v>
      </c>
      <c r="X584" s="55">
        <f t="shared" si="97"/>
        <v>0.76541186698263453</v>
      </c>
      <c r="Y584" s="149">
        <v>17.0595</v>
      </c>
      <c r="Z584" s="55">
        <f t="shared" si="93"/>
        <v>4.0342238450920692E-3</v>
      </c>
      <c r="AA584" s="55">
        <f t="shared" si="98"/>
        <v>4.033162366712831E-3</v>
      </c>
      <c r="AB584" s="55">
        <f t="shared" si="94"/>
        <v>-5.5129413513782879</v>
      </c>
      <c r="AC584" s="55">
        <f t="shared" si="99"/>
        <v>-5.5132068101710052</v>
      </c>
      <c r="AD584" s="55"/>
      <c r="AE584" s="55"/>
      <c r="AF584" s="55"/>
      <c r="AG584" s="55"/>
      <c r="AH584" s="55"/>
    </row>
    <row r="585" spans="1:34" ht="15.75">
      <c r="A585" s="39">
        <v>16.625133300000002</v>
      </c>
      <c r="B585" s="39">
        <v>17.082333299999998</v>
      </c>
      <c r="C585" s="39">
        <v>583</v>
      </c>
      <c r="D585">
        <v>583</v>
      </c>
      <c r="E585" s="10">
        <v>1496420</v>
      </c>
      <c r="F585" s="10">
        <v>1059310</v>
      </c>
      <c r="G585" s="10">
        <v>14397</v>
      </c>
      <c r="H585" s="10">
        <v>43223</v>
      </c>
      <c r="I585" s="10">
        <v>154250</v>
      </c>
      <c r="J585" s="10">
        <v>25813</v>
      </c>
      <c r="K585">
        <v>583</v>
      </c>
      <c r="L585" s="10">
        <v>2103</v>
      </c>
      <c r="M585" s="10">
        <v>426594</v>
      </c>
      <c r="N585" s="10">
        <v>4283</v>
      </c>
      <c r="O585">
        <v>0.77638669130236793</v>
      </c>
      <c r="P585">
        <v>0.99429983596602722</v>
      </c>
      <c r="Q585">
        <v>-0.4774429022317821</v>
      </c>
      <c r="R585">
        <v>0.4774429022317821</v>
      </c>
      <c r="S585">
        <f t="shared" si="90"/>
        <v>-1.7876964217918023</v>
      </c>
      <c r="T585" s="148">
        <f t="shared" si="95"/>
        <v>-1.7524792038172015</v>
      </c>
      <c r="U585">
        <f t="shared" si="91"/>
        <v>2.2894599802617992</v>
      </c>
      <c r="V585" s="55">
        <f t="shared" si="96"/>
        <v>2.292408301571641</v>
      </c>
      <c r="W585">
        <f t="shared" si="92"/>
        <v>0.58385838944947688</v>
      </c>
      <c r="X585" s="55">
        <f t="shared" si="97"/>
        <v>0.65179712911218346</v>
      </c>
      <c r="Y585" s="149">
        <v>17.082333299999998</v>
      </c>
      <c r="Z585" s="55">
        <f t="shared" si="93"/>
        <v>4.0431979307284927E-3</v>
      </c>
      <c r="AA585" s="55">
        <f t="shared" si="98"/>
        <v>4.1228059746867473E-3</v>
      </c>
      <c r="AB585" s="55">
        <f t="shared" si="94"/>
        <v>-5.5107193331210143</v>
      </c>
      <c r="AC585" s="55">
        <f t="shared" si="99"/>
        <v>-5.4916323517031485</v>
      </c>
      <c r="AD585" s="55"/>
      <c r="AE585" s="55"/>
      <c r="AF585" s="55"/>
      <c r="AG585" s="55"/>
      <c r="AH585" s="55"/>
    </row>
    <row r="586" spans="1:34" ht="15.75">
      <c r="A586" s="39">
        <v>16.661166699999999</v>
      </c>
      <c r="B586" s="39">
        <v>17.105166700000002</v>
      </c>
      <c r="C586" s="39">
        <v>584</v>
      </c>
      <c r="D586">
        <v>584</v>
      </c>
      <c r="E586" s="10">
        <v>1542590</v>
      </c>
      <c r="F586" s="10">
        <v>1035890</v>
      </c>
      <c r="G586" s="10">
        <v>15421</v>
      </c>
      <c r="H586" s="10">
        <v>45215</v>
      </c>
      <c r="I586" s="10">
        <v>159179</v>
      </c>
      <c r="J586" s="10">
        <v>26652</v>
      </c>
      <c r="K586">
        <v>584</v>
      </c>
      <c r="L586" s="10">
        <v>2213</v>
      </c>
      <c r="M586" s="10">
        <v>451278</v>
      </c>
      <c r="N586" s="10">
        <v>4445</v>
      </c>
      <c r="O586">
        <v>0.77615596743813597</v>
      </c>
      <c r="P586">
        <v>0.99916162681292897</v>
      </c>
      <c r="Q586">
        <v>-0.46716999801218884</v>
      </c>
      <c r="R586">
        <v>0.46716999801218889</v>
      </c>
      <c r="S586">
        <f t="shared" si="90"/>
        <v>-1.7871651604614238</v>
      </c>
      <c r="T586" s="148">
        <f t="shared" si="95"/>
        <v>-1.8004055839654498</v>
      </c>
      <c r="U586">
        <f t="shared" si="91"/>
        <v>2.3006546673911301</v>
      </c>
      <c r="V586" s="55">
        <f t="shared" si="96"/>
        <v>2.2876096303284332</v>
      </c>
      <c r="W586">
        <f t="shared" si="92"/>
        <v>0.54713397782477136</v>
      </c>
      <c r="X586" s="55">
        <f t="shared" si="97"/>
        <v>0.5767042063055311</v>
      </c>
      <c r="Y586" s="149">
        <v>17.105166700000002</v>
      </c>
      <c r="Z586" s="55">
        <f t="shared" si="93"/>
        <v>4.2909961482396784E-3</v>
      </c>
      <c r="AA586" s="55">
        <f t="shared" si="98"/>
        <v>4.1808268735753192E-3</v>
      </c>
      <c r="AB586" s="55">
        <f t="shared" si="94"/>
        <v>-5.4512363706101414</v>
      </c>
      <c r="AC586" s="55">
        <f t="shared" si="99"/>
        <v>-5.4775518050240075</v>
      </c>
      <c r="AD586" s="55"/>
      <c r="AE586" s="55"/>
      <c r="AF586" s="55"/>
      <c r="AG586" s="55"/>
      <c r="AH586" s="55"/>
    </row>
    <row r="587" spans="1:34" ht="15.75">
      <c r="A587" s="39">
        <v>16.697199999999999</v>
      </c>
      <c r="B587" s="39">
        <v>17.128</v>
      </c>
      <c r="C587" s="39">
        <v>585</v>
      </c>
      <c r="D587">
        <v>585</v>
      </c>
      <c r="E587" s="10">
        <v>1495810</v>
      </c>
      <c r="F587" s="10">
        <v>1015140</v>
      </c>
      <c r="G587" s="10">
        <v>13940</v>
      </c>
      <c r="H587" s="10">
        <v>44388</v>
      </c>
      <c r="I587" s="10">
        <v>157628</v>
      </c>
      <c r="J587" s="10">
        <v>25378</v>
      </c>
      <c r="K587">
        <v>585</v>
      </c>
      <c r="L587" s="10">
        <v>2833</v>
      </c>
      <c r="M587" s="10">
        <v>430817</v>
      </c>
      <c r="N587" s="10">
        <v>4272</v>
      </c>
      <c r="O587">
        <v>0.7931759721714855</v>
      </c>
      <c r="P587">
        <v>0.98702725482217313</v>
      </c>
      <c r="Q587">
        <v>-0.50300280360102823</v>
      </c>
      <c r="R587">
        <v>0.50300280360102823</v>
      </c>
      <c r="S587">
        <f t="shared" si="90"/>
        <v>-1.8263551696431228</v>
      </c>
      <c r="T587" s="148">
        <f t="shared" si="95"/>
        <v>-1.8092095666101733</v>
      </c>
      <c r="U587">
        <f t="shared" si="91"/>
        <v>2.2727142433323713</v>
      </c>
      <c r="V587" s="55">
        <f t="shared" si="96"/>
        <v>2.2940145561147047</v>
      </c>
      <c r="W587">
        <f t="shared" si="92"/>
        <v>0.59912025164234506</v>
      </c>
      <c r="X587" s="55">
        <f t="shared" si="97"/>
        <v>0.58396437953908997</v>
      </c>
      <c r="Y587" s="149">
        <v>17.128</v>
      </c>
      <c r="Z587" s="55">
        <f t="shared" si="93"/>
        <v>4.2082865417577874E-3</v>
      </c>
      <c r="AA587" s="55">
        <f t="shared" si="98"/>
        <v>4.2931016893963002E-3</v>
      </c>
      <c r="AB587" s="55">
        <f t="shared" si="94"/>
        <v>-5.470699711340866</v>
      </c>
      <c r="AC587" s="55">
        <f t="shared" si="99"/>
        <v>-5.4508791757939044</v>
      </c>
      <c r="AD587" s="55"/>
      <c r="AE587" s="55"/>
      <c r="AF587" s="55"/>
      <c r="AG587" s="55"/>
      <c r="AH587" s="55"/>
    </row>
    <row r="588" spans="1:34" ht="15.75">
      <c r="A588" s="39">
        <v>16.733233299999998</v>
      </c>
      <c r="B588" s="39">
        <v>17.150833299999999</v>
      </c>
      <c r="C588" s="39">
        <v>586</v>
      </c>
      <c r="D588">
        <v>586</v>
      </c>
      <c r="E588" s="10">
        <v>1435590</v>
      </c>
      <c r="F588" s="10">
        <v>983100</v>
      </c>
      <c r="G588" s="10">
        <v>13176</v>
      </c>
      <c r="H588" s="10">
        <v>41665</v>
      </c>
      <c r="I588" s="10">
        <v>148138</v>
      </c>
      <c r="J588" s="10">
        <v>24144</v>
      </c>
      <c r="K588">
        <v>586</v>
      </c>
      <c r="L588" s="10">
        <v>2457</v>
      </c>
      <c r="M588" s="10">
        <v>419195</v>
      </c>
      <c r="N588" s="10">
        <v>4306</v>
      </c>
      <c r="O588">
        <v>0.78785725454649447</v>
      </c>
      <c r="P588">
        <v>1.0026447077439598</v>
      </c>
      <c r="Q588">
        <v>-0.49998779999997506</v>
      </c>
      <c r="R588">
        <v>0.49998779999997506</v>
      </c>
      <c r="S588">
        <f t="shared" si="90"/>
        <v>-1.8141083697259734</v>
      </c>
      <c r="T588" s="148">
        <f t="shared" si="95"/>
        <v>-1.8486404446828828</v>
      </c>
      <c r="U588">
        <f t="shared" si="91"/>
        <v>2.3086747576206132</v>
      </c>
      <c r="V588" s="55">
        <f t="shared" si="96"/>
        <v>2.278052334471071</v>
      </c>
      <c r="W588">
        <f t="shared" si="92"/>
        <v>0.60563890915015384</v>
      </c>
      <c r="X588" s="55">
        <f t="shared" si="97"/>
        <v>0.59725362335981957</v>
      </c>
      <c r="Y588" s="149">
        <v>17.150833299999999</v>
      </c>
      <c r="Z588" s="55">
        <f t="shared" si="93"/>
        <v>4.3800223781914355E-3</v>
      </c>
      <c r="AA588" s="55">
        <f t="shared" si="98"/>
        <v>4.2499720919758378E-3</v>
      </c>
      <c r="AB588" s="55">
        <f t="shared" si="94"/>
        <v>-5.4307014454307074</v>
      </c>
      <c r="AC588" s="55">
        <f t="shared" si="99"/>
        <v>-5.4610850174862833</v>
      </c>
      <c r="AD588" s="55"/>
      <c r="AE588" s="55"/>
      <c r="AF588" s="55"/>
      <c r="AG588" s="55"/>
      <c r="AH588" s="55"/>
    </row>
    <row r="589" spans="1:34" ht="15.75">
      <c r="A589" s="39">
        <v>16.769266699999999</v>
      </c>
      <c r="B589" s="39">
        <v>17.173666699999998</v>
      </c>
      <c r="C589" s="39">
        <v>587</v>
      </c>
      <c r="D589">
        <v>587</v>
      </c>
      <c r="E589" s="10">
        <v>1428030</v>
      </c>
      <c r="F589" s="10">
        <v>963570</v>
      </c>
      <c r="G589" s="10">
        <v>13311</v>
      </c>
      <c r="H589" s="10">
        <v>41933</v>
      </c>
      <c r="I589" s="10">
        <v>160943</v>
      </c>
      <c r="J589" s="10">
        <v>23941</v>
      </c>
      <c r="K589">
        <v>587</v>
      </c>
      <c r="L589" s="10">
        <v>2148</v>
      </c>
      <c r="M589" s="10">
        <v>398952</v>
      </c>
      <c r="N589" s="10">
        <v>4010</v>
      </c>
      <c r="O589">
        <v>0.82752980572886847</v>
      </c>
      <c r="P589">
        <v>0.97836471247668833</v>
      </c>
      <c r="Q589">
        <v>-0.49834525067826663</v>
      </c>
      <c r="R589">
        <v>0.49834525067826668</v>
      </c>
      <c r="S589">
        <f t="shared" si="90"/>
        <v>-1.9054577946795512</v>
      </c>
      <c r="T589" s="148">
        <f t="shared" si="95"/>
        <v>-1.8683187133062376</v>
      </c>
      <c r="U589">
        <f t="shared" si="91"/>
        <v>2.2527680024602281</v>
      </c>
      <c r="V589" s="55">
        <f t="shared" si="96"/>
        <v>2.2608809736066355</v>
      </c>
      <c r="W589">
        <f t="shared" si="92"/>
        <v>0.58700170928695972</v>
      </c>
      <c r="X589" s="55">
        <f t="shared" si="97"/>
        <v>0.59835679175333556</v>
      </c>
      <c r="Y589" s="149">
        <v>17.173666699999998</v>
      </c>
      <c r="Z589" s="55">
        <f t="shared" si="93"/>
        <v>4.1616073559782888E-3</v>
      </c>
      <c r="AA589" s="55">
        <f t="shared" si="98"/>
        <v>4.3375062247571813E-3</v>
      </c>
      <c r="AB589" s="55">
        <f t="shared" si="94"/>
        <v>-5.4818538956872773</v>
      </c>
      <c r="AC589" s="55">
        <f t="shared" si="99"/>
        <v>-5.4409077877381806</v>
      </c>
      <c r="AD589" s="55"/>
      <c r="AE589" s="55"/>
      <c r="AF589" s="55"/>
      <c r="AG589" s="55"/>
      <c r="AH589" s="55"/>
    </row>
    <row r="590" spans="1:34" ht="15.75">
      <c r="A590" s="39">
        <v>16.805299999999999</v>
      </c>
      <c r="B590" s="39">
        <v>17.1965</v>
      </c>
      <c r="C590" s="39">
        <v>588</v>
      </c>
      <c r="D590">
        <v>588</v>
      </c>
      <c r="E590" s="10">
        <v>1400710</v>
      </c>
      <c r="F590" s="10">
        <v>954620</v>
      </c>
      <c r="G590" s="10">
        <v>13197</v>
      </c>
      <c r="H590" s="10">
        <v>41756</v>
      </c>
      <c r="I590" s="10">
        <v>158826</v>
      </c>
      <c r="J590" s="10">
        <v>24105</v>
      </c>
      <c r="K590">
        <v>588</v>
      </c>
      <c r="L590" s="10">
        <v>2099</v>
      </c>
      <c r="M590" s="10">
        <v>384923</v>
      </c>
      <c r="N590" s="10">
        <v>4268</v>
      </c>
      <c r="O590">
        <v>0.81881446260108459</v>
      </c>
      <c r="P590">
        <v>0.96465497301159198</v>
      </c>
      <c r="Q590">
        <v>-0.50024367221695476</v>
      </c>
      <c r="R590">
        <v>0.50024367221695465</v>
      </c>
      <c r="S590">
        <f t="shared" si="90"/>
        <v>-1.8853899755131878</v>
      </c>
      <c r="T590" s="148">
        <f t="shared" si="95"/>
        <v>-1.8876305364601729</v>
      </c>
      <c r="U590">
        <f t="shared" si="91"/>
        <v>2.2212001607390652</v>
      </c>
      <c r="V590" s="55">
        <f t="shared" si="96"/>
        <v>2.2484531910510994</v>
      </c>
      <c r="W590">
        <f t="shared" si="92"/>
        <v>0.60242975682289313</v>
      </c>
      <c r="X590" s="55">
        <f t="shared" si="97"/>
        <v>0.56202753397349403</v>
      </c>
      <c r="Y590" s="149">
        <v>17.1965</v>
      </c>
      <c r="Z590" s="55">
        <f t="shared" si="93"/>
        <v>4.4708889401018203E-3</v>
      </c>
      <c r="AA590" s="55">
        <f t="shared" si="98"/>
        <v>4.3509057398994138E-3</v>
      </c>
      <c r="AB590" s="55">
        <f t="shared" si="94"/>
        <v>-5.410168022096558</v>
      </c>
      <c r="AC590" s="55">
        <f t="shared" si="99"/>
        <v>-5.4378625064021415</v>
      </c>
      <c r="AD590" s="55"/>
      <c r="AE590" s="55"/>
      <c r="AF590" s="55"/>
      <c r="AG590" s="55"/>
      <c r="AH590" s="55"/>
    </row>
    <row r="591" spans="1:34" ht="15.75">
      <c r="A591" s="39">
        <v>16.841333299999999</v>
      </c>
      <c r="B591" s="39">
        <v>17.219333299999999</v>
      </c>
      <c r="C591" s="39">
        <v>589</v>
      </c>
      <c r="D591">
        <v>589</v>
      </c>
      <c r="E591" s="10">
        <v>1543392.5</v>
      </c>
      <c r="F591" s="10">
        <v>1044668.75</v>
      </c>
      <c r="G591" s="10">
        <v>15979.25</v>
      </c>
      <c r="H591" s="10">
        <v>45393.5</v>
      </c>
      <c r="I591" s="10">
        <v>170713.375</v>
      </c>
      <c r="J591" s="10">
        <v>26257.25</v>
      </c>
      <c r="K591">
        <v>589</v>
      </c>
      <c r="L591" s="10">
        <v>2246.333333</v>
      </c>
      <c r="M591" s="10">
        <v>439993.6667</v>
      </c>
      <c r="N591" s="10">
        <v>4617.6666670000004</v>
      </c>
      <c r="O591">
        <v>0.81301830924023122</v>
      </c>
      <c r="P591">
        <v>0.98645275558547096</v>
      </c>
      <c r="Q591">
        <v>-0.45343727821317381</v>
      </c>
      <c r="R591">
        <v>0.45343727821317381</v>
      </c>
      <c r="S591">
        <f t="shared" si="90"/>
        <v>-1.8720438391877796</v>
      </c>
      <c r="T591" s="148">
        <f t="shared" si="95"/>
        <v>-1.8563147619254752</v>
      </c>
      <c r="U591">
        <f t="shared" si="91"/>
        <v>2.2713914099540045</v>
      </c>
      <c r="V591" s="55">
        <f t="shared" si="96"/>
        <v>2.2389863250904956</v>
      </c>
      <c r="W591">
        <f t="shared" si="92"/>
        <v>0.49665113581062914</v>
      </c>
      <c r="X591" s="55">
        <f t="shared" si="97"/>
        <v>0.52496207723978283</v>
      </c>
      <c r="Y591" s="149">
        <v>17.219333299999999</v>
      </c>
      <c r="Z591" s="55">
        <f t="shared" si="93"/>
        <v>4.4202209236181332E-3</v>
      </c>
      <c r="AA591" s="55">
        <f t="shared" si="98"/>
        <v>4.4203584201152968E-3</v>
      </c>
      <c r="AB591" s="55">
        <f t="shared" si="94"/>
        <v>-5.4215656014225901</v>
      </c>
      <c r="AC591" s="55">
        <f t="shared" si="99"/>
        <v>-5.4215779372724571</v>
      </c>
      <c r="AD591" s="55"/>
      <c r="AE591" s="55"/>
      <c r="AF591" s="55"/>
      <c r="AG591" s="55"/>
      <c r="AH591" s="55"/>
    </row>
    <row r="592" spans="1:34" ht="15.75">
      <c r="A592" s="39">
        <v>16.8773667</v>
      </c>
      <c r="B592" s="39">
        <v>17.242166699999999</v>
      </c>
      <c r="C592" s="39">
        <v>590</v>
      </c>
      <c r="D592">
        <v>590</v>
      </c>
      <c r="E592" s="10">
        <v>1557150</v>
      </c>
      <c r="F592" s="10">
        <v>1066370</v>
      </c>
      <c r="G592" s="10">
        <v>16993</v>
      </c>
      <c r="H592" s="10">
        <v>46432</v>
      </c>
      <c r="I592" s="10">
        <v>167355</v>
      </c>
      <c r="J592" s="10">
        <v>27347</v>
      </c>
      <c r="K592">
        <v>590</v>
      </c>
      <c r="L592" s="10">
        <v>2130</v>
      </c>
      <c r="M592" s="10">
        <v>429386</v>
      </c>
      <c r="N592" s="10">
        <v>4660</v>
      </c>
      <c r="O592">
        <v>0.78672900149803182</v>
      </c>
      <c r="P592">
        <v>0.96603048953386461</v>
      </c>
      <c r="Q592">
        <v>-0.43654733334643731</v>
      </c>
      <c r="R592">
        <v>0.43654733334643725</v>
      </c>
      <c r="S592">
        <f t="shared" si="90"/>
        <v>-1.8115104710754582</v>
      </c>
      <c r="T592" s="148">
        <f t="shared" si="95"/>
        <v>-1.8740987465604722</v>
      </c>
      <c r="U592">
        <f t="shared" si="91"/>
        <v>2.224367404578417</v>
      </c>
      <c r="V592" s="55">
        <f t="shared" si="96"/>
        <v>2.2404129605301928</v>
      </c>
      <c r="W592">
        <f t="shared" si="92"/>
        <v>0.47580533908582601</v>
      </c>
      <c r="X592" s="55">
        <f t="shared" si="97"/>
        <v>0.4863493067464042</v>
      </c>
      <c r="Y592" s="149">
        <v>17.242166699999999</v>
      </c>
      <c r="Z592" s="55">
        <f t="shared" si="93"/>
        <v>4.3699653966259369E-3</v>
      </c>
      <c r="AA592" s="55">
        <f t="shared" si="98"/>
        <v>4.2839808210468336E-3</v>
      </c>
      <c r="AB592" s="55">
        <f t="shared" si="94"/>
        <v>-5.4330001882982231</v>
      </c>
      <c r="AC592" s="55">
        <f t="shared" si="99"/>
        <v>-5.4535685470331927</v>
      </c>
      <c r="AD592" s="55"/>
      <c r="AE592" s="55"/>
      <c r="AF592" s="55"/>
      <c r="AG592" s="55"/>
      <c r="AH592" s="55"/>
    </row>
    <row r="593" spans="1:34" ht="15.75">
      <c r="A593" s="39">
        <v>16.913399999999999</v>
      </c>
      <c r="B593" s="39">
        <v>17.265000000000001</v>
      </c>
      <c r="C593" s="39">
        <v>591</v>
      </c>
      <c r="D593">
        <v>591</v>
      </c>
      <c r="E593" s="10">
        <v>1584220</v>
      </c>
      <c r="F593" s="10">
        <v>1054470</v>
      </c>
      <c r="G593" s="10">
        <v>16389</v>
      </c>
      <c r="H593" s="10">
        <v>47564</v>
      </c>
      <c r="I593" s="10">
        <v>185294</v>
      </c>
      <c r="J593" s="10">
        <v>26661</v>
      </c>
      <c r="K593">
        <v>591</v>
      </c>
      <c r="L593" s="10">
        <v>2287</v>
      </c>
      <c r="M593" s="10">
        <v>440344</v>
      </c>
      <c r="N593" s="10">
        <v>4283</v>
      </c>
      <c r="O593">
        <v>0.84198492178077855</v>
      </c>
      <c r="P593">
        <v>0.96651371270903663</v>
      </c>
      <c r="Q593">
        <v>-0.46272591520525286</v>
      </c>
      <c r="R593">
        <v>0.46272591520525291</v>
      </c>
      <c r="S593">
        <f t="shared" ref="S593:S656" si="100">LN(J593/I593)</f>
        <v>-1.9387419294181782</v>
      </c>
      <c r="T593" s="148">
        <f t="shared" si="95"/>
        <v>-1.8824618067302812</v>
      </c>
      <c r="U593">
        <f t="shared" ref="U593:U656" si="101">LN(M593/H593)</f>
        <v>2.2254800670581574</v>
      </c>
      <c r="V593" s="55">
        <f t="shared" si="96"/>
        <v>2.2164919308278521</v>
      </c>
      <c r="W593">
        <f t="shared" ref="W593:W656" si="102">LN(J593/G593)</f>
        <v>0.4865914453427575</v>
      </c>
      <c r="X593" s="55">
        <f t="shared" si="97"/>
        <v>0.48063752336148485</v>
      </c>
      <c r="Y593" s="149">
        <v>17.265000000000001</v>
      </c>
      <c r="Z593" s="55">
        <f t="shared" si="93"/>
        <v>4.0617561428964314E-3</v>
      </c>
      <c r="AA593" s="55">
        <f t="shared" si="98"/>
        <v>4.295858029394025E-3</v>
      </c>
      <c r="AB593" s="55">
        <f t="shared" si="94"/>
        <v>-5.5061398513787667</v>
      </c>
      <c r="AC593" s="55">
        <f t="shared" si="99"/>
        <v>-5.4508923023659568</v>
      </c>
      <c r="AD593" s="55"/>
      <c r="AE593" s="55"/>
      <c r="AF593" s="55"/>
      <c r="AG593" s="55"/>
      <c r="AH593" s="55"/>
    </row>
    <row r="594" spans="1:34" ht="15.75">
      <c r="A594" s="39">
        <v>16.949433299999999</v>
      </c>
      <c r="B594" s="39">
        <v>17.287833299999999</v>
      </c>
      <c r="C594" s="39">
        <v>592</v>
      </c>
      <c r="D594">
        <v>592</v>
      </c>
      <c r="E594" s="10">
        <v>1547680</v>
      </c>
      <c r="F594" s="10">
        <v>1046040</v>
      </c>
      <c r="G594" s="10">
        <v>16623</v>
      </c>
      <c r="H594" s="10">
        <v>46261</v>
      </c>
      <c r="I594" s="10">
        <v>179009</v>
      </c>
      <c r="J594" s="10">
        <v>26851</v>
      </c>
      <c r="K594">
        <v>592</v>
      </c>
      <c r="L594" s="10">
        <v>2388</v>
      </c>
      <c r="M594" s="10">
        <v>417351</v>
      </c>
      <c r="N594" s="10">
        <v>4661</v>
      </c>
      <c r="O594">
        <v>0.82391440189095022</v>
      </c>
      <c r="P594">
        <v>0.95528644198195989</v>
      </c>
      <c r="Q594">
        <v>-0.44450561157466056</v>
      </c>
      <c r="R594">
        <v>0.44450561157466056</v>
      </c>
      <c r="S594">
        <f t="shared" si="100"/>
        <v>-1.8971330196972072</v>
      </c>
      <c r="T594" s="148">
        <f t="shared" si="95"/>
        <v>-1.9167087139608565</v>
      </c>
      <c r="U594">
        <f t="shared" si="101"/>
        <v>2.1996283208469825</v>
      </c>
      <c r="V594" s="55">
        <f t="shared" si="96"/>
        <v>2.2094776967022476</v>
      </c>
      <c r="W594">
        <f t="shared" si="102"/>
        <v>0.47951578565587127</v>
      </c>
      <c r="X594" s="55">
        <f t="shared" si="97"/>
        <v>0.49506797645499717</v>
      </c>
      <c r="Y594" s="149">
        <v>17.287833299999999</v>
      </c>
      <c r="Z594" s="55">
        <f t="shared" si="93"/>
        <v>4.4558525486597068E-3</v>
      </c>
      <c r="AA594" s="55">
        <f t="shared" si="98"/>
        <v>4.3153439994784047E-3</v>
      </c>
      <c r="AB594" s="55">
        <f t="shared" si="94"/>
        <v>-5.4135368674208815</v>
      </c>
      <c r="AC594" s="55">
        <f t="shared" si="99"/>
        <v>-5.446462796581689</v>
      </c>
      <c r="AD594" s="55"/>
      <c r="AE594" s="55"/>
      <c r="AF594" s="55"/>
      <c r="AG594" s="55"/>
      <c r="AH594" s="55"/>
    </row>
    <row r="595" spans="1:34" ht="15.75">
      <c r="A595" s="39">
        <v>16.9854667</v>
      </c>
      <c r="B595" s="39">
        <v>17.310666699999999</v>
      </c>
      <c r="C595" s="39">
        <v>593</v>
      </c>
      <c r="D595">
        <v>593</v>
      </c>
      <c r="E595" s="10">
        <v>1539680</v>
      </c>
      <c r="F595" s="10">
        <v>1031970</v>
      </c>
      <c r="G595" s="10">
        <v>15797</v>
      </c>
      <c r="H595" s="10">
        <v>46578</v>
      </c>
      <c r="I595" s="10">
        <v>180038</v>
      </c>
      <c r="J595" s="10">
        <v>26547</v>
      </c>
      <c r="K595">
        <v>593</v>
      </c>
      <c r="L595" s="10">
        <v>2321</v>
      </c>
      <c r="M595" s="10">
        <v>421767</v>
      </c>
      <c r="N595" s="10">
        <v>4570</v>
      </c>
      <c r="O595">
        <v>0.83134872999550591</v>
      </c>
      <c r="P595">
        <v>0.9568917600072816</v>
      </c>
      <c r="Q595">
        <v>-0.4696062183997794</v>
      </c>
      <c r="R595">
        <v>0.4696062183997794</v>
      </c>
      <c r="S595">
        <f t="shared" si="100"/>
        <v>-1.9142511927671837</v>
      </c>
      <c r="T595" s="148">
        <f t="shared" si="95"/>
        <v>-1.8830971679378592</v>
      </c>
      <c r="U595">
        <f t="shared" si="101"/>
        <v>2.2033247022016025</v>
      </c>
      <c r="V595" s="55">
        <f t="shared" si="96"/>
        <v>2.2228106471744185</v>
      </c>
      <c r="W595">
        <f t="shared" si="102"/>
        <v>0.51909669836636263</v>
      </c>
      <c r="X595" s="55">
        <f t="shared" si="97"/>
        <v>0.50809462787983495</v>
      </c>
      <c r="Y595" s="149">
        <v>17.310666699999999</v>
      </c>
      <c r="Z595" s="55">
        <f t="shared" si="93"/>
        <v>4.4284233068790759E-3</v>
      </c>
      <c r="AA595" s="55">
        <f t="shared" si="98"/>
        <v>4.3655719910943901E-3</v>
      </c>
      <c r="AB595" s="55">
        <f t="shared" si="94"/>
        <v>-5.4197116709454187</v>
      </c>
      <c r="AC595" s="55">
        <f t="shared" si="99"/>
        <v>-5.4343205790477498</v>
      </c>
      <c r="AD595" s="55"/>
      <c r="AE595" s="55"/>
      <c r="AF595" s="55"/>
      <c r="AG595" s="55"/>
      <c r="AH595" s="55"/>
    </row>
    <row r="596" spans="1:34" ht="15.75">
      <c r="A596" s="39">
        <v>17.0215</v>
      </c>
      <c r="B596" s="39">
        <v>17.333500000000001</v>
      </c>
      <c r="C596" s="39">
        <v>594</v>
      </c>
      <c r="D596">
        <v>594</v>
      </c>
      <c r="E596" s="10">
        <v>1536880</v>
      </c>
      <c r="F596" s="10">
        <v>1039540</v>
      </c>
      <c r="G596" s="10">
        <v>15525</v>
      </c>
      <c r="H596" s="10">
        <v>45643</v>
      </c>
      <c r="I596" s="10">
        <v>165014</v>
      </c>
      <c r="J596" s="10">
        <v>26262</v>
      </c>
      <c r="K596">
        <v>594</v>
      </c>
      <c r="L596" s="10">
        <v>2185</v>
      </c>
      <c r="M596" s="10">
        <v>439804</v>
      </c>
      <c r="N596" s="10">
        <v>4379</v>
      </c>
      <c r="O596">
        <v>0.79819299488270401</v>
      </c>
      <c r="P596">
        <v>0.98388499316169642</v>
      </c>
      <c r="Q596">
        <v>-0.46834257292357018</v>
      </c>
      <c r="R596">
        <v>0.46834257292357018</v>
      </c>
      <c r="S596">
        <f t="shared" si="100"/>
        <v>-1.8379072913491867</v>
      </c>
      <c r="T596" s="148">
        <f t="shared" si="95"/>
        <v>-1.8887209656906851</v>
      </c>
      <c r="U596">
        <f t="shared" si="101"/>
        <v>2.2654789184746709</v>
      </c>
      <c r="V596" s="55">
        <f t="shared" si="96"/>
        <v>2.2185984754756127</v>
      </c>
      <c r="W596">
        <f t="shared" si="102"/>
        <v>0.52567139961727083</v>
      </c>
      <c r="X596" s="55">
        <f t="shared" si="97"/>
        <v>0.52783842585771279</v>
      </c>
      <c r="Y596" s="149">
        <v>17.333500000000001</v>
      </c>
      <c r="Z596" s="55">
        <f t="shared" si="93"/>
        <v>4.2124401177443867E-3</v>
      </c>
      <c r="AA596" s="55">
        <f t="shared" si="98"/>
        <v>4.2799081151485042E-3</v>
      </c>
      <c r="AB596" s="55">
        <f t="shared" si="94"/>
        <v>-5.4697131987769483</v>
      </c>
      <c r="AC596" s="55">
        <f t="shared" si="99"/>
        <v>-5.4541222898423882</v>
      </c>
      <c r="AD596" s="55"/>
      <c r="AE596" s="55"/>
      <c r="AF596" s="55"/>
      <c r="AG596" s="55"/>
      <c r="AH596" s="55"/>
    </row>
    <row r="597" spans="1:34" ht="15.75">
      <c r="A597" s="39">
        <v>17.057533299999999</v>
      </c>
      <c r="B597" s="39">
        <v>17.356333299999999</v>
      </c>
      <c r="C597" s="39">
        <v>595</v>
      </c>
      <c r="D597">
        <v>595</v>
      </c>
      <c r="E597" s="10">
        <v>1494760</v>
      </c>
      <c r="F597" s="10">
        <v>1004320</v>
      </c>
      <c r="G597" s="10">
        <v>15377</v>
      </c>
      <c r="H597" s="10">
        <v>45184</v>
      </c>
      <c r="I597" s="10">
        <v>178685</v>
      </c>
      <c r="J597" s="10">
        <v>26354</v>
      </c>
      <c r="K597">
        <v>595</v>
      </c>
      <c r="L597" s="10">
        <v>2354</v>
      </c>
      <c r="M597" s="10">
        <v>402516</v>
      </c>
      <c r="N597" s="10">
        <v>4217</v>
      </c>
      <c r="O597">
        <v>0.83124155488512708</v>
      </c>
      <c r="P597">
        <v>0.94979847320509847</v>
      </c>
      <c r="Q597">
        <v>-0.46811306067115599</v>
      </c>
      <c r="R597">
        <v>0.46811306067115604</v>
      </c>
      <c r="S597">
        <f t="shared" si="100"/>
        <v>-1.9140044129556852</v>
      </c>
      <c r="T597" s="148">
        <f t="shared" si="95"/>
        <v>-1.9039860045297463</v>
      </c>
      <c r="U597">
        <f t="shared" si="101"/>
        <v>2.1869918057505644</v>
      </c>
      <c r="V597" s="55">
        <f t="shared" si="96"/>
        <v>2.2140801575769991</v>
      </c>
      <c r="W597">
        <f t="shared" si="102"/>
        <v>0.53874717958950469</v>
      </c>
      <c r="X597" s="55">
        <f t="shared" si="97"/>
        <v>0.52583023808468254</v>
      </c>
      <c r="Y597" s="149">
        <v>17.356333299999999</v>
      </c>
      <c r="Z597" s="55">
        <f t="shared" si="93"/>
        <v>4.1988609208220484E-3</v>
      </c>
      <c r="AA597" s="55">
        <f t="shared" si="98"/>
        <v>4.1447783713108866E-3</v>
      </c>
      <c r="AB597" s="55">
        <f t="shared" si="94"/>
        <v>-5.4729419998047986</v>
      </c>
      <c r="AC597" s="55">
        <f t="shared" si="99"/>
        <v>-5.4861247048312807</v>
      </c>
      <c r="AD597" s="55"/>
      <c r="AE597" s="55"/>
      <c r="AF597" s="55"/>
      <c r="AG597" s="55"/>
      <c r="AH597" s="55"/>
    </row>
    <row r="598" spans="1:34" ht="15.75">
      <c r="A598" s="39">
        <v>17.0935667</v>
      </c>
      <c r="B598" s="39">
        <v>17.379166699999999</v>
      </c>
      <c r="C598" s="39">
        <v>596</v>
      </c>
      <c r="D598">
        <v>596</v>
      </c>
      <c r="E598" s="10">
        <v>1533860</v>
      </c>
      <c r="F598" s="10">
        <v>1008940</v>
      </c>
      <c r="G598" s="10">
        <v>15829</v>
      </c>
      <c r="H598" s="10">
        <v>46242</v>
      </c>
      <c r="I598" s="10">
        <v>187722</v>
      </c>
      <c r="J598" s="10">
        <v>26441</v>
      </c>
      <c r="K598">
        <v>596</v>
      </c>
      <c r="L598" s="10">
        <v>2502</v>
      </c>
      <c r="M598" s="10">
        <v>413087</v>
      </c>
      <c r="N598" s="10">
        <v>4059</v>
      </c>
      <c r="O598">
        <v>0.85123729639703505</v>
      </c>
      <c r="P598">
        <v>0.9510049184147239</v>
      </c>
      <c r="Q598">
        <v>-0.46558313027482201</v>
      </c>
      <c r="R598">
        <v>0.46558313027482195</v>
      </c>
      <c r="S598">
        <f t="shared" si="100"/>
        <v>-1.9600463092843672</v>
      </c>
      <c r="T598" s="148">
        <f t="shared" si="95"/>
        <v>-1.9262145785973006</v>
      </c>
      <c r="U598">
        <f t="shared" si="101"/>
        <v>2.1897697485057619</v>
      </c>
      <c r="V598" s="55">
        <f t="shared" si="96"/>
        <v>2.1934267659429119</v>
      </c>
      <c r="W598">
        <f t="shared" si="102"/>
        <v>0.51307213504727212</v>
      </c>
      <c r="X598" s="55">
        <f t="shared" si="97"/>
        <v>0.51853342215559417</v>
      </c>
      <c r="Y598" s="149">
        <v>17.379166699999999</v>
      </c>
      <c r="Z598" s="55">
        <f t="shared" si="93"/>
        <v>4.0230340753662263E-3</v>
      </c>
      <c r="AA598" s="55">
        <f t="shared" si="98"/>
        <v>4.0432055803835817E-3</v>
      </c>
      <c r="AB598" s="55">
        <f t="shared" si="94"/>
        <v>-5.5157189159120961</v>
      </c>
      <c r="AC598" s="55">
        <f t="shared" si="99"/>
        <v>-5.5111538881482742</v>
      </c>
      <c r="AD598" s="55"/>
      <c r="AE598" s="55"/>
      <c r="AF598" s="55"/>
      <c r="AG598" s="55"/>
      <c r="AH598" s="55"/>
    </row>
    <row r="599" spans="1:34" ht="15.75">
      <c r="A599" s="39">
        <v>17.1296</v>
      </c>
      <c r="B599" s="39">
        <v>17.402000000000001</v>
      </c>
      <c r="C599" s="39">
        <v>597</v>
      </c>
      <c r="D599">
        <v>597</v>
      </c>
      <c r="E599" s="10">
        <v>1544560</v>
      </c>
      <c r="F599" s="10">
        <v>1013890</v>
      </c>
      <c r="G599" s="10">
        <v>16268</v>
      </c>
      <c r="H599" s="10">
        <v>47091</v>
      </c>
      <c r="I599" s="10">
        <v>180833</v>
      </c>
      <c r="J599" s="10">
        <v>26923</v>
      </c>
      <c r="K599">
        <v>597</v>
      </c>
      <c r="L599" s="10">
        <v>2391</v>
      </c>
      <c r="M599" s="10">
        <v>426495</v>
      </c>
      <c r="N599" s="10">
        <v>3962</v>
      </c>
      <c r="O599">
        <v>0.82715423605705374</v>
      </c>
      <c r="P599">
        <v>0.95697603110388418</v>
      </c>
      <c r="Q599">
        <v>-0.46160374925998449</v>
      </c>
      <c r="R599">
        <v>0.46160374925998449</v>
      </c>
      <c r="S599">
        <f t="shared" si="100"/>
        <v>-1.9045930135518498</v>
      </c>
      <c r="T599" s="148">
        <f t="shared" si="95"/>
        <v>-1.9124839377259224</v>
      </c>
      <c r="U599">
        <f t="shared" si="101"/>
        <v>2.2035187435724097</v>
      </c>
      <c r="V599" s="55">
        <f t="shared" si="96"/>
        <v>2.1961222722886169</v>
      </c>
      <c r="W599">
        <f t="shared" si="102"/>
        <v>0.50378095183000571</v>
      </c>
      <c r="X599" s="55">
        <f t="shared" si="97"/>
        <v>0.49574952188593596</v>
      </c>
      <c r="Y599" s="149">
        <v>17.402000000000001</v>
      </c>
      <c r="Z599" s="55">
        <f t="shared" si="93"/>
        <v>3.9077217449624713E-3</v>
      </c>
      <c r="AA599" s="55">
        <f t="shared" si="98"/>
        <v>4.0302393683257056E-3</v>
      </c>
      <c r="AB599" s="55">
        <f t="shared" si="94"/>
        <v>-5.5448007487279245</v>
      </c>
      <c r="AC599" s="55">
        <f t="shared" si="99"/>
        <v>-5.5142563118601231</v>
      </c>
      <c r="AD599" s="55"/>
      <c r="AE599" s="55"/>
      <c r="AF599" s="55"/>
      <c r="AG599" s="55"/>
      <c r="AH599" s="55"/>
    </row>
    <row r="600" spans="1:34" ht="15.75">
      <c r="A600" s="39">
        <v>17.1656333</v>
      </c>
      <c r="B600" s="39">
        <v>17.4248333</v>
      </c>
      <c r="C600" s="39">
        <v>598</v>
      </c>
      <c r="D600">
        <v>598</v>
      </c>
      <c r="E600" s="10">
        <v>1398460</v>
      </c>
      <c r="F600" s="10">
        <v>975730</v>
      </c>
      <c r="G600" s="10">
        <v>15309</v>
      </c>
      <c r="H600" s="10">
        <v>42445</v>
      </c>
      <c r="I600" s="10">
        <v>159437</v>
      </c>
      <c r="J600" s="10">
        <v>24504</v>
      </c>
      <c r="K600">
        <v>598</v>
      </c>
      <c r="L600" s="10">
        <v>1943</v>
      </c>
      <c r="M600" s="10">
        <v>381186</v>
      </c>
      <c r="N600" s="10">
        <v>4059</v>
      </c>
      <c r="O600">
        <v>0.81335213019482244</v>
      </c>
      <c r="P600">
        <v>0.95331040380072274</v>
      </c>
      <c r="Q600">
        <v>-0.44287971486603561</v>
      </c>
      <c r="R600">
        <v>0.44287971486603561</v>
      </c>
      <c r="S600">
        <f t="shared" si="100"/>
        <v>-1.8728124903415504</v>
      </c>
      <c r="T600" s="148">
        <f t="shared" si="95"/>
        <v>-1.8954186888340312</v>
      </c>
      <c r="U600">
        <f t="shared" si="101"/>
        <v>2.1950783247876782</v>
      </c>
      <c r="V600" s="55">
        <f t="shared" si="96"/>
        <v>2.2002038572494067</v>
      </c>
      <c r="W600">
        <f t="shared" si="102"/>
        <v>0.47039547878053001</v>
      </c>
      <c r="X600" s="55">
        <f t="shared" si="97"/>
        <v>0.49854972707684003</v>
      </c>
      <c r="Y600" s="149">
        <v>17.4248333</v>
      </c>
      <c r="Z600" s="55">
        <f t="shared" si="93"/>
        <v>4.1599622846484174E-3</v>
      </c>
      <c r="AA600" s="55">
        <f t="shared" si="98"/>
        <v>4.0151641910403301E-3</v>
      </c>
      <c r="AB600" s="55">
        <f t="shared" si="94"/>
        <v>-5.4822492709403479</v>
      </c>
      <c r="AC600" s="55">
        <f t="shared" si="99"/>
        <v>-5.5180247494026347</v>
      </c>
      <c r="AD600" s="55"/>
      <c r="AE600" s="55"/>
      <c r="AF600" s="55"/>
      <c r="AG600" s="55"/>
      <c r="AH600" s="55"/>
    </row>
    <row r="601" spans="1:34" ht="15.75">
      <c r="A601" s="39">
        <v>17.201666700000001</v>
      </c>
      <c r="B601" s="39">
        <v>17.447666699999999</v>
      </c>
      <c r="C601" s="39">
        <v>599</v>
      </c>
      <c r="D601">
        <v>599</v>
      </c>
      <c r="E601" s="10">
        <v>1489670</v>
      </c>
      <c r="F601" s="10">
        <v>996780</v>
      </c>
      <c r="G601" s="10">
        <v>15639</v>
      </c>
      <c r="H601" s="10">
        <v>45195</v>
      </c>
      <c r="I601" s="10">
        <v>177699</v>
      </c>
      <c r="J601" s="10">
        <v>26344</v>
      </c>
      <c r="K601">
        <v>599</v>
      </c>
      <c r="L601" s="10">
        <v>2309</v>
      </c>
      <c r="M601" s="10">
        <v>408708</v>
      </c>
      <c r="N601" s="10">
        <v>3965</v>
      </c>
      <c r="O601">
        <v>0.82900326611887343</v>
      </c>
      <c r="P601">
        <v>0.95632274789239524</v>
      </c>
      <c r="Q601">
        <v>-0.46088141108235686</v>
      </c>
      <c r="R601">
        <v>0.46088141108235686</v>
      </c>
      <c r="S601">
        <f t="shared" si="100"/>
        <v>-1.9088505626086938</v>
      </c>
      <c r="T601" s="148">
        <f t="shared" si="95"/>
        <v>-1.9126239847353774</v>
      </c>
      <c r="U601">
        <f t="shared" si="101"/>
        <v>2.2020145033881322</v>
      </c>
      <c r="V601" s="55">
        <f t="shared" si="96"/>
        <v>2.1907543127383442</v>
      </c>
      <c r="W601">
        <f t="shared" si="102"/>
        <v>0.52147275061998455</v>
      </c>
      <c r="X601" s="55">
        <f t="shared" si="97"/>
        <v>0.48180697528995697</v>
      </c>
      <c r="Y601" s="149">
        <v>17.447666699999999</v>
      </c>
      <c r="Z601" s="55">
        <f t="shared" si="93"/>
        <v>3.9778085435101026E-3</v>
      </c>
      <c r="AA601" s="55">
        <f t="shared" si="98"/>
        <v>4.1677980985455089E-3</v>
      </c>
      <c r="AB601" s="55">
        <f t="shared" si="94"/>
        <v>-5.5270242285396307</v>
      </c>
      <c r="AC601" s="55">
        <f t="shared" si="99"/>
        <v>-5.4810892553473209</v>
      </c>
      <c r="AD601" s="55"/>
      <c r="AE601" s="55"/>
      <c r="AF601" s="55"/>
      <c r="AG601" s="55"/>
      <c r="AH601" s="55"/>
    </row>
    <row r="602" spans="1:34" ht="15.75">
      <c r="A602" s="39">
        <v>17.2377</v>
      </c>
      <c r="B602" s="39">
        <v>17.470500000000001</v>
      </c>
      <c r="C602" s="39">
        <v>600</v>
      </c>
      <c r="D602">
        <v>600</v>
      </c>
      <c r="E602" s="10">
        <v>1512100</v>
      </c>
      <c r="F602" s="10">
        <v>999170</v>
      </c>
      <c r="G602" s="10">
        <v>16747</v>
      </c>
      <c r="H602" s="10">
        <v>45783</v>
      </c>
      <c r="I602" s="10">
        <v>186416</v>
      </c>
      <c r="J602" s="10">
        <v>26358</v>
      </c>
      <c r="K602">
        <v>600</v>
      </c>
      <c r="L602" s="10">
        <v>1973</v>
      </c>
      <c r="M602" s="10">
        <v>403059</v>
      </c>
      <c r="N602" s="10">
        <v>4362</v>
      </c>
      <c r="O602">
        <v>0.84957073126545535</v>
      </c>
      <c r="P602">
        <v>0.94466437599092334</v>
      </c>
      <c r="Q602">
        <v>-0.43676722675069746</v>
      </c>
      <c r="R602">
        <v>0.43676722675069746</v>
      </c>
      <c r="S602">
        <f t="shared" si="100"/>
        <v>-1.9562089012558879</v>
      </c>
      <c r="T602" s="148">
        <f t="shared" si="95"/>
        <v>-1.9545546778288425</v>
      </c>
      <c r="U602">
        <f t="shared" si="101"/>
        <v>2.1751701100392222</v>
      </c>
      <c r="V602" s="55">
        <f t="shared" si="96"/>
        <v>2.2000798366050893</v>
      </c>
      <c r="W602">
        <f t="shared" si="102"/>
        <v>0.45355269646935631</v>
      </c>
      <c r="X602" s="55">
        <f t="shared" si="97"/>
        <v>0.48418218024110876</v>
      </c>
      <c r="Y602" s="149">
        <v>17.470500000000001</v>
      </c>
      <c r="Z602" s="55">
        <f t="shared" si="93"/>
        <v>4.3656234674780067E-3</v>
      </c>
      <c r="AA602" s="55">
        <f t="shared" si="98"/>
        <v>4.1332928981255325E-3</v>
      </c>
      <c r="AB602" s="55">
        <f t="shared" si="94"/>
        <v>-5.4339942665619851</v>
      </c>
      <c r="AC602" s="55">
        <f t="shared" si="99"/>
        <v>-5.4894887949393585</v>
      </c>
      <c r="AD602" s="55"/>
      <c r="AE602" s="55"/>
      <c r="AF602" s="55"/>
      <c r="AG602" s="55"/>
      <c r="AH602" s="55"/>
    </row>
    <row r="603" spans="1:34" ht="15.75">
      <c r="A603" s="39">
        <v>17.2737333</v>
      </c>
      <c r="B603" s="39">
        <v>17.4933333</v>
      </c>
      <c r="C603" s="39">
        <v>601</v>
      </c>
      <c r="D603">
        <v>601</v>
      </c>
      <c r="E603" s="10">
        <v>1377230</v>
      </c>
      <c r="F603" s="10">
        <v>948860</v>
      </c>
      <c r="G603" s="10">
        <v>14031</v>
      </c>
      <c r="H603" s="10">
        <v>40314</v>
      </c>
      <c r="I603" s="10">
        <v>166900</v>
      </c>
      <c r="J603" s="10">
        <v>22619</v>
      </c>
      <c r="K603">
        <v>601</v>
      </c>
      <c r="L603" s="10">
        <v>1852</v>
      </c>
      <c r="M603" s="10">
        <v>372320</v>
      </c>
      <c r="N603" s="10">
        <v>3849</v>
      </c>
      <c r="O603">
        <v>0.86798293609343424</v>
      </c>
      <c r="P603">
        <v>0.96546047446927619</v>
      </c>
      <c r="Q603">
        <v>-0.45836726684521206</v>
      </c>
      <c r="R603">
        <v>0.45836726684521201</v>
      </c>
      <c r="S603">
        <f t="shared" si="100"/>
        <v>-1.9986045696219452</v>
      </c>
      <c r="T603" s="148">
        <f t="shared" si="95"/>
        <v>-1.9806622481705911</v>
      </c>
      <c r="U603">
        <f t="shared" si="101"/>
        <v>2.2230548963879135</v>
      </c>
      <c r="V603" s="55">
        <f t="shared" si="96"/>
        <v>2.2125415547825917</v>
      </c>
      <c r="W603">
        <f t="shared" si="102"/>
        <v>0.47752109363398532</v>
      </c>
      <c r="X603" s="55">
        <f t="shared" si="97"/>
        <v>0.50604813138393856</v>
      </c>
      <c r="Y603" s="149">
        <v>17.4933333</v>
      </c>
      <c r="Z603" s="55">
        <f t="shared" si="93"/>
        <v>4.0564466833884873E-3</v>
      </c>
      <c r="AA603" s="55">
        <f t="shared" si="98"/>
        <v>3.8903992432136659E-3</v>
      </c>
      <c r="AB603" s="55">
        <f t="shared" si="94"/>
        <v>-5.5074478897164587</v>
      </c>
      <c r="AC603" s="55">
        <f t="shared" si="99"/>
        <v>-5.5569369707516101</v>
      </c>
      <c r="AD603" s="55"/>
      <c r="AE603" s="55"/>
      <c r="AF603" s="55"/>
      <c r="AG603" s="55"/>
      <c r="AH603" s="55"/>
    </row>
    <row r="604" spans="1:34" ht="15.75">
      <c r="A604" s="39">
        <v>17.309766700000001</v>
      </c>
      <c r="B604" s="39">
        <v>17.516166699999999</v>
      </c>
      <c r="C604" s="39">
        <v>602</v>
      </c>
      <c r="D604">
        <v>602</v>
      </c>
      <c r="E604" s="10">
        <v>1111675</v>
      </c>
      <c r="F604" s="10">
        <v>779440</v>
      </c>
      <c r="G604" s="10">
        <v>7916.5</v>
      </c>
      <c r="H604" s="10">
        <v>25288</v>
      </c>
      <c r="I604" s="10">
        <v>103875.5</v>
      </c>
      <c r="J604" s="10">
        <v>14239.5</v>
      </c>
      <c r="K604">
        <v>602</v>
      </c>
      <c r="L604" s="10">
        <v>1160.5</v>
      </c>
      <c r="M604" s="10">
        <v>237396</v>
      </c>
      <c r="N604" s="10">
        <v>2532.5</v>
      </c>
      <c r="O604">
        <v>0.8630183873248406</v>
      </c>
      <c r="P604">
        <v>0.97255891421096319</v>
      </c>
      <c r="Q604">
        <v>-0.50438126672826855</v>
      </c>
      <c r="R604">
        <v>0.50438126672826855</v>
      </c>
      <c r="S604">
        <f t="shared" si="100"/>
        <v>-1.9871732736339394</v>
      </c>
      <c r="T604" s="148">
        <f t="shared" si="95"/>
        <v>-1.9758531801591703</v>
      </c>
      <c r="U604">
        <f t="shared" si="101"/>
        <v>2.2393996579206386</v>
      </c>
      <c r="V604" s="55">
        <f t="shared" si="96"/>
        <v>2.2545321307725383</v>
      </c>
      <c r="W604">
        <f t="shared" si="102"/>
        <v>0.587070604048474</v>
      </c>
      <c r="X604" s="55">
        <f t="shared" si="97"/>
        <v>0.74794804736174481</v>
      </c>
      <c r="Y604" s="149">
        <v>17.516166699999999</v>
      </c>
      <c r="Z604" s="55">
        <f t="shared" si="93"/>
        <v>3.249127578774505E-3</v>
      </c>
      <c r="AA604" s="55">
        <f t="shared" si="98"/>
        <v>3.0996505094940431E-3</v>
      </c>
      <c r="AB604" s="55">
        <f t="shared" si="94"/>
        <v>-5.7293687559763846</v>
      </c>
      <c r="AC604" s="55">
        <f t="shared" si="99"/>
        <v>-5.8182472018879983</v>
      </c>
      <c r="AD604" s="55"/>
      <c r="AE604" s="55"/>
      <c r="AF604" s="55"/>
      <c r="AG604" s="55"/>
      <c r="AH604" s="55"/>
    </row>
    <row r="605" spans="1:34" ht="15.75">
      <c r="A605" s="39">
        <v>17.345800000000001</v>
      </c>
      <c r="B605" s="39">
        <v>17.539000000000001</v>
      </c>
      <c r="C605" s="39">
        <v>603</v>
      </c>
      <c r="D605">
        <v>603</v>
      </c>
      <c r="E605" s="10">
        <v>846120</v>
      </c>
      <c r="F605" s="10">
        <v>610020</v>
      </c>
      <c r="G605" s="10">
        <v>1802</v>
      </c>
      <c r="H605" s="10">
        <v>10262</v>
      </c>
      <c r="I605" s="10">
        <v>40851</v>
      </c>
      <c r="J605" s="10">
        <v>5860</v>
      </c>
      <c r="K605">
        <v>603</v>
      </c>
      <c r="L605" s="10">
        <v>469</v>
      </c>
      <c r="M605" s="10">
        <v>102472</v>
      </c>
      <c r="N605" s="10">
        <v>1216</v>
      </c>
      <c r="O605">
        <v>0.84330507616408334</v>
      </c>
      <c r="P605">
        <v>0.99937320232404225</v>
      </c>
      <c r="Q605">
        <v>-0.75547722367632175</v>
      </c>
      <c r="R605">
        <v>0.75547722367632175</v>
      </c>
      <c r="S605">
        <f t="shared" si="100"/>
        <v>-1.9417816972216266</v>
      </c>
      <c r="T605" s="148">
        <f t="shared" si="95"/>
        <v>-1.9770036819884058</v>
      </c>
      <c r="U605">
        <f t="shared" si="101"/>
        <v>2.301141838009062</v>
      </c>
      <c r="V605" s="55">
        <f t="shared" si="96"/>
        <v>2.2471643819631058</v>
      </c>
      <c r="W605">
        <f t="shared" si="102"/>
        <v>1.179252444402775</v>
      </c>
      <c r="X605" s="55">
        <f t="shared" si="97"/>
        <v>0.75291252202731451</v>
      </c>
      <c r="Y605" s="149">
        <v>17.539000000000001</v>
      </c>
      <c r="Z605" s="55">
        <f t="shared" si="93"/>
        <v>1.9933772663191371E-3</v>
      </c>
      <c r="AA605" s="55">
        <f t="shared" si="98"/>
        <v>3.1610424900284082E-3</v>
      </c>
      <c r="AB605" s="55">
        <f t="shared" si="94"/>
        <v>-6.2179249599711497</v>
      </c>
      <c r="AC605" s="55">
        <f t="shared" si="99"/>
        <v>-5.8034462969832239</v>
      </c>
      <c r="AD605" s="55"/>
      <c r="AE605" s="55"/>
      <c r="AF605" s="55"/>
      <c r="AG605" s="55"/>
      <c r="AH605" s="55"/>
    </row>
    <row r="606" spans="1:34" ht="15.75">
      <c r="A606" s="39">
        <v>17.3818333</v>
      </c>
      <c r="B606" s="39">
        <v>17.5618333</v>
      </c>
      <c r="C606" s="39">
        <v>604</v>
      </c>
      <c r="D606">
        <v>604</v>
      </c>
      <c r="E606" s="10">
        <v>1560590</v>
      </c>
      <c r="F606" s="10">
        <v>1039470</v>
      </c>
      <c r="G606" s="10">
        <v>16138</v>
      </c>
      <c r="H606" s="10">
        <v>46658</v>
      </c>
      <c r="I606" s="10">
        <v>195517</v>
      </c>
      <c r="J606" s="10">
        <v>26406</v>
      </c>
      <c r="K606">
        <v>604</v>
      </c>
      <c r="L606" s="10">
        <v>2442</v>
      </c>
      <c r="M606" s="10">
        <v>421490</v>
      </c>
      <c r="N606" s="10">
        <v>4408</v>
      </c>
      <c r="O606">
        <v>0.86948190588100371</v>
      </c>
      <c r="P606">
        <v>0.95586115651331949</v>
      </c>
      <c r="Q606">
        <v>-0.46107640764826124</v>
      </c>
      <c r="R606">
        <v>0.4610764076482613</v>
      </c>
      <c r="S606">
        <f t="shared" si="100"/>
        <v>-2.002056075109651</v>
      </c>
      <c r="T606" s="148">
        <f t="shared" si="95"/>
        <v>-1.968481686914102</v>
      </c>
      <c r="U606">
        <f t="shared" si="101"/>
        <v>2.2009516499596176</v>
      </c>
      <c r="V606" s="55">
        <f t="shared" si="96"/>
        <v>2.2340340283951412</v>
      </c>
      <c r="W606">
        <f t="shared" si="102"/>
        <v>0.49241451763069449</v>
      </c>
      <c r="X606" s="55">
        <f t="shared" si="97"/>
        <v>0.7197157035022631</v>
      </c>
      <c r="Y606" s="149">
        <v>17.5618333</v>
      </c>
      <c r="Z606" s="55">
        <f t="shared" si="93"/>
        <v>4.2406226249915822E-3</v>
      </c>
      <c r="AA606" s="55">
        <f t="shared" si="98"/>
        <v>3.4881576083090498E-3</v>
      </c>
      <c r="AB606" s="55">
        <f t="shared" si="94"/>
        <v>-5.4630451750021356</v>
      </c>
      <c r="AC606" s="55">
        <f t="shared" si="99"/>
        <v>-5.7154705408364848</v>
      </c>
      <c r="AD606" s="55"/>
      <c r="AE606" s="55"/>
      <c r="AF606" s="55"/>
      <c r="AG606" s="55"/>
      <c r="AH606" s="55"/>
    </row>
    <row r="607" spans="1:34" ht="15.75">
      <c r="A607" s="39">
        <v>17.417866700000001</v>
      </c>
      <c r="B607" s="39">
        <v>17.5846667</v>
      </c>
      <c r="C607" s="39">
        <v>605</v>
      </c>
      <c r="D607">
        <v>605</v>
      </c>
      <c r="E607" s="10">
        <v>1595400</v>
      </c>
      <c r="F607" s="10">
        <v>1064420</v>
      </c>
      <c r="G607" s="10">
        <v>16676</v>
      </c>
      <c r="H607" s="10">
        <v>48304</v>
      </c>
      <c r="I607" s="10">
        <v>193071</v>
      </c>
      <c r="J607" s="10">
        <v>27152</v>
      </c>
      <c r="K607">
        <v>605</v>
      </c>
      <c r="L607" s="10">
        <v>2008</v>
      </c>
      <c r="M607" s="10">
        <v>435948</v>
      </c>
      <c r="N607" s="10">
        <v>4503</v>
      </c>
      <c r="O607">
        <v>0.85191522101811012</v>
      </c>
      <c r="P607">
        <v>0.9554515939109457</v>
      </c>
      <c r="Q607">
        <v>-0.46189120922476273</v>
      </c>
      <c r="R607">
        <v>0.46189120922476273</v>
      </c>
      <c r="S607">
        <f t="shared" si="100"/>
        <v>-1.961607288411028</v>
      </c>
      <c r="T607" s="148">
        <f t="shared" si="95"/>
        <v>-1.989546233549192</v>
      </c>
      <c r="U607">
        <f t="shared" si="101"/>
        <v>2.200008597216744</v>
      </c>
      <c r="V607" s="55">
        <f t="shared" si="96"/>
        <v>2.2095264007455664</v>
      </c>
      <c r="W607">
        <f t="shared" si="102"/>
        <v>0.48748014847332</v>
      </c>
      <c r="X607" s="55">
        <f t="shared" si="97"/>
        <v>0.48490751613255001</v>
      </c>
      <c r="Y607" s="149">
        <v>17.5846667</v>
      </c>
      <c r="Z607" s="55">
        <f t="shared" si="93"/>
        <v>4.2304729336164297E-3</v>
      </c>
      <c r="AA607" s="55">
        <f t="shared" si="98"/>
        <v>4.3610487205028676E-3</v>
      </c>
      <c r="AB607" s="55">
        <f t="shared" si="94"/>
        <v>-5.465441487536169</v>
      </c>
      <c r="AC607" s="55">
        <f t="shared" si="99"/>
        <v>-5.4358564557219617</v>
      </c>
      <c r="AD607" s="55"/>
      <c r="AE607" s="55"/>
      <c r="AF607" s="55"/>
      <c r="AG607" s="55"/>
      <c r="AH607" s="55"/>
    </row>
    <row r="608" spans="1:34" ht="15.75">
      <c r="A608" s="39">
        <v>17.453900000000001</v>
      </c>
      <c r="B608" s="39">
        <v>17.607500000000002</v>
      </c>
      <c r="C608" s="39">
        <v>606</v>
      </c>
      <c r="D608">
        <v>606</v>
      </c>
      <c r="E608" s="10">
        <v>1625540</v>
      </c>
      <c r="F608" s="10">
        <v>1079780</v>
      </c>
      <c r="G608" s="10">
        <v>16698</v>
      </c>
      <c r="H608" s="10">
        <v>48299</v>
      </c>
      <c r="I608" s="10">
        <v>199356</v>
      </c>
      <c r="J608" s="10">
        <v>26846</v>
      </c>
      <c r="K608">
        <v>606</v>
      </c>
      <c r="L608" s="10">
        <v>2220</v>
      </c>
      <c r="M608" s="10">
        <v>448106</v>
      </c>
      <c r="N608" s="10">
        <v>4980</v>
      </c>
      <c r="O608">
        <v>0.87074972526632366</v>
      </c>
      <c r="P608">
        <v>0.96744261996579206</v>
      </c>
      <c r="Q608">
        <v>-0.4612736823365633</v>
      </c>
      <c r="R608">
        <v>0.4612736823365633</v>
      </c>
      <c r="S608">
        <f t="shared" si="100"/>
        <v>-2.0049753371268975</v>
      </c>
      <c r="T608" s="148">
        <f t="shared" si="95"/>
        <v>-1.9702548780374094</v>
      </c>
      <c r="U608">
        <f t="shared" si="101"/>
        <v>2.2276189550603367</v>
      </c>
      <c r="V608" s="55">
        <f t="shared" si="96"/>
        <v>2.2201165220505374</v>
      </c>
      <c r="W608">
        <f t="shared" si="102"/>
        <v>0.47482788229363559</v>
      </c>
      <c r="X608" s="55">
        <f t="shared" si="97"/>
        <v>0.48427972334455766</v>
      </c>
      <c r="Y608" s="149">
        <v>17.607500000000002</v>
      </c>
      <c r="Z608" s="55">
        <f t="shared" si="93"/>
        <v>4.6120506029005909E-3</v>
      </c>
      <c r="AA608" s="55">
        <f t="shared" si="98"/>
        <v>4.423371793555262E-3</v>
      </c>
      <c r="AB608" s="55">
        <f t="shared" si="94"/>
        <v>-5.3790827046275824</v>
      </c>
      <c r="AC608" s="55">
        <f t="shared" si="99"/>
        <v>-5.4214745455553803</v>
      </c>
      <c r="AD608" s="55"/>
      <c r="AE608" s="55"/>
      <c r="AF608" s="55"/>
      <c r="AG608" s="55"/>
      <c r="AH608" s="55"/>
    </row>
    <row r="609" spans="1:34" ht="15.75">
      <c r="A609" s="129">
        <v>17.489933300000001</v>
      </c>
      <c r="B609" s="129">
        <v>17.6303333</v>
      </c>
      <c r="C609" s="129">
        <v>607</v>
      </c>
      <c r="D609" s="130">
        <v>607</v>
      </c>
      <c r="E609" s="131">
        <v>1668580</v>
      </c>
      <c r="F609" s="131">
        <v>1101050</v>
      </c>
      <c r="G609" s="131">
        <v>17123</v>
      </c>
      <c r="H609" s="131">
        <v>50133</v>
      </c>
      <c r="I609" s="131">
        <v>195417</v>
      </c>
      <c r="J609" s="131">
        <v>27965</v>
      </c>
      <c r="K609" s="130">
        <v>607</v>
      </c>
      <c r="L609" s="131">
        <v>2400</v>
      </c>
      <c r="M609" s="131">
        <v>467501</v>
      </c>
      <c r="N609" s="131">
        <v>4875</v>
      </c>
      <c r="O609" s="130">
        <v>0.84434751813940045</v>
      </c>
      <c r="P609" s="130">
        <v>0.96965885024962484</v>
      </c>
      <c r="Q609" s="130">
        <v>-0.46654383725105575</v>
      </c>
      <c r="R609" s="130">
        <v>0.46654383725105575</v>
      </c>
      <c r="S609" s="130">
        <f t="shared" si="100"/>
        <v>-1.9441820085743031</v>
      </c>
      <c r="T609" s="148">
        <f t="shared" si="95"/>
        <v>-1.9598161592244112</v>
      </c>
      <c r="U609" s="130">
        <f t="shared" si="101"/>
        <v>2.2327220138745316</v>
      </c>
      <c r="V609" s="132">
        <f t="shared" si="96"/>
        <v>2.2302258968801465</v>
      </c>
      <c r="W609" s="130">
        <f t="shared" si="102"/>
        <v>0.49053113926671726</v>
      </c>
      <c r="X609" s="132">
        <f t="shared" si="97"/>
        <v>0.48702229047856616</v>
      </c>
      <c r="Y609" s="149">
        <v>17.6303333</v>
      </c>
      <c r="Z609" s="132">
        <f t="shared" si="93"/>
        <v>4.4275918441487672E-3</v>
      </c>
      <c r="AA609" s="132">
        <f t="shared" si="98"/>
        <v>4.416668806635206E-3</v>
      </c>
      <c r="AB609" s="132">
        <f t="shared" si="94"/>
        <v>-5.4198994445023905</v>
      </c>
      <c r="AC609" s="132">
        <f t="shared" si="99"/>
        <v>-5.4230627765982078</v>
      </c>
      <c r="AD609" s="55"/>
      <c r="AE609" s="55"/>
      <c r="AF609" s="55"/>
      <c r="AG609" s="55"/>
      <c r="AH609" s="55"/>
    </row>
    <row r="610" spans="1:34" ht="15.75">
      <c r="A610" s="39">
        <v>17.525966700000001</v>
      </c>
      <c r="B610" s="39">
        <v>17.6531667</v>
      </c>
      <c r="C610" s="39">
        <v>608</v>
      </c>
      <c r="D610">
        <v>608</v>
      </c>
      <c r="E610" s="10">
        <v>1655910</v>
      </c>
      <c r="F610" s="10">
        <v>1102280</v>
      </c>
      <c r="G610" s="10">
        <v>17182</v>
      </c>
      <c r="H610" s="10">
        <v>49832</v>
      </c>
      <c r="I610" s="10">
        <v>194389</v>
      </c>
      <c r="J610" s="10">
        <v>28207</v>
      </c>
      <c r="K610">
        <v>608</v>
      </c>
      <c r="L610" s="10">
        <v>2737</v>
      </c>
      <c r="M610" s="10">
        <v>463587</v>
      </c>
      <c r="N610" s="10">
        <v>4641</v>
      </c>
      <c r="O610">
        <v>0.8383147870822355</v>
      </c>
      <c r="P610">
        <v>0.9686229310229183</v>
      </c>
      <c r="Q610">
        <v>-0.46243460316657803</v>
      </c>
      <c r="R610">
        <v>0.46243460316657803</v>
      </c>
      <c r="S610">
        <f t="shared" si="100"/>
        <v>-1.9302911319720331</v>
      </c>
      <c r="T610" s="148">
        <f t="shared" si="95"/>
        <v>-1.9249564611590335</v>
      </c>
      <c r="U610">
        <f t="shared" si="101"/>
        <v>2.2303367217055716</v>
      </c>
      <c r="V610" s="55">
        <f t="shared" si="96"/>
        <v>2.2306117976530051</v>
      </c>
      <c r="W610">
        <f t="shared" si="102"/>
        <v>0.49570784987534566</v>
      </c>
      <c r="X610" s="55">
        <f t="shared" si="97"/>
        <v>0.56571213180676505</v>
      </c>
      <c r="Y610" s="149">
        <v>17.6531667</v>
      </c>
      <c r="Z610" s="55">
        <f t="shared" si="93"/>
        <v>4.2103639728562616E-3</v>
      </c>
      <c r="AA610" s="55">
        <f t="shared" si="98"/>
        <v>4.2733008439929136E-3</v>
      </c>
      <c r="AB610" s="55">
        <f t="shared" si="94"/>
        <v>-5.4702061806646523</v>
      </c>
      <c r="AC610" s="55">
        <f t="shared" si="99"/>
        <v>-5.4556946815804785</v>
      </c>
      <c r="AD610" s="55"/>
      <c r="AE610" s="55"/>
      <c r="AF610" s="55"/>
      <c r="AG610" s="55"/>
      <c r="AH610" s="55"/>
    </row>
    <row r="611" spans="1:34" ht="15.75">
      <c r="A611" s="39">
        <v>17.562000000000001</v>
      </c>
      <c r="B611" s="39">
        <v>17.675999999999998</v>
      </c>
      <c r="C611" s="39">
        <v>609</v>
      </c>
      <c r="D611">
        <v>609</v>
      </c>
      <c r="E611" s="10">
        <v>1325370</v>
      </c>
      <c r="F611" s="10">
        <v>905320</v>
      </c>
      <c r="G611" s="10">
        <v>11084</v>
      </c>
      <c r="H611" s="10">
        <v>39491</v>
      </c>
      <c r="I611" s="10">
        <v>150927</v>
      </c>
      <c r="J611" s="10">
        <v>22565</v>
      </c>
      <c r="K611">
        <v>609</v>
      </c>
      <c r="L611" s="10">
        <v>1921</v>
      </c>
      <c r="M611" s="10">
        <v>366812</v>
      </c>
      <c r="N611" s="10">
        <v>3786</v>
      </c>
      <c r="O611">
        <v>0.82533160173450248</v>
      </c>
      <c r="P611">
        <v>0.96794540369443616</v>
      </c>
      <c r="Q611">
        <v>-0.55180161406831529</v>
      </c>
      <c r="R611">
        <v>0.55180161406831529</v>
      </c>
      <c r="S611">
        <f t="shared" si="100"/>
        <v>-1.9003962429307641</v>
      </c>
      <c r="T611" s="148">
        <f t="shared" si="95"/>
        <v>-1.9172512451257937</v>
      </c>
      <c r="U611">
        <f t="shared" si="101"/>
        <v>2.2287766573789121</v>
      </c>
      <c r="V611" s="55">
        <f t="shared" si="96"/>
        <v>2.2244357297889668</v>
      </c>
      <c r="W611">
        <f t="shared" si="102"/>
        <v>0.71089740627823239</v>
      </c>
      <c r="X611" s="55">
        <f t="shared" si="97"/>
        <v>0.63363778821913963</v>
      </c>
      <c r="Y611" s="149">
        <v>17.675999999999998</v>
      </c>
      <c r="Z611" s="55">
        <f t="shared" si="93"/>
        <v>4.1819467149737111E-3</v>
      </c>
      <c r="AA611" s="55">
        <f t="shared" si="98"/>
        <v>4.1921227210088971E-3</v>
      </c>
      <c r="AB611" s="55">
        <f t="shared" si="94"/>
        <v>-5.4769784195743938</v>
      </c>
      <c r="AC611" s="55">
        <f t="shared" si="99"/>
        <v>-5.47455280521707</v>
      </c>
      <c r="AD611" s="55"/>
      <c r="AE611" s="55"/>
      <c r="AF611" s="55"/>
      <c r="AG611" s="55"/>
      <c r="AH611" s="55"/>
    </row>
    <row r="612" spans="1:34" ht="15.75">
      <c r="A612" s="39">
        <v>17.624391800000001</v>
      </c>
      <c r="B612" s="39">
        <v>17.742061899999999</v>
      </c>
      <c r="C612" s="39">
        <v>610</v>
      </c>
      <c r="D612">
        <v>610</v>
      </c>
      <c r="E612" s="10">
        <v>1291000</v>
      </c>
      <c r="F612" s="10">
        <v>876900</v>
      </c>
      <c r="G612" s="10">
        <v>10761</v>
      </c>
      <c r="H612" s="10">
        <v>38013</v>
      </c>
      <c r="I612" s="10">
        <v>147128</v>
      </c>
      <c r="J612" s="10">
        <v>21547</v>
      </c>
      <c r="K612">
        <v>610</v>
      </c>
      <c r="L612" s="10">
        <v>1862</v>
      </c>
      <c r="M612" s="10">
        <v>347972</v>
      </c>
      <c r="N612" s="10">
        <v>3669</v>
      </c>
      <c r="O612">
        <v>0.83430851972407494</v>
      </c>
      <c r="P612">
        <v>0.96161215366998964</v>
      </c>
      <c r="Q612">
        <v>-0.54807951424094847</v>
      </c>
      <c r="R612">
        <v>0.54807951424094847</v>
      </c>
      <c r="S612">
        <f t="shared" si="100"/>
        <v>-1.9210663604745837</v>
      </c>
      <c r="T612" s="148">
        <f t="shared" si="95"/>
        <v>-1.8957215985877232</v>
      </c>
      <c r="U612">
        <f t="shared" si="101"/>
        <v>2.2141938102824175</v>
      </c>
      <c r="V612" s="55">
        <f t="shared" si="96"/>
        <v>2.2042342424378134</v>
      </c>
      <c r="W612">
        <f t="shared" si="102"/>
        <v>0.69430810850384095</v>
      </c>
      <c r="X612" s="55">
        <f t="shared" si="97"/>
        <v>0.71835846418177152</v>
      </c>
      <c r="Y612" s="149">
        <v>17.742061899999999</v>
      </c>
      <c r="Z612" s="55">
        <f t="shared" si="93"/>
        <v>4.1840574751967159E-3</v>
      </c>
      <c r="AA612" s="55">
        <f t="shared" si="98"/>
        <v>4.0971267824110426E-3</v>
      </c>
      <c r="AB612" s="55">
        <f t="shared" si="94"/>
        <v>-5.4764738154121648</v>
      </c>
      <c r="AC612" s="55">
        <f t="shared" si="99"/>
        <v>-5.4979151103773338</v>
      </c>
      <c r="AD612" s="55"/>
      <c r="AE612" s="55"/>
      <c r="AF612" s="55"/>
      <c r="AG612" s="55"/>
      <c r="AH612" s="55"/>
    </row>
    <row r="613" spans="1:34" ht="15.75">
      <c r="A613" s="39">
        <v>17.686783500000001</v>
      </c>
      <c r="B613" s="39">
        <v>17.808123699999999</v>
      </c>
      <c r="C613" s="39">
        <v>611</v>
      </c>
      <c r="D613">
        <v>611</v>
      </c>
      <c r="E613" s="10">
        <v>1223490</v>
      </c>
      <c r="F613" s="10">
        <v>839410</v>
      </c>
      <c r="G613" s="10">
        <v>10075</v>
      </c>
      <c r="H613" s="10">
        <v>37167</v>
      </c>
      <c r="I613" s="10">
        <v>137776</v>
      </c>
      <c r="J613" s="10">
        <v>21326</v>
      </c>
      <c r="K613">
        <v>611</v>
      </c>
      <c r="L613" s="10">
        <v>1569</v>
      </c>
      <c r="M613" s="10">
        <v>325432</v>
      </c>
      <c r="N613" s="10">
        <v>3295</v>
      </c>
      <c r="O613">
        <v>0.81026416701580117</v>
      </c>
      <c r="P613">
        <v>0.94230274757438526</v>
      </c>
      <c r="Q613">
        <v>-0.56691245285167857</v>
      </c>
      <c r="R613">
        <v>0.56691245285167857</v>
      </c>
      <c r="S613">
        <f t="shared" si="100"/>
        <v>-1.8657021923578216</v>
      </c>
      <c r="T613" s="148">
        <f t="shared" si="95"/>
        <v>-1.8839702632859232</v>
      </c>
      <c r="U613">
        <f t="shared" si="101"/>
        <v>2.1697322596521107</v>
      </c>
      <c r="V613" s="55">
        <f t="shared" si="96"/>
        <v>2.1861590554210331</v>
      </c>
      <c r="W613">
        <f t="shared" si="102"/>
        <v>0.74986987776324099</v>
      </c>
      <c r="X613" s="55">
        <f t="shared" si="97"/>
        <v>0.72289646994990342</v>
      </c>
      <c r="Y613" s="149">
        <v>17.808123699999999</v>
      </c>
      <c r="Z613" s="55">
        <f t="shared" si="93"/>
        <v>3.9253761570626992E-3</v>
      </c>
      <c r="AA613" s="55">
        <f t="shared" si="98"/>
        <v>4.0281166345636403E-3</v>
      </c>
      <c r="AB613" s="55">
        <f t="shared" si="94"/>
        <v>-5.540293096145442</v>
      </c>
      <c r="AC613" s="55">
        <f t="shared" si="99"/>
        <v>-5.5148395021487033</v>
      </c>
      <c r="AD613" s="55"/>
      <c r="AE613" s="55"/>
      <c r="AF613" s="55"/>
      <c r="AG613" s="55"/>
      <c r="AH613" s="55"/>
    </row>
    <row r="614" spans="1:34" ht="15.75">
      <c r="A614" s="39">
        <v>17.749175300000001</v>
      </c>
      <c r="B614" s="39">
        <v>17.874185600000001</v>
      </c>
      <c r="C614" s="39">
        <v>612</v>
      </c>
      <c r="D614">
        <v>612</v>
      </c>
      <c r="E614" s="10">
        <v>1247431.429</v>
      </c>
      <c r="F614" s="10">
        <v>859065.71429999999</v>
      </c>
      <c r="G614" s="10">
        <v>10545.71429</v>
      </c>
      <c r="H614" s="10">
        <v>38034.285709999996</v>
      </c>
      <c r="I614" s="10">
        <v>140523.28570000001</v>
      </c>
      <c r="J614" s="10">
        <v>21763.42857</v>
      </c>
      <c r="K614">
        <v>612</v>
      </c>
      <c r="L614" s="10">
        <v>1588.857143</v>
      </c>
      <c r="M614" s="10">
        <v>334634.57140000002</v>
      </c>
      <c r="N614" s="10">
        <v>3414.7142859999999</v>
      </c>
      <c r="O614">
        <v>0.81002098150480251</v>
      </c>
      <c r="P614">
        <v>0.94439554175216478</v>
      </c>
      <c r="Q614">
        <v>-0.5570992635255605</v>
      </c>
      <c r="R614">
        <v>0.5570992635255605</v>
      </c>
      <c r="S614">
        <f t="shared" si="100"/>
        <v>-1.8651422370253639</v>
      </c>
      <c r="T614" s="148">
        <f t="shared" si="95"/>
        <v>-1.8651494938372004</v>
      </c>
      <c r="U614">
        <f t="shared" si="101"/>
        <v>2.1745510963285706</v>
      </c>
      <c r="V614" s="55">
        <f t="shared" si="96"/>
        <v>2.1744722776618985</v>
      </c>
      <c r="W614">
        <f t="shared" si="102"/>
        <v>0.72451142358262821</v>
      </c>
      <c r="X614" s="55">
        <f t="shared" si="97"/>
        <v>0.72504151146602724</v>
      </c>
      <c r="Y614" s="149">
        <v>17.874185600000001</v>
      </c>
      <c r="Z614" s="55">
        <f t="shared" si="93"/>
        <v>3.9749162714315068E-3</v>
      </c>
      <c r="AA614" s="55">
        <f t="shared" si="98"/>
        <v>3.9741775110745227E-3</v>
      </c>
      <c r="AB614" s="55">
        <f t="shared" si="94"/>
        <v>-5.5277515948885023</v>
      </c>
      <c r="AC614" s="55">
        <f t="shared" si="99"/>
        <v>-5.5279869942010889</v>
      </c>
      <c r="AD614" s="55"/>
      <c r="AE614" s="55"/>
      <c r="AF614" s="55"/>
      <c r="AG614" s="55"/>
      <c r="AH614" s="55"/>
    </row>
    <row r="615" spans="1:34" ht="15.75">
      <c r="A615" s="39">
        <v>17.811567</v>
      </c>
      <c r="B615" s="39">
        <v>17.940247400000001</v>
      </c>
      <c r="C615" s="39">
        <v>613</v>
      </c>
      <c r="D615">
        <v>613</v>
      </c>
      <c r="E615" s="10">
        <v>1271372.8570000001</v>
      </c>
      <c r="F615" s="10">
        <v>878721.42859999998</v>
      </c>
      <c r="G615" s="10">
        <v>11016.42857</v>
      </c>
      <c r="H615" s="10">
        <v>38901.571430000004</v>
      </c>
      <c r="I615" s="10">
        <v>143270.57139999999</v>
      </c>
      <c r="J615" s="10">
        <v>22200.85714</v>
      </c>
      <c r="K615">
        <v>613</v>
      </c>
      <c r="L615" s="10">
        <v>1608.7142859999999</v>
      </c>
      <c r="M615" s="10">
        <v>343837.14289999998</v>
      </c>
      <c r="N615" s="10">
        <v>3534.4285709999999</v>
      </c>
      <c r="O615">
        <v>0.8097872507738143</v>
      </c>
      <c r="P615">
        <v>0.94638564439392436</v>
      </c>
      <c r="Q615">
        <v>-0.54792632216491555</v>
      </c>
      <c r="R615">
        <v>0.54792632216491555</v>
      </c>
      <c r="S615">
        <f t="shared" si="100"/>
        <v>-1.864604052128416</v>
      </c>
      <c r="T615" s="148">
        <f t="shared" si="95"/>
        <v>-1.8646108937806518</v>
      </c>
      <c r="U615">
        <f t="shared" si="101"/>
        <v>2.1791334770050144</v>
      </c>
      <c r="V615" s="55">
        <f t="shared" si="96"/>
        <v>2.1790603356557834</v>
      </c>
      <c r="W615">
        <f t="shared" si="102"/>
        <v>0.70074323305221242</v>
      </c>
      <c r="X615" s="55">
        <f t="shared" si="97"/>
        <v>0.70122292994217228</v>
      </c>
      <c r="Y615" s="149">
        <v>17.940247400000001</v>
      </c>
      <c r="Z615" s="55">
        <f t="shared" si="93"/>
        <v>4.0222401047293639E-3</v>
      </c>
      <c r="AA615" s="55">
        <f t="shared" si="98"/>
        <v>4.0215498354259985E-3</v>
      </c>
      <c r="AB615" s="55">
        <f t="shared" si="94"/>
        <v>-5.5159162915693241</v>
      </c>
      <c r="AC615" s="55">
        <f t="shared" si="99"/>
        <v>-5.5161320980998978</v>
      </c>
      <c r="AD615" s="55"/>
      <c r="AE615" s="55"/>
      <c r="AF615" s="55"/>
      <c r="AG615" s="55"/>
      <c r="AH615" s="55"/>
    </row>
    <row r="616" spans="1:34" ht="15.75">
      <c r="A616" s="39">
        <v>17.8739588</v>
      </c>
      <c r="B616" s="39">
        <v>18.006309300000002</v>
      </c>
      <c r="C616" s="39">
        <v>614</v>
      </c>
      <c r="D616">
        <v>614</v>
      </c>
      <c r="E616" s="10">
        <v>1295314.2860000001</v>
      </c>
      <c r="F616" s="10">
        <v>898377.14289999998</v>
      </c>
      <c r="G616" s="10">
        <v>11487.14286</v>
      </c>
      <c r="H616" s="10">
        <v>39768.85714</v>
      </c>
      <c r="I616" s="10">
        <v>146017.85709999999</v>
      </c>
      <c r="J616" s="10">
        <v>22638.28571</v>
      </c>
      <c r="K616">
        <v>614</v>
      </c>
      <c r="L616" s="10">
        <v>1628.5714290000001</v>
      </c>
      <c r="M616" s="10">
        <v>353039.71429999999</v>
      </c>
      <c r="N616" s="10">
        <v>3654.1428569999998</v>
      </c>
      <c r="O616">
        <v>0.80956243391826566</v>
      </c>
      <c r="P616">
        <v>0.94828045238257397</v>
      </c>
      <c r="Q616">
        <v>-0.53933108839083399</v>
      </c>
      <c r="R616">
        <v>0.53933108839083399</v>
      </c>
      <c r="S616">
        <f t="shared" si="100"/>
        <v>-1.8640863921881756</v>
      </c>
      <c r="T616" s="148">
        <f t="shared" si="95"/>
        <v>-1.864092849837762</v>
      </c>
      <c r="U616">
        <f t="shared" si="101"/>
        <v>2.1834964336337648</v>
      </c>
      <c r="V616" s="55">
        <f t="shared" si="96"/>
        <v>2.1834284357578739</v>
      </c>
      <c r="W616">
        <f t="shared" si="102"/>
        <v>0.67841413319167654</v>
      </c>
      <c r="X616" s="55">
        <f t="shared" si="97"/>
        <v>0.67884984590882202</v>
      </c>
      <c r="Y616" s="149">
        <v>18.006309300000002</v>
      </c>
      <c r="Z616" s="55">
        <f t="shared" si="93"/>
        <v>4.0674931301171238E-3</v>
      </c>
      <c r="AA616" s="55">
        <f t="shared" si="98"/>
        <v>4.0668471980202384E-3</v>
      </c>
      <c r="AB616" s="55">
        <f t="shared" si="94"/>
        <v>-5.5047284078418688</v>
      </c>
      <c r="AC616" s="55">
        <f t="shared" si="99"/>
        <v>-5.5049267627167842</v>
      </c>
      <c r="AD616" s="55"/>
      <c r="AE616" s="55"/>
      <c r="AF616" s="55"/>
      <c r="AG616" s="55"/>
      <c r="AH616" s="55"/>
    </row>
    <row r="617" spans="1:34" ht="15.75">
      <c r="A617" s="39">
        <v>17.9363505</v>
      </c>
      <c r="B617" s="39">
        <v>18.072371100000002</v>
      </c>
      <c r="C617" s="39">
        <v>615</v>
      </c>
      <c r="D617">
        <v>615</v>
      </c>
      <c r="E617" s="10">
        <v>1319255.7139999999</v>
      </c>
      <c r="F617" s="10">
        <v>918032.85710000002</v>
      </c>
      <c r="G617" s="10">
        <v>11957.85714</v>
      </c>
      <c r="H617" s="10">
        <v>40636.14286</v>
      </c>
      <c r="I617" s="10">
        <v>148765.14290000001</v>
      </c>
      <c r="J617" s="10">
        <v>23075.71429</v>
      </c>
      <c r="K617">
        <v>615</v>
      </c>
      <c r="L617" s="10">
        <v>1648.4285709999999</v>
      </c>
      <c r="M617" s="10">
        <v>362242.28570000001</v>
      </c>
      <c r="N617" s="10">
        <v>3773.8571430000002</v>
      </c>
      <c r="O617">
        <v>0.80934603062746102</v>
      </c>
      <c r="P617">
        <v>0.95008666706438216</v>
      </c>
      <c r="Q617">
        <v>-0.5312591178382613</v>
      </c>
      <c r="R617">
        <v>0.53125911783826141</v>
      </c>
      <c r="S617">
        <f t="shared" si="100"/>
        <v>-1.8635881051966943</v>
      </c>
      <c r="T617" s="148">
        <f t="shared" si="95"/>
        <v>-1.8635942068260896</v>
      </c>
      <c r="U617">
        <f t="shared" si="101"/>
        <v>2.1876553966348431</v>
      </c>
      <c r="V617" s="55">
        <f t="shared" si="96"/>
        <v>2.1875920701104716</v>
      </c>
      <c r="W617">
        <f t="shared" si="102"/>
        <v>0.65739217148257689</v>
      </c>
      <c r="X617" s="55">
        <f t="shared" si="97"/>
        <v>0.65778929013830467</v>
      </c>
      <c r="Y617" s="149">
        <v>18.072371100000002</v>
      </c>
      <c r="Z617" s="55">
        <f t="shared" si="93"/>
        <v>4.1108083592142275E-3</v>
      </c>
      <c r="AA617" s="55">
        <f t="shared" si="98"/>
        <v>4.1102030466777665E-3</v>
      </c>
      <c r="AB617" s="55">
        <f t="shared" si="94"/>
        <v>-5.4941355887391596</v>
      </c>
      <c r="AC617" s="55">
        <f t="shared" si="99"/>
        <v>-5.4943183451515845</v>
      </c>
      <c r="AD617" s="55"/>
      <c r="AE617" s="55"/>
      <c r="AF617" s="55"/>
      <c r="AG617" s="55"/>
      <c r="AH617" s="55"/>
    </row>
    <row r="618" spans="1:34" ht="15.75">
      <c r="A618" s="39">
        <v>17.9987423</v>
      </c>
      <c r="B618" s="39">
        <v>18.138432999999999</v>
      </c>
      <c r="C618" s="39">
        <v>616</v>
      </c>
      <c r="D618">
        <v>616</v>
      </c>
      <c r="E618" s="10">
        <v>1343197.1429999999</v>
      </c>
      <c r="F618" s="10">
        <v>937688.57140000002</v>
      </c>
      <c r="G618" s="10">
        <v>12428.57143</v>
      </c>
      <c r="H618" s="10">
        <v>41503.428569999996</v>
      </c>
      <c r="I618" s="10">
        <v>151512.42860000001</v>
      </c>
      <c r="J618" s="10">
        <v>23513.14286</v>
      </c>
      <c r="K618">
        <v>616</v>
      </c>
      <c r="L618" s="10">
        <v>1668.2857140000001</v>
      </c>
      <c r="M618" s="10">
        <v>371444.85710000002</v>
      </c>
      <c r="N618" s="10">
        <v>3893.5714290000001</v>
      </c>
      <c r="O618">
        <v>0.80913757704858769</v>
      </c>
      <c r="P618">
        <v>0.95181037466591234</v>
      </c>
      <c r="Q618">
        <v>-0.52366276231147746</v>
      </c>
      <c r="R618">
        <v>0.52366276231147746</v>
      </c>
      <c r="S618">
        <f t="shared" si="100"/>
        <v>-1.8631081230933992</v>
      </c>
      <c r="T618" s="148">
        <f t="shared" si="95"/>
        <v>-1.86311389462127</v>
      </c>
      <c r="U618">
        <f t="shared" si="101"/>
        <v>2.191624380062807</v>
      </c>
      <c r="V618" s="55">
        <f t="shared" si="96"/>
        <v>2.1915653054177695</v>
      </c>
      <c r="W618">
        <f t="shared" si="102"/>
        <v>0.63756156574066059</v>
      </c>
      <c r="X618" s="55">
        <f t="shared" si="97"/>
        <v>0.63792466052299079</v>
      </c>
      <c r="Y618" s="149">
        <v>18.138432999999999</v>
      </c>
      <c r="Z618" s="55">
        <f t="shared" si="93"/>
        <v>4.1523076507019481E-3</v>
      </c>
      <c r="AA618" s="55">
        <f t="shared" si="98"/>
        <v>4.1517396218821402E-3</v>
      </c>
      <c r="AB618" s="55">
        <f t="shared" si="94"/>
        <v>-5.4840910388737241</v>
      </c>
      <c r="AC618" s="55">
        <f t="shared" si="99"/>
        <v>-5.4842598078940314</v>
      </c>
      <c r="AD618" s="55"/>
      <c r="AE618" s="55"/>
      <c r="AF618" s="55"/>
      <c r="AG618" s="55"/>
      <c r="AH618" s="55"/>
    </row>
    <row r="619" spans="1:34" ht="15.75">
      <c r="A619" s="39">
        <v>18.061133999999999</v>
      </c>
      <c r="B619" s="39">
        <v>18.2044949</v>
      </c>
      <c r="C619" s="39">
        <v>617</v>
      </c>
      <c r="D619">
        <v>617</v>
      </c>
      <c r="E619" s="10">
        <v>1367138.571</v>
      </c>
      <c r="F619" s="10">
        <v>957344.28570000001</v>
      </c>
      <c r="G619" s="10">
        <v>12899.28571</v>
      </c>
      <c r="H619" s="10">
        <v>42370.714290000004</v>
      </c>
      <c r="I619" s="10">
        <v>154259.71429999999</v>
      </c>
      <c r="J619" s="10">
        <v>23950.57143</v>
      </c>
      <c r="K619">
        <v>617</v>
      </c>
      <c r="L619" s="10">
        <v>1688.142857</v>
      </c>
      <c r="M619" s="10">
        <v>380647.42859999998</v>
      </c>
      <c r="N619" s="10">
        <v>4013.2857140000001</v>
      </c>
      <c r="O619">
        <v>0.80893664309783386</v>
      </c>
      <c r="P619">
        <v>0.95345711489036178</v>
      </c>
      <c r="Q619">
        <v>-0.51650012326952199</v>
      </c>
      <c r="R619">
        <v>0.51650012326952199</v>
      </c>
      <c r="S619">
        <f t="shared" si="100"/>
        <v>-1.8626454555737169</v>
      </c>
      <c r="T619" s="148">
        <f t="shared" si="95"/>
        <v>-1.8626509203210633</v>
      </c>
      <c r="U619">
        <f t="shared" si="101"/>
        <v>2.195416139555658</v>
      </c>
      <c r="V619" s="55">
        <f t="shared" si="96"/>
        <v>2.1953609437139336</v>
      </c>
      <c r="W619">
        <f t="shared" si="102"/>
        <v>0.6188202443457349</v>
      </c>
      <c r="X619" s="55">
        <f t="shared" si="97"/>
        <v>0.61915320900603776</v>
      </c>
      <c r="Y619" s="149">
        <v>18.2044949</v>
      </c>
      <c r="Z619" s="55">
        <f t="shared" si="93"/>
        <v>4.1921028557302432E-3</v>
      </c>
      <c r="AA619" s="55">
        <f t="shared" si="98"/>
        <v>4.1915691111512289E-3</v>
      </c>
      <c r="AB619" s="55">
        <f t="shared" si="94"/>
        <v>-5.4745527960692115</v>
      </c>
      <c r="AC619" s="55">
        <f t="shared" si="99"/>
        <v>-5.474708983818708</v>
      </c>
      <c r="AD619" s="55"/>
      <c r="AE619" s="55"/>
      <c r="AF619" s="55"/>
      <c r="AG619" s="55"/>
      <c r="AH619" s="55"/>
    </row>
    <row r="620" spans="1:34" ht="15.75">
      <c r="A620" s="39">
        <v>18.123525799999999</v>
      </c>
      <c r="B620" s="39">
        <v>18.2705567</v>
      </c>
      <c r="C620" s="39">
        <v>618</v>
      </c>
      <c r="D620">
        <v>618</v>
      </c>
      <c r="E620" s="10">
        <v>1391080</v>
      </c>
      <c r="F620" s="10">
        <v>977000</v>
      </c>
      <c r="G620" s="10">
        <v>13370</v>
      </c>
      <c r="H620" s="10">
        <v>43238</v>
      </c>
      <c r="I620" s="10">
        <v>157007</v>
      </c>
      <c r="J620" s="10">
        <v>24388</v>
      </c>
      <c r="K620">
        <v>618</v>
      </c>
      <c r="L620" s="10">
        <v>1708</v>
      </c>
      <c r="M620" s="10">
        <v>389850</v>
      </c>
      <c r="N620" s="10">
        <v>4133</v>
      </c>
      <c r="O620">
        <v>0.80874282907593265</v>
      </c>
      <c r="P620">
        <v>0.95503194136635661</v>
      </c>
      <c r="Q620">
        <v>-0.50973418992835284</v>
      </c>
      <c r="R620">
        <v>0.50973418992835284</v>
      </c>
      <c r="S620">
        <f t="shared" si="100"/>
        <v>-1.862199182296074</v>
      </c>
      <c r="T620" s="148">
        <f t="shared" si="95"/>
        <v>-1.8715197806921273</v>
      </c>
      <c r="U620">
        <f t="shared" si="101"/>
        <v>2.1990423115233364</v>
      </c>
      <c r="V620" s="55">
        <f t="shared" si="96"/>
        <v>2.1792020028467278</v>
      </c>
      <c r="W620">
        <f t="shared" si="102"/>
        <v>0.60107781693171791</v>
      </c>
      <c r="X620" s="55">
        <f t="shared" si="97"/>
        <v>0.57849113546419906</v>
      </c>
      <c r="Y620" s="149">
        <v>18.2705567</v>
      </c>
      <c r="Z620" s="55">
        <f t="shared" si="93"/>
        <v>4.2302968270214944E-3</v>
      </c>
      <c r="AA620" s="55">
        <f t="shared" si="98"/>
        <v>4.2061574886302104E-3</v>
      </c>
      <c r="AB620" s="55">
        <f t="shared" si="94"/>
        <v>-5.4654831165131874</v>
      </c>
      <c r="AC620" s="55">
        <f t="shared" si="99"/>
        <v>-5.4712140517807635</v>
      </c>
      <c r="AD620" s="55"/>
      <c r="AE620" s="55"/>
      <c r="AF620" s="55"/>
      <c r="AG620" s="55"/>
      <c r="AH620" s="55"/>
    </row>
    <row r="621" spans="1:34" ht="15.75">
      <c r="A621" s="39">
        <v>18.185917499999999</v>
      </c>
      <c r="B621" s="39">
        <v>18.336618600000001</v>
      </c>
      <c r="C621" s="39">
        <v>619</v>
      </c>
      <c r="D621">
        <v>619</v>
      </c>
      <c r="E621" s="10">
        <v>1526820</v>
      </c>
      <c r="F621" s="10">
        <v>1041450</v>
      </c>
      <c r="G621" s="10">
        <v>16131</v>
      </c>
      <c r="H621" s="10">
        <v>49138</v>
      </c>
      <c r="I621" s="10">
        <v>178758</v>
      </c>
      <c r="J621" s="10">
        <v>27013</v>
      </c>
      <c r="K621">
        <v>619</v>
      </c>
      <c r="L621" s="10">
        <v>2455</v>
      </c>
      <c r="M621" s="10">
        <v>418962</v>
      </c>
      <c r="N621" s="10">
        <v>4370</v>
      </c>
      <c r="O621">
        <v>0.82069266840835831</v>
      </c>
      <c r="P621">
        <v>0.93075715810982684</v>
      </c>
      <c r="Q621">
        <v>-0.48375618478447852</v>
      </c>
      <c r="R621">
        <v>0.48375618478447852</v>
      </c>
      <c r="S621">
        <f t="shared" si="100"/>
        <v>-1.8897147042065912</v>
      </c>
      <c r="T621" s="148">
        <f t="shared" si="95"/>
        <v>-1.9029219404765809</v>
      </c>
      <c r="U621">
        <f t="shared" si="101"/>
        <v>2.1431475574611896</v>
      </c>
      <c r="V621" s="55">
        <f t="shared" si="96"/>
        <v>2.1721610493858914</v>
      </c>
      <c r="W621">
        <f t="shared" si="102"/>
        <v>0.51557534511514425</v>
      </c>
      <c r="X621" s="55">
        <f t="shared" si="97"/>
        <v>0.56682085481897848</v>
      </c>
      <c r="Y621" s="149">
        <v>18.336618600000001</v>
      </c>
      <c r="Z621" s="55">
        <f t="shared" si="93"/>
        <v>4.1960727831388926E-3</v>
      </c>
      <c r="AA621" s="55">
        <f t="shared" si="98"/>
        <v>4.2830262433593133E-3</v>
      </c>
      <c r="AB621" s="55">
        <f t="shared" si="94"/>
        <v>-5.4736062427598933</v>
      </c>
      <c r="AC621" s="55">
        <f t="shared" si="99"/>
        <v>-5.4533640689559872</v>
      </c>
      <c r="AD621" s="55"/>
      <c r="AE621" s="55"/>
      <c r="AF621" s="55"/>
      <c r="AG621" s="55"/>
      <c r="AH621" s="55"/>
    </row>
    <row r="622" spans="1:34" ht="15.75">
      <c r="A622" s="39">
        <v>18.248309299999999</v>
      </c>
      <c r="B622" s="39">
        <v>18.402680400000001</v>
      </c>
      <c r="C622" s="39">
        <v>620</v>
      </c>
      <c r="D622">
        <v>620</v>
      </c>
      <c r="E622" s="10">
        <v>1492990</v>
      </c>
      <c r="F622" s="10">
        <v>1009110</v>
      </c>
      <c r="G622" s="10">
        <v>14304</v>
      </c>
      <c r="H622" s="10">
        <v>46512</v>
      </c>
      <c r="I622" s="10">
        <v>181490</v>
      </c>
      <c r="J622" s="10">
        <v>25645</v>
      </c>
      <c r="K622">
        <v>620</v>
      </c>
      <c r="L622" s="10">
        <v>2342</v>
      </c>
      <c r="M622" s="10">
        <v>409118</v>
      </c>
      <c r="N622" s="10">
        <v>4463</v>
      </c>
      <c r="O622">
        <v>0.84984999724053101</v>
      </c>
      <c r="P622">
        <v>0.94428357318422496</v>
      </c>
      <c r="Q622">
        <v>-0.51210751297451007</v>
      </c>
      <c r="R622">
        <v>0.51210751297451007</v>
      </c>
      <c r="S622">
        <f t="shared" si="100"/>
        <v>-1.9568519349270774</v>
      </c>
      <c r="T622" s="148">
        <f t="shared" si="95"/>
        <v>-1.9487137030741526</v>
      </c>
      <c r="U622">
        <f t="shared" si="101"/>
        <v>2.1742932791731482</v>
      </c>
      <c r="V622" s="55">
        <f t="shared" si="96"/>
        <v>2.1600055287816708</v>
      </c>
      <c r="W622">
        <f t="shared" si="102"/>
        <v>0.5838094024100734</v>
      </c>
      <c r="X622" s="55">
        <f t="shared" si="97"/>
        <v>0.54846181838985586</v>
      </c>
      <c r="Y622" s="149">
        <v>18.402680400000001</v>
      </c>
      <c r="Z622" s="55">
        <f t="shared" si="93"/>
        <v>4.4227091199175511E-3</v>
      </c>
      <c r="AA622" s="55">
        <f t="shared" si="98"/>
        <v>4.3546358642724426E-3</v>
      </c>
      <c r="AB622" s="55">
        <f t="shared" si="94"/>
        <v>-5.4210028475948802</v>
      </c>
      <c r="AC622" s="55">
        <f t="shared" si="99"/>
        <v>-5.4368520747030686</v>
      </c>
      <c r="AD622" s="55"/>
      <c r="AE622" s="55"/>
      <c r="AF622" s="55"/>
      <c r="AG622" s="55"/>
      <c r="AH622" s="55"/>
    </row>
    <row r="623" spans="1:34" ht="15.75">
      <c r="A623" s="39">
        <v>18.310701000000002</v>
      </c>
      <c r="B623" s="39">
        <v>18.468742299999999</v>
      </c>
      <c r="C623" s="39">
        <v>621</v>
      </c>
      <c r="D623">
        <v>621</v>
      </c>
      <c r="E623" s="10">
        <v>1517950</v>
      </c>
      <c r="F623" s="10">
        <v>1011220</v>
      </c>
      <c r="G623" s="10">
        <v>14737</v>
      </c>
      <c r="H623" s="10">
        <v>47439</v>
      </c>
      <c r="I623" s="10">
        <v>187905</v>
      </c>
      <c r="J623" s="10">
        <v>25441</v>
      </c>
      <c r="K623">
        <v>621</v>
      </c>
      <c r="L623" s="10">
        <v>2069</v>
      </c>
      <c r="M623" s="10">
        <v>412411</v>
      </c>
      <c r="N623" s="10">
        <v>4495</v>
      </c>
      <c r="O623">
        <v>0.86840415851417996</v>
      </c>
      <c r="P623">
        <v>0.9391947147971339</v>
      </c>
      <c r="Q623">
        <v>-0.50772644213465623</v>
      </c>
      <c r="R623">
        <v>0.50772644213465623</v>
      </c>
      <c r="S623">
        <f t="shared" si="100"/>
        <v>-1.999574470088789</v>
      </c>
      <c r="T623" s="148">
        <f t="shared" si="95"/>
        <v>-2.0343449821121431</v>
      </c>
      <c r="U623">
        <f t="shared" si="101"/>
        <v>2.1625757497106748</v>
      </c>
      <c r="V623" s="55">
        <f t="shared" si="96"/>
        <v>2.1621321866366938</v>
      </c>
      <c r="W623">
        <f t="shared" si="102"/>
        <v>0.54600070764435005</v>
      </c>
      <c r="X623" s="55">
        <f t="shared" si="97"/>
        <v>0.55434125687852254</v>
      </c>
      <c r="Y623" s="149">
        <v>18.468742299999999</v>
      </c>
      <c r="Z623" s="55">
        <f t="shared" si="93"/>
        <v>4.4451256897608833E-3</v>
      </c>
      <c r="AA623" s="55">
        <f t="shared" si="98"/>
        <v>4.5083060678374086E-3</v>
      </c>
      <c r="AB623" s="55">
        <f t="shared" si="94"/>
        <v>-5.4159471337544307</v>
      </c>
      <c r="AC623" s="55">
        <f t="shared" si="99"/>
        <v>-5.4021052964302703</v>
      </c>
      <c r="AD623" s="55"/>
      <c r="AE623" s="55"/>
      <c r="AF623" s="55"/>
      <c r="AG623" s="55"/>
      <c r="AH623" s="55"/>
    </row>
    <row r="624" spans="1:34" ht="15.75">
      <c r="A624" s="39">
        <v>18.373092799999998</v>
      </c>
      <c r="B624" s="39">
        <v>18.534804099999999</v>
      </c>
      <c r="C624" s="39">
        <v>622</v>
      </c>
      <c r="D624">
        <v>622</v>
      </c>
      <c r="E624" s="10">
        <v>1614240</v>
      </c>
      <c r="F624" s="10">
        <v>1033050</v>
      </c>
      <c r="G624" s="10">
        <v>15406</v>
      </c>
      <c r="H624" s="10">
        <v>48352</v>
      </c>
      <c r="I624" s="10">
        <v>224658</v>
      </c>
      <c r="J624" s="10">
        <v>26258</v>
      </c>
      <c r="K624">
        <v>622</v>
      </c>
      <c r="L624" s="10">
        <v>2238</v>
      </c>
      <c r="M624" s="10">
        <v>414899</v>
      </c>
      <c r="N624" s="10">
        <v>4811</v>
      </c>
      <c r="O624">
        <v>0.9322602443019089</v>
      </c>
      <c r="P624">
        <v>0.933527945423825</v>
      </c>
      <c r="Q624">
        <v>-0.49672454913374736</v>
      </c>
      <c r="R624">
        <v>0.49672454913374731</v>
      </c>
      <c r="S624">
        <f t="shared" si="100"/>
        <v>-2.1466085413205627</v>
      </c>
      <c r="T624" s="148">
        <f t="shared" si="95"/>
        <v>-2.0725996004575693</v>
      </c>
      <c r="U624">
        <f t="shared" si="101"/>
        <v>2.1495275310262585</v>
      </c>
      <c r="V624" s="55">
        <f t="shared" si="96"/>
        <v>2.1845579553575587</v>
      </c>
      <c r="W624">
        <f t="shared" si="102"/>
        <v>0.5332136605811445</v>
      </c>
      <c r="X624" s="55">
        <f t="shared" si="97"/>
        <v>0.54992582220087938</v>
      </c>
      <c r="Y624" s="149">
        <v>18.534804099999999</v>
      </c>
      <c r="Z624" s="55">
        <f t="shared" si="93"/>
        <v>4.6570833938337931E-3</v>
      </c>
      <c r="AA624" s="55">
        <f t="shared" si="98"/>
        <v>4.6236709233412896E-3</v>
      </c>
      <c r="AB624" s="55">
        <f t="shared" si="94"/>
        <v>-5.3693659079414999</v>
      </c>
      <c r="AC624" s="55">
        <f t="shared" si="99"/>
        <v>-5.3769909489080021</v>
      </c>
      <c r="AD624" s="55"/>
      <c r="AE624" s="55"/>
      <c r="AF624" s="55"/>
      <c r="AG624" s="55"/>
      <c r="AH624" s="55"/>
    </row>
    <row r="625" spans="1:34" ht="15.75">
      <c r="A625" s="39">
        <v>18.435484500000001</v>
      </c>
      <c r="B625" s="39">
        <v>18.600866</v>
      </c>
      <c r="C625" s="39">
        <v>623</v>
      </c>
      <c r="D625">
        <v>623</v>
      </c>
      <c r="E625" s="10">
        <v>1577080</v>
      </c>
      <c r="F625" s="10">
        <v>1069870</v>
      </c>
      <c r="G625" s="10">
        <v>14302</v>
      </c>
      <c r="H625" s="10">
        <v>46962</v>
      </c>
      <c r="I625" s="10">
        <v>200854</v>
      </c>
      <c r="J625" s="10">
        <v>25304</v>
      </c>
      <c r="K625">
        <v>623</v>
      </c>
      <c r="L625" s="10">
        <v>2112</v>
      </c>
      <c r="M625" s="10">
        <v>441823</v>
      </c>
      <c r="N625" s="10">
        <v>5102</v>
      </c>
      <c r="O625">
        <v>0.8996913062047317</v>
      </c>
      <c r="P625">
        <v>0.97350173600795598</v>
      </c>
      <c r="Q625">
        <v>-0.51634981049867601</v>
      </c>
      <c r="R625">
        <v>0.51634981049867601</v>
      </c>
      <c r="S625">
        <f t="shared" si="100"/>
        <v>-2.0716157899633565</v>
      </c>
      <c r="T625" s="148">
        <f t="shared" si="95"/>
        <v>-2.0892758044642772</v>
      </c>
      <c r="U625">
        <f t="shared" si="101"/>
        <v>2.2415705853357442</v>
      </c>
      <c r="V625" s="55">
        <f t="shared" si="96"/>
        <v>2.1840754742123565</v>
      </c>
      <c r="W625">
        <f t="shared" si="102"/>
        <v>0.57056309837714358</v>
      </c>
      <c r="X625" s="55">
        <f t="shared" si="97"/>
        <v>0.55473332003906217</v>
      </c>
      <c r="Y625" s="149">
        <v>18.600866</v>
      </c>
      <c r="Z625" s="55">
        <f t="shared" si="93"/>
        <v>4.7688036864291924E-3</v>
      </c>
      <c r="AA625" s="55">
        <f t="shared" si="98"/>
        <v>4.7885935541142439E-3</v>
      </c>
      <c r="AB625" s="55">
        <f t="shared" si="94"/>
        <v>-5.3456598050280739</v>
      </c>
      <c r="AC625" s="55">
        <f t="shared" si="99"/>
        <v>-5.3418124010243444</v>
      </c>
      <c r="AD625" s="55"/>
      <c r="AE625" s="55"/>
      <c r="AF625" s="55"/>
      <c r="AG625" s="55"/>
      <c r="AH625" s="55"/>
    </row>
    <row r="626" spans="1:34" ht="15.75">
      <c r="A626" s="39">
        <v>18.497876300000001</v>
      </c>
      <c r="B626" s="39">
        <v>18.6669278</v>
      </c>
      <c r="C626" s="39">
        <v>624</v>
      </c>
      <c r="D626">
        <v>624</v>
      </c>
      <c r="E626" s="10">
        <v>1579650</v>
      </c>
      <c r="F626" s="10">
        <v>1065610</v>
      </c>
      <c r="G626" s="10">
        <v>15210</v>
      </c>
      <c r="H626" s="10">
        <v>47989</v>
      </c>
      <c r="I626" s="10">
        <v>206847</v>
      </c>
      <c r="J626" s="10">
        <v>26639</v>
      </c>
      <c r="K626">
        <v>624</v>
      </c>
      <c r="L626" s="10">
        <v>2552</v>
      </c>
      <c r="M626" s="10">
        <v>416589</v>
      </c>
      <c r="N626" s="10">
        <v>5264</v>
      </c>
      <c r="O626">
        <v>0.89013130865179857</v>
      </c>
      <c r="P626">
        <v>0.93856609810018221</v>
      </c>
      <c r="Q626">
        <v>-0.49901248609807669</v>
      </c>
      <c r="R626">
        <v>0.49901248609807669</v>
      </c>
      <c r="S626">
        <f t="shared" si="100"/>
        <v>-2.0496030821089133</v>
      </c>
      <c r="T626" s="148">
        <f t="shared" si="95"/>
        <v>-2.0690289619116853</v>
      </c>
      <c r="U626">
        <f t="shared" si="101"/>
        <v>2.1611283062750668</v>
      </c>
      <c r="V626" s="55">
        <f t="shared" si="96"/>
        <v>2.1982244496266845</v>
      </c>
      <c r="W626">
        <f t="shared" si="102"/>
        <v>0.56042320115889832</v>
      </c>
      <c r="X626" s="55">
        <f t="shared" si="97"/>
        <v>0.58782672465783536</v>
      </c>
      <c r="Y626" s="149">
        <v>18.6669278</v>
      </c>
      <c r="Z626" s="55">
        <f t="shared" si="93"/>
        <v>4.939893582079748E-3</v>
      </c>
      <c r="AA626" s="55">
        <f t="shared" si="98"/>
        <v>4.8657374011002313E-3</v>
      </c>
      <c r="AB626" s="55">
        <f t="shared" si="94"/>
        <v>-5.3104114901034603</v>
      </c>
      <c r="AC626" s="55">
        <f t="shared" si="99"/>
        <v>-5.3256460036893207</v>
      </c>
      <c r="AD626" s="55"/>
      <c r="AE626" s="55"/>
      <c r="AF626" s="55"/>
      <c r="AG626" s="55"/>
      <c r="AH626" s="55"/>
    </row>
    <row r="627" spans="1:34" ht="15.75">
      <c r="A627" s="39">
        <v>18.560268000000001</v>
      </c>
      <c r="B627" s="39">
        <v>18.732989700000001</v>
      </c>
      <c r="C627" s="39">
        <v>625</v>
      </c>
      <c r="D627">
        <v>625</v>
      </c>
      <c r="E627" s="10">
        <v>1610800</v>
      </c>
      <c r="F627" s="10">
        <v>1069650</v>
      </c>
      <c r="G627" s="10">
        <v>14163</v>
      </c>
      <c r="H627" s="10">
        <v>47446</v>
      </c>
      <c r="I627" s="10">
        <v>214647</v>
      </c>
      <c r="J627" s="10">
        <v>26659</v>
      </c>
      <c r="K627">
        <v>625</v>
      </c>
      <c r="L627" s="10">
        <v>2114</v>
      </c>
      <c r="M627" s="10">
        <v>424778</v>
      </c>
      <c r="N627" s="10">
        <v>5229</v>
      </c>
      <c r="O627">
        <v>0.90588096831224452</v>
      </c>
      <c r="P627">
        <v>0.95196241126490744</v>
      </c>
      <c r="Q627">
        <v>-0.52504434936469901</v>
      </c>
      <c r="R627">
        <v>0.52504434936469901</v>
      </c>
      <c r="S627">
        <f t="shared" si="100"/>
        <v>-2.0858680136627856</v>
      </c>
      <c r="T627" s="148">
        <f t="shared" si="95"/>
        <v>-2.0741786942400782</v>
      </c>
      <c r="U627">
        <f t="shared" si="101"/>
        <v>2.191974457269243</v>
      </c>
      <c r="V627" s="55">
        <f t="shared" si="96"/>
        <v>2.1765862469048649</v>
      </c>
      <c r="W627">
        <f t="shared" si="102"/>
        <v>0.63249387443746452</v>
      </c>
      <c r="X627" s="55">
        <f t="shared" si="97"/>
        <v>0.61260525815528666</v>
      </c>
      <c r="Y627" s="149">
        <v>18.732989700000001</v>
      </c>
      <c r="Z627" s="55">
        <f t="shared" si="93"/>
        <v>4.8885149347917545E-3</v>
      </c>
      <c r="AA627" s="55">
        <f t="shared" si="98"/>
        <v>4.8173008309250389E-3</v>
      </c>
      <c r="AB627" s="55">
        <f t="shared" si="94"/>
        <v>-5.3208667159364289</v>
      </c>
      <c r="AC627" s="55">
        <f t="shared" si="99"/>
        <v>-5.3359609313057392</v>
      </c>
      <c r="AD627" s="55"/>
      <c r="AE627" s="55"/>
      <c r="AF627" s="55"/>
      <c r="AG627" s="55"/>
      <c r="AH627" s="55"/>
    </row>
    <row r="628" spans="1:34" ht="15.75">
      <c r="A628" s="39">
        <v>18.622659800000001</v>
      </c>
      <c r="B628" s="39">
        <v>18.799051599999999</v>
      </c>
      <c r="C628" s="39">
        <v>626</v>
      </c>
      <c r="D628">
        <v>626</v>
      </c>
      <c r="E628" s="10">
        <v>1611400</v>
      </c>
      <c r="F628" s="10">
        <v>1062400</v>
      </c>
      <c r="G628" s="10">
        <v>13842</v>
      </c>
      <c r="H628" s="10">
        <v>48088</v>
      </c>
      <c r="I628" s="10">
        <v>212655</v>
      </c>
      <c r="J628" s="10">
        <v>26380</v>
      </c>
      <c r="K628">
        <v>626</v>
      </c>
      <c r="L628" s="10">
        <v>2380</v>
      </c>
      <c r="M628" s="10">
        <v>423981</v>
      </c>
      <c r="N628" s="10">
        <v>4912</v>
      </c>
      <c r="O628">
        <v>0.90640080720523142</v>
      </c>
      <c r="P628">
        <v>0.94530967988678527</v>
      </c>
      <c r="Q628">
        <v>-0.54083787005582318</v>
      </c>
      <c r="R628">
        <v>0.54083787005582318</v>
      </c>
      <c r="S628">
        <f t="shared" si="100"/>
        <v>-2.087064986948536</v>
      </c>
      <c r="T628" s="148">
        <f t="shared" si="95"/>
        <v>-2.0992480399345372</v>
      </c>
      <c r="U628">
        <f t="shared" si="101"/>
        <v>2.1766559771702849</v>
      </c>
      <c r="V628" s="55">
        <f t="shared" si="96"/>
        <v>2.1867849622031748</v>
      </c>
      <c r="W628">
        <f t="shared" si="102"/>
        <v>0.64489869886949691</v>
      </c>
      <c r="X628" s="55">
        <f t="shared" si="97"/>
        <v>0.63884209819742965</v>
      </c>
      <c r="Y628" s="149">
        <v>18.799051599999999</v>
      </c>
      <c r="Z628" s="55">
        <f t="shared" si="93"/>
        <v>4.6234939759036142E-3</v>
      </c>
      <c r="AA628" s="55">
        <f t="shared" si="98"/>
        <v>4.6808822816023785E-3</v>
      </c>
      <c r="AB628" s="55">
        <f t="shared" si="94"/>
        <v>-5.3766045878773285</v>
      </c>
      <c r="AC628" s="55">
        <f t="shared" si="99"/>
        <v>-5.3647879429695102</v>
      </c>
      <c r="AD628" s="55"/>
      <c r="AE628" s="55"/>
      <c r="AF628" s="55"/>
      <c r="AG628" s="55"/>
      <c r="AH628" s="55"/>
    </row>
    <row r="629" spans="1:34" ht="15.75">
      <c r="A629" s="39">
        <v>18.685051600000001</v>
      </c>
      <c r="B629" s="39">
        <v>18.865113399999998</v>
      </c>
      <c r="C629" s="39">
        <v>627</v>
      </c>
      <c r="D629">
        <v>627</v>
      </c>
      <c r="E629" s="10">
        <v>1635620</v>
      </c>
      <c r="F629" s="10">
        <v>1064530</v>
      </c>
      <c r="G629" s="10">
        <v>13950</v>
      </c>
      <c r="H629" s="10">
        <v>48050</v>
      </c>
      <c r="I629" s="10">
        <v>221279</v>
      </c>
      <c r="J629" s="10">
        <v>26433</v>
      </c>
      <c r="K629">
        <v>627</v>
      </c>
      <c r="L629" s="10">
        <v>1827</v>
      </c>
      <c r="M629" s="10">
        <v>430078</v>
      </c>
      <c r="N629" s="10">
        <v>4823</v>
      </c>
      <c r="O629">
        <v>0.92279374415188453</v>
      </c>
      <c r="P629">
        <v>0.95185383542985724</v>
      </c>
      <c r="Q629">
        <v>-0.53711918439494777</v>
      </c>
      <c r="R629">
        <v>0.53711918439494788</v>
      </c>
      <c r="S629">
        <f t="shared" si="100"/>
        <v>-2.1248111191922905</v>
      </c>
      <c r="T629" s="148">
        <f t="shared" si="95"/>
        <v>-2.0897880337482451</v>
      </c>
      <c r="U629">
        <f t="shared" si="101"/>
        <v>2.1917244521699968</v>
      </c>
      <c r="V629" s="55">
        <f t="shared" si="96"/>
        <v>2.2032973611242581</v>
      </c>
      <c r="W629">
        <f t="shared" si="102"/>
        <v>0.63913372128532775</v>
      </c>
      <c r="X629" s="55">
        <f t="shared" si="97"/>
        <v>0.65334085640538719</v>
      </c>
      <c r="Y629" s="149">
        <v>18.865113399999998</v>
      </c>
      <c r="Z629" s="55">
        <f t="shared" si="93"/>
        <v>4.5306379341117677E-3</v>
      </c>
      <c r="AA629" s="55">
        <f t="shared" si="98"/>
        <v>4.5957116836235533E-3</v>
      </c>
      <c r="AB629" s="55">
        <f t="shared" si="94"/>
        <v>-5.3968925250947732</v>
      </c>
      <c r="AC629" s="55">
        <f t="shared" si="99"/>
        <v>-5.3826823691962504</v>
      </c>
      <c r="AD629" s="55"/>
      <c r="AE629" s="55"/>
      <c r="AF629" s="55"/>
      <c r="AG629" s="55"/>
      <c r="AH629" s="55"/>
    </row>
    <row r="630" spans="1:34" ht="15.75">
      <c r="A630" s="39">
        <v>18.7474433</v>
      </c>
      <c r="B630" s="39">
        <v>18.9311753</v>
      </c>
      <c r="C630" s="39">
        <v>628</v>
      </c>
      <c r="D630">
        <v>628</v>
      </c>
      <c r="E630" s="10">
        <v>1476590</v>
      </c>
      <c r="F630" s="10">
        <v>1034750</v>
      </c>
      <c r="G630" s="10">
        <v>12257</v>
      </c>
      <c r="H630" s="10">
        <v>42538</v>
      </c>
      <c r="I630" s="10">
        <v>188590</v>
      </c>
      <c r="J630" s="10">
        <v>24097</v>
      </c>
      <c r="K630">
        <v>628</v>
      </c>
      <c r="L630" s="10">
        <v>1616</v>
      </c>
      <c r="M630" s="10">
        <v>400178</v>
      </c>
      <c r="N630" s="10">
        <v>4794</v>
      </c>
      <c r="O630">
        <v>0.89355568285581244</v>
      </c>
      <c r="P630">
        <v>0.9734761424681424</v>
      </c>
      <c r="Q630">
        <v>-0.54039288081873404</v>
      </c>
      <c r="R630">
        <v>0.54039288081873416</v>
      </c>
      <c r="S630">
        <f t="shared" si="100"/>
        <v>-2.0574879951039087</v>
      </c>
      <c r="T630" s="148">
        <f t="shared" si="95"/>
        <v>-2.0476399720608653</v>
      </c>
      <c r="U630">
        <f t="shared" si="101"/>
        <v>2.2415116540324926</v>
      </c>
      <c r="V630" s="55">
        <f t="shared" si="96"/>
        <v>2.2024231527308</v>
      </c>
      <c r="W630">
        <f t="shared" si="102"/>
        <v>0.67599014906133692</v>
      </c>
      <c r="X630" s="55">
        <f t="shared" si="97"/>
        <v>0.63902717147666255</v>
      </c>
      <c r="Y630" s="149">
        <v>18.9311753</v>
      </c>
      <c r="Z630" s="55">
        <f t="shared" si="93"/>
        <v>4.633003140855279E-3</v>
      </c>
      <c r="AA630" s="55">
        <f t="shared" si="98"/>
        <v>4.484624472831082E-3</v>
      </c>
      <c r="AB630" s="55">
        <f t="shared" si="94"/>
        <v>-5.3745499946166495</v>
      </c>
      <c r="AC630" s="55">
        <f t="shared" si="99"/>
        <v>-5.4076189692966947</v>
      </c>
      <c r="AD630" s="55"/>
      <c r="AE630" s="55"/>
      <c r="AF630" s="55"/>
      <c r="AG630" s="55"/>
      <c r="AH630" s="55"/>
    </row>
    <row r="631" spans="1:34" ht="15.75">
      <c r="A631" s="39">
        <v>18.809835100000001</v>
      </c>
      <c r="B631" s="39">
        <v>18.9972371</v>
      </c>
      <c r="C631" s="39">
        <v>629</v>
      </c>
      <c r="D631">
        <v>629</v>
      </c>
      <c r="E631" s="10">
        <v>1535470</v>
      </c>
      <c r="F631" s="10">
        <v>1040270</v>
      </c>
      <c r="G631" s="10">
        <v>14325</v>
      </c>
      <c r="H631" s="10">
        <v>46302</v>
      </c>
      <c r="I631" s="10">
        <v>185784</v>
      </c>
      <c r="J631" s="10">
        <v>26153</v>
      </c>
      <c r="K631">
        <v>629</v>
      </c>
      <c r="L631" s="10">
        <v>1788</v>
      </c>
      <c r="M631" s="10">
        <v>407165</v>
      </c>
      <c r="N631" s="10">
        <v>4463</v>
      </c>
      <c r="O631">
        <v>0.85148679536399041</v>
      </c>
      <c r="P631">
        <v>0.94417068824284833</v>
      </c>
      <c r="Q631">
        <v>-0.5095051199941697</v>
      </c>
      <c r="R631">
        <v>0.5095051199941697</v>
      </c>
      <c r="S631">
        <f t="shared" si="100"/>
        <v>-1.9606208018863958</v>
      </c>
      <c r="T631" s="148">
        <f t="shared" si="95"/>
        <v>-2.0351590161105872</v>
      </c>
      <c r="U631">
        <f t="shared" si="101"/>
        <v>2.1740333519899111</v>
      </c>
      <c r="V631" s="55">
        <f t="shared" si="96"/>
        <v>2.2011471053564087</v>
      </c>
      <c r="W631">
        <f t="shared" si="102"/>
        <v>0.60195764408332297</v>
      </c>
      <c r="X631" s="55">
        <f t="shared" si="97"/>
        <v>0.64243272708436572</v>
      </c>
      <c r="Y631" s="149">
        <v>18.9972371</v>
      </c>
      <c r="Z631" s="55">
        <f t="shared" si="93"/>
        <v>4.2902323435262003E-3</v>
      </c>
      <c r="AA631" s="55">
        <f t="shared" si="98"/>
        <v>4.4978580776495391E-3</v>
      </c>
      <c r="AB631" s="55">
        <f t="shared" si="94"/>
        <v>-5.4514143881786588</v>
      </c>
      <c r="AC631" s="55">
        <f t="shared" si="99"/>
        <v>-5.4047107784018236</v>
      </c>
      <c r="AD631" s="55"/>
      <c r="AE631" s="55"/>
      <c r="AF631" s="55"/>
      <c r="AG631" s="55"/>
      <c r="AH631" s="55"/>
    </row>
    <row r="632" spans="1:34" ht="15.75">
      <c r="A632" s="39">
        <v>18.8722268</v>
      </c>
      <c r="B632" s="39">
        <v>19.063299000000001</v>
      </c>
      <c r="C632" s="39">
        <v>630</v>
      </c>
      <c r="D632">
        <v>630</v>
      </c>
      <c r="E632" s="10">
        <v>1481180</v>
      </c>
      <c r="F632" s="10">
        <v>1011960</v>
      </c>
      <c r="G632" s="10">
        <v>12800</v>
      </c>
      <c r="H632" s="10">
        <v>43344</v>
      </c>
      <c r="I632" s="10">
        <v>197584</v>
      </c>
      <c r="J632" s="10">
        <v>24503</v>
      </c>
      <c r="K632">
        <v>630</v>
      </c>
      <c r="L632" s="10">
        <v>1797</v>
      </c>
      <c r="M632" s="10">
        <v>386474</v>
      </c>
      <c r="N632" s="10">
        <v>4625</v>
      </c>
      <c r="O632">
        <v>0.90653251325763518</v>
      </c>
      <c r="P632">
        <v>0.9501912944298212</v>
      </c>
      <c r="Q632">
        <v>-0.52971901804122457</v>
      </c>
      <c r="R632">
        <v>0.52971901804122468</v>
      </c>
      <c r="S632">
        <f t="shared" si="100"/>
        <v>-2.087368251341458</v>
      </c>
      <c r="T632" s="148">
        <f t="shared" si="95"/>
        <v>-2.063024772361985</v>
      </c>
      <c r="U632">
        <f t="shared" si="101"/>
        <v>2.1878963100468223</v>
      </c>
      <c r="V632" s="55">
        <f t="shared" si="96"/>
        <v>2.1621136836223278</v>
      </c>
      <c r="W632">
        <f t="shared" si="102"/>
        <v>0.64935038810843726</v>
      </c>
      <c r="X632" s="55">
        <f t="shared" si="97"/>
        <v>0.61725284708689854</v>
      </c>
      <c r="Y632" s="149">
        <v>19.063299000000001</v>
      </c>
      <c r="Z632" s="55">
        <f t="shared" si="93"/>
        <v>4.5703387485671373E-3</v>
      </c>
      <c r="AA632" s="55">
        <f t="shared" si="98"/>
        <v>4.4899142796914239E-3</v>
      </c>
      <c r="AB632" s="55">
        <f t="shared" si="94"/>
        <v>-5.3881679524101616</v>
      </c>
      <c r="AC632" s="55">
        <f t="shared" si="99"/>
        <v>-5.4064298143777618</v>
      </c>
      <c r="AD632" s="55"/>
      <c r="AE632" s="55"/>
      <c r="AF632" s="55"/>
      <c r="AG632" s="55"/>
      <c r="AH632" s="55"/>
    </row>
    <row r="633" spans="1:34" ht="15.75">
      <c r="A633" s="39">
        <v>18.9346186</v>
      </c>
      <c r="B633" s="39">
        <v>19.129360800000001</v>
      </c>
      <c r="C633" s="39">
        <v>631</v>
      </c>
      <c r="D633">
        <v>631</v>
      </c>
      <c r="E633" s="10">
        <v>1586420</v>
      </c>
      <c r="F633" s="10">
        <v>1030120</v>
      </c>
      <c r="G633" s="10">
        <v>14368</v>
      </c>
      <c r="H633" s="10">
        <v>47550</v>
      </c>
      <c r="I633" s="10">
        <v>222859</v>
      </c>
      <c r="J633" s="10">
        <v>26192</v>
      </c>
      <c r="K633">
        <v>631</v>
      </c>
      <c r="L633" s="10">
        <v>2230</v>
      </c>
      <c r="M633" s="10">
        <v>397897</v>
      </c>
      <c r="N633" s="10">
        <v>4748</v>
      </c>
      <c r="O633">
        <v>0.92986151537794148</v>
      </c>
      <c r="P633">
        <v>0.92262014346140153</v>
      </c>
      <c r="Q633">
        <v>-0.51975420195020361</v>
      </c>
      <c r="R633">
        <v>0.51975420195020361</v>
      </c>
      <c r="S633">
        <f t="shared" si="100"/>
        <v>-2.1410852638581015</v>
      </c>
      <c r="T633" s="148">
        <f t="shared" si="95"/>
        <v>-2.134777203585438</v>
      </c>
      <c r="U633">
        <f t="shared" si="101"/>
        <v>2.1244113888302509</v>
      </c>
      <c r="V633" s="55">
        <f t="shared" si="96"/>
        <v>2.1643552680750155</v>
      </c>
      <c r="W633">
        <f t="shared" si="102"/>
        <v>0.60045050906893527</v>
      </c>
      <c r="X633" s="55">
        <f t="shared" si="97"/>
        <v>0.59862624295243505</v>
      </c>
      <c r="Y633" s="149">
        <v>19.129360800000001</v>
      </c>
      <c r="Z633" s="55">
        <f t="shared" si="93"/>
        <v>4.6091717469809342E-3</v>
      </c>
      <c r="AA633" s="55">
        <f t="shared" si="98"/>
        <v>4.5013901062983105E-3</v>
      </c>
      <c r="AB633" s="55">
        <f t="shared" si="94"/>
        <v>-5.3797071025444652</v>
      </c>
      <c r="AC633" s="55">
        <f t="shared" si="99"/>
        <v>-5.4037656167358987</v>
      </c>
      <c r="AD633" s="55"/>
      <c r="AE633" s="55"/>
      <c r="AF633" s="55"/>
      <c r="AG633" s="55"/>
      <c r="AH633" s="55"/>
    </row>
    <row r="634" spans="1:34" ht="15.75">
      <c r="A634" s="39">
        <v>18.997010299999999</v>
      </c>
      <c r="B634" s="39">
        <v>19.195422700000002</v>
      </c>
      <c r="C634" s="39">
        <v>632</v>
      </c>
      <c r="D634">
        <v>632</v>
      </c>
      <c r="E634" s="10">
        <v>1627880</v>
      </c>
      <c r="F634" s="10">
        <v>1047250</v>
      </c>
      <c r="G634" s="10">
        <v>14916</v>
      </c>
      <c r="H634" s="10">
        <v>47658</v>
      </c>
      <c r="I634" s="10">
        <v>226873</v>
      </c>
      <c r="J634" s="10">
        <v>25752</v>
      </c>
      <c r="K634">
        <v>632</v>
      </c>
      <c r="L634" s="10">
        <v>1729</v>
      </c>
      <c r="M634" s="10">
        <v>421917</v>
      </c>
      <c r="N634" s="10">
        <v>4529</v>
      </c>
      <c r="O634">
        <v>0.94497185019445518</v>
      </c>
      <c r="P634">
        <v>0.94709121151841558</v>
      </c>
      <c r="Q634">
        <v>-0.50448343824376507</v>
      </c>
      <c r="R634">
        <v>0.50448343824376507</v>
      </c>
      <c r="S634">
        <f t="shared" si="100"/>
        <v>-2.1758780955567549</v>
      </c>
      <c r="T634" s="148">
        <f t="shared" si="95"/>
        <v>-2.1614334883062534</v>
      </c>
      <c r="U634">
        <f t="shared" si="101"/>
        <v>2.1807581053479743</v>
      </c>
      <c r="V634" s="55">
        <f t="shared" si="96"/>
        <v>2.159679856815258</v>
      </c>
      <c r="W634">
        <f t="shared" si="102"/>
        <v>0.54607783167993273</v>
      </c>
      <c r="X634" s="55">
        <f t="shared" si="97"/>
        <v>0.57151017004857663</v>
      </c>
      <c r="Y634" s="149">
        <v>19.195422700000002</v>
      </c>
      <c r="Z634" s="55">
        <f t="shared" si="93"/>
        <v>4.324659823346861E-3</v>
      </c>
      <c r="AA634" s="55">
        <f t="shared" si="98"/>
        <v>4.3948245084273274E-3</v>
      </c>
      <c r="AB634" s="55">
        <f t="shared" si="94"/>
        <v>-5.4434217952530677</v>
      </c>
      <c r="AC634" s="55">
        <f t="shared" si="99"/>
        <v>-5.4279380523418217</v>
      </c>
      <c r="AD634" s="55"/>
      <c r="AE634" s="55"/>
      <c r="AF634" s="55"/>
      <c r="AG634" s="55"/>
      <c r="AH634" s="55"/>
    </row>
    <row r="635" spans="1:34" ht="15.75">
      <c r="A635" s="39">
        <v>19.0594021</v>
      </c>
      <c r="B635" s="39">
        <v>19.261484500000002</v>
      </c>
      <c r="C635" s="39">
        <v>633</v>
      </c>
      <c r="D635">
        <v>633</v>
      </c>
      <c r="E635" s="10">
        <v>1606080</v>
      </c>
      <c r="F635" s="10">
        <v>1055370</v>
      </c>
      <c r="G635" s="10">
        <v>14707</v>
      </c>
      <c r="H635" s="10">
        <v>47195</v>
      </c>
      <c r="I635" s="10">
        <v>226708</v>
      </c>
      <c r="J635" s="10">
        <v>25954</v>
      </c>
      <c r="K635">
        <v>633</v>
      </c>
      <c r="L635" s="10">
        <v>2049</v>
      </c>
      <c r="M635" s="10">
        <v>414950</v>
      </c>
      <c r="N635" s="10">
        <v>4486</v>
      </c>
      <c r="O635">
        <v>0.94126254534451137</v>
      </c>
      <c r="P635">
        <v>0.94409977849759785</v>
      </c>
      <c r="Q635">
        <v>-0.50637189800557181</v>
      </c>
      <c r="R635">
        <v>0.50637189800557181</v>
      </c>
      <c r="S635">
        <f t="shared" si="100"/>
        <v>-2.1673371055039037</v>
      </c>
      <c r="T635" s="148">
        <f t="shared" si="95"/>
        <v>-2.1416627303240929</v>
      </c>
      <c r="U635">
        <f t="shared" si="101"/>
        <v>2.1738700762675491</v>
      </c>
      <c r="V635" s="55">
        <f t="shared" si="96"/>
        <v>2.1709209016100068</v>
      </c>
      <c r="W635">
        <f t="shared" si="102"/>
        <v>0.5680021693968621</v>
      </c>
      <c r="X635" s="55">
        <f t="shared" si="97"/>
        <v>0.56675649144691842</v>
      </c>
      <c r="Y635" s="149">
        <v>19.261484500000002</v>
      </c>
      <c r="Z635" s="55">
        <f t="shared" si="93"/>
        <v>4.2506419549541864E-3</v>
      </c>
      <c r="AA635" s="55">
        <f t="shared" si="98"/>
        <v>4.37488706919227E-3</v>
      </c>
      <c r="AB635" s="55">
        <f t="shared" si="94"/>
        <v>-5.4606852592279314</v>
      </c>
      <c r="AC635" s="55">
        <f t="shared" si="99"/>
        <v>-5.4322919650619808</v>
      </c>
      <c r="AD635" s="55"/>
      <c r="AE635" s="55"/>
      <c r="AF635" s="55"/>
      <c r="AG635" s="55"/>
      <c r="AH635" s="55"/>
    </row>
    <row r="636" spans="1:34" ht="15.75">
      <c r="A636" s="39">
        <v>19.121793799999999</v>
      </c>
      <c r="B636" s="39">
        <v>19.327546399999999</v>
      </c>
      <c r="C636" s="39">
        <v>634</v>
      </c>
      <c r="D636">
        <v>634</v>
      </c>
      <c r="E636" s="10">
        <v>1613130</v>
      </c>
      <c r="F636" s="10">
        <v>1070920</v>
      </c>
      <c r="G636" s="10">
        <v>15108</v>
      </c>
      <c r="H636" s="10">
        <v>48333</v>
      </c>
      <c r="I636" s="10">
        <v>217715</v>
      </c>
      <c r="J636" s="10">
        <v>27151</v>
      </c>
      <c r="K636">
        <v>634</v>
      </c>
      <c r="L636" s="10">
        <v>2384</v>
      </c>
      <c r="M636" s="10">
        <v>418321</v>
      </c>
      <c r="N636" s="10">
        <v>4872</v>
      </c>
      <c r="O636">
        <v>0.90410252209385078</v>
      </c>
      <c r="P636">
        <v>0.93726591463696152</v>
      </c>
      <c r="Q636">
        <v>-0.50503677621513898</v>
      </c>
      <c r="R636">
        <v>0.50503677621513898</v>
      </c>
      <c r="S636">
        <f t="shared" si="100"/>
        <v>-2.0817729899116206</v>
      </c>
      <c r="T636" s="148">
        <f t="shared" si="95"/>
        <v>-2.12616329145665</v>
      </c>
      <c r="U636">
        <f t="shared" si="101"/>
        <v>2.1581345232144975</v>
      </c>
      <c r="V636" s="55">
        <f t="shared" si="96"/>
        <v>2.1631012458942847</v>
      </c>
      <c r="W636">
        <f t="shared" si="102"/>
        <v>0.58618947326396043</v>
      </c>
      <c r="X636" s="55">
        <f t="shared" si="97"/>
        <v>0.57097053577070667</v>
      </c>
      <c r="Y636" s="149">
        <v>19.327546399999999</v>
      </c>
      <c r="Z636" s="55">
        <f t="shared" si="93"/>
        <v>4.5493594292757627E-3</v>
      </c>
      <c r="AA636" s="55">
        <f t="shared" si="98"/>
        <v>4.5068726515191671E-3</v>
      </c>
      <c r="AB636" s="55">
        <f t="shared" si="94"/>
        <v>-5.3927688407049423</v>
      </c>
      <c r="AC636" s="55">
        <f t="shared" si="99"/>
        <v>-5.4030899861807091</v>
      </c>
      <c r="AD636" s="55"/>
      <c r="AE636" s="55"/>
      <c r="AF636" s="55"/>
      <c r="AG636" s="55"/>
      <c r="AH636" s="55"/>
    </row>
    <row r="637" spans="1:34" ht="15.75">
      <c r="A637" s="39">
        <v>19.184185599999999</v>
      </c>
      <c r="B637" s="39">
        <v>19.3936083</v>
      </c>
      <c r="C637" s="39">
        <v>635</v>
      </c>
      <c r="D637">
        <v>635</v>
      </c>
      <c r="E637" s="10">
        <v>1630730</v>
      </c>
      <c r="F637" s="10">
        <v>1069140</v>
      </c>
      <c r="G637" s="10">
        <v>15316</v>
      </c>
      <c r="H637" s="10">
        <v>48616</v>
      </c>
      <c r="I637" s="10">
        <v>225202</v>
      </c>
      <c r="J637" s="10">
        <v>26779</v>
      </c>
      <c r="K637">
        <v>635</v>
      </c>
      <c r="L637" s="10">
        <v>2422</v>
      </c>
      <c r="M637" s="10">
        <v>420419</v>
      </c>
      <c r="N637" s="10">
        <v>5047</v>
      </c>
      <c r="O637">
        <v>0.92477788787627302</v>
      </c>
      <c r="P637">
        <v>0.9369031115352513</v>
      </c>
      <c r="Q637">
        <v>-0.50163386566361001</v>
      </c>
      <c r="R637">
        <v>0.50163386566361001</v>
      </c>
      <c r="S637">
        <f t="shared" si="100"/>
        <v>-2.1293797789544255</v>
      </c>
      <c r="T637" s="148">
        <f t="shared" si="95"/>
        <v>-2.053838572647344</v>
      </c>
      <c r="U637">
        <f t="shared" si="101"/>
        <v>2.1572991382008073</v>
      </c>
      <c r="V637" s="55">
        <f t="shared" si="96"/>
        <v>2.1637245214505882</v>
      </c>
      <c r="W637">
        <f t="shared" si="102"/>
        <v>0.55871996465129747</v>
      </c>
      <c r="X637" s="55">
        <f t="shared" si="97"/>
        <v>0.56795874561539506</v>
      </c>
      <c r="Y637" s="149">
        <v>19.3936083</v>
      </c>
      <c r="Z637" s="55">
        <f t="shared" si="93"/>
        <v>4.7206165703275529E-3</v>
      </c>
      <c r="AA637" s="55">
        <f t="shared" si="98"/>
        <v>4.6463560562318281E-3</v>
      </c>
      <c r="AB637" s="55">
        <f t="shared" si="94"/>
        <v>-5.3558158586092528</v>
      </c>
      <c r="AC637" s="55">
        <f t="shared" si="99"/>
        <v>-5.3717917739509842</v>
      </c>
      <c r="AD637" s="55"/>
      <c r="AE637" s="55"/>
      <c r="AF637" s="55"/>
      <c r="AG637" s="55"/>
      <c r="AH637" s="55"/>
    </row>
    <row r="638" spans="1:34" ht="15.75">
      <c r="A638" s="39">
        <v>19.246577299999998</v>
      </c>
      <c r="B638" s="39">
        <v>19.4596701</v>
      </c>
      <c r="C638" s="39">
        <v>636</v>
      </c>
      <c r="D638">
        <v>636</v>
      </c>
      <c r="E638" s="10">
        <v>1458000</v>
      </c>
      <c r="F638" s="10">
        <v>1038960</v>
      </c>
      <c r="G638" s="10">
        <v>14753</v>
      </c>
      <c r="H638" s="10">
        <v>43079</v>
      </c>
      <c r="I638" s="10">
        <v>181413</v>
      </c>
      <c r="J638" s="10">
        <v>25801</v>
      </c>
      <c r="K638">
        <v>636</v>
      </c>
      <c r="L638" s="10">
        <v>2096</v>
      </c>
      <c r="M638" s="10">
        <v>379470</v>
      </c>
      <c r="N638" s="10">
        <v>4851</v>
      </c>
      <c r="O638">
        <v>0.84703186649225326</v>
      </c>
      <c r="P638">
        <v>0.94491183390202094</v>
      </c>
      <c r="Q638">
        <v>-0.46538527097918736</v>
      </c>
      <c r="R638">
        <v>0.46538527097918736</v>
      </c>
      <c r="S638">
        <f t="shared" si="100"/>
        <v>-1.9503629490759853</v>
      </c>
      <c r="T638" s="148">
        <f t="shared" si="95"/>
        <v>-2.0432081251989227</v>
      </c>
      <c r="U638">
        <f t="shared" si="101"/>
        <v>2.175739902936459</v>
      </c>
      <c r="V638" s="55">
        <f t="shared" si="96"/>
        <v>2.1583660643518621</v>
      </c>
      <c r="W638">
        <f t="shared" si="102"/>
        <v>0.55896679893092693</v>
      </c>
      <c r="X638" s="55">
        <f t="shared" si="97"/>
        <v>0.63918471899709761</v>
      </c>
      <c r="Y638" s="149">
        <v>19.4596701</v>
      </c>
      <c r="Z638" s="55">
        <f t="shared" si="93"/>
        <v>4.6690921690921688E-3</v>
      </c>
      <c r="AA638" s="55">
        <f t="shared" si="98"/>
        <v>4.5499805506024399E-3</v>
      </c>
      <c r="AB638" s="55">
        <f t="shared" si="94"/>
        <v>-5.3667906225387556</v>
      </c>
      <c r="AC638" s="55">
        <f t="shared" si="99"/>
        <v>-5.3936793090246873</v>
      </c>
      <c r="AD638" s="55"/>
      <c r="AE638" s="55"/>
      <c r="AF638" s="55"/>
      <c r="AG638" s="55"/>
      <c r="AH638" s="55"/>
    </row>
    <row r="639" spans="1:34" ht="15.75">
      <c r="A639" s="39">
        <v>19.308969099999999</v>
      </c>
      <c r="B639" s="39">
        <v>19.525732000000001</v>
      </c>
      <c r="C639" s="39">
        <v>637</v>
      </c>
      <c r="D639">
        <v>637</v>
      </c>
      <c r="E639" s="10">
        <v>1178460</v>
      </c>
      <c r="F639" s="10">
        <v>814040</v>
      </c>
      <c r="G639" s="10">
        <v>8746</v>
      </c>
      <c r="H639" s="10">
        <v>34351</v>
      </c>
      <c r="I639" s="10">
        <v>151161</v>
      </c>
      <c r="J639" s="10">
        <v>19462</v>
      </c>
      <c r="K639">
        <v>637</v>
      </c>
      <c r="L639" s="10">
        <v>1768</v>
      </c>
      <c r="M639" s="10">
        <v>292566</v>
      </c>
      <c r="N639" s="10">
        <v>3468</v>
      </c>
      <c r="O639">
        <v>0.89025228809281509</v>
      </c>
      <c r="P639">
        <v>0.93028446958848621</v>
      </c>
      <c r="Q639">
        <v>-0.59412991141905758</v>
      </c>
      <c r="R639">
        <v>0.59412991141905758</v>
      </c>
      <c r="S639">
        <f t="shared" si="100"/>
        <v>-2.0498816475663566</v>
      </c>
      <c r="T639" s="148">
        <f t="shared" si="95"/>
        <v>-2.0352126112130851</v>
      </c>
      <c r="U639">
        <f t="shared" si="101"/>
        <v>2.1420591519183207</v>
      </c>
      <c r="V639" s="55">
        <f t="shared" si="96"/>
        <v>2.1595199349002034</v>
      </c>
      <c r="W639">
        <f t="shared" si="102"/>
        <v>0.79986739340906843</v>
      </c>
      <c r="X639" s="55">
        <f t="shared" si="97"/>
        <v>0.7116360308549825</v>
      </c>
      <c r="Y639" s="149">
        <v>19.525732000000001</v>
      </c>
      <c r="Z639" s="55">
        <f t="shared" si="93"/>
        <v>4.2602329123875978E-3</v>
      </c>
      <c r="AA639" s="55">
        <f t="shared" si="98"/>
        <v>4.4827552181671533E-3</v>
      </c>
      <c r="AB639" s="55">
        <f t="shared" si="94"/>
        <v>-5.4584314459260526</v>
      </c>
      <c r="AC639" s="55">
        <f t="shared" si="99"/>
        <v>-5.4082332558584127</v>
      </c>
      <c r="AD639" s="55"/>
      <c r="AE639" s="55"/>
      <c r="AF639" s="55"/>
      <c r="AG639" s="55"/>
      <c r="AH639" s="55"/>
    </row>
    <row r="640" spans="1:34" ht="15.75">
      <c r="A640" s="39">
        <v>19.371360800000001</v>
      </c>
      <c r="B640" s="39">
        <v>19.591793800000001</v>
      </c>
      <c r="C640" s="39">
        <v>638</v>
      </c>
      <c r="D640">
        <v>638</v>
      </c>
      <c r="E640" s="10">
        <v>1043480</v>
      </c>
      <c r="F640" s="10">
        <v>738890</v>
      </c>
      <c r="G640" s="10">
        <v>7564</v>
      </c>
      <c r="H640" s="10">
        <v>28967</v>
      </c>
      <c r="I640" s="10">
        <v>134945</v>
      </c>
      <c r="J640" s="10">
        <v>16436</v>
      </c>
      <c r="K640">
        <v>638</v>
      </c>
      <c r="L640" s="10">
        <v>1255</v>
      </c>
      <c r="M640" s="10">
        <v>251368</v>
      </c>
      <c r="N640" s="10">
        <v>3339</v>
      </c>
      <c r="O640">
        <v>0.91436066506418479</v>
      </c>
      <c r="P640">
        <v>0.93840647037117686</v>
      </c>
      <c r="Q640">
        <v>-0.58315199916225169</v>
      </c>
      <c r="R640">
        <v>0.58315199916225169</v>
      </c>
      <c r="S640">
        <f t="shared" si="100"/>
        <v>-2.1053932369969135</v>
      </c>
      <c r="T640" s="148">
        <f t="shared" si="95"/>
        <v>-2.0739062820220791</v>
      </c>
      <c r="U640">
        <f t="shared" si="101"/>
        <v>2.1607607498458306</v>
      </c>
      <c r="V640" s="55">
        <f t="shared" si="96"/>
        <v>2.1570872869305706</v>
      </c>
      <c r="W640">
        <f t="shared" si="102"/>
        <v>0.77607390022495226</v>
      </c>
      <c r="X640" s="55">
        <f t="shared" si="97"/>
        <v>0.71935709959194583</v>
      </c>
      <c r="Y640" s="149">
        <v>19.591793800000001</v>
      </c>
      <c r="Z640" s="55">
        <f t="shared" si="93"/>
        <v>4.5189405730216951E-3</v>
      </c>
      <c r="AA640" s="55">
        <f t="shared" si="98"/>
        <v>4.5000516301551769E-3</v>
      </c>
      <c r="AB640" s="55">
        <f t="shared" si="94"/>
        <v>-5.399477699110431</v>
      </c>
      <c r="AC640" s="55">
        <f t="shared" si="99"/>
        <v>-5.404549240411491</v>
      </c>
      <c r="AD640" s="55"/>
      <c r="AE640" s="55"/>
      <c r="AF640" s="55"/>
      <c r="AG640" s="55"/>
      <c r="AH640" s="55"/>
    </row>
    <row r="641" spans="1:34" ht="15.75">
      <c r="A641" s="39">
        <v>19.433752599999998</v>
      </c>
      <c r="B641" s="39">
        <v>19.657855699999999</v>
      </c>
      <c r="C641" s="39">
        <v>639</v>
      </c>
      <c r="D641">
        <v>639</v>
      </c>
      <c r="E641" s="10">
        <v>1579640</v>
      </c>
      <c r="F641" s="10">
        <v>1058890</v>
      </c>
      <c r="G641" s="10">
        <v>14813</v>
      </c>
      <c r="H641" s="10">
        <v>47280</v>
      </c>
      <c r="I641" s="10">
        <v>209365</v>
      </c>
      <c r="J641" s="10">
        <v>26513</v>
      </c>
      <c r="K641">
        <v>639</v>
      </c>
      <c r="L641" s="10">
        <v>1616</v>
      </c>
      <c r="M641" s="10">
        <v>413447</v>
      </c>
      <c r="N641" s="10">
        <v>4999</v>
      </c>
      <c r="O641">
        <v>0.89744520964303443</v>
      </c>
      <c r="P641">
        <v>0.94174237713314701</v>
      </c>
      <c r="Q641">
        <v>-0.50403444503708894</v>
      </c>
      <c r="R641">
        <v>0.50403444503708894</v>
      </c>
      <c r="S641">
        <f t="shared" si="100"/>
        <v>-2.0664439615029671</v>
      </c>
      <c r="T641" s="148">
        <f t="shared" si="95"/>
        <v>-2.0682567005590555</v>
      </c>
      <c r="U641">
        <f t="shared" si="101"/>
        <v>2.168441959027561</v>
      </c>
      <c r="V641" s="55">
        <f t="shared" si="96"/>
        <v>2.1638031683896206</v>
      </c>
      <c r="W641">
        <f t="shared" si="102"/>
        <v>0.58213000514181656</v>
      </c>
      <c r="X641" s="55">
        <f t="shared" si="97"/>
        <v>0.6370712371898577</v>
      </c>
      <c r="Y641" s="149">
        <v>19.657855699999999</v>
      </c>
      <c r="Z641" s="55">
        <f t="shared" si="93"/>
        <v>4.7209814050562385E-3</v>
      </c>
      <c r="AA641" s="55">
        <f t="shared" si="98"/>
        <v>4.6303398914850072E-3</v>
      </c>
      <c r="AB641" s="55">
        <f t="shared" si="94"/>
        <v>-5.3557385761979877</v>
      </c>
      <c r="AC641" s="55">
        <f t="shared" si="99"/>
        <v>-5.3752894329376479</v>
      </c>
      <c r="AD641" s="55"/>
      <c r="AE641" s="55"/>
      <c r="AF641" s="55"/>
      <c r="AG641" s="55"/>
      <c r="AH641" s="55"/>
    </row>
    <row r="642" spans="1:34" ht="15.75">
      <c r="A642" s="39">
        <v>19.496144300000001</v>
      </c>
      <c r="B642" s="39">
        <v>19.723917499999999</v>
      </c>
      <c r="C642" s="39">
        <v>640</v>
      </c>
      <c r="D642">
        <v>640</v>
      </c>
      <c r="E642" s="10">
        <v>1657710</v>
      </c>
      <c r="F642" s="10">
        <v>1071790</v>
      </c>
      <c r="G642" s="10">
        <v>16251</v>
      </c>
      <c r="H642" s="10">
        <v>50506</v>
      </c>
      <c r="I642" s="10">
        <v>215745</v>
      </c>
      <c r="J642" s="10">
        <v>28252</v>
      </c>
      <c r="K642">
        <v>640</v>
      </c>
      <c r="L642" s="10">
        <v>2162</v>
      </c>
      <c r="M642" s="10">
        <v>438912</v>
      </c>
      <c r="N642" s="10">
        <v>4985</v>
      </c>
      <c r="O642">
        <v>0.88289154192945318</v>
      </c>
      <c r="P642">
        <v>0.93903448036483139</v>
      </c>
      <c r="Q642">
        <v>-0.49246288409111599</v>
      </c>
      <c r="R642">
        <v>0.49246288409111594</v>
      </c>
      <c r="S642">
        <f t="shared" si="100"/>
        <v>-2.0329329031772865</v>
      </c>
      <c r="T642" s="148">
        <f t="shared" si="95"/>
        <v>-2.0447614103597913</v>
      </c>
      <c r="U642">
        <f t="shared" si="101"/>
        <v>2.1622067962954707</v>
      </c>
      <c r="V642" s="55">
        <f t="shared" si="96"/>
        <v>2.1611041507514162</v>
      </c>
      <c r="W642">
        <f t="shared" si="102"/>
        <v>0.55300980620280427</v>
      </c>
      <c r="X642" s="55">
        <f t="shared" si="97"/>
        <v>0.56471215540953612</v>
      </c>
      <c r="Y642" s="149">
        <v>19.723917499999999</v>
      </c>
      <c r="Z642" s="55">
        <f t="shared" si="93"/>
        <v>4.6510976963770887E-3</v>
      </c>
      <c r="AA642" s="55">
        <f t="shared" si="98"/>
        <v>4.7551152581785253E-3</v>
      </c>
      <c r="AB642" s="55">
        <f t="shared" si="94"/>
        <v>-5.3706520235045234</v>
      </c>
      <c r="AC642" s="55">
        <f t="shared" si="99"/>
        <v>-5.3487619223074025</v>
      </c>
      <c r="AD642" s="55"/>
      <c r="AE642" s="55"/>
      <c r="AF642" s="55"/>
      <c r="AG642" s="55"/>
      <c r="AH642" s="55"/>
    </row>
    <row r="643" spans="1:34" ht="15.75">
      <c r="A643" s="129">
        <v>19.558536100000001</v>
      </c>
      <c r="B643" s="129">
        <v>19.7899794</v>
      </c>
      <c r="C643" s="129">
        <v>641</v>
      </c>
      <c r="D643" s="130">
        <v>641</v>
      </c>
      <c r="E643" s="131">
        <v>1602616.25</v>
      </c>
      <c r="F643" s="131">
        <v>1048856.25</v>
      </c>
      <c r="G643" s="131">
        <v>15695</v>
      </c>
      <c r="H643" s="131">
        <v>48597.875</v>
      </c>
      <c r="I643" s="131">
        <v>210029.125</v>
      </c>
      <c r="J643" s="131">
        <v>27449.25</v>
      </c>
      <c r="K643" s="130">
        <v>641</v>
      </c>
      <c r="L643" s="131">
        <v>2058</v>
      </c>
      <c r="M643" s="131">
        <v>418318.6667</v>
      </c>
      <c r="N643" s="131">
        <v>5132.3333329999996</v>
      </c>
      <c r="O643" s="130">
        <v>0.88374904041141644</v>
      </c>
      <c r="P643" s="130">
        <v>0.93488996497068122</v>
      </c>
      <c r="Q643" s="130">
        <v>-0.49085595959761746</v>
      </c>
      <c r="R643" s="130">
        <v>0.49085595959761746</v>
      </c>
      <c r="S643" s="130">
        <f t="shared" si="100"/>
        <v>-2.03490736639912</v>
      </c>
      <c r="T643" s="148">
        <f t="shared" si="95"/>
        <v>-2.0509613187001334</v>
      </c>
      <c r="U643" s="130">
        <f t="shared" si="101"/>
        <v>2.1526636969312163</v>
      </c>
      <c r="V643" s="132">
        <f t="shared" si="96"/>
        <v>2.15490244192284</v>
      </c>
      <c r="W643" s="130">
        <f t="shared" si="102"/>
        <v>0.55899665488398753</v>
      </c>
      <c r="X643" s="132">
        <f t="shared" si="97"/>
        <v>0.54933181358517447</v>
      </c>
      <c r="Y643" s="149">
        <v>19.7899794</v>
      </c>
      <c r="Z643" s="132">
        <f t="shared" ref="Z643:Z706" si="103">N643/F643</f>
        <v>4.8932666731022478E-3</v>
      </c>
      <c r="AA643" s="132">
        <f t="shared" si="98"/>
        <v>4.8242277800439369E-3</v>
      </c>
      <c r="AB643" s="132">
        <f t="shared" ref="AB643:AB706" si="104">LN(Z643)</f>
        <v>-5.3198951672196948</v>
      </c>
      <c r="AC643" s="132">
        <f t="shared" si="99"/>
        <v>-5.3344348397940635</v>
      </c>
      <c r="AD643" s="55"/>
      <c r="AE643" s="55"/>
      <c r="AF643" s="55"/>
      <c r="AG643" s="55"/>
      <c r="AH643" s="55"/>
    </row>
    <row r="644" spans="1:34" ht="15.75">
      <c r="A644" s="39">
        <v>19.6209278</v>
      </c>
      <c r="B644" s="39">
        <v>19.8560412</v>
      </c>
      <c r="C644" s="39">
        <v>642</v>
      </c>
      <c r="D644">
        <v>642</v>
      </c>
      <c r="E644" s="10">
        <v>1509220</v>
      </c>
      <c r="F644" s="10">
        <v>1007240</v>
      </c>
      <c r="G644" s="10">
        <v>14763</v>
      </c>
      <c r="H644" s="10">
        <v>44879</v>
      </c>
      <c r="I644" s="10">
        <v>202990</v>
      </c>
      <c r="J644" s="10">
        <v>25232</v>
      </c>
      <c r="K644">
        <v>642</v>
      </c>
      <c r="L644" s="10">
        <v>2006</v>
      </c>
      <c r="M644" s="10">
        <v>385217</v>
      </c>
      <c r="N644" s="10">
        <v>4964</v>
      </c>
      <c r="O644">
        <v>0.90552296758458406</v>
      </c>
      <c r="P644">
        <v>0.93366227336528373</v>
      </c>
      <c r="Q644">
        <v>-0.48286855159328396</v>
      </c>
      <c r="R644">
        <v>0.48286855159328401</v>
      </c>
      <c r="S644">
        <f t="shared" si="100"/>
        <v>-2.0850436865239939</v>
      </c>
      <c r="T644" s="148">
        <f t="shared" ref="T644:T707" si="105">AVERAGE(S643:S645)</f>
        <v>-2.0632909540634405</v>
      </c>
      <c r="U644">
        <f t="shared" si="101"/>
        <v>2.1498368325418338</v>
      </c>
      <c r="V644" s="55">
        <f t="shared" ref="V644:V707" si="106">AVERAGE(U643:U645)</f>
        <v>2.1668982923605102</v>
      </c>
      <c r="W644">
        <f t="shared" si="102"/>
        <v>0.53598897966873171</v>
      </c>
      <c r="X644" s="55">
        <f t="shared" ref="X644:X707" si="107">AVERAGE(W643:W645)</f>
        <v>0.5539657188008027</v>
      </c>
      <c r="Y644" s="149">
        <v>19.8560412</v>
      </c>
      <c r="Z644" s="55">
        <f t="shared" si="103"/>
        <v>4.928318970652476E-3</v>
      </c>
      <c r="AA644" s="55">
        <f t="shared" ref="AA644:AA707" si="108">AVERAGE(Z643:Z645)</f>
        <v>4.9757697308257581E-3</v>
      </c>
      <c r="AB644" s="55">
        <f t="shared" si="104"/>
        <v>-5.3127573286579715</v>
      </c>
      <c r="AC644" s="55">
        <f t="shared" ref="AC644:AC707" si="109">AVERAGE(AB643:AB645)</f>
        <v>-5.3033485333140389</v>
      </c>
      <c r="AD644" s="55"/>
      <c r="AE644" s="55"/>
      <c r="AF644" s="55"/>
      <c r="AG644" s="55"/>
      <c r="AH644" s="55"/>
    </row>
    <row r="645" spans="1:34" ht="15.75">
      <c r="A645" s="39">
        <v>19.683319600000001</v>
      </c>
      <c r="B645" s="39">
        <v>19.922103100000001</v>
      </c>
      <c r="C645" s="39">
        <v>643</v>
      </c>
      <c r="D645">
        <v>643</v>
      </c>
      <c r="E645" s="10">
        <v>1432170</v>
      </c>
      <c r="F645" s="10">
        <v>980860</v>
      </c>
      <c r="G645" s="10">
        <v>13247</v>
      </c>
      <c r="H645" s="10">
        <v>41914</v>
      </c>
      <c r="I645" s="10">
        <v>185046</v>
      </c>
      <c r="J645" s="10">
        <v>23352</v>
      </c>
      <c r="K645">
        <v>643</v>
      </c>
      <c r="L645" s="10">
        <v>1283</v>
      </c>
      <c r="M645" s="10">
        <v>377592</v>
      </c>
      <c r="N645" s="10">
        <v>5008</v>
      </c>
      <c r="O645">
        <v>0.89895561973594373</v>
      </c>
      <c r="P645">
        <v>0.9546636753172818</v>
      </c>
      <c r="Q645">
        <v>-0.50024157274373759</v>
      </c>
      <c r="R645">
        <v>0.50024157274373759</v>
      </c>
      <c r="S645">
        <f t="shared" si="100"/>
        <v>-2.0699218092672078</v>
      </c>
      <c r="T645" s="148">
        <f t="shared" si="105"/>
        <v>-2.0456002002162488</v>
      </c>
      <c r="U645">
        <f t="shared" si="101"/>
        <v>2.1981943476084806</v>
      </c>
      <c r="V645" s="55">
        <f t="shared" si="106"/>
        <v>2.1678255551913135</v>
      </c>
      <c r="W645">
        <f t="shared" si="102"/>
        <v>0.56691152184968907</v>
      </c>
      <c r="X645" s="55">
        <f t="shared" si="107"/>
        <v>0.61683479014425935</v>
      </c>
      <c r="Y645" s="149">
        <v>19.922103100000001</v>
      </c>
      <c r="Z645" s="55">
        <f t="shared" si="103"/>
        <v>5.1057235487225495E-3</v>
      </c>
      <c r="AA645" s="55">
        <f t="shared" si="108"/>
        <v>5.1071244868613232E-3</v>
      </c>
      <c r="AB645" s="55">
        <f t="shared" si="104"/>
        <v>-5.2773931040644495</v>
      </c>
      <c r="AC645" s="55">
        <f t="shared" si="109"/>
        <v>-5.2775307137123777</v>
      </c>
      <c r="AD645" s="55"/>
      <c r="AE645" s="55"/>
      <c r="AF645" s="55"/>
      <c r="AG645" s="55"/>
      <c r="AH645" s="55"/>
    </row>
    <row r="646" spans="1:34" ht="15.75">
      <c r="A646" s="39">
        <v>19.7457113</v>
      </c>
      <c r="B646" s="39">
        <v>19.988164999999999</v>
      </c>
      <c r="C646" s="39">
        <v>644</v>
      </c>
      <c r="D646">
        <v>644</v>
      </c>
      <c r="E646" s="10">
        <v>1326050</v>
      </c>
      <c r="F646" s="10">
        <v>905750</v>
      </c>
      <c r="G646" s="10">
        <v>10944</v>
      </c>
      <c r="H646" s="10">
        <v>39553</v>
      </c>
      <c r="I646" s="10">
        <v>167709</v>
      </c>
      <c r="J646" s="10">
        <v>23113</v>
      </c>
      <c r="K646">
        <v>644</v>
      </c>
      <c r="L646" s="10">
        <v>1272</v>
      </c>
      <c r="M646" s="10">
        <v>341411</v>
      </c>
      <c r="N646" s="10">
        <v>4789</v>
      </c>
      <c r="O646">
        <v>0.86070005008178418</v>
      </c>
      <c r="P646">
        <v>0.9360980803627561</v>
      </c>
      <c r="Q646">
        <v>-0.55800334489973202</v>
      </c>
      <c r="R646">
        <v>0.55800334489973202</v>
      </c>
      <c r="S646">
        <f t="shared" si="100"/>
        <v>-1.9818351048575449</v>
      </c>
      <c r="T646" s="148">
        <f t="shared" si="105"/>
        <v>-2.0059795079097911</v>
      </c>
      <c r="U646">
        <f t="shared" si="101"/>
        <v>2.1554454854236247</v>
      </c>
      <c r="V646" s="55">
        <f t="shared" si="106"/>
        <v>2.1660233026738491</v>
      </c>
      <c r="W646">
        <f t="shared" si="102"/>
        <v>0.74760386891435737</v>
      </c>
      <c r="X646" s="55">
        <f t="shared" si="107"/>
        <v>0.62209164073526679</v>
      </c>
      <c r="Y646" s="149">
        <v>19.988164999999999</v>
      </c>
      <c r="Z646" s="55">
        <f t="shared" si="103"/>
        <v>5.2873309412089431E-3</v>
      </c>
      <c r="AA646" s="55">
        <f t="shared" si="108"/>
        <v>5.2619120178827054E-3</v>
      </c>
      <c r="AB646" s="55">
        <f t="shared" si="104"/>
        <v>-5.2424417084147139</v>
      </c>
      <c r="AC646" s="55">
        <f t="shared" si="109"/>
        <v>-5.2475157743576721</v>
      </c>
      <c r="AD646" s="55"/>
      <c r="AE646" s="55"/>
      <c r="AF646" s="55"/>
      <c r="AG646" s="55"/>
      <c r="AH646" s="55"/>
    </row>
    <row r="647" spans="1:34" ht="15.75">
      <c r="A647" s="39">
        <v>19.8081031</v>
      </c>
      <c r="B647" s="39">
        <v>20.054226799999999</v>
      </c>
      <c r="C647" s="39">
        <v>645</v>
      </c>
      <c r="D647">
        <v>645</v>
      </c>
      <c r="E647" s="10">
        <v>1593880</v>
      </c>
      <c r="F647" s="10">
        <v>1055690</v>
      </c>
      <c r="G647" s="10">
        <v>16083</v>
      </c>
      <c r="H647" s="10">
        <v>48703</v>
      </c>
      <c r="I647" s="10">
        <v>199478</v>
      </c>
      <c r="J647" s="10">
        <v>27925</v>
      </c>
      <c r="K647">
        <v>645</v>
      </c>
      <c r="L647" s="10">
        <v>1693</v>
      </c>
      <c r="M647" s="10">
        <v>415786</v>
      </c>
      <c r="N647" s="10">
        <v>5693</v>
      </c>
      <c r="O647">
        <v>0.85390182347094012</v>
      </c>
      <c r="P647">
        <v>0.93131414839529159</v>
      </c>
      <c r="Q647">
        <v>-0.48118865169918223</v>
      </c>
      <c r="R647">
        <v>0.48118865169918218</v>
      </c>
      <c r="S647">
        <f t="shared" si="100"/>
        <v>-1.9661816096046199</v>
      </c>
      <c r="T647" s="148">
        <f t="shared" si="105"/>
        <v>-1.977560690506061</v>
      </c>
      <c r="U647">
        <f t="shared" si="101"/>
        <v>2.1444300749894429</v>
      </c>
      <c r="V647" s="55">
        <f t="shared" si="106"/>
        <v>2.1531969952597017</v>
      </c>
      <c r="W647">
        <f t="shared" si="102"/>
        <v>0.55175953144175394</v>
      </c>
      <c r="X647" s="55">
        <f t="shared" si="107"/>
        <v>0.63233216220346733</v>
      </c>
      <c r="Y647" s="149">
        <v>20.054226799999999</v>
      </c>
      <c r="Z647" s="55">
        <f t="shared" si="103"/>
        <v>5.392681563716621E-3</v>
      </c>
      <c r="AA647" s="55">
        <f t="shared" si="108"/>
        <v>5.5755766222562201E-3</v>
      </c>
      <c r="AB647" s="55">
        <f t="shared" si="104"/>
        <v>-5.2227125105938521</v>
      </c>
      <c r="AC647" s="55">
        <f t="shared" si="109"/>
        <v>-5.1911313193398954</v>
      </c>
      <c r="AD647" s="55"/>
      <c r="AE647" s="55"/>
      <c r="AF647" s="55"/>
      <c r="AG647" s="55"/>
      <c r="AH647" s="55"/>
    </row>
    <row r="648" spans="1:34" ht="15.75">
      <c r="A648" s="39">
        <v>19.870494900000001</v>
      </c>
      <c r="B648" s="39">
        <v>20.1202887</v>
      </c>
      <c r="C648" s="39">
        <v>646</v>
      </c>
      <c r="D648">
        <v>646</v>
      </c>
      <c r="E648" s="10">
        <v>1598590</v>
      </c>
      <c r="F648" s="10">
        <v>1062560</v>
      </c>
      <c r="G648" s="10">
        <v>15204</v>
      </c>
      <c r="H648" s="10">
        <v>47910</v>
      </c>
      <c r="I648" s="10">
        <v>201111</v>
      </c>
      <c r="J648" s="10">
        <v>27638</v>
      </c>
      <c r="K648">
        <v>646</v>
      </c>
      <c r="L648" s="10">
        <v>1975</v>
      </c>
      <c r="M648" s="10">
        <v>415316</v>
      </c>
      <c r="N648" s="10">
        <v>6425</v>
      </c>
      <c r="O648">
        <v>0.86192921299397596</v>
      </c>
      <c r="P648">
        <v>0.93795249171780448</v>
      </c>
      <c r="Q648">
        <v>-0.49846830992707925</v>
      </c>
      <c r="R648">
        <v>0.49846830992707919</v>
      </c>
      <c r="S648">
        <f t="shared" si="100"/>
        <v>-1.9846653570560187</v>
      </c>
      <c r="T648" s="148">
        <f t="shared" si="105"/>
        <v>-1.9427160784280491</v>
      </c>
      <c r="U648">
        <f t="shared" si="101"/>
        <v>2.1597154253660378</v>
      </c>
      <c r="V648" s="55">
        <f t="shared" si="106"/>
        <v>2.1640323465585669</v>
      </c>
      <c r="W648">
        <f t="shared" si="102"/>
        <v>0.59763308625429068</v>
      </c>
      <c r="X648" s="55">
        <f t="shared" si="107"/>
        <v>0.589873667374189</v>
      </c>
      <c r="Y648" s="149">
        <v>20.1202887</v>
      </c>
      <c r="Z648" s="55">
        <f t="shared" si="103"/>
        <v>6.0467173618430963E-3</v>
      </c>
      <c r="AA648" s="55">
        <f t="shared" si="108"/>
        <v>5.7621487268702774E-3</v>
      </c>
      <c r="AB648" s="55">
        <f t="shared" si="104"/>
        <v>-5.1082397390111201</v>
      </c>
      <c r="AC648" s="55">
        <f t="shared" si="109"/>
        <v>-5.1575902458317131</v>
      </c>
      <c r="AD648" s="55"/>
      <c r="AE648" s="55"/>
      <c r="AF648" s="55"/>
      <c r="AG648" s="55"/>
      <c r="AH648" s="55"/>
    </row>
    <row r="649" spans="1:34" ht="15.75">
      <c r="A649" s="39">
        <v>19.9328866</v>
      </c>
      <c r="B649" s="39">
        <v>20.1863505</v>
      </c>
      <c r="C649" s="39">
        <v>647</v>
      </c>
      <c r="D649">
        <v>647</v>
      </c>
      <c r="E649" s="10">
        <v>1540230</v>
      </c>
      <c r="F649" s="10">
        <v>1077980</v>
      </c>
      <c r="G649" s="10">
        <v>14675</v>
      </c>
      <c r="H649" s="10">
        <v>45527</v>
      </c>
      <c r="I649" s="10">
        <v>178337</v>
      </c>
      <c r="J649" s="10">
        <v>27286</v>
      </c>
      <c r="K649">
        <v>647</v>
      </c>
      <c r="L649" s="10">
        <v>2020</v>
      </c>
      <c r="M649" s="10">
        <v>405961</v>
      </c>
      <c r="N649" s="10">
        <v>6303</v>
      </c>
      <c r="O649">
        <v>0.81530158183316415</v>
      </c>
      <c r="P649">
        <v>0.95021528019849721</v>
      </c>
      <c r="Q649">
        <v>-0.49169092351237925</v>
      </c>
      <c r="R649">
        <v>0.49169092351237925</v>
      </c>
      <c r="S649">
        <f t="shared" si="100"/>
        <v>-1.8773012686235087</v>
      </c>
      <c r="T649" s="148">
        <f t="shared" si="105"/>
        <v>-1.9181022959612284</v>
      </c>
      <c r="U649">
        <f t="shared" si="101"/>
        <v>2.18795153932022</v>
      </c>
      <c r="V649" s="55">
        <f t="shared" si="106"/>
        <v>2.1888408652275371</v>
      </c>
      <c r="W649">
        <f t="shared" si="102"/>
        <v>0.62022838442652228</v>
      </c>
      <c r="X649" s="55">
        <f t="shared" si="107"/>
        <v>0.61329663033165716</v>
      </c>
      <c r="Y649" s="149">
        <v>20.1863505</v>
      </c>
      <c r="Z649" s="55">
        <f t="shared" si="103"/>
        <v>5.8470472550511141E-3</v>
      </c>
      <c r="AA649" s="55">
        <f t="shared" si="108"/>
        <v>5.9486317155714374E-3</v>
      </c>
      <c r="AB649" s="55">
        <f t="shared" si="104"/>
        <v>-5.1418184878901672</v>
      </c>
      <c r="AC649" s="55">
        <f t="shared" si="109"/>
        <v>-5.1246880927265934</v>
      </c>
      <c r="AD649" s="55"/>
      <c r="AE649" s="55"/>
      <c r="AF649" s="55"/>
      <c r="AG649" s="55"/>
      <c r="AH649" s="55"/>
    </row>
    <row r="650" spans="1:34" ht="15.75">
      <c r="A650" s="39">
        <v>19.9952784</v>
      </c>
      <c r="B650" s="39">
        <v>20.252412400000001</v>
      </c>
      <c r="C650" s="39">
        <v>648</v>
      </c>
      <c r="D650">
        <v>648</v>
      </c>
      <c r="E650" s="10">
        <v>1599950</v>
      </c>
      <c r="F650" s="10">
        <v>1093390</v>
      </c>
      <c r="G650" s="10">
        <v>14749</v>
      </c>
      <c r="H650" s="10">
        <v>46692</v>
      </c>
      <c r="I650" s="10">
        <v>182280</v>
      </c>
      <c r="J650" s="10">
        <v>27473</v>
      </c>
      <c r="K650">
        <v>648</v>
      </c>
      <c r="L650" s="10">
        <v>1915</v>
      </c>
      <c r="M650" s="10">
        <v>429417</v>
      </c>
      <c r="N650" s="10">
        <v>6508</v>
      </c>
      <c r="O650">
        <v>0.82183293375861854</v>
      </c>
      <c r="P650">
        <v>0.96363675668167381</v>
      </c>
      <c r="Q650">
        <v>-0.50047990122901032</v>
      </c>
      <c r="R650">
        <v>0.50047990122901032</v>
      </c>
      <c r="S650">
        <f t="shared" si="100"/>
        <v>-1.8923402622041579</v>
      </c>
      <c r="T650" s="148">
        <f t="shared" si="105"/>
        <v>-1.898348159482165</v>
      </c>
      <c r="U650">
        <f t="shared" si="101"/>
        <v>2.2188556309963525</v>
      </c>
      <c r="V650" s="55">
        <f t="shared" si="106"/>
        <v>2.2070783169607608</v>
      </c>
      <c r="W650">
        <f t="shared" si="102"/>
        <v>0.6220284203141585</v>
      </c>
      <c r="X650" s="55">
        <f t="shared" si="107"/>
        <v>0.61596040681668274</v>
      </c>
      <c r="Y650" s="149">
        <v>20.252412400000001</v>
      </c>
      <c r="Z650" s="55">
        <f t="shared" si="103"/>
        <v>5.9521305298201009E-3</v>
      </c>
      <c r="AA650" s="55">
        <f t="shared" si="108"/>
        <v>5.9080124429560996E-3</v>
      </c>
      <c r="AB650" s="55">
        <f t="shared" si="104"/>
        <v>-5.1240060512784913</v>
      </c>
      <c r="AC650" s="55">
        <f t="shared" si="109"/>
        <v>-5.1314742790216945</v>
      </c>
      <c r="AD650" s="55"/>
      <c r="AE650" s="55"/>
      <c r="AF650" s="55"/>
      <c r="AG650" s="55"/>
      <c r="AH650" s="55"/>
    </row>
    <row r="651" spans="1:34" ht="15.75">
      <c r="A651" s="39">
        <v>20.057670099999999</v>
      </c>
      <c r="B651" s="39">
        <v>20.318474200000001</v>
      </c>
      <c r="C651" s="39">
        <v>649</v>
      </c>
      <c r="D651">
        <v>649</v>
      </c>
      <c r="E651" s="10">
        <v>1530620</v>
      </c>
      <c r="F651" s="10">
        <v>1069730</v>
      </c>
      <c r="G651" s="10">
        <v>14403</v>
      </c>
      <c r="H651" s="10">
        <v>44356</v>
      </c>
      <c r="I651" s="10">
        <v>180994</v>
      </c>
      <c r="J651" s="10">
        <v>26392</v>
      </c>
      <c r="K651">
        <v>649</v>
      </c>
      <c r="L651" s="10">
        <v>2271</v>
      </c>
      <c r="M651" s="10">
        <v>406131</v>
      </c>
      <c r="N651" s="10">
        <v>6338</v>
      </c>
      <c r="O651">
        <v>0.83619187559111319</v>
      </c>
      <c r="P651">
        <v>0.96171376567295308</v>
      </c>
      <c r="Q651">
        <v>-0.48849941411349401</v>
      </c>
      <c r="R651">
        <v>0.48849941411349401</v>
      </c>
      <c r="S651">
        <f t="shared" si="100"/>
        <v>-1.9254029476188288</v>
      </c>
      <c r="T651" s="148">
        <f t="shared" si="105"/>
        <v>-1.9098471911570465</v>
      </c>
      <c r="U651">
        <f t="shared" si="101"/>
        <v>2.2144277805657104</v>
      </c>
      <c r="V651" s="55">
        <f t="shared" si="106"/>
        <v>2.2043091208706116</v>
      </c>
      <c r="W651">
        <f t="shared" si="102"/>
        <v>0.60562441570936731</v>
      </c>
      <c r="X651" s="55">
        <f t="shared" si="107"/>
        <v>0.60665830673924004</v>
      </c>
      <c r="Y651" s="149">
        <v>20.318474200000001</v>
      </c>
      <c r="Z651" s="55">
        <f t="shared" si="103"/>
        <v>5.9248595439970837E-3</v>
      </c>
      <c r="AA651" s="55">
        <f t="shared" si="108"/>
        <v>5.8960665044484025E-3</v>
      </c>
      <c r="AB651" s="55">
        <f t="shared" si="104"/>
        <v>-5.128598297896426</v>
      </c>
      <c r="AC651" s="55">
        <f t="shared" si="109"/>
        <v>-5.1335236379351565</v>
      </c>
      <c r="AD651" s="55"/>
      <c r="AE651" s="55"/>
      <c r="AF651" s="55"/>
      <c r="AG651" s="55"/>
      <c r="AH651" s="55"/>
    </row>
    <row r="652" spans="1:34" ht="15.75">
      <c r="A652" s="39">
        <v>20.1200619</v>
      </c>
      <c r="B652" s="39">
        <v>20.384536099999998</v>
      </c>
      <c r="C652" s="39">
        <v>650</v>
      </c>
      <c r="D652">
        <v>650</v>
      </c>
      <c r="E652" s="10">
        <v>1571370</v>
      </c>
      <c r="F652" s="10">
        <v>1084800</v>
      </c>
      <c r="G652" s="10">
        <v>15228</v>
      </c>
      <c r="H652" s="10">
        <v>46435</v>
      </c>
      <c r="I652" s="10">
        <v>186281</v>
      </c>
      <c r="J652" s="10">
        <v>27535</v>
      </c>
      <c r="K652">
        <v>650</v>
      </c>
      <c r="L652" s="10">
        <v>2093</v>
      </c>
      <c r="M652" s="10">
        <v>410632</v>
      </c>
      <c r="N652" s="10">
        <v>6304</v>
      </c>
      <c r="O652">
        <v>0.83028347984405915</v>
      </c>
      <c r="P652">
        <v>0.94660734045471751</v>
      </c>
      <c r="Q652">
        <v>-0.48420258174172232</v>
      </c>
      <c r="R652">
        <v>0.48420258174172232</v>
      </c>
      <c r="S652">
        <f t="shared" si="100"/>
        <v>-1.9117983636481526</v>
      </c>
      <c r="T652" s="148">
        <f t="shared" si="105"/>
        <v>-1.8991120442108798</v>
      </c>
      <c r="U652">
        <f t="shared" si="101"/>
        <v>2.1796439510497723</v>
      </c>
      <c r="V652" s="55">
        <f t="shared" si="106"/>
        <v>2.1922653346846772</v>
      </c>
      <c r="W652">
        <f t="shared" si="102"/>
        <v>0.59232208419419397</v>
      </c>
      <c r="X652" s="55">
        <f t="shared" si="107"/>
        <v>0.6076104106993796</v>
      </c>
      <c r="Y652" s="149">
        <v>20.384536099999998</v>
      </c>
      <c r="Z652" s="55">
        <f t="shared" si="103"/>
        <v>5.8112094395280237E-3</v>
      </c>
      <c r="AA652" s="55">
        <f t="shared" si="108"/>
        <v>5.8406246194709537E-3</v>
      </c>
      <c r="AB652" s="55">
        <f t="shared" si="104"/>
        <v>-5.1479665646305532</v>
      </c>
      <c r="AC652" s="55">
        <f t="shared" si="109"/>
        <v>-5.1429708863955019</v>
      </c>
      <c r="AD652" s="55"/>
      <c r="AE652" s="55"/>
      <c r="AF652" s="55"/>
      <c r="AG652" s="55"/>
      <c r="AH652" s="55"/>
    </row>
    <row r="653" spans="1:34" ht="15.75">
      <c r="A653" s="39">
        <v>20.182453599999999</v>
      </c>
      <c r="B653" s="39">
        <v>20.450597900000002</v>
      </c>
      <c r="C653" s="39">
        <v>651</v>
      </c>
      <c r="D653">
        <v>651</v>
      </c>
      <c r="E653" s="10">
        <v>1568020</v>
      </c>
      <c r="F653" s="10">
        <v>1080230</v>
      </c>
      <c r="G653" s="10">
        <v>14761</v>
      </c>
      <c r="H653" s="10">
        <v>46233</v>
      </c>
      <c r="I653" s="10">
        <v>177152</v>
      </c>
      <c r="J653" s="10">
        <v>27574</v>
      </c>
      <c r="K653">
        <v>651</v>
      </c>
      <c r="L653" s="10">
        <v>1541</v>
      </c>
      <c r="M653" s="10">
        <v>410107</v>
      </c>
      <c r="N653" s="10">
        <v>6250</v>
      </c>
      <c r="O653">
        <v>0.80784628851519624</v>
      </c>
      <c r="P653">
        <v>0.94794510703635182</v>
      </c>
      <c r="Q653">
        <v>-0.49583629492794723</v>
      </c>
      <c r="R653">
        <v>0.49583629492794723</v>
      </c>
      <c r="S653">
        <f t="shared" si="100"/>
        <v>-1.8601348213656577</v>
      </c>
      <c r="T653" s="148">
        <f t="shared" si="105"/>
        <v>-1.856690037614219</v>
      </c>
      <c r="U653">
        <f t="shared" si="101"/>
        <v>2.1827242724385485</v>
      </c>
      <c r="V653" s="55">
        <f t="shared" si="106"/>
        <v>2.1864158869065253</v>
      </c>
      <c r="W653">
        <f t="shared" si="102"/>
        <v>0.62488473219457752</v>
      </c>
      <c r="X653" s="55">
        <f t="shared" si="107"/>
        <v>0.61366428971707154</v>
      </c>
      <c r="Y653" s="149">
        <v>20.450597900000002</v>
      </c>
      <c r="Z653" s="55">
        <f t="shared" si="103"/>
        <v>5.7858048748877554E-3</v>
      </c>
      <c r="AA653" s="55">
        <f t="shared" si="108"/>
        <v>5.9053297475720893E-3</v>
      </c>
      <c r="AB653" s="55">
        <f t="shared" si="104"/>
        <v>-5.1523477966595257</v>
      </c>
      <c r="AC653" s="55">
        <f t="shared" si="109"/>
        <v>-5.1322250177175448</v>
      </c>
      <c r="AD653" s="55"/>
      <c r="AE653" s="55"/>
      <c r="AF653" s="55"/>
      <c r="AG653" s="55"/>
      <c r="AH653" s="55"/>
    </row>
    <row r="654" spans="1:34" ht="15.75">
      <c r="A654" s="39">
        <v>20.244845399999999</v>
      </c>
      <c r="B654" s="39">
        <v>20.516659799999999</v>
      </c>
      <c r="C654" s="39">
        <v>652</v>
      </c>
      <c r="D654">
        <v>652</v>
      </c>
      <c r="E654" s="10">
        <v>1564510</v>
      </c>
      <c r="F654" s="10">
        <v>1080900</v>
      </c>
      <c r="G654" s="10">
        <v>14938</v>
      </c>
      <c r="H654" s="10">
        <v>46044</v>
      </c>
      <c r="I654" s="10">
        <v>168314</v>
      </c>
      <c r="J654" s="10">
        <v>27874</v>
      </c>
      <c r="K654">
        <v>652</v>
      </c>
      <c r="L654" s="10">
        <v>1899</v>
      </c>
      <c r="M654" s="10">
        <v>414253</v>
      </c>
      <c r="N654" s="10">
        <v>6614</v>
      </c>
      <c r="O654">
        <v>0.78092094546253399</v>
      </c>
      <c r="P654">
        <v>0.95409261699625514</v>
      </c>
      <c r="Q654">
        <v>-0.48888059014323326</v>
      </c>
      <c r="R654">
        <v>0.48888059014323326</v>
      </c>
      <c r="S654">
        <f t="shared" si="100"/>
        <v>-1.7981369278288468</v>
      </c>
      <c r="T654" s="148">
        <f t="shared" si="105"/>
        <v>-1.8049583500844191</v>
      </c>
      <c r="U654">
        <f t="shared" si="101"/>
        <v>2.1968794372312543</v>
      </c>
      <c r="V654" s="55">
        <f t="shared" si="106"/>
        <v>2.1841695794106575</v>
      </c>
      <c r="W654">
        <f t="shared" si="102"/>
        <v>0.62378605276244292</v>
      </c>
      <c r="X654" s="55">
        <f t="shared" si="107"/>
        <v>0.61833568083243018</v>
      </c>
      <c r="Y654" s="149">
        <v>20.516659799999999</v>
      </c>
      <c r="Z654" s="55">
        <f t="shared" si="103"/>
        <v>6.1189749283004904E-3</v>
      </c>
      <c r="AA654" s="55">
        <f t="shared" si="108"/>
        <v>5.8759772082185467E-3</v>
      </c>
      <c r="AB654" s="55">
        <f t="shared" si="104"/>
        <v>-5.0963606918625564</v>
      </c>
      <c r="AC654" s="55">
        <f t="shared" si="109"/>
        <v>-5.1373146987093294</v>
      </c>
      <c r="AD654" s="55"/>
      <c r="AE654" s="55"/>
      <c r="AF654" s="55"/>
      <c r="AG654" s="55"/>
      <c r="AH654" s="55"/>
    </row>
    <row r="655" spans="1:34" ht="15.75">
      <c r="A655" s="39">
        <v>20.307237099999998</v>
      </c>
      <c r="B655" s="39">
        <v>20.5827217</v>
      </c>
      <c r="C655" s="39">
        <v>653</v>
      </c>
      <c r="D655">
        <v>653</v>
      </c>
      <c r="E655" s="10">
        <v>1542750</v>
      </c>
      <c r="F655" s="10">
        <v>1076330</v>
      </c>
      <c r="G655" s="10">
        <v>15418</v>
      </c>
      <c r="H655" s="10">
        <v>45307</v>
      </c>
      <c r="I655" s="10">
        <v>163772</v>
      </c>
      <c r="J655" s="10">
        <v>28272</v>
      </c>
      <c r="K655">
        <v>653</v>
      </c>
      <c r="L655" s="10">
        <v>1544</v>
      </c>
      <c r="M655" s="10">
        <v>397966</v>
      </c>
      <c r="N655" s="10">
        <v>6160</v>
      </c>
      <c r="O655">
        <v>0.76288312054285268</v>
      </c>
      <c r="P655">
        <v>0.94368066360437808</v>
      </c>
      <c r="Q655">
        <v>-0.46813726501581288</v>
      </c>
      <c r="R655">
        <v>0.46813726501581282</v>
      </c>
      <c r="S655">
        <f t="shared" si="100"/>
        <v>-1.7566033010587521</v>
      </c>
      <c r="T655" s="148">
        <f t="shared" si="105"/>
        <v>-1.768511356876483</v>
      </c>
      <c r="U655">
        <f t="shared" si="101"/>
        <v>2.1729050285621696</v>
      </c>
      <c r="V655" s="55">
        <f t="shared" si="106"/>
        <v>2.1818009049060771</v>
      </c>
      <c r="W655">
        <f t="shared" si="102"/>
        <v>0.60633625754027021</v>
      </c>
      <c r="X655" s="55">
        <f t="shared" si="107"/>
        <v>0.60774190089882574</v>
      </c>
      <c r="Y655" s="149">
        <v>20.5827217</v>
      </c>
      <c r="Z655" s="55">
        <f t="shared" si="103"/>
        <v>5.7231518214673942E-3</v>
      </c>
      <c r="AA655" s="55">
        <f t="shared" si="108"/>
        <v>5.7797251982890365E-3</v>
      </c>
      <c r="AB655" s="55">
        <f t="shared" si="104"/>
        <v>-5.1632356076059063</v>
      </c>
      <c r="AC655" s="55">
        <f t="shared" si="109"/>
        <v>-5.1543800679458789</v>
      </c>
      <c r="AD655" s="55"/>
      <c r="AE655" s="55"/>
      <c r="AF655" s="55"/>
      <c r="AG655" s="55"/>
      <c r="AH655" s="55"/>
    </row>
    <row r="656" spans="1:34" ht="15.75">
      <c r="A656" s="39">
        <v>20.369628899999999</v>
      </c>
      <c r="B656" s="39">
        <v>20.6487835</v>
      </c>
      <c r="C656" s="39">
        <v>654</v>
      </c>
      <c r="D656">
        <v>654</v>
      </c>
      <c r="E656" s="10">
        <v>1525110</v>
      </c>
      <c r="F656" s="10">
        <v>1075850</v>
      </c>
      <c r="G656" s="10">
        <v>15257</v>
      </c>
      <c r="H656" s="10">
        <v>44778</v>
      </c>
      <c r="I656" s="10">
        <v>159005</v>
      </c>
      <c r="J656" s="10">
        <v>27609</v>
      </c>
      <c r="K656">
        <v>654</v>
      </c>
      <c r="L656" s="10">
        <v>2391</v>
      </c>
      <c r="M656" s="10">
        <v>394388</v>
      </c>
      <c r="N656" s="10">
        <v>5914</v>
      </c>
      <c r="O656">
        <v>0.76036010441868074</v>
      </c>
      <c r="P656">
        <v>0.94485900023605907</v>
      </c>
      <c r="Q656">
        <v>-0.46759554577252904</v>
      </c>
      <c r="R656">
        <v>0.46759554577252899</v>
      </c>
      <c r="S656">
        <f t="shared" si="100"/>
        <v>-1.7507938417418503</v>
      </c>
      <c r="T656" s="148">
        <f t="shared" si="105"/>
        <v>-1.7368445541875446</v>
      </c>
      <c r="U656">
        <f t="shared" si="101"/>
        <v>2.175618248924807</v>
      </c>
      <c r="V656" s="55">
        <f t="shared" si="106"/>
        <v>2.1692016791803201</v>
      </c>
      <c r="W656">
        <f t="shared" si="102"/>
        <v>0.59310339239376442</v>
      </c>
      <c r="X656" s="55">
        <f t="shared" si="107"/>
        <v>0.5858967987013417</v>
      </c>
      <c r="Y656" s="149">
        <v>20.6487835</v>
      </c>
      <c r="Z656" s="55">
        <f t="shared" si="103"/>
        <v>5.4970488450992241E-3</v>
      </c>
      <c r="AA656" s="55">
        <f t="shared" si="108"/>
        <v>5.631839332212083E-3</v>
      </c>
      <c r="AB656" s="55">
        <f t="shared" si="104"/>
        <v>-5.2035439043691749</v>
      </c>
      <c r="AC656" s="55">
        <f t="shared" si="109"/>
        <v>-5.1794694373200576</v>
      </c>
      <c r="AD656" s="55"/>
      <c r="AE656" s="55"/>
      <c r="AF656" s="55"/>
      <c r="AG656" s="55"/>
      <c r="AH656" s="55"/>
    </row>
    <row r="657" spans="1:34" ht="15.75">
      <c r="A657" s="39">
        <v>20.432020600000001</v>
      </c>
      <c r="B657" s="39">
        <v>20.714845400000002</v>
      </c>
      <c r="C657" s="39">
        <v>655</v>
      </c>
      <c r="D657">
        <v>655</v>
      </c>
      <c r="E657" s="10">
        <v>1530330</v>
      </c>
      <c r="F657" s="10">
        <v>1078530</v>
      </c>
      <c r="G657" s="10">
        <v>16023</v>
      </c>
      <c r="H657" s="10">
        <v>45113</v>
      </c>
      <c r="I657" s="10">
        <v>153763</v>
      </c>
      <c r="J657" s="10">
        <v>28002</v>
      </c>
      <c r="K657">
        <v>655</v>
      </c>
      <c r="L657" s="10">
        <v>2326</v>
      </c>
      <c r="M657" s="10">
        <v>390822</v>
      </c>
      <c r="N657" s="10">
        <v>6121</v>
      </c>
      <c r="O657">
        <v>0.73966279246055899</v>
      </c>
      <c r="P657">
        <v>0.93767729436940583</v>
      </c>
      <c r="Q657">
        <v>-0.44955787581268114</v>
      </c>
      <c r="R657">
        <v>0.4495578758126812</v>
      </c>
      <c r="S657">
        <f t="shared" ref="S657:S720" si="110">LN(J657/I657)</f>
        <v>-1.7031365197620318</v>
      </c>
      <c r="T657" s="148">
        <f t="shared" si="105"/>
        <v>-1.7276252449530933</v>
      </c>
      <c r="U657">
        <f t="shared" ref="U657:U720" si="111">LN(M657/H657)</f>
        <v>2.1590817600539838</v>
      </c>
      <c r="V657" s="55">
        <f t="shared" si="106"/>
        <v>2.1703483526180647</v>
      </c>
      <c r="W657">
        <f t="shared" ref="W657:W720" si="112">LN(J657/G657)</f>
        <v>0.5582507461699906</v>
      </c>
      <c r="X657" s="55">
        <f t="shared" si="107"/>
        <v>0.57149698216104905</v>
      </c>
      <c r="Y657" s="149">
        <v>20.714845400000002</v>
      </c>
      <c r="Z657" s="55">
        <f t="shared" si="103"/>
        <v>5.6753173300696314E-3</v>
      </c>
      <c r="AA657" s="55">
        <f t="shared" si="108"/>
        <v>5.7072818190809548E-3</v>
      </c>
      <c r="AB657" s="55">
        <f t="shared" si="104"/>
        <v>-5.1716287999850916</v>
      </c>
      <c r="AC657" s="55">
        <f t="shared" si="109"/>
        <v>-5.1665414277421311</v>
      </c>
      <c r="AD657" s="55"/>
      <c r="AE657" s="55"/>
      <c r="AF657" s="55"/>
      <c r="AG657" s="55"/>
      <c r="AH657" s="55"/>
    </row>
    <row r="658" spans="1:34" ht="15.75">
      <c r="A658" s="39">
        <v>20.494412400000002</v>
      </c>
      <c r="B658" s="39">
        <v>20.780907200000001</v>
      </c>
      <c r="C658" s="39">
        <v>656</v>
      </c>
      <c r="D658">
        <v>656</v>
      </c>
      <c r="E658" s="10">
        <v>1549220</v>
      </c>
      <c r="F658" s="10">
        <v>1083120</v>
      </c>
      <c r="G658" s="10">
        <v>15917</v>
      </c>
      <c r="H658" s="10">
        <v>45352</v>
      </c>
      <c r="I658" s="10">
        <v>157507</v>
      </c>
      <c r="J658" s="10">
        <v>27953</v>
      </c>
      <c r="K658">
        <v>656</v>
      </c>
      <c r="L658" s="10">
        <v>1886</v>
      </c>
      <c r="M658" s="10">
        <v>399734</v>
      </c>
      <c r="N658" s="10">
        <v>6444</v>
      </c>
      <c r="O658">
        <v>0.75087143516040677</v>
      </c>
      <c r="P658">
        <v>0.94517464544405083</v>
      </c>
      <c r="Q658">
        <v>-0.45473522770565111</v>
      </c>
      <c r="R658">
        <v>0.45473522770565111</v>
      </c>
      <c r="S658">
        <f t="shared" si="110"/>
        <v>-1.7289453733553979</v>
      </c>
      <c r="T658" s="148">
        <f t="shared" si="105"/>
        <v>-1.7520829302628442</v>
      </c>
      <c r="U658">
        <f t="shared" si="111"/>
        <v>2.1763450488754037</v>
      </c>
      <c r="V658" s="55">
        <f t="shared" si="106"/>
        <v>2.1649030265528566</v>
      </c>
      <c r="W658">
        <f t="shared" si="112"/>
        <v>0.56313680791939191</v>
      </c>
      <c r="X658" s="55">
        <f t="shared" si="107"/>
        <v>0.57707140171955373</v>
      </c>
      <c r="Y658" s="149">
        <v>20.780907200000001</v>
      </c>
      <c r="Z658" s="55">
        <f t="shared" si="103"/>
        <v>5.9494792820740088E-3</v>
      </c>
      <c r="AA658" s="55">
        <f t="shared" si="108"/>
        <v>5.7829437960830307E-3</v>
      </c>
      <c r="AB658" s="55">
        <f t="shared" si="104"/>
        <v>-5.1244515788721277</v>
      </c>
      <c r="AC658" s="55">
        <f t="shared" si="109"/>
        <v>-5.1530539068911621</v>
      </c>
      <c r="AD658" s="55"/>
      <c r="AE658" s="55"/>
      <c r="AF658" s="55"/>
      <c r="AG658" s="55"/>
      <c r="AH658" s="55"/>
    </row>
    <row r="659" spans="1:34" ht="15.75">
      <c r="A659" s="39">
        <v>20.556804100000001</v>
      </c>
      <c r="B659" s="39">
        <v>20.846969099999999</v>
      </c>
      <c r="C659" s="39">
        <v>657</v>
      </c>
      <c r="D659">
        <v>657</v>
      </c>
      <c r="E659" s="10">
        <v>1552580</v>
      </c>
      <c r="F659" s="10">
        <v>1069700</v>
      </c>
      <c r="G659" s="10">
        <v>14948</v>
      </c>
      <c r="H659" s="10">
        <v>45135</v>
      </c>
      <c r="I659" s="10">
        <v>170472</v>
      </c>
      <c r="J659" s="10">
        <v>27506</v>
      </c>
      <c r="K659">
        <v>657</v>
      </c>
      <c r="L659" s="10">
        <v>2316</v>
      </c>
      <c r="M659" s="10">
        <v>391091</v>
      </c>
      <c r="N659" s="10">
        <v>6123</v>
      </c>
      <c r="O659">
        <v>0.79222561772913358</v>
      </c>
      <c r="P659">
        <v>0.93776437504920762</v>
      </c>
      <c r="Q659">
        <v>-0.47993035761816183</v>
      </c>
      <c r="R659">
        <v>0.47993035761816183</v>
      </c>
      <c r="S659">
        <f t="shared" si="110"/>
        <v>-1.8241668976711025</v>
      </c>
      <c r="T659" s="148">
        <f t="shared" si="105"/>
        <v>-1.7424184794037654</v>
      </c>
      <c r="U659">
        <f t="shared" si="111"/>
        <v>2.1592822707291828</v>
      </c>
      <c r="V659" s="55">
        <f t="shared" si="106"/>
        <v>2.1604118522288385</v>
      </c>
      <c r="W659">
        <f t="shared" si="112"/>
        <v>0.60982665106927858</v>
      </c>
      <c r="X659" s="55">
        <f t="shared" si="107"/>
        <v>0.59811886887344545</v>
      </c>
      <c r="Y659" s="149">
        <v>20.846969099999999</v>
      </c>
      <c r="Z659" s="55">
        <f t="shared" si="103"/>
        <v>5.7240347761054501E-3</v>
      </c>
      <c r="AA659" s="55">
        <f t="shared" si="108"/>
        <v>5.9336770496059912E-3</v>
      </c>
      <c r="AB659" s="55">
        <f t="shared" si="104"/>
        <v>-5.1630813418162678</v>
      </c>
      <c r="AC659" s="55">
        <f t="shared" si="109"/>
        <v>-5.1274995246947999</v>
      </c>
      <c r="AD659" s="55"/>
      <c r="AE659" s="55"/>
      <c r="AF659" s="55"/>
      <c r="AG659" s="55"/>
      <c r="AH659" s="55"/>
    </row>
    <row r="660" spans="1:34" ht="15.75">
      <c r="A660" s="39">
        <v>20.619195900000001</v>
      </c>
      <c r="B660" s="39">
        <v>20.913030899999999</v>
      </c>
      <c r="C660" s="39">
        <v>658</v>
      </c>
      <c r="D660">
        <v>658</v>
      </c>
      <c r="E660" s="10">
        <v>1530560</v>
      </c>
      <c r="F660" s="10">
        <v>1075150</v>
      </c>
      <c r="G660" s="10">
        <v>15504</v>
      </c>
      <c r="H660" s="10">
        <v>45662</v>
      </c>
      <c r="I660" s="10">
        <v>153951</v>
      </c>
      <c r="J660" s="10">
        <v>28861</v>
      </c>
      <c r="K660">
        <v>658</v>
      </c>
      <c r="L660" s="10">
        <v>1893</v>
      </c>
      <c r="M660" s="10">
        <v>390284</v>
      </c>
      <c r="N660" s="10">
        <v>6588</v>
      </c>
      <c r="O660">
        <v>0.72707113942439017</v>
      </c>
      <c r="P660">
        <v>0.93182581769084583</v>
      </c>
      <c r="Q660">
        <v>-0.46911117000428038</v>
      </c>
      <c r="R660">
        <v>0.46911117000428043</v>
      </c>
      <c r="S660">
        <f t="shared" si="110"/>
        <v>-1.6741431671847962</v>
      </c>
      <c r="T660" s="148">
        <f t="shared" si="105"/>
        <v>-1.7593362948544959</v>
      </c>
      <c r="U660">
        <f t="shared" si="111"/>
        <v>2.1456082370819289</v>
      </c>
      <c r="V660" s="55">
        <f t="shared" si="106"/>
        <v>2.1439269346428573</v>
      </c>
      <c r="W660">
        <f t="shared" si="112"/>
        <v>0.62139314763166587</v>
      </c>
      <c r="X660" s="55">
        <f t="shared" si="107"/>
        <v>0.61424139125936372</v>
      </c>
      <c r="Y660" s="149">
        <v>20.913030899999999</v>
      </c>
      <c r="Z660" s="55">
        <f t="shared" si="103"/>
        <v>6.1275170906385156E-3</v>
      </c>
      <c r="AA660" s="55">
        <f t="shared" si="108"/>
        <v>5.9435532594257628E-3</v>
      </c>
      <c r="AB660" s="55">
        <f t="shared" si="104"/>
        <v>-5.0949656533960042</v>
      </c>
      <c r="AC660" s="55">
        <f t="shared" si="109"/>
        <v>-5.1258436320111569</v>
      </c>
      <c r="AD660" s="55"/>
      <c r="AE660" s="55"/>
      <c r="AF660" s="55"/>
      <c r="AG660" s="55"/>
      <c r="AH660" s="55"/>
    </row>
    <row r="661" spans="1:34" ht="15.75">
      <c r="A661" s="39">
        <v>20.6815876</v>
      </c>
      <c r="B661" s="39">
        <v>20.9790928</v>
      </c>
      <c r="C661" s="39">
        <v>659</v>
      </c>
      <c r="D661">
        <v>659</v>
      </c>
      <c r="E661" s="10">
        <v>1542520</v>
      </c>
      <c r="F661" s="10">
        <v>1077920</v>
      </c>
      <c r="G661" s="10">
        <v>15402</v>
      </c>
      <c r="H661" s="10">
        <v>45807</v>
      </c>
      <c r="I661" s="10">
        <v>168292</v>
      </c>
      <c r="J661" s="10">
        <v>28389</v>
      </c>
      <c r="K661">
        <v>659</v>
      </c>
      <c r="L661" s="10">
        <v>1684</v>
      </c>
      <c r="M661" s="10">
        <v>384263</v>
      </c>
      <c r="N661" s="10">
        <v>6445</v>
      </c>
      <c r="O661">
        <v>0.7729133768487364</v>
      </c>
      <c r="P661">
        <v>0.92369671921738639</v>
      </c>
      <c r="Q661">
        <v>-0.47335473076270995</v>
      </c>
      <c r="R661">
        <v>0.47335473076270995</v>
      </c>
      <c r="S661">
        <f t="shared" si="110"/>
        <v>-1.7796988197075894</v>
      </c>
      <c r="T661" s="148">
        <f t="shared" si="105"/>
        <v>-1.7375469550318616</v>
      </c>
      <c r="U661">
        <f t="shared" si="111"/>
        <v>2.1268902961174607</v>
      </c>
      <c r="V661" s="55">
        <f t="shared" si="106"/>
        <v>2.1469727650047874</v>
      </c>
      <c r="W661">
        <f t="shared" si="112"/>
        <v>0.61150437507714694</v>
      </c>
      <c r="X661" s="55">
        <f t="shared" si="107"/>
        <v>0.61367570227463586</v>
      </c>
      <c r="Y661" s="149">
        <v>20.9790928</v>
      </c>
      <c r="Z661" s="55">
        <f t="shared" si="103"/>
        <v>5.9791079115333236E-3</v>
      </c>
      <c r="AA661" s="55">
        <f t="shared" si="108"/>
        <v>5.952110925582896E-3</v>
      </c>
      <c r="AB661" s="55">
        <f t="shared" si="104"/>
        <v>-5.1194839008211988</v>
      </c>
      <c r="AC661" s="55">
        <f t="shared" si="109"/>
        <v>-5.1243519338314254</v>
      </c>
      <c r="AD661" s="55"/>
      <c r="AE661" s="55"/>
      <c r="AF661" s="55"/>
      <c r="AG661" s="55"/>
      <c r="AH661" s="55"/>
    </row>
    <row r="662" spans="1:34" ht="15.75">
      <c r="A662" s="39">
        <v>20.743979400000001</v>
      </c>
      <c r="B662" s="39">
        <v>21.0451546</v>
      </c>
      <c r="C662" s="39">
        <v>660</v>
      </c>
      <c r="D662">
        <v>660</v>
      </c>
      <c r="E662" s="10">
        <v>1547100</v>
      </c>
      <c r="F662" s="10">
        <v>1086490</v>
      </c>
      <c r="G662" s="10">
        <v>15214</v>
      </c>
      <c r="H662" s="10">
        <v>45084</v>
      </c>
      <c r="I662" s="10">
        <v>162251</v>
      </c>
      <c r="J662" s="10">
        <v>27948</v>
      </c>
      <c r="K662">
        <v>660</v>
      </c>
      <c r="L662" s="10">
        <v>1181</v>
      </c>
      <c r="M662" s="10">
        <v>394235</v>
      </c>
      <c r="N662" s="10">
        <v>6247</v>
      </c>
      <c r="O662">
        <v>0.76383664758127889</v>
      </c>
      <c r="P662">
        <v>0.9417327370062063</v>
      </c>
      <c r="Q662">
        <v>-0.47177902919200904</v>
      </c>
      <c r="R662">
        <v>0.47177902919200904</v>
      </c>
      <c r="S662">
        <f t="shared" si="110"/>
        <v>-1.7587988782031991</v>
      </c>
      <c r="T662" s="148">
        <f t="shared" si="105"/>
        <v>-1.7504345510720187</v>
      </c>
      <c r="U662">
        <f t="shared" si="111"/>
        <v>2.168419761814973</v>
      </c>
      <c r="V662" s="55">
        <f t="shared" si="106"/>
        <v>2.142506383549915</v>
      </c>
      <c r="W662">
        <f t="shared" si="112"/>
        <v>0.60812958411509488</v>
      </c>
      <c r="X662" s="55">
        <f t="shared" si="107"/>
        <v>0.60422177727399029</v>
      </c>
      <c r="Y662" s="149">
        <v>21.0451546</v>
      </c>
      <c r="Z662" s="55">
        <f t="shared" si="103"/>
        <v>5.7497077745768486E-3</v>
      </c>
      <c r="AA662" s="55">
        <f t="shared" si="108"/>
        <v>5.7621710966920077E-3</v>
      </c>
      <c r="AB662" s="55">
        <f t="shared" si="104"/>
        <v>-5.1586062472770724</v>
      </c>
      <c r="AC662" s="55">
        <f t="shared" si="109"/>
        <v>-5.1568871681957154</v>
      </c>
      <c r="AD662" s="55"/>
      <c r="AE662" s="55"/>
      <c r="AF662" s="55"/>
      <c r="AG662" s="55"/>
      <c r="AH662" s="55"/>
    </row>
    <row r="663" spans="1:34" ht="15.75">
      <c r="A663" s="39">
        <v>20.8063711</v>
      </c>
      <c r="B663" s="39">
        <v>21.111216500000001</v>
      </c>
      <c r="C663" s="39">
        <v>661</v>
      </c>
      <c r="D663">
        <v>661</v>
      </c>
      <c r="E663" s="10">
        <v>1550120</v>
      </c>
      <c r="F663" s="10">
        <v>1089300</v>
      </c>
      <c r="G663" s="10">
        <v>16270</v>
      </c>
      <c r="H663" s="10">
        <v>46307</v>
      </c>
      <c r="I663" s="10">
        <v>163230</v>
      </c>
      <c r="J663" s="10">
        <v>29440</v>
      </c>
      <c r="K663">
        <v>661</v>
      </c>
      <c r="L663" s="10">
        <v>1492</v>
      </c>
      <c r="M663" s="10">
        <v>390529</v>
      </c>
      <c r="N663" s="10">
        <v>6054</v>
      </c>
      <c r="O663">
        <v>0.74386217496010576</v>
      </c>
      <c r="P663">
        <v>0.92600664323106763</v>
      </c>
      <c r="Q663">
        <v>-0.45425909319094809</v>
      </c>
      <c r="R663">
        <v>0.45425909319094809</v>
      </c>
      <c r="S663">
        <f t="shared" si="110"/>
        <v>-1.7128059553052681</v>
      </c>
      <c r="T663" s="148">
        <f t="shared" si="105"/>
        <v>-1.7513552965133883</v>
      </c>
      <c r="U663">
        <f t="shared" si="111"/>
        <v>2.1322090927173121</v>
      </c>
      <c r="V663" s="55">
        <f t="shared" si="106"/>
        <v>2.1511750305266353</v>
      </c>
      <c r="W663">
        <f t="shared" si="112"/>
        <v>0.59303137262972905</v>
      </c>
      <c r="X663" s="55">
        <f t="shared" si="107"/>
        <v>0.60556953149916204</v>
      </c>
      <c r="Y663" s="149">
        <v>21.111216500000001</v>
      </c>
      <c r="Z663" s="55">
        <f t="shared" si="103"/>
        <v>5.5576976039658499E-3</v>
      </c>
      <c r="AA663" s="55">
        <f t="shared" si="108"/>
        <v>5.7304045601892688E-3</v>
      </c>
      <c r="AB663" s="55">
        <f t="shared" si="104"/>
        <v>-5.1925713564888731</v>
      </c>
      <c r="AC663" s="55">
        <f t="shared" si="109"/>
        <v>-5.1622428866910264</v>
      </c>
      <c r="AD663" s="55"/>
      <c r="AE663" s="55"/>
      <c r="AF663" s="55"/>
      <c r="AG663" s="55"/>
      <c r="AH663" s="55"/>
    </row>
    <row r="664" spans="1:34" ht="15.75">
      <c r="A664" s="39">
        <v>20.8687629</v>
      </c>
      <c r="B664" s="39">
        <v>21.177278399999999</v>
      </c>
      <c r="C664" s="39">
        <v>662</v>
      </c>
      <c r="D664">
        <v>662</v>
      </c>
      <c r="E664" s="10">
        <v>1557960</v>
      </c>
      <c r="F664" s="10">
        <v>1091300</v>
      </c>
      <c r="G664" s="10">
        <v>15228</v>
      </c>
      <c r="H664" s="10">
        <v>45910</v>
      </c>
      <c r="I664" s="10">
        <v>167527</v>
      </c>
      <c r="J664" s="10">
        <v>28182</v>
      </c>
      <c r="K664">
        <v>662</v>
      </c>
      <c r="L664" s="10">
        <v>1730</v>
      </c>
      <c r="M664" s="10">
        <v>395274</v>
      </c>
      <c r="N664" s="10">
        <v>6421</v>
      </c>
      <c r="O664">
        <v>0.77411300084200907</v>
      </c>
      <c r="P664">
        <v>0.93499095586005665</v>
      </c>
      <c r="Q664">
        <v>-0.47926442462369118</v>
      </c>
      <c r="R664">
        <v>0.47926442462369123</v>
      </c>
      <c r="S664">
        <f t="shared" si="110"/>
        <v>-1.7824610560316971</v>
      </c>
      <c r="T664" s="148">
        <f t="shared" si="105"/>
        <v>-1.7611548528008443</v>
      </c>
      <c r="U664">
        <f t="shared" si="111"/>
        <v>2.1528962370476203</v>
      </c>
      <c r="V664" s="55">
        <f t="shared" si="106"/>
        <v>2.1389538096161798</v>
      </c>
      <c r="W664">
        <f t="shared" si="112"/>
        <v>0.61554763775266208</v>
      </c>
      <c r="X664" s="55">
        <f t="shared" si="107"/>
        <v>0.60836600844429789</v>
      </c>
      <c r="Y664" s="149">
        <v>21.177278399999999</v>
      </c>
      <c r="Z664" s="55">
        <f t="shared" si="103"/>
        <v>5.883808302025108E-3</v>
      </c>
      <c r="AA664" s="55">
        <f t="shared" si="108"/>
        <v>5.6245265337593097E-3</v>
      </c>
      <c r="AB664" s="55">
        <f t="shared" si="104"/>
        <v>-5.1355510563071327</v>
      </c>
      <c r="AC664" s="55">
        <f t="shared" si="109"/>
        <v>-5.1811855782449108</v>
      </c>
      <c r="AD664" s="55"/>
      <c r="AE664" s="55"/>
      <c r="AF664" s="55"/>
      <c r="AG664" s="55"/>
      <c r="AH664" s="55"/>
    </row>
    <row r="665" spans="1:34" ht="15.75">
      <c r="A665" s="39">
        <v>20.931154599999999</v>
      </c>
      <c r="B665" s="39">
        <v>21.243340199999999</v>
      </c>
      <c r="C665" s="39">
        <v>663</v>
      </c>
      <c r="D665">
        <v>663</v>
      </c>
      <c r="E665" s="10">
        <v>1556050</v>
      </c>
      <c r="F665" s="10">
        <v>1083380</v>
      </c>
      <c r="G665" s="10">
        <v>15739</v>
      </c>
      <c r="H665" s="10">
        <v>46053</v>
      </c>
      <c r="I665" s="10">
        <v>174314</v>
      </c>
      <c r="J665" s="10">
        <v>29156</v>
      </c>
      <c r="K665">
        <v>663</v>
      </c>
      <c r="L665" s="10">
        <v>1853</v>
      </c>
      <c r="M665" s="10">
        <v>388211</v>
      </c>
      <c r="N665" s="10">
        <v>5885</v>
      </c>
      <c r="O665">
        <v>0.77660432724350648</v>
      </c>
      <c r="P665">
        <v>0.92580991059561202</v>
      </c>
      <c r="Q665">
        <v>-0.46628079103632358</v>
      </c>
      <c r="R665">
        <v>0.46628079103632353</v>
      </c>
      <c r="S665">
        <f t="shared" si="110"/>
        <v>-1.7881975470655675</v>
      </c>
      <c r="T665" s="148">
        <f t="shared" si="105"/>
        <v>-1.7897800782743201</v>
      </c>
      <c r="U665">
        <f t="shared" si="111"/>
        <v>2.1317560990836064</v>
      </c>
      <c r="V665" s="55">
        <f t="shared" si="106"/>
        <v>2.1483498545100099</v>
      </c>
      <c r="W665">
        <f t="shared" si="112"/>
        <v>0.61651901495050254</v>
      </c>
      <c r="X665" s="55">
        <f t="shared" si="107"/>
        <v>0.61281134076139576</v>
      </c>
      <c r="Y665" s="149">
        <v>21.243340199999999</v>
      </c>
      <c r="Z665" s="55">
        <f t="shared" si="103"/>
        <v>5.432073695286972E-3</v>
      </c>
      <c r="AA665" s="55">
        <f t="shared" si="108"/>
        <v>5.6415314725511015E-3</v>
      </c>
      <c r="AB665" s="55">
        <f t="shared" si="104"/>
        <v>-5.2154343219387265</v>
      </c>
      <c r="AC665" s="55">
        <f t="shared" si="109"/>
        <v>-5.1781398263755669</v>
      </c>
      <c r="AD665" s="55"/>
      <c r="AE665" s="55"/>
      <c r="AF665" s="55"/>
      <c r="AG665" s="55"/>
      <c r="AH665" s="55"/>
    </row>
    <row r="666" spans="1:34" ht="15.75">
      <c r="A666" s="39">
        <v>20.9935464</v>
      </c>
      <c r="B666" s="39">
        <v>21.3094021</v>
      </c>
      <c r="C666" s="39">
        <v>664</v>
      </c>
      <c r="D666">
        <v>664</v>
      </c>
      <c r="E666" s="10">
        <v>1560170</v>
      </c>
      <c r="F666" s="10">
        <v>1089020</v>
      </c>
      <c r="G666" s="10">
        <v>15309</v>
      </c>
      <c r="H666" s="10">
        <v>45477</v>
      </c>
      <c r="I666" s="10">
        <v>169608</v>
      </c>
      <c r="J666" s="10">
        <v>28073</v>
      </c>
      <c r="K666">
        <v>664</v>
      </c>
      <c r="L666" s="10">
        <v>2157</v>
      </c>
      <c r="M666" s="10">
        <v>394494</v>
      </c>
      <c r="N666" s="10">
        <v>6108</v>
      </c>
      <c r="O666">
        <v>0.78115750735920686</v>
      </c>
      <c r="P666">
        <v>0.93824859457838483</v>
      </c>
      <c r="Q666">
        <v>-0.47284498462566149</v>
      </c>
      <c r="R666">
        <v>0.47284498462566149</v>
      </c>
      <c r="S666">
        <f t="shared" si="110"/>
        <v>-1.7986816317256962</v>
      </c>
      <c r="T666" s="148">
        <f t="shared" si="105"/>
        <v>-1.7847595202263375</v>
      </c>
      <c r="U666">
        <f t="shared" si="111"/>
        <v>2.1603972273988026</v>
      </c>
      <c r="V666" s="55">
        <f t="shared" si="106"/>
        <v>2.1407374589835766</v>
      </c>
      <c r="W666">
        <f t="shared" si="112"/>
        <v>0.60636736958102266</v>
      </c>
      <c r="X666" s="55">
        <f t="shared" si="107"/>
        <v>0.61736650583925434</v>
      </c>
      <c r="Y666" s="149">
        <v>21.3094021</v>
      </c>
      <c r="Z666" s="55">
        <f t="shared" si="103"/>
        <v>5.6087124203412246E-3</v>
      </c>
      <c r="AA666" s="55">
        <f t="shared" si="108"/>
        <v>5.50186814886527E-3</v>
      </c>
      <c r="AB666" s="55">
        <f t="shared" si="104"/>
        <v>-5.1834341008808424</v>
      </c>
      <c r="AC666" s="55">
        <f t="shared" si="109"/>
        <v>-5.2027642743335507</v>
      </c>
      <c r="AD666" s="55"/>
      <c r="AE666" s="55"/>
      <c r="AF666" s="55"/>
      <c r="AG666" s="55"/>
      <c r="AH666" s="55"/>
    </row>
    <row r="667" spans="1:34" ht="15.75">
      <c r="A667" s="39">
        <v>21.055938099999999</v>
      </c>
      <c r="B667" s="39">
        <v>21.3754639</v>
      </c>
      <c r="C667" s="39">
        <v>665</v>
      </c>
      <c r="D667">
        <v>665</v>
      </c>
      <c r="E667" s="10">
        <v>1550960</v>
      </c>
      <c r="F667" s="10">
        <v>1084940</v>
      </c>
      <c r="G667" s="10">
        <v>15105</v>
      </c>
      <c r="H667" s="10">
        <v>45666</v>
      </c>
      <c r="I667" s="10">
        <v>165942</v>
      </c>
      <c r="J667" s="10">
        <v>28339</v>
      </c>
      <c r="K667">
        <v>665</v>
      </c>
      <c r="L667" s="10">
        <v>2083</v>
      </c>
      <c r="M667" s="10">
        <v>384296</v>
      </c>
      <c r="N667" s="10">
        <v>5929</v>
      </c>
      <c r="O667">
        <v>0.76757179887306748</v>
      </c>
      <c r="P667">
        <v>0.925072891746472</v>
      </c>
      <c r="Q667">
        <v>-0.48047224271573757</v>
      </c>
      <c r="R667">
        <v>0.48047224271573752</v>
      </c>
      <c r="S667">
        <f t="shared" si="110"/>
        <v>-1.7673993818877489</v>
      </c>
      <c r="T667" s="148">
        <f t="shared" si="105"/>
        <v>-1.780677594021068</v>
      </c>
      <c r="U667">
        <f t="shared" si="111"/>
        <v>2.1300590504683208</v>
      </c>
      <c r="V667" s="55">
        <f t="shared" si="106"/>
        <v>2.1500247604503988</v>
      </c>
      <c r="W667">
        <f t="shared" si="112"/>
        <v>0.62921313298623782</v>
      </c>
      <c r="X667" s="55">
        <f t="shared" si="107"/>
        <v>0.6255672865747921</v>
      </c>
      <c r="Y667" s="149">
        <v>21.3754639</v>
      </c>
      <c r="Z667" s="55">
        <f t="shared" si="103"/>
        <v>5.4648183309676107E-3</v>
      </c>
      <c r="AA667" s="55">
        <f t="shared" si="108"/>
        <v>5.5747746549504899E-3</v>
      </c>
      <c r="AB667" s="55">
        <f t="shared" si="104"/>
        <v>-5.2094244001810832</v>
      </c>
      <c r="AC667" s="55">
        <f t="shared" si="109"/>
        <v>-5.1896059509874197</v>
      </c>
      <c r="AD667" s="55"/>
      <c r="AE667" s="55"/>
      <c r="AF667" s="55"/>
      <c r="AG667" s="55"/>
      <c r="AH667" s="55"/>
    </row>
    <row r="668" spans="1:34" ht="15.75">
      <c r="A668" s="39">
        <v>21.118329899999999</v>
      </c>
      <c r="B668" s="39">
        <v>21.441525800000001</v>
      </c>
      <c r="C668" s="39">
        <v>666</v>
      </c>
      <c r="D668">
        <v>666</v>
      </c>
      <c r="E668" s="10">
        <v>1559985</v>
      </c>
      <c r="F668" s="10">
        <v>1089817.5</v>
      </c>
      <c r="G668" s="10">
        <v>14716.5</v>
      </c>
      <c r="H668" s="10">
        <v>45214.875</v>
      </c>
      <c r="I668" s="10">
        <v>165016</v>
      </c>
      <c r="J668" s="10">
        <v>27940.875</v>
      </c>
      <c r="K668">
        <v>666</v>
      </c>
      <c r="L668" s="10">
        <v>2800.666667</v>
      </c>
      <c r="M668" s="10">
        <v>391914.6667</v>
      </c>
      <c r="N668" s="10">
        <v>6158.3333329999996</v>
      </c>
      <c r="O668">
        <v>0.77128605316405197</v>
      </c>
      <c r="P668">
        <v>0.93791018193205056</v>
      </c>
      <c r="Q668">
        <v>-0.48747679976959984</v>
      </c>
      <c r="R668">
        <v>0.48747679976959979</v>
      </c>
      <c r="S668">
        <f t="shared" si="110"/>
        <v>-1.775951768449759</v>
      </c>
      <c r="T668" s="148">
        <f t="shared" si="105"/>
        <v>-1.7356117826115025</v>
      </c>
      <c r="U668">
        <f t="shared" si="111"/>
        <v>2.1596180034840726</v>
      </c>
      <c r="V668" s="55">
        <f t="shared" si="106"/>
        <v>2.1547927818908659</v>
      </c>
      <c r="W668">
        <f t="shared" si="112"/>
        <v>0.64112135715711593</v>
      </c>
      <c r="X668" s="55">
        <f t="shared" si="107"/>
        <v>0.61588069533132683</v>
      </c>
      <c r="Y668" s="149">
        <v>21.441525800000001</v>
      </c>
      <c r="Z668" s="55">
        <f t="shared" si="103"/>
        <v>5.6507932135426344E-3</v>
      </c>
      <c r="AA668" s="55">
        <f t="shared" si="108"/>
        <v>5.5972613317760919E-3</v>
      </c>
      <c r="AB668" s="55">
        <f t="shared" si="104"/>
        <v>-5.1759593519003335</v>
      </c>
      <c r="AC668" s="55">
        <f t="shared" si="109"/>
        <v>-5.1856206299238954</v>
      </c>
      <c r="AD668" s="55"/>
      <c r="AE668" s="55"/>
      <c r="AF668" s="55"/>
      <c r="AG668" s="55"/>
      <c r="AH668" s="55"/>
    </row>
    <row r="669" spans="1:34" ht="15.75">
      <c r="A669" s="39">
        <v>21.180721699999999</v>
      </c>
      <c r="B669" s="39">
        <v>21.507587600000001</v>
      </c>
      <c r="C669" s="39">
        <v>667</v>
      </c>
      <c r="D669">
        <v>667</v>
      </c>
      <c r="E669" s="10">
        <v>1548380</v>
      </c>
      <c r="F669" s="10">
        <v>1098980</v>
      </c>
      <c r="G669" s="10">
        <v>15807</v>
      </c>
      <c r="H669" s="10">
        <v>45519</v>
      </c>
      <c r="I669" s="10">
        <v>148598</v>
      </c>
      <c r="J669" s="10">
        <v>28156</v>
      </c>
      <c r="K669">
        <v>667</v>
      </c>
      <c r="L669" s="10">
        <v>2497</v>
      </c>
      <c r="M669" s="10">
        <v>400547</v>
      </c>
      <c r="N669" s="10">
        <v>6238</v>
      </c>
      <c r="O669">
        <v>0.72244200770620592</v>
      </c>
      <c r="P669">
        <v>0.94446077078195845</v>
      </c>
      <c r="Q669">
        <v>-0.45934325924982888</v>
      </c>
      <c r="R669">
        <v>0.45934325924982894</v>
      </c>
      <c r="S669">
        <f t="shared" si="110"/>
        <v>-1.6634841974969994</v>
      </c>
      <c r="T669" s="148">
        <f t="shared" si="105"/>
        <v>-1.7729009069757986</v>
      </c>
      <c r="U669">
        <f t="shared" si="111"/>
        <v>2.1747012917202038</v>
      </c>
      <c r="V669" s="55">
        <f t="shared" si="106"/>
        <v>2.1599118154294517</v>
      </c>
      <c r="W669">
        <f t="shared" si="112"/>
        <v>0.57730759585062685</v>
      </c>
      <c r="X669" s="55">
        <f t="shared" si="107"/>
        <v>0.5858154332951524</v>
      </c>
      <c r="Y669" s="149">
        <v>21.507587600000001</v>
      </c>
      <c r="Z669" s="55">
        <f t="shared" si="103"/>
        <v>5.6761724508180315E-3</v>
      </c>
      <c r="AA669" s="55">
        <f t="shared" si="108"/>
        <v>5.7009180149228574E-3</v>
      </c>
      <c r="AB669" s="55">
        <f t="shared" si="104"/>
        <v>-5.1714781376902703</v>
      </c>
      <c r="AC669" s="55">
        <f t="shared" si="109"/>
        <v>-5.1671726684648025</v>
      </c>
      <c r="AD669" s="55"/>
      <c r="AE669" s="55"/>
      <c r="AF669" s="55"/>
      <c r="AG669" s="55"/>
      <c r="AH669" s="55"/>
    </row>
    <row r="670" spans="1:34" ht="15.75">
      <c r="A670" s="39">
        <v>21.243113399999999</v>
      </c>
      <c r="B670" s="39">
        <v>21.573649499999998</v>
      </c>
      <c r="C670" s="39">
        <v>668</v>
      </c>
      <c r="D670">
        <v>668</v>
      </c>
      <c r="E670" s="10">
        <v>1564990</v>
      </c>
      <c r="F670" s="10">
        <v>1087990</v>
      </c>
      <c r="G670" s="10">
        <v>15990</v>
      </c>
      <c r="H670" s="10">
        <v>45387</v>
      </c>
      <c r="I670" s="10">
        <v>179513</v>
      </c>
      <c r="J670" s="10">
        <v>27412</v>
      </c>
      <c r="K670">
        <v>668</v>
      </c>
      <c r="L670" s="10">
        <v>3175</v>
      </c>
      <c r="M670" s="10">
        <v>387859</v>
      </c>
      <c r="N670" s="10">
        <v>6284</v>
      </c>
      <c r="O670">
        <v>0.81615518171232115</v>
      </c>
      <c r="P670">
        <v>0.93174239580192886</v>
      </c>
      <c r="Q670">
        <v>-0.45308301385222366</v>
      </c>
      <c r="R670">
        <v>0.4530830138522236</v>
      </c>
      <c r="S670">
        <f t="shared" si="110"/>
        <v>-1.8792667549806372</v>
      </c>
      <c r="T670" s="148">
        <f t="shared" si="105"/>
        <v>-1.7547812903702411</v>
      </c>
      <c r="U670">
        <f t="shared" si="111"/>
        <v>2.1454161510840795</v>
      </c>
      <c r="V670" s="55">
        <f t="shared" si="106"/>
        <v>2.1347918972275575</v>
      </c>
      <c r="W670">
        <f t="shared" si="112"/>
        <v>0.53901734687771441</v>
      </c>
      <c r="X670" s="55">
        <f t="shared" si="107"/>
        <v>0.5495277027837232</v>
      </c>
      <c r="Y670" s="149">
        <v>21.573649499999998</v>
      </c>
      <c r="Z670" s="55">
        <f t="shared" si="103"/>
        <v>5.7757883804079079E-3</v>
      </c>
      <c r="AA670" s="55">
        <f t="shared" si="108"/>
        <v>5.9880128849787509E-3</v>
      </c>
      <c r="AB670" s="55">
        <f t="shared" si="104"/>
        <v>-5.1540805158038037</v>
      </c>
      <c r="AC670" s="55">
        <f t="shared" si="109"/>
        <v>-5.1198851176773053</v>
      </c>
      <c r="AD670" s="55"/>
      <c r="AE670" s="55"/>
      <c r="AF670" s="55"/>
      <c r="AG670" s="55"/>
      <c r="AH670" s="55"/>
    </row>
    <row r="671" spans="1:34" ht="15.75">
      <c r="A671" s="39">
        <v>21.305505199999999</v>
      </c>
      <c r="B671" s="39">
        <v>21.639711299999998</v>
      </c>
      <c r="C671" s="39">
        <v>669</v>
      </c>
      <c r="D671">
        <v>669</v>
      </c>
      <c r="E671" s="10">
        <v>1552840</v>
      </c>
      <c r="F671" s="10">
        <v>1095810</v>
      </c>
      <c r="G671" s="10">
        <v>17273</v>
      </c>
      <c r="H671" s="10">
        <v>47299</v>
      </c>
      <c r="I671" s="10">
        <v>164514</v>
      </c>
      <c r="J671" s="10">
        <v>29412</v>
      </c>
      <c r="K671">
        <v>669</v>
      </c>
      <c r="L671" s="10">
        <v>1796</v>
      </c>
      <c r="M671" s="10">
        <v>380219</v>
      </c>
      <c r="N671" s="10">
        <v>7136</v>
      </c>
      <c r="O671">
        <v>0.74767830464606355</v>
      </c>
      <c r="P671">
        <v>0.90518185634921844</v>
      </c>
      <c r="Q671">
        <v>-0.43748418591747062</v>
      </c>
      <c r="R671">
        <v>0.43748418591747062</v>
      </c>
      <c r="S671">
        <f t="shared" si="110"/>
        <v>-1.7215929186330867</v>
      </c>
      <c r="T671" s="148">
        <f t="shared" si="105"/>
        <v>-1.768385270276486</v>
      </c>
      <c r="U671">
        <f t="shared" si="111"/>
        <v>2.0842582488783878</v>
      </c>
      <c r="V671" s="55">
        <f t="shared" si="106"/>
        <v>2.0944264479079577</v>
      </c>
      <c r="W671">
        <f t="shared" si="112"/>
        <v>0.53225816562282846</v>
      </c>
      <c r="X671" s="55">
        <f t="shared" si="107"/>
        <v>0.53269372047016683</v>
      </c>
      <c r="Y671" s="149">
        <v>21.639711299999998</v>
      </c>
      <c r="Z671" s="55">
        <f t="shared" si="103"/>
        <v>6.512077823710315E-3</v>
      </c>
      <c r="AA671" s="55">
        <f t="shared" si="108"/>
        <v>6.1581828392660186E-3</v>
      </c>
      <c r="AB671" s="55">
        <f t="shared" si="104"/>
        <v>-5.0340966995378427</v>
      </c>
      <c r="AC671" s="55">
        <f t="shared" si="109"/>
        <v>-5.0911778421620673</v>
      </c>
      <c r="AD671" s="55"/>
      <c r="AE671" s="55"/>
      <c r="AF671" s="55"/>
      <c r="AG671" s="55"/>
      <c r="AH671" s="55"/>
    </row>
    <row r="672" spans="1:34" ht="15.75">
      <c r="A672" s="39">
        <v>21.367896900000002</v>
      </c>
      <c r="B672" s="39">
        <v>21.705773199999999</v>
      </c>
      <c r="C672" s="39">
        <v>670</v>
      </c>
      <c r="D672">
        <v>670</v>
      </c>
      <c r="E672" s="10">
        <v>1534690</v>
      </c>
      <c r="F672" s="10">
        <v>1090730</v>
      </c>
      <c r="G672" s="10">
        <v>17345</v>
      </c>
      <c r="H672" s="10">
        <v>47460</v>
      </c>
      <c r="I672" s="10">
        <v>161484</v>
      </c>
      <c r="J672" s="10">
        <v>29374</v>
      </c>
      <c r="K672">
        <v>670</v>
      </c>
      <c r="L672" s="10">
        <v>2990</v>
      </c>
      <c r="M672" s="10">
        <v>369996</v>
      </c>
      <c r="N672" s="10">
        <v>6748</v>
      </c>
      <c r="O672">
        <v>0.74016640792182053</v>
      </c>
      <c r="P672">
        <v>0.89186929508481583</v>
      </c>
      <c r="Q672">
        <v>-0.43715342970324156</v>
      </c>
      <c r="R672">
        <v>0.43715342970324156</v>
      </c>
      <c r="S672">
        <f t="shared" si="110"/>
        <v>-1.7042961372157339</v>
      </c>
      <c r="T672" s="148">
        <f t="shared" si="105"/>
        <v>-1.7605977393318042</v>
      </c>
      <c r="U672">
        <f t="shared" si="111"/>
        <v>2.0536049437614046</v>
      </c>
      <c r="V672" s="55">
        <f t="shared" si="106"/>
        <v>2.1098556245024436</v>
      </c>
      <c r="W672">
        <f t="shared" si="112"/>
        <v>0.52680564890995762</v>
      </c>
      <c r="X672" s="55">
        <f t="shared" si="107"/>
        <v>0.53357934657112505</v>
      </c>
      <c r="Y672" s="149">
        <v>21.705773199999999</v>
      </c>
      <c r="Z672" s="55">
        <f t="shared" si="103"/>
        <v>6.1866823136798293E-3</v>
      </c>
      <c r="AA672" s="55">
        <f t="shared" si="108"/>
        <v>6.2538799560033853E-3</v>
      </c>
      <c r="AB672" s="55">
        <f t="shared" si="104"/>
        <v>-5.0853563111445563</v>
      </c>
      <c r="AC672" s="55">
        <f t="shared" si="109"/>
        <v>-5.0750077997946414</v>
      </c>
      <c r="AD672" s="55"/>
      <c r="AE672" s="55"/>
      <c r="AF672" s="55"/>
      <c r="AG672" s="55"/>
      <c r="AH672" s="55"/>
    </row>
    <row r="673" spans="1:34" ht="15.75">
      <c r="A673" s="39">
        <v>21.430288699999998</v>
      </c>
      <c r="B673" s="39">
        <v>21.771835100000001</v>
      </c>
      <c r="C673" s="39">
        <v>671</v>
      </c>
      <c r="D673">
        <v>671</v>
      </c>
      <c r="E673" s="10">
        <v>1579850</v>
      </c>
      <c r="F673" s="10">
        <v>1092880</v>
      </c>
      <c r="G673" s="10">
        <v>16068</v>
      </c>
      <c r="H673" s="10">
        <v>44782</v>
      </c>
      <c r="I673" s="10">
        <v>176692</v>
      </c>
      <c r="J673" s="10">
        <v>27619</v>
      </c>
      <c r="K673">
        <v>671</v>
      </c>
      <c r="L673" s="10">
        <v>2668</v>
      </c>
      <c r="M673" s="10">
        <v>400819</v>
      </c>
      <c r="N673" s="10">
        <v>6626</v>
      </c>
      <c r="O673">
        <v>0.80600893656154293</v>
      </c>
      <c r="P673">
        <v>0.95184481456781767</v>
      </c>
      <c r="Q673">
        <v>-0.4451416625560346</v>
      </c>
      <c r="R673">
        <v>0.4451416625560346</v>
      </c>
      <c r="S673">
        <f t="shared" si="110"/>
        <v>-1.8559041621465922</v>
      </c>
      <c r="T673" s="148">
        <f t="shared" si="105"/>
        <v>-1.7605798601297877</v>
      </c>
      <c r="U673">
        <f t="shared" si="111"/>
        <v>2.1917036808675388</v>
      </c>
      <c r="V673" s="55">
        <f t="shared" si="106"/>
        <v>2.1154455978149547</v>
      </c>
      <c r="W673">
        <f t="shared" si="112"/>
        <v>0.54167422518058883</v>
      </c>
      <c r="X673" s="55">
        <f t="shared" si="107"/>
        <v>0.53581377691843823</v>
      </c>
      <c r="Y673" s="149">
        <v>21.771835100000001</v>
      </c>
      <c r="Z673" s="55">
        <f t="shared" si="103"/>
        <v>6.0628797306200135E-3</v>
      </c>
      <c r="AA673" s="55">
        <f t="shared" si="108"/>
        <v>6.0755294460217686E-3</v>
      </c>
      <c r="AB673" s="55">
        <f t="shared" si="104"/>
        <v>-5.1055703887015271</v>
      </c>
      <c r="AC673" s="55">
        <f t="shared" si="109"/>
        <v>-5.1035862699460326</v>
      </c>
      <c r="AD673" s="55"/>
      <c r="AE673" s="55"/>
      <c r="AF673" s="55"/>
      <c r="AG673" s="55"/>
      <c r="AH673" s="55"/>
    </row>
    <row r="674" spans="1:34" ht="15.75">
      <c r="A674" s="39">
        <v>21.492680400000001</v>
      </c>
      <c r="B674" s="39">
        <v>21.8378969</v>
      </c>
      <c r="C674" s="39">
        <v>672</v>
      </c>
      <c r="D674">
        <v>672</v>
      </c>
      <c r="E674" s="10">
        <v>1537050</v>
      </c>
      <c r="F674" s="10">
        <v>1087330</v>
      </c>
      <c r="G674" s="10">
        <v>16646</v>
      </c>
      <c r="H674" s="10">
        <v>45569</v>
      </c>
      <c r="I674" s="10">
        <v>159600</v>
      </c>
      <c r="J674" s="10">
        <v>28535</v>
      </c>
      <c r="K674">
        <v>672</v>
      </c>
      <c r="L674" s="10">
        <v>2132</v>
      </c>
      <c r="M674" s="10">
        <v>372507</v>
      </c>
      <c r="N674" s="10">
        <v>6499</v>
      </c>
      <c r="O674">
        <v>0.74765501012973368</v>
      </c>
      <c r="P674">
        <v>0.91246494004004786</v>
      </c>
      <c r="Q674">
        <v>-0.4373596079092385</v>
      </c>
      <c r="R674">
        <v>0.43735960790923856</v>
      </c>
      <c r="S674">
        <f t="shared" si="110"/>
        <v>-1.7215392810270369</v>
      </c>
      <c r="T674" s="148">
        <f t="shared" si="105"/>
        <v>-1.7619554312442876</v>
      </c>
      <c r="U674">
        <f t="shared" si="111"/>
        <v>2.1010281688159198</v>
      </c>
      <c r="V674" s="55">
        <f t="shared" si="106"/>
        <v>2.1350972052382784</v>
      </c>
      <c r="W674">
        <f t="shared" si="112"/>
        <v>0.53896145666476802</v>
      </c>
      <c r="X674" s="55">
        <f t="shared" si="107"/>
        <v>0.53679394525345991</v>
      </c>
      <c r="Y674" s="149">
        <v>21.8378969</v>
      </c>
      <c r="Z674" s="55">
        <f t="shared" si="103"/>
        <v>5.9770262937654623E-3</v>
      </c>
      <c r="AA674" s="55">
        <f t="shared" si="108"/>
        <v>6.1512821633500263E-3</v>
      </c>
      <c r="AB674" s="55">
        <f t="shared" si="104"/>
        <v>-5.1198321099920143</v>
      </c>
      <c r="AC674" s="55">
        <f t="shared" si="109"/>
        <v>-5.091561319461154</v>
      </c>
      <c r="AD674" s="55"/>
      <c r="AE674" s="55"/>
      <c r="AF674" s="55"/>
      <c r="AG674" s="55"/>
      <c r="AH674" s="55"/>
    </row>
    <row r="675" spans="1:34" ht="15.75">
      <c r="A675" s="39">
        <v>21.555072200000001</v>
      </c>
      <c r="B675" s="39">
        <v>21.903958800000002</v>
      </c>
      <c r="C675" s="39">
        <v>673</v>
      </c>
      <c r="D675">
        <v>673</v>
      </c>
      <c r="E675" s="10">
        <v>1537290</v>
      </c>
      <c r="F675" s="10">
        <v>1085760</v>
      </c>
      <c r="G675" s="10">
        <v>16879</v>
      </c>
      <c r="H675" s="10">
        <v>45300</v>
      </c>
      <c r="I675" s="10">
        <v>158260</v>
      </c>
      <c r="J675" s="10">
        <v>28669</v>
      </c>
      <c r="K675">
        <v>673</v>
      </c>
      <c r="L675" s="10">
        <v>1614</v>
      </c>
      <c r="M675" s="10">
        <v>374603</v>
      </c>
      <c r="N675" s="10">
        <v>6964</v>
      </c>
      <c r="O675">
        <v>0.74195861675529906</v>
      </c>
      <c r="P675">
        <v>0.91747304907825178</v>
      </c>
      <c r="Q675">
        <v>-0.42875148883140562</v>
      </c>
      <c r="R675">
        <v>0.42875148883140557</v>
      </c>
      <c r="S675">
        <f t="shared" si="110"/>
        <v>-1.7084228505592338</v>
      </c>
      <c r="T675" s="148">
        <f t="shared" si="105"/>
        <v>-1.7330007557885903</v>
      </c>
      <c r="U675">
        <f t="shared" si="111"/>
        <v>2.1125597660313771</v>
      </c>
      <c r="V675" s="55">
        <f t="shared" si="106"/>
        <v>2.1472745623348231</v>
      </c>
      <c r="W675">
        <f t="shared" si="112"/>
        <v>0.52974615391502278</v>
      </c>
      <c r="X675" s="55">
        <f t="shared" si="107"/>
        <v>0.54689249042257038</v>
      </c>
      <c r="Y675" s="149">
        <v>21.903958800000002</v>
      </c>
      <c r="Z675" s="55">
        <f t="shared" si="103"/>
        <v>6.413940465664604E-3</v>
      </c>
      <c r="AA675" s="55">
        <f t="shared" si="108"/>
        <v>6.2163020012651572E-3</v>
      </c>
      <c r="AB675" s="55">
        <f t="shared" si="104"/>
        <v>-5.0492814596899223</v>
      </c>
      <c r="AC675" s="55">
        <f t="shared" si="109"/>
        <v>-5.081005970646399</v>
      </c>
      <c r="AD675" s="55"/>
      <c r="AE675" s="55"/>
      <c r="AF675" s="55"/>
      <c r="AG675" s="55"/>
      <c r="AH675" s="55"/>
    </row>
    <row r="676" spans="1:34" ht="15.75">
      <c r="A676" s="39">
        <v>21.617463900000001</v>
      </c>
      <c r="B676" s="39">
        <v>21.970020600000002</v>
      </c>
      <c r="C676" s="39">
        <v>674</v>
      </c>
      <c r="D676">
        <v>674</v>
      </c>
      <c r="E676" s="10">
        <v>1572300</v>
      </c>
      <c r="F676" s="10">
        <v>1102120</v>
      </c>
      <c r="G676" s="10">
        <v>15641</v>
      </c>
      <c r="H676" s="10">
        <v>44304</v>
      </c>
      <c r="I676" s="10">
        <v>162537</v>
      </c>
      <c r="J676" s="10">
        <v>27712</v>
      </c>
      <c r="K676">
        <v>674</v>
      </c>
      <c r="L676" s="10">
        <v>1990</v>
      </c>
      <c r="M676" s="10">
        <v>411295</v>
      </c>
      <c r="N676" s="10">
        <v>6897</v>
      </c>
      <c r="O676">
        <v>0.76828436923441645</v>
      </c>
      <c r="P676">
        <v>0.96771049154140187</v>
      </c>
      <c r="Q676">
        <v>-0.4521784223759821</v>
      </c>
      <c r="R676">
        <v>0.4521784223759821</v>
      </c>
      <c r="S676">
        <f t="shared" si="110"/>
        <v>-1.7690401357795005</v>
      </c>
      <c r="T676" s="148">
        <f t="shared" si="105"/>
        <v>-1.7502760429395565</v>
      </c>
      <c r="U676">
        <f t="shared" si="111"/>
        <v>2.2282357521571727</v>
      </c>
      <c r="V676" s="55">
        <f t="shared" si="106"/>
        <v>2.1737898062288523</v>
      </c>
      <c r="W676">
        <f t="shared" si="112"/>
        <v>0.57196986068792022</v>
      </c>
      <c r="X676" s="55">
        <f t="shared" si="107"/>
        <v>0.54975960065514717</v>
      </c>
      <c r="Y676" s="149">
        <v>21.970020600000002</v>
      </c>
      <c r="Z676" s="55">
        <f t="shared" si="103"/>
        <v>6.2579392443654052E-3</v>
      </c>
      <c r="AA676" s="55">
        <f t="shared" si="108"/>
        <v>6.2082315875129209E-3</v>
      </c>
      <c r="AB676" s="55">
        <f t="shared" si="104"/>
        <v>-5.0739043422572614</v>
      </c>
      <c r="AC676" s="55">
        <f t="shared" si="109"/>
        <v>-5.0823589517293835</v>
      </c>
      <c r="AD676" s="55"/>
      <c r="AE676" s="55"/>
      <c r="AF676" s="55"/>
      <c r="AG676" s="55"/>
      <c r="AH676" s="55"/>
    </row>
    <row r="677" spans="1:34" ht="15.75">
      <c r="A677" s="39">
        <v>21.679855700000001</v>
      </c>
      <c r="B677" s="39">
        <v>22.036082499999999</v>
      </c>
      <c r="C677" s="39">
        <v>675</v>
      </c>
      <c r="D677">
        <v>675</v>
      </c>
      <c r="E677" s="10">
        <v>1574670</v>
      </c>
      <c r="F677" s="10">
        <v>1096960</v>
      </c>
      <c r="G677" s="10">
        <v>16157</v>
      </c>
      <c r="H677" s="10">
        <v>45500</v>
      </c>
      <c r="I677" s="10">
        <v>164561</v>
      </c>
      <c r="J677" s="10">
        <v>27936</v>
      </c>
      <c r="K677">
        <v>675</v>
      </c>
      <c r="L677" s="10">
        <v>2166</v>
      </c>
      <c r="M677" s="10">
        <v>402738</v>
      </c>
      <c r="N677" s="10">
        <v>6530</v>
      </c>
      <c r="O677">
        <v>0.77016269577861007</v>
      </c>
      <c r="P677">
        <v>0.94701121236853525</v>
      </c>
      <c r="Q677">
        <v>-0.44965067167873335</v>
      </c>
      <c r="R677">
        <v>0.44965067167873335</v>
      </c>
      <c r="S677">
        <f t="shared" si="110"/>
        <v>-1.7733651424799359</v>
      </c>
      <c r="T677" s="148">
        <f t="shared" si="105"/>
        <v>-1.7861497405496098</v>
      </c>
      <c r="U677">
        <f t="shared" si="111"/>
        <v>2.1805739004980076</v>
      </c>
      <c r="V677" s="55">
        <f t="shared" si="106"/>
        <v>2.1819266808481905</v>
      </c>
      <c r="W677">
        <f t="shared" si="112"/>
        <v>0.5475627873624983</v>
      </c>
      <c r="X677" s="55">
        <f t="shared" si="107"/>
        <v>0.54434263725872045</v>
      </c>
      <c r="Y677" s="149">
        <v>22.036082499999999</v>
      </c>
      <c r="Z677" s="55">
        <f t="shared" si="103"/>
        <v>5.9528150525087519E-3</v>
      </c>
      <c r="AA677" s="55">
        <f t="shared" si="108"/>
        <v>6.0286058026345563E-3</v>
      </c>
      <c r="AB677" s="55">
        <f t="shared" si="104"/>
        <v>-5.1238910532409658</v>
      </c>
      <c r="AC677" s="55">
        <f t="shared" si="109"/>
        <v>-5.1116112907349809</v>
      </c>
      <c r="AD677" s="55"/>
      <c r="AE677" s="55"/>
      <c r="AF677" s="55"/>
      <c r="AG677" s="55"/>
      <c r="AH677" s="55"/>
    </row>
    <row r="678" spans="1:34" ht="15.75">
      <c r="A678" s="129">
        <v>21.7422474</v>
      </c>
      <c r="B678" s="129">
        <v>22.102144299999999</v>
      </c>
      <c r="C678" s="129">
        <v>676</v>
      </c>
      <c r="D678" s="130">
        <v>676</v>
      </c>
      <c r="E678" s="131">
        <v>1545070</v>
      </c>
      <c r="F678" s="131">
        <v>1089350</v>
      </c>
      <c r="G678" s="131">
        <v>16310</v>
      </c>
      <c r="H678" s="131">
        <v>44684</v>
      </c>
      <c r="I678" s="131">
        <v>167556</v>
      </c>
      <c r="J678" s="131">
        <v>27256</v>
      </c>
      <c r="K678" s="130">
        <v>676</v>
      </c>
      <c r="L678" s="131">
        <v>1691</v>
      </c>
      <c r="M678" s="131">
        <v>378640</v>
      </c>
      <c r="N678" s="131">
        <v>6400</v>
      </c>
      <c r="O678" s="130">
        <v>0.78869786350783466</v>
      </c>
      <c r="P678" s="130">
        <v>0.92807444831960295</v>
      </c>
      <c r="Q678" s="130">
        <v>-0.43769808210005884</v>
      </c>
      <c r="R678" s="130">
        <v>0.43769808210005884</v>
      </c>
      <c r="S678" s="130">
        <f t="shared" si="110"/>
        <v>-1.8160439433893927</v>
      </c>
      <c r="T678" s="148">
        <f t="shared" si="105"/>
        <v>-1.773715120338428</v>
      </c>
      <c r="U678" s="130">
        <f t="shared" si="111"/>
        <v>2.1369703898893908</v>
      </c>
      <c r="V678" s="132">
        <f t="shared" si="106"/>
        <v>2.1535843828015877</v>
      </c>
      <c r="W678" s="130">
        <f t="shared" si="112"/>
        <v>0.51349526372574295</v>
      </c>
      <c r="X678" s="132">
        <f t="shared" si="107"/>
        <v>0.53447072008533458</v>
      </c>
      <c r="Y678" s="149">
        <v>22.102144299999999</v>
      </c>
      <c r="Z678" s="132">
        <f t="shared" si="103"/>
        <v>5.8750631110295127E-3</v>
      </c>
      <c r="AA678" s="132">
        <f t="shared" si="108"/>
        <v>5.8411224109027778E-3</v>
      </c>
      <c r="AB678" s="132">
        <f t="shared" si="104"/>
        <v>-5.1370384767067163</v>
      </c>
      <c r="AC678" s="132">
        <f t="shared" si="109"/>
        <v>-5.1430034462594847</v>
      </c>
      <c r="AD678" s="55"/>
      <c r="AE678" s="55"/>
      <c r="AF678" s="55"/>
      <c r="AG678" s="55"/>
      <c r="AH678" s="55"/>
    </row>
    <row r="679" spans="1:34" ht="15.75">
      <c r="A679" s="39">
        <v>21.8046392</v>
      </c>
      <c r="B679" s="39">
        <v>22.1682062</v>
      </c>
      <c r="C679" s="39">
        <v>677</v>
      </c>
      <c r="D679">
        <v>677</v>
      </c>
      <c r="E679" s="10">
        <v>1540170</v>
      </c>
      <c r="F679" s="10">
        <v>1082260</v>
      </c>
      <c r="G679" s="10">
        <v>16378</v>
      </c>
      <c r="H679" s="10">
        <v>44945</v>
      </c>
      <c r="I679" s="10">
        <v>159179</v>
      </c>
      <c r="J679" s="10">
        <v>28171</v>
      </c>
      <c r="K679">
        <v>677</v>
      </c>
      <c r="L679" s="10">
        <v>2233</v>
      </c>
      <c r="M679" s="10">
        <v>383235</v>
      </c>
      <c r="N679" s="10">
        <v>6164</v>
      </c>
      <c r="O679">
        <v>0.75208350840757998</v>
      </c>
      <c r="P679">
        <v>0.93078378060311107</v>
      </c>
      <c r="Q679">
        <v>-0.43842051798603243</v>
      </c>
      <c r="R679">
        <v>0.43842051798603243</v>
      </c>
      <c r="S679">
        <f t="shared" si="110"/>
        <v>-1.7317362751459557</v>
      </c>
      <c r="T679" s="148">
        <f t="shared" si="105"/>
        <v>-1.7816504114964948</v>
      </c>
      <c r="U679">
        <f t="shared" si="111"/>
        <v>2.1432088580173638</v>
      </c>
      <c r="V679" s="55">
        <f t="shared" si="106"/>
        <v>2.1338210982889141</v>
      </c>
      <c r="W679">
        <f t="shared" si="112"/>
        <v>0.54235410916776228</v>
      </c>
      <c r="X679" s="55">
        <f t="shared" si="107"/>
        <v>0.52956028318891146</v>
      </c>
      <c r="Y679" s="149">
        <v>22.1682062</v>
      </c>
      <c r="Z679" s="55">
        <f t="shared" si="103"/>
        <v>5.6954890691700696E-3</v>
      </c>
      <c r="AA679" s="55">
        <f t="shared" si="108"/>
        <v>5.8274885927187131E-3</v>
      </c>
      <c r="AB679" s="55">
        <f t="shared" si="104"/>
        <v>-5.1680808088307719</v>
      </c>
      <c r="AC679" s="55">
        <f t="shared" si="109"/>
        <v>-5.1453016652232906</v>
      </c>
      <c r="AD679" s="55"/>
      <c r="AE679" s="55"/>
      <c r="AF679" s="55"/>
      <c r="AG679" s="55"/>
      <c r="AH679" s="55"/>
    </row>
    <row r="680" spans="1:34" ht="15.75">
      <c r="A680" s="39">
        <v>21.8670309</v>
      </c>
      <c r="B680" s="39">
        <v>22.234268</v>
      </c>
      <c r="C680" s="39">
        <v>678</v>
      </c>
      <c r="D680">
        <v>678</v>
      </c>
      <c r="E680" s="10">
        <v>1532290</v>
      </c>
      <c r="F680" s="10">
        <v>1080530</v>
      </c>
      <c r="G680" s="10">
        <v>16135</v>
      </c>
      <c r="H680" s="10">
        <v>45170</v>
      </c>
      <c r="I680" s="10">
        <v>165835</v>
      </c>
      <c r="J680" s="10">
        <v>27490</v>
      </c>
      <c r="K680">
        <v>678</v>
      </c>
      <c r="L680" s="10">
        <v>1649</v>
      </c>
      <c r="M680" s="10">
        <v>376801</v>
      </c>
      <c r="N680" s="10">
        <v>6388</v>
      </c>
      <c r="O680">
        <v>0.78050145526534231</v>
      </c>
      <c r="P680">
        <v>0.92126195614412076</v>
      </c>
      <c r="Q680">
        <v>-0.44708112082147045</v>
      </c>
      <c r="R680">
        <v>0.44708112082147039</v>
      </c>
      <c r="S680">
        <f t="shared" si="110"/>
        <v>-1.7971710159541363</v>
      </c>
      <c r="T680" s="148">
        <f t="shared" si="105"/>
        <v>-1.7640543880651087</v>
      </c>
      <c r="U680">
        <f t="shared" si="111"/>
        <v>2.1212840469599867</v>
      </c>
      <c r="V680" s="55">
        <f t="shared" si="106"/>
        <v>2.1541316681384717</v>
      </c>
      <c r="W680">
        <f t="shared" si="112"/>
        <v>0.53283147667322928</v>
      </c>
      <c r="X680" s="55">
        <f t="shared" si="107"/>
        <v>0.55037857516245658</v>
      </c>
      <c r="Y680" s="149">
        <v>22.234268</v>
      </c>
      <c r="Z680" s="55">
        <f t="shared" si="103"/>
        <v>5.9119135979565579E-3</v>
      </c>
      <c r="AA680" s="55">
        <f t="shared" si="108"/>
        <v>5.6763483360912038E-3</v>
      </c>
      <c r="AB680" s="55">
        <f t="shared" si="104"/>
        <v>-5.1307857101323826</v>
      </c>
      <c r="AC680" s="55">
        <f t="shared" si="109"/>
        <v>-5.1720743378072447</v>
      </c>
      <c r="AD680" s="55"/>
      <c r="AE680" s="55"/>
      <c r="AF680" s="55"/>
      <c r="AG680" s="55"/>
      <c r="AH680" s="55"/>
    </row>
    <row r="681" spans="1:34" ht="15.75">
      <c r="A681" s="39">
        <v>21.9294227</v>
      </c>
      <c r="B681" s="39">
        <v>22.300329900000001</v>
      </c>
      <c r="C681" s="39">
        <v>679</v>
      </c>
      <c r="D681">
        <v>679</v>
      </c>
      <c r="E681" s="10">
        <v>1544960</v>
      </c>
      <c r="F681" s="10">
        <v>1085280</v>
      </c>
      <c r="G681" s="10">
        <v>15354</v>
      </c>
      <c r="H681" s="10">
        <v>44264</v>
      </c>
      <c r="I681" s="10">
        <v>159267</v>
      </c>
      <c r="J681" s="10">
        <v>27312</v>
      </c>
      <c r="K681">
        <v>679</v>
      </c>
      <c r="L681" s="10">
        <v>2154</v>
      </c>
      <c r="M681" s="10">
        <v>398646</v>
      </c>
      <c r="N681" s="10">
        <v>5884</v>
      </c>
      <c r="O681">
        <v>0.76577229586876105</v>
      </c>
      <c r="P681">
        <v>0.95453675354952361</v>
      </c>
      <c r="Q681">
        <v>-0.45982912093526696</v>
      </c>
      <c r="R681">
        <v>0.4598291209352669</v>
      </c>
      <c r="S681">
        <f t="shared" si="110"/>
        <v>-1.7632558730952348</v>
      </c>
      <c r="T681" s="148">
        <f t="shared" si="105"/>
        <v>-1.7832982897202303</v>
      </c>
      <c r="U681">
        <f t="shared" si="111"/>
        <v>2.1979020994380645</v>
      </c>
      <c r="V681" s="55">
        <f t="shared" si="106"/>
        <v>2.1426183754736248</v>
      </c>
      <c r="W681">
        <f t="shared" si="112"/>
        <v>0.57595013964637809</v>
      </c>
      <c r="X681" s="55">
        <f t="shared" si="107"/>
        <v>0.54709171302112658</v>
      </c>
      <c r="Y681" s="149">
        <v>22.300329900000001</v>
      </c>
      <c r="Z681" s="55">
        <f t="shared" si="103"/>
        <v>5.4216423411469847E-3</v>
      </c>
      <c r="AA681" s="55">
        <f t="shared" si="108"/>
        <v>5.6363573566457865E-3</v>
      </c>
      <c r="AB681" s="55">
        <f t="shared" si="104"/>
        <v>-5.2173564944585786</v>
      </c>
      <c r="AC681" s="55">
        <f t="shared" si="109"/>
        <v>-5.1791708636634581</v>
      </c>
      <c r="AD681" s="55"/>
      <c r="AE681" s="55"/>
      <c r="AF681" s="55"/>
      <c r="AG681" s="55"/>
      <c r="AH681" s="55"/>
    </row>
    <row r="682" spans="1:34" ht="15.75">
      <c r="A682" s="39">
        <v>21.991814399999999</v>
      </c>
      <c r="B682" s="39">
        <v>22.366391799999999</v>
      </c>
      <c r="C682" s="39">
        <v>680</v>
      </c>
      <c r="D682">
        <v>680</v>
      </c>
      <c r="E682" s="10">
        <v>1516500</v>
      </c>
      <c r="F682" s="10">
        <v>1074340</v>
      </c>
      <c r="G682" s="10">
        <v>16289</v>
      </c>
      <c r="H682" s="10">
        <v>44894</v>
      </c>
      <c r="I682" s="10">
        <v>166077</v>
      </c>
      <c r="J682" s="10">
        <v>27743</v>
      </c>
      <c r="K682">
        <v>680</v>
      </c>
      <c r="L682" s="10">
        <v>1881</v>
      </c>
      <c r="M682" s="10">
        <v>369804</v>
      </c>
      <c r="N682" s="10">
        <v>5990</v>
      </c>
      <c r="O682">
        <v>0.77715606930490411</v>
      </c>
      <c r="P682">
        <v>0.91578330218447079</v>
      </c>
      <c r="Q682">
        <v>-0.44029387892702188</v>
      </c>
      <c r="R682">
        <v>0.44029387892702182</v>
      </c>
      <c r="S682">
        <f t="shared" si="110"/>
        <v>-1.7894679801113198</v>
      </c>
      <c r="T682" s="148">
        <f t="shared" si="105"/>
        <v>-1.7861030374143876</v>
      </c>
      <c r="U682">
        <f t="shared" si="111"/>
        <v>2.108668980022824</v>
      </c>
      <c r="V682" s="55">
        <f t="shared" si="106"/>
        <v>2.1495363667669389</v>
      </c>
      <c r="W682">
        <f t="shared" si="112"/>
        <v>0.53249352274377248</v>
      </c>
      <c r="X682" s="55">
        <f t="shared" si="107"/>
        <v>0.55788947138013267</v>
      </c>
      <c r="Y682" s="149">
        <v>22.366391799999999</v>
      </c>
      <c r="Z682" s="55">
        <f t="shared" si="103"/>
        <v>5.5755161308338142E-3</v>
      </c>
      <c r="AA682" s="55">
        <f t="shared" si="108"/>
        <v>5.5799416921557031E-3</v>
      </c>
      <c r="AB682" s="55">
        <f t="shared" si="104"/>
        <v>-5.1893703863994141</v>
      </c>
      <c r="AC682" s="55">
        <f t="shared" si="109"/>
        <v>-5.1888528307147199</v>
      </c>
      <c r="AD682" s="55"/>
      <c r="AE682" s="55"/>
      <c r="AF682" s="55"/>
      <c r="AG682" s="55"/>
      <c r="AH682" s="55"/>
    </row>
    <row r="683" spans="1:34" ht="15.75">
      <c r="A683" s="39">
        <v>22.054206199999999</v>
      </c>
      <c r="B683" s="39">
        <v>22.432453599999999</v>
      </c>
      <c r="C683" s="39">
        <v>681</v>
      </c>
      <c r="D683">
        <v>681</v>
      </c>
      <c r="E683" s="10">
        <v>1535530</v>
      </c>
      <c r="F683" s="10">
        <v>1072150</v>
      </c>
      <c r="G683" s="10">
        <v>15823</v>
      </c>
      <c r="H683" s="10">
        <v>44733</v>
      </c>
      <c r="I683" s="10">
        <v>169402</v>
      </c>
      <c r="J683" s="10">
        <v>27846</v>
      </c>
      <c r="K683">
        <v>681</v>
      </c>
      <c r="L683" s="10">
        <v>1406</v>
      </c>
      <c r="M683" s="10">
        <v>380981</v>
      </c>
      <c r="N683" s="10">
        <v>6157</v>
      </c>
      <c r="O683">
        <v>0.78415571460545253</v>
      </c>
      <c r="P683">
        <v>0.93027529247774365</v>
      </c>
      <c r="Q683">
        <v>-0.45133919684536117</v>
      </c>
      <c r="R683">
        <v>0.45133919684536122</v>
      </c>
      <c r="S683">
        <f t="shared" si="110"/>
        <v>-1.8055852590366084</v>
      </c>
      <c r="T683" s="148">
        <f t="shared" si="105"/>
        <v>-1.7877035429833967</v>
      </c>
      <c r="U683">
        <f t="shared" si="111"/>
        <v>2.1420380208399283</v>
      </c>
      <c r="V683" s="55">
        <f t="shared" si="106"/>
        <v>2.1328426723252782</v>
      </c>
      <c r="W683">
        <f t="shared" si="112"/>
        <v>0.56522475175024756</v>
      </c>
      <c r="X683" s="55">
        <f t="shared" si="107"/>
        <v>0.54964955323747589</v>
      </c>
      <c r="Y683" s="149">
        <v>22.432453599999999</v>
      </c>
      <c r="Z683" s="55">
        <f t="shared" si="103"/>
        <v>5.7426666044863121E-3</v>
      </c>
      <c r="AA683" s="55">
        <f t="shared" si="108"/>
        <v>5.6822846879971516E-3</v>
      </c>
      <c r="AB683" s="55">
        <f t="shared" si="104"/>
        <v>-5.1598316112861671</v>
      </c>
      <c r="AC683" s="55">
        <f t="shared" si="109"/>
        <v>-5.1704912175474611</v>
      </c>
      <c r="AD683" s="55"/>
      <c r="AE683" s="55"/>
      <c r="AF683" s="55"/>
      <c r="AG683" s="55"/>
      <c r="AH683" s="55"/>
    </row>
    <row r="684" spans="1:34" ht="15.75">
      <c r="A684" s="39">
        <v>22.116597899999999</v>
      </c>
      <c r="B684" s="39">
        <v>22.4985155</v>
      </c>
      <c r="C684" s="39">
        <v>682</v>
      </c>
      <c r="D684">
        <v>682</v>
      </c>
      <c r="E684" s="10">
        <v>1526890</v>
      </c>
      <c r="F684" s="10">
        <v>1072500</v>
      </c>
      <c r="G684" s="10">
        <v>16167</v>
      </c>
      <c r="H684" s="10">
        <v>44384</v>
      </c>
      <c r="I684" s="10">
        <v>164393</v>
      </c>
      <c r="J684" s="10">
        <v>28056</v>
      </c>
      <c r="K684">
        <v>682</v>
      </c>
      <c r="L684" s="10">
        <v>1817</v>
      </c>
      <c r="M684" s="10">
        <v>380201</v>
      </c>
      <c r="N684" s="10">
        <v>6144</v>
      </c>
      <c r="O684">
        <v>0.76785756807938921</v>
      </c>
      <c r="P684">
        <v>0.93278681541374731</v>
      </c>
      <c r="Q684">
        <v>-0.43859700107750293</v>
      </c>
      <c r="R684">
        <v>0.43859700107750293</v>
      </c>
      <c r="S684">
        <f t="shared" si="110"/>
        <v>-1.7680573898022622</v>
      </c>
      <c r="T684" s="148">
        <f t="shared" si="105"/>
        <v>-1.786808841671305</v>
      </c>
      <c r="U684">
        <f t="shared" si="111"/>
        <v>2.1478210161130833</v>
      </c>
      <c r="V684" s="55">
        <f t="shared" si="106"/>
        <v>2.1552204076380073</v>
      </c>
      <c r="W684">
        <f t="shared" si="112"/>
        <v>0.55123038521840761</v>
      </c>
      <c r="X684" s="55">
        <f t="shared" si="107"/>
        <v>0.55770219098002105</v>
      </c>
      <c r="Y684" s="149">
        <v>22.4985155</v>
      </c>
      <c r="Z684" s="55">
        <f t="shared" si="103"/>
        <v>5.7286713286713283E-3</v>
      </c>
      <c r="AA684" s="55">
        <f t="shared" si="108"/>
        <v>5.6914162746879585E-3</v>
      </c>
      <c r="AB684" s="55">
        <f t="shared" si="104"/>
        <v>-5.1622716549568013</v>
      </c>
      <c r="AC684" s="55">
        <f t="shared" si="109"/>
        <v>-5.1688574268622318</v>
      </c>
      <c r="AD684" s="55"/>
      <c r="AE684" s="55"/>
      <c r="AF684" s="55"/>
      <c r="AG684" s="55"/>
      <c r="AH684" s="55"/>
    </row>
    <row r="685" spans="1:34" ht="15.75">
      <c r="A685" s="39">
        <v>22.178989699999999</v>
      </c>
      <c r="B685" s="39">
        <v>22.5645773</v>
      </c>
      <c r="C685" s="39">
        <v>683</v>
      </c>
      <c r="D685">
        <v>683</v>
      </c>
      <c r="E685" s="10">
        <v>1540430</v>
      </c>
      <c r="F685" s="10">
        <v>1082830</v>
      </c>
      <c r="G685" s="10">
        <v>15589</v>
      </c>
      <c r="H685" s="10">
        <v>44524</v>
      </c>
      <c r="I685" s="10">
        <v>162390</v>
      </c>
      <c r="J685" s="10">
        <v>27200</v>
      </c>
      <c r="K685">
        <v>683</v>
      </c>
      <c r="L685" s="10">
        <v>1671</v>
      </c>
      <c r="M685" s="10">
        <v>392223</v>
      </c>
      <c r="N685" s="10">
        <v>6067</v>
      </c>
      <c r="O685">
        <v>0.77599037777652513</v>
      </c>
      <c r="P685">
        <v>0.94493888307589979</v>
      </c>
      <c r="Q685">
        <v>-0.45577591703063691</v>
      </c>
      <c r="R685">
        <v>0.45577591703063691</v>
      </c>
      <c r="S685">
        <f t="shared" si="110"/>
        <v>-1.7867838761750447</v>
      </c>
      <c r="T685" s="148">
        <f t="shared" si="105"/>
        <v>-1.790801203118763</v>
      </c>
      <c r="U685">
        <f t="shared" si="111"/>
        <v>2.1758021859610106</v>
      </c>
      <c r="V685" s="55">
        <f t="shared" si="106"/>
        <v>2.166795022182701</v>
      </c>
      <c r="W685">
        <f t="shared" si="112"/>
        <v>0.55665143597140776</v>
      </c>
      <c r="X685" s="55">
        <f t="shared" si="107"/>
        <v>0.55133884841217118</v>
      </c>
      <c r="Y685" s="149">
        <v>22.5645773</v>
      </c>
      <c r="Z685" s="55">
        <f t="shared" si="103"/>
        <v>5.6029108909062368E-3</v>
      </c>
      <c r="AA685" s="55">
        <f t="shared" si="108"/>
        <v>5.5308307181940698E-3</v>
      </c>
      <c r="AB685" s="55">
        <f t="shared" si="104"/>
        <v>-5.1844690143437262</v>
      </c>
      <c r="AC685" s="55">
        <f t="shared" si="109"/>
        <v>-5.1980639816828633</v>
      </c>
      <c r="AD685" s="55"/>
      <c r="AE685" s="55"/>
      <c r="AF685" s="55"/>
      <c r="AG685" s="55"/>
      <c r="AH685" s="55"/>
    </row>
    <row r="686" spans="1:34" ht="15.75">
      <c r="A686" s="39">
        <v>22.241381400000002</v>
      </c>
      <c r="B686" s="39">
        <v>22.630639200000001</v>
      </c>
      <c r="C686" s="39">
        <v>684</v>
      </c>
      <c r="D686">
        <v>684</v>
      </c>
      <c r="E686" s="10">
        <v>1542760</v>
      </c>
      <c r="F686" s="10">
        <v>1077000</v>
      </c>
      <c r="G686" s="10">
        <v>15832</v>
      </c>
      <c r="H686" s="10">
        <v>44615</v>
      </c>
      <c r="I686" s="10">
        <v>168297</v>
      </c>
      <c r="J686" s="10">
        <v>27335</v>
      </c>
      <c r="K686">
        <v>684</v>
      </c>
      <c r="L686" s="10">
        <v>1869</v>
      </c>
      <c r="M686" s="10">
        <v>393402</v>
      </c>
      <c r="N686" s="10">
        <v>5666</v>
      </c>
      <c r="O686">
        <v>0.78935729624463535</v>
      </c>
      <c r="P686">
        <v>0.94535566615849598</v>
      </c>
      <c r="Q686">
        <v>-0.44994511612367555</v>
      </c>
      <c r="R686">
        <v>0.44994511612367555</v>
      </c>
      <c r="S686">
        <f t="shared" si="110"/>
        <v>-1.817562343378982</v>
      </c>
      <c r="T686" s="148">
        <f t="shared" si="105"/>
        <v>-1.7985653928341563</v>
      </c>
      <c r="U686">
        <f t="shared" si="111"/>
        <v>2.1767618644740088</v>
      </c>
      <c r="V686" s="55">
        <f t="shared" si="106"/>
        <v>2.1606280227401577</v>
      </c>
      <c r="W686">
        <f t="shared" si="112"/>
        <v>0.54613472404669805</v>
      </c>
      <c r="X686" s="55">
        <f t="shared" si="107"/>
        <v>0.5501062967580036</v>
      </c>
      <c r="Y686" s="149">
        <v>22.630639200000001</v>
      </c>
      <c r="Z686" s="55">
        <f t="shared" si="103"/>
        <v>5.2609099350046425E-3</v>
      </c>
      <c r="AA686" s="55">
        <f t="shared" si="108"/>
        <v>5.4518167268853722E-3</v>
      </c>
      <c r="AB686" s="55">
        <f t="shared" si="104"/>
        <v>-5.2474512757480634</v>
      </c>
      <c r="AC686" s="55">
        <f t="shared" si="109"/>
        <v>-5.2121501905522081</v>
      </c>
      <c r="AD686" s="55"/>
      <c r="AE686" s="55"/>
      <c r="AF686" s="55"/>
      <c r="AG686" s="55"/>
      <c r="AH686" s="55"/>
    </row>
    <row r="687" spans="1:34" ht="15.75">
      <c r="A687" s="39">
        <v>22.303773199999998</v>
      </c>
      <c r="B687" s="39">
        <v>22.696701000000001</v>
      </c>
      <c r="C687" s="39">
        <v>685</v>
      </c>
      <c r="D687">
        <v>685</v>
      </c>
      <c r="E687" s="10">
        <v>1530260</v>
      </c>
      <c r="F687" s="10">
        <v>1069810</v>
      </c>
      <c r="G687" s="10">
        <v>16010</v>
      </c>
      <c r="H687" s="10">
        <v>45546</v>
      </c>
      <c r="I687" s="10">
        <v>166018</v>
      </c>
      <c r="J687" s="10">
        <v>27681</v>
      </c>
      <c r="K687">
        <v>685</v>
      </c>
      <c r="L687" s="10">
        <v>1742</v>
      </c>
      <c r="M687" s="10">
        <v>383003</v>
      </c>
      <c r="N687" s="10">
        <v>5875</v>
      </c>
      <c r="O687">
        <v>0.77797340232892509</v>
      </c>
      <c r="P687">
        <v>0.92475193393035715</v>
      </c>
      <c r="Q687">
        <v>-0.45405890989009645</v>
      </c>
      <c r="R687">
        <v>0.45405890989009651</v>
      </c>
      <c r="S687">
        <f t="shared" si="110"/>
        <v>-1.7913499589484421</v>
      </c>
      <c r="T687" s="148">
        <f t="shared" si="105"/>
        <v>-1.8097639118452797</v>
      </c>
      <c r="U687">
        <f t="shared" si="111"/>
        <v>2.1293200177854552</v>
      </c>
      <c r="V687" s="55">
        <f t="shared" si="106"/>
        <v>2.1631138927994704</v>
      </c>
      <c r="W687">
        <f t="shared" si="112"/>
        <v>0.5475327302559051</v>
      </c>
      <c r="X687" s="55">
        <f t="shared" si="107"/>
        <v>0.54894525554901874</v>
      </c>
      <c r="Y687" s="149">
        <v>22.696701000000001</v>
      </c>
      <c r="Z687" s="55">
        <f t="shared" si="103"/>
        <v>5.4916293547452354E-3</v>
      </c>
      <c r="AA687" s="55">
        <f t="shared" si="108"/>
        <v>5.4353416296881035E-3</v>
      </c>
      <c r="AB687" s="55">
        <f t="shared" si="104"/>
        <v>-5.2045302815648355</v>
      </c>
      <c r="AC687" s="55">
        <f t="shared" si="109"/>
        <v>-5.2151036899187337</v>
      </c>
      <c r="AD687" s="55"/>
      <c r="AE687" s="55"/>
      <c r="AF687" s="55"/>
      <c r="AG687" s="55"/>
      <c r="AH687" s="55"/>
    </row>
    <row r="688" spans="1:34" ht="15.75">
      <c r="A688" s="39">
        <v>22.366164999999999</v>
      </c>
      <c r="B688" s="39">
        <v>22.762762899999998</v>
      </c>
      <c r="C688" s="39">
        <v>686</v>
      </c>
      <c r="D688">
        <v>686</v>
      </c>
      <c r="E688" s="10">
        <v>1542750</v>
      </c>
      <c r="F688" s="10">
        <v>1073560</v>
      </c>
      <c r="G688" s="10">
        <v>15560</v>
      </c>
      <c r="H688" s="10">
        <v>43971</v>
      </c>
      <c r="I688" s="10">
        <v>167043</v>
      </c>
      <c r="J688" s="10">
        <v>27055</v>
      </c>
      <c r="K688">
        <v>686</v>
      </c>
      <c r="L688" s="10">
        <v>2017</v>
      </c>
      <c r="M688" s="10">
        <v>390251</v>
      </c>
      <c r="N688" s="10">
        <v>5962</v>
      </c>
      <c r="O688">
        <v>0.79058074281258406</v>
      </c>
      <c r="P688">
        <v>0.94817768202436303</v>
      </c>
      <c r="Q688">
        <v>-0.45115674991721755</v>
      </c>
      <c r="R688">
        <v>0.45115674991721755</v>
      </c>
      <c r="S688">
        <f t="shared" si="110"/>
        <v>-1.8203794332084153</v>
      </c>
      <c r="T688" s="148">
        <f t="shared" si="105"/>
        <v>-1.8009380318126949</v>
      </c>
      <c r="U688">
        <f t="shared" si="111"/>
        <v>2.1832597961389464</v>
      </c>
      <c r="V688" s="55">
        <f t="shared" si="106"/>
        <v>2.1481376712090179</v>
      </c>
      <c r="W688">
        <f t="shared" si="112"/>
        <v>0.55316831234445307</v>
      </c>
      <c r="X688" s="55">
        <f t="shared" si="107"/>
        <v>0.54060085379123157</v>
      </c>
      <c r="Y688" s="149">
        <v>22.762762899999998</v>
      </c>
      <c r="Z688" s="55">
        <f t="shared" si="103"/>
        <v>5.5534855993144309E-3</v>
      </c>
      <c r="AA688" s="55">
        <f t="shared" si="108"/>
        <v>5.5257770335968475E-3</v>
      </c>
      <c r="AB688" s="55">
        <f t="shared" si="104"/>
        <v>-5.1933295124433041</v>
      </c>
      <c r="AC688" s="55">
        <f t="shared" si="109"/>
        <v>-5.1983421959579639</v>
      </c>
      <c r="AD688" s="55"/>
      <c r="AE688" s="55"/>
      <c r="AF688" s="55"/>
      <c r="AG688" s="55"/>
      <c r="AH688" s="55"/>
    </row>
    <row r="689" spans="1:34" ht="15.75">
      <c r="A689" s="39">
        <v>22.428556700000001</v>
      </c>
      <c r="B689" s="39">
        <v>22.828824699999998</v>
      </c>
      <c r="C689" s="39">
        <v>687</v>
      </c>
      <c r="D689">
        <v>687</v>
      </c>
      <c r="E689" s="10">
        <v>1524680</v>
      </c>
      <c r="F689" s="10">
        <v>1073530</v>
      </c>
      <c r="G689" s="10">
        <v>15994</v>
      </c>
      <c r="H689" s="10">
        <v>44775</v>
      </c>
      <c r="I689" s="10">
        <v>161483</v>
      </c>
      <c r="J689" s="10">
        <v>26932</v>
      </c>
      <c r="K689">
        <v>687</v>
      </c>
      <c r="L689" s="10">
        <v>1667</v>
      </c>
      <c r="M689" s="10">
        <v>377467</v>
      </c>
      <c r="N689" s="10">
        <v>5939</v>
      </c>
      <c r="O689">
        <v>0.77785820325636001</v>
      </c>
      <c r="P689">
        <v>0.92584339496901524</v>
      </c>
      <c r="Q689">
        <v>-0.44707850283982503</v>
      </c>
      <c r="R689">
        <v>0.44707850283982503</v>
      </c>
      <c r="S689">
        <f t="shared" si="110"/>
        <v>-1.7910847032812269</v>
      </c>
      <c r="T689" s="148">
        <f t="shared" si="105"/>
        <v>-1.8136746003616506</v>
      </c>
      <c r="U689">
        <f t="shared" si="111"/>
        <v>2.1318331997026529</v>
      </c>
      <c r="V689" s="55">
        <f t="shared" si="106"/>
        <v>2.1409710771365287</v>
      </c>
      <c r="W689">
        <f t="shared" si="112"/>
        <v>0.52110151877333633</v>
      </c>
      <c r="X689" s="55">
        <f t="shared" si="107"/>
        <v>0.52809164302335976</v>
      </c>
      <c r="Y689" s="149">
        <v>22.828824699999998</v>
      </c>
      <c r="Z689" s="55">
        <f t="shared" si="103"/>
        <v>5.5322161467308787E-3</v>
      </c>
      <c r="AA689" s="55">
        <f t="shared" si="108"/>
        <v>5.40694137812886E-3</v>
      </c>
      <c r="AB689" s="55">
        <f t="shared" si="104"/>
        <v>-5.1971667938657538</v>
      </c>
      <c r="AC689" s="55">
        <f t="shared" si="109"/>
        <v>-5.2207159693494658</v>
      </c>
      <c r="AD689" s="55"/>
      <c r="AE689" s="55"/>
      <c r="AF689" s="55"/>
      <c r="AG689" s="55"/>
      <c r="AH689" s="55"/>
    </row>
    <row r="690" spans="1:34" ht="15.75">
      <c r="A690" s="39">
        <v>22.490948499999998</v>
      </c>
      <c r="B690" s="39">
        <v>22.8948866</v>
      </c>
      <c r="C690" s="39">
        <v>688</v>
      </c>
      <c r="D690">
        <v>688</v>
      </c>
      <c r="E690" s="10">
        <v>1501960</v>
      </c>
      <c r="F690" s="10">
        <v>1060150</v>
      </c>
      <c r="G690" s="10">
        <v>15850</v>
      </c>
      <c r="H690" s="10">
        <v>44489</v>
      </c>
      <c r="I690" s="10">
        <v>164471</v>
      </c>
      <c r="J690" s="10">
        <v>26395</v>
      </c>
      <c r="K690">
        <v>688</v>
      </c>
      <c r="L690" s="10">
        <v>1493</v>
      </c>
      <c r="M690" s="10">
        <v>366157</v>
      </c>
      <c r="N690" s="10">
        <v>5444</v>
      </c>
      <c r="O690">
        <v>0.79456766664650702</v>
      </c>
      <c r="P690">
        <v>0.91541469715118906</v>
      </c>
      <c r="Q690">
        <v>-0.44822337746438456</v>
      </c>
      <c r="R690">
        <v>0.44822337746438462</v>
      </c>
      <c r="S690">
        <f t="shared" si="110"/>
        <v>-1.8295596645953092</v>
      </c>
      <c r="T690" s="148">
        <f t="shared" si="105"/>
        <v>-1.833797331978354</v>
      </c>
      <c r="U690">
        <f t="shared" si="111"/>
        <v>2.1078202355679867</v>
      </c>
      <c r="V690" s="55">
        <f t="shared" si="106"/>
        <v>2.1366625595781112</v>
      </c>
      <c r="W690">
        <f t="shared" si="112"/>
        <v>0.51000509795228988</v>
      </c>
      <c r="X690" s="55">
        <f t="shared" si="107"/>
        <v>0.5124799604093413</v>
      </c>
      <c r="Y690" s="149">
        <v>22.8948866</v>
      </c>
      <c r="Z690" s="55">
        <f t="shared" si="103"/>
        <v>5.1351223883412721E-3</v>
      </c>
      <c r="AA690" s="55">
        <f t="shared" si="108"/>
        <v>5.3585277178530774E-3</v>
      </c>
      <c r="AB690" s="55">
        <f t="shared" si="104"/>
        <v>-5.2716516017393404</v>
      </c>
      <c r="AC690" s="55">
        <f t="shared" si="109"/>
        <v>-5.2295497013870422</v>
      </c>
      <c r="AD690" s="55"/>
      <c r="AE690" s="55"/>
      <c r="AF690" s="55"/>
      <c r="AG690" s="55"/>
      <c r="AH690" s="55"/>
    </row>
    <row r="691" spans="1:34" ht="15.75">
      <c r="A691" s="39">
        <v>22.553340200000001</v>
      </c>
      <c r="B691" s="39">
        <v>22.960948500000001</v>
      </c>
      <c r="C691" s="39">
        <v>689</v>
      </c>
      <c r="D691">
        <v>689</v>
      </c>
      <c r="E691" s="10">
        <v>1546090</v>
      </c>
      <c r="F691" s="10">
        <v>1066150</v>
      </c>
      <c r="G691" s="10">
        <v>15974</v>
      </c>
      <c r="H691" s="10">
        <v>44194</v>
      </c>
      <c r="I691" s="10">
        <v>173824</v>
      </c>
      <c r="J691" s="10">
        <v>26504</v>
      </c>
      <c r="K691">
        <v>689</v>
      </c>
      <c r="L691" s="10">
        <v>1917</v>
      </c>
      <c r="M691" s="10">
        <v>387193</v>
      </c>
      <c r="N691" s="10">
        <v>5766</v>
      </c>
      <c r="O691">
        <v>0.81679831671844771</v>
      </c>
      <c r="P691">
        <v>0.94256418582195101</v>
      </c>
      <c r="Q691">
        <v>-0.44194963124880593</v>
      </c>
      <c r="R691">
        <v>0.44194963124880587</v>
      </c>
      <c r="S691">
        <f t="shared" si="110"/>
        <v>-1.8807476280585267</v>
      </c>
      <c r="T691" s="148">
        <f t="shared" si="105"/>
        <v>-1.8811815806050269</v>
      </c>
      <c r="U691">
        <f t="shared" si="111"/>
        <v>2.1703342434636941</v>
      </c>
      <c r="V691" s="55">
        <f t="shared" si="106"/>
        <v>2.1600793692906106</v>
      </c>
      <c r="W691">
        <f t="shared" si="112"/>
        <v>0.50633326450239757</v>
      </c>
      <c r="X691" s="55">
        <f t="shared" si="107"/>
        <v>0.5151589130625317</v>
      </c>
      <c r="Y691" s="149">
        <v>22.960948500000001</v>
      </c>
      <c r="Z691" s="55">
        <f t="shared" si="103"/>
        <v>5.4082446184870797E-3</v>
      </c>
      <c r="AA691" s="55">
        <f t="shared" si="108"/>
        <v>5.2860648909336854E-3</v>
      </c>
      <c r="AB691" s="55">
        <f t="shared" si="104"/>
        <v>-5.2198307085560325</v>
      </c>
      <c r="AC691" s="55">
        <f t="shared" si="109"/>
        <v>-5.2429123340323969</v>
      </c>
      <c r="AD691" s="55"/>
      <c r="AE691" s="55"/>
      <c r="AF691" s="55"/>
      <c r="AG691" s="55"/>
      <c r="AH691" s="55"/>
    </row>
    <row r="692" spans="1:34" ht="15.75">
      <c r="A692" s="39">
        <v>22.615732000000001</v>
      </c>
      <c r="B692" s="39">
        <v>23.027010300000001</v>
      </c>
      <c r="C692" s="39">
        <v>690</v>
      </c>
      <c r="D692">
        <v>690</v>
      </c>
      <c r="E692" s="10">
        <v>1573370</v>
      </c>
      <c r="F692" s="10">
        <v>1080750</v>
      </c>
      <c r="G692" s="10">
        <v>15291</v>
      </c>
      <c r="H692" s="10">
        <v>44733</v>
      </c>
      <c r="I692" s="10">
        <v>179404</v>
      </c>
      <c r="J692" s="10">
        <v>25956</v>
      </c>
      <c r="K692">
        <v>690</v>
      </c>
      <c r="L692" s="10">
        <v>1685</v>
      </c>
      <c r="M692" s="10">
        <v>404558</v>
      </c>
      <c r="N692" s="10">
        <v>5744</v>
      </c>
      <c r="O692">
        <v>0.83959435637944713</v>
      </c>
      <c r="P692">
        <v>0.95635276869476649</v>
      </c>
      <c r="Q692">
        <v>-0.4661921366193964</v>
      </c>
      <c r="R692">
        <v>0.4661921366193964</v>
      </c>
      <c r="S692">
        <f t="shared" si="110"/>
        <v>-1.9332374491612452</v>
      </c>
      <c r="T692" s="148">
        <f t="shared" si="105"/>
        <v>-1.8951814670342877</v>
      </c>
      <c r="U692">
        <f t="shared" si="111"/>
        <v>2.202083628840152</v>
      </c>
      <c r="V692" s="55">
        <f t="shared" si="106"/>
        <v>2.1781054158897519</v>
      </c>
      <c r="W692">
        <f t="shared" si="112"/>
        <v>0.52913837673290764</v>
      </c>
      <c r="X692" s="55">
        <f t="shared" si="107"/>
        <v>0.52000168246254652</v>
      </c>
      <c r="Y692" s="149">
        <v>23.027010300000001</v>
      </c>
      <c r="Z692" s="55">
        <f t="shared" si="103"/>
        <v>5.3148276659727043E-3</v>
      </c>
      <c r="AA692" s="55">
        <f t="shared" si="108"/>
        <v>5.4141785069420105E-3</v>
      </c>
      <c r="AB692" s="55">
        <f t="shared" si="104"/>
        <v>-5.2372546918018177</v>
      </c>
      <c r="AC692" s="55">
        <f t="shared" si="109"/>
        <v>-5.2188533545226008</v>
      </c>
      <c r="AD692" s="55"/>
      <c r="AE692" s="55"/>
      <c r="AF692" s="55"/>
      <c r="AG692" s="55"/>
      <c r="AH692" s="55"/>
    </row>
    <row r="693" spans="1:34" ht="15.75">
      <c r="A693" s="39">
        <v>22.6781237</v>
      </c>
      <c r="B693" s="39">
        <v>23.093072200000002</v>
      </c>
      <c r="C693" s="39">
        <v>691</v>
      </c>
      <c r="D693">
        <v>691</v>
      </c>
      <c r="E693" s="10">
        <v>1567742.5</v>
      </c>
      <c r="F693" s="10">
        <v>1080177.5</v>
      </c>
      <c r="G693" s="10">
        <v>15983</v>
      </c>
      <c r="H693" s="10">
        <v>45426.625</v>
      </c>
      <c r="I693" s="10">
        <v>175496.375</v>
      </c>
      <c r="J693" s="10">
        <v>27006</v>
      </c>
      <c r="K693">
        <v>691</v>
      </c>
      <c r="L693" s="10">
        <v>1825.333333</v>
      </c>
      <c r="M693" s="10">
        <v>394649</v>
      </c>
      <c r="N693" s="10">
        <v>5962</v>
      </c>
      <c r="O693">
        <v>0.81280788691700745</v>
      </c>
      <c r="P693">
        <v>0.93890053485680269</v>
      </c>
      <c r="Q693">
        <v>-0.45365217237215322</v>
      </c>
      <c r="R693">
        <v>0.45365217237215316</v>
      </c>
      <c r="S693">
        <f t="shared" si="110"/>
        <v>-1.8715593238830917</v>
      </c>
      <c r="T693" s="148">
        <f t="shared" si="105"/>
        <v>-1.8867564404251205</v>
      </c>
      <c r="U693">
        <f t="shared" si="111"/>
        <v>2.1618983753654102</v>
      </c>
      <c r="V693" s="55">
        <f t="shared" si="106"/>
        <v>2.1743333334019437</v>
      </c>
      <c r="W693">
        <f t="shared" si="112"/>
        <v>0.52453340615233424</v>
      </c>
      <c r="X693" s="55">
        <f t="shared" si="107"/>
        <v>0.51261241925485013</v>
      </c>
      <c r="Y693" s="149">
        <v>23.093072200000002</v>
      </c>
      <c r="Z693" s="55">
        <f t="shared" si="103"/>
        <v>5.5194632363662456E-3</v>
      </c>
      <c r="AA693" s="55">
        <f t="shared" si="108"/>
        <v>5.4318734349636287E-3</v>
      </c>
      <c r="AB693" s="55">
        <f t="shared" si="104"/>
        <v>-5.1994746632099513</v>
      </c>
      <c r="AC693" s="55">
        <f t="shared" si="109"/>
        <v>-5.2155974645175824</v>
      </c>
      <c r="AD693" s="55"/>
      <c r="AE693" s="55"/>
      <c r="AF693" s="55"/>
      <c r="AG693" s="55"/>
      <c r="AH693" s="55"/>
    </row>
    <row r="694" spans="1:34" ht="15.75">
      <c r="A694" s="39">
        <v>22.740515500000001</v>
      </c>
      <c r="B694" s="39">
        <v>23.159134000000002</v>
      </c>
      <c r="C694" s="39">
        <v>692</v>
      </c>
      <c r="D694">
        <v>692</v>
      </c>
      <c r="E694" s="10">
        <v>1568150</v>
      </c>
      <c r="F694" s="10">
        <v>1085450</v>
      </c>
      <c r="G694" s="10">
        <v>16687</v>
      </c>
      <c r="H694" s="10">
        <v>45958</v>
      </c>
      <c r="I694" s="10">
        <v>173169</v>
      </c>
      <c r="J694" s="10">
        <v>27080</v>
      </c>
      <c r="K694">
        <v>692</v>
      </c>
      <c r="L694" s="10">
        <v>1700</v>
      </c>
      <c r="M694" s="10">
        <v>398117</v>
      </c>
      <c r="N694" s="10">
        <v>5928</v>
      </c>
      <c r="O694">
        <v>0.80582148901969919</v>
      </c>
      <c r="P694">
        <v>0.93764960199273406</v>
      </c>
      <c r="Q694">
        <v>-0.43998285485755928</v>
      </c>
      <c r="R694">
        <v>0.43998285485755928</v>
      </c>
      <c r="S694">
        <f t="shared" si="110"/>
        <v>-1.8554725482310244</v>
      </c>
      <c r="T694" s="148">
        <f t="shared" si="105"/>
        <v>-1.9102032307066832</v>
      </c>
      <c r="U694">
        <f t="shared" si="111"/>
        <v>2.1590179960002693</v>
      </c>
      <c r="V694" s="55">
        <f t="shared" si="106"/>
        <v>2.1726605860252288</v>
      </c>
      <c r="W694">
        <f t="shared" si="112"/>
        <v>0.48416547487930844</v>
      </c>
      <c r="X694" s="55">
        <f t="shared" si="107"/>
        <v>0.50379399926775725</v>
      </c>
      <c r="Y694" s="149">
        <v>23.159134000000002</v>
      </c>
      <c r="Z694" s="55">
        <f t="shared" si="103"/>
        <v>5.4613294025519371E-3</v>
      </c>
      <c r="AA694" s="55">
        <f t="shared" si="108"/>
        <v>5.4204673625214868E-3</v>
      </c>
      <c r="AB694" s="55">
        <f t="shared" si="104"/>
        <v>-5.2100630385409783</v>
      </c>
      <c r="AC694" s="55">
        <f t="shared" si="109"/>
        <v>-5.2177504879319914</v>
      </c>
      <c r="AD694" s="55"/>
      <c r="AE694" s="55"/>
      <c r="AF694" s="55"/>
      <c r="AG694" s="55"/>
      <c r="AH694" s="55"/>
    </row>
    <row r="695" spans="1:34" ht="15.75">
      <c r="A695" s="39">
        <v>22.8029072</v>
      </c>
      <c r="B695" s="39">
        <v>23.225195899999999</v>
      </c>
      <c r="C695" s="39">
        <v>693</v>
      </c>
      <c r="D695">
        <v>693</v>
      </c>
      <c r="E695" s="10">
        <v>1612470</v>
      </c>
      <c r="F695" s="10">
        <v>1094760</v>
      </c>
      <c r="G695" s="10">
        <v>16154</v>
      </c>
      <c r="H695" s="10">
        <v>45372</v>
      </c>
      <c r="I695" s="10">
        <v>198032</v>
      </c>
      <c r="J695" s="10">
        <v>26705</v>
      </c>
      <c r="K695">
        <v>693</v>
      </c>
      <c r="L695" s="10">
        <v>1483</v>
      </c>
      <c r="M695" s="10">
        <v>408283</v>
      </c>
      <c r="N695" s="10">
        <v>5781</v>
      </c>
      <c r="O695">
        <v>0.8701427912923233</v>
      </c>
      <c r="P695">
        <v>0.95417337382879008</v>
      </c>
      <c r="Q695">
        <v>-0.44850784486485079</v>
      </c>
      <c r="R695">
        <v>0.44850784486485079</v>
      </c>
      <c r="S695">
        <f t="shared" si="110"/>
        <v>-2.0035778200059329</v>
      </c>
      <c r="T695" s="148">
        <f t="shared" si="105"/>
        <v>-1.9365488331502674</v>
      </c>
      <c r="U695">
        <f t="shared" si="111"/>
        <v>2.197065386710007</v>
      </c>
      <c r="V695" s="55">
        <f t="shared" si="106"/>
        <v>2.1554411322148517</v>
      </c>
      <c r="W695">
        <f t="shared" si="112"/>
        <v>0.50268311677162902</v>
      </c>
      <c r="X695" s="55">
        <f t="shared" si="107"/>
        <v>0.49194070518147953</v>
      </c>
      <c r="Y695" s="149">
        <v>23.225195899999999</v>
      </c>
      <c r="Z695" s="55">
        <f t="shared" si="103"/>
        <v>5.2806094486462785E-3</v>
      </c>
      <c r="AA695" s="55">
        <f t="shared" si="108"/>
        <v>5.3601366229854451E-3</v>
      </c>
      <c r="AB695" s="55">
        <f t="shared" si="104"/>
        <v>-5.2437137620450445</v>
      </c>
      <c r="AC695" s="55">
        <f t="shared" si="109"/>
        <v>-5.2288642646192578</v>
      </c>
      <c r="AD695" s="55"/>
      <c r="AE695" s="55"/>
      <c r="AF695" s="55"/>
      <c r="AG695" s="55"/>
      <c r="AH695" s="55"/>
    </row>
    <row r="696" spans="1:34" ht="15.75">
      <c r="A696" s="39">
        <v>22.865299</v>
      </c>
      <c r="B696" s="39">
        <v>23.291257699999999</v>
      </c>
      <c r="C696" s="39">
        <v>694</v>
      </c>
      <c r="D696">
        <v>694</v>
      </c>
      <c r="E696" s="10">
        <v>1572890</v>
      </c>
      <c r="F696" s="10">
        <v>1087390</v>
      </c>
      <c r="G696" s="10">
        <v>16507</v>
      </c>
      <c r="H696" s="10">
        <v>46335</v>
      </c>
      <c r="I696" s="10">
        <v>189304</v>
      </c>
      <c r="J696" s="10">
        <v>26917</v>
      </c>
      <c r="K696">
        <v>694</v>
      </c>
      <c r="L696" s="10">
        <v>2008</v>
      </c>
      <c r="M696" s="10">
        <v>382274</v>
      </c>
      <c r="N696" s="10">
        <v>5805</v>
      </c>
      <c r="O696">
        <v>0.84713313620800423</v>
      </c>
      <c r="P696">
        <v>0.91646559354309842</v>
      </c>
      <c r="Q696">
        <v>-0.44824101607085309</v>
      </c>
      <c r="R696">
        <v>0.44824101607085309</v>
      </c>
      <c r="S696">
        <f t="shared" si="110"/>
        <v>-1.9505961312138451</v>
      </c>
      <c r="T696" s="148">
        <f t="shared" si="105"/>
        <v>-1.9761523948038329</v>
      </c>
      <c r="U696">
        <f t="shared" si="111"/>
        <v>2.1102400139342787</v>
      </c>
      <c r="V696" s="55">
        <f t="shared" si="106"/>
        <v>2.1364046111406374</v>
      </c>
      <c r="W696">
        <f t="shared" si="112"/>
        <v>0.48897352389350118</v>
      </c>
      <c r="X696" s="55">
        <f t="shared" si="107"/>
        <v>0.5002264660025455</v>
      </c>
      <c r="Y696" s="149">
        <v>23.291257699999999</v>
      </c>
      <c r="Z696" s="55">
        <f t="shared" si="103"/>
        <v>5.3384710177581179E-3</v>
      </c>
      <c r="AA696" s="55">
        <f t="shared" si="108"/>
        <v>5.3879523553866009E-3</v>
      </c>
      <c r="AB696" s="55">
        <f t="shared" si="104"/>
        <v>-5.2328159932717488</v>
      </c>
      <c r="AC696" s="55">
        <f t="shared" si="109"/>
        <v>-5.2238095676335199</v>
      </c>
      <c r="AD696" s="55"/>
      <c r="AE696" s="55"/>
      <c r="AF696" s="55"/>
      <c r="AG696" s="55"/>
      <c r="AH696" s="55"/>
    </row>
    <row r="697" spans="1:34" ht="15.75">
      <c r="A697" s="39">
        <v>22.927690699999999</v>
      </c>
      <c r="B697" s="39">
        <v>23.3573196</v>
      </c>
      <c r="C697" s="39">
        <v>695</v>
      </c>
      <c r="D697">
        <v>695</v>
      </c>
      <c r="E697" s="10">
        <v>1578200</v>
      </c>
      <c r="F697" s="10">
        <v>1087510</v>
      </c>
      <c r="G697" s="10">
        <v>16100</v>
      </c>
      <c r="H697" s="10">
        <v>46570</v>
      </c>
      <c r="I697" s="10">
        <v>192891</v>
      </c>
      <c r="J697" s="10">
        <v>26785</v>
      </c>
      <c r="K697">
        <v>695</v>
      </c>
      <c r="L697" s="10">
        <v>1738</v>
      </c>
      <c r="M697" s="10">
        <v>381025</v>
      </c>
      <c r="N697" s="10">
        <v>6030</v>
      </c>
      <c r="O697">
        <v>0.8574203138892752</v>
      </c>
      <c r="P697">
        <v>0.91284723382123567</v>
      </c>
      <c r="Q697">
        <v>-0.46128036190088162</v>
      </c>
      <c r="R697">
        <v>0.46128036190088162</v>
      </c>
      <c r="S697">
        <f t="shared" si="110"/>
        <v>-1.9742832331917204</v>
      </c>
      <c r="T697" s="148">
        <f t="shared" si="105"/>
        <v>-1.944945149106112</v>
      </c>
      <c r="U697">
        <f t="shared" si="111"/>
        <v>2.1019084327776274</v>
      </c>
      <c r="V697" s="55">
        <f t="shared" si="106"/>
        <v>2.1027824572682197</v>
      </c>
      <c r="W697">
        <f t="shared" si="112"/>
        <v>0.50902275734250635</v>
      </c>
      <c r="X697" s="55">
        <f t="shared" si="107"/>
        <v>0.50203638406566109</v>
      </c>
      <c r="Y697" s="149">
        <v>23.3573196</v>
      </c>
      <c r="Z697" s="55">
        <f t="shared" si="103"/>
        <v>5.5447765997554046E-3</v>
      </c>
      <c r="AA697" s="55">
        <f t="shared" si="108"/>
        <v>5.5319934502665209E-3</v>
      </c>
      <c r="AB697" s="55">
        <f t="shared" si="104"/>
        <v>-5.1948989475837664</v>
      </c>
      <c r="AC697" s="55">
        <f t="shared" si="109"/>
        <v>-5.1975909077968625</v>
      </c>
      <c r="AD697" s="55"/>
      <c r="AE697" s="55"/>
      <c r="AF697" s="55"/>
      <c r="AG697" s="55"/>
      <c r="AH697" s="55"/>
    </row>
    <row r="698" spans="1:34" ht="15.75">
      <c r="A698" s="39">
        <v>22.9900825</v>
      </c>
      <c r="B698" s="39">
        <v>23.4233814</v>
      </c>
      <c r="C698" s="39">
        <v>696</v>
      </c>
      <c r="D698">
        <v>696</v>
      </c>
      <c r="E698" s="10">
        <v>1559240</v>
      </c>
      <c r="F698" s="10">
        <v>1085470</v>
      </c>
      <c r="G698" s="10">
        <v>16537</v>
      </c>
      <c r="H698" s="10">
        <v>45995</v>
      </c>
      <c r="I698" s="10">
        <v>185614</v>
      </c>
      <c r="J698" s="10">
        <v>27487</v>
      </c>
      <c r="K698">
        <v>696</v>
      </c>
      <c r="L698" s="10">
        <v>1391</v>
      </c>
      <c r="M698" s="10">
        <v>374178</v>
      </c>
      <c r="N698" s="10">
        <v>6201</v>
      </c>
      <c r="O698">
        <v>0.82948338748656592</v>
      </c>
      <c r="P698">
        <v>0.9103676261393111</v>
      </c>
      <c r="Q698">
        <v>-0.44425389679342742</v>
      </c>
      <c r="R698">
        <v>0.44425389679342742</v>
      </c>
      <c r="S698">
        <f t="shared" si="110"/>
        <v>-1.9099560829127706</v>
      </c>
      <c r="T698" s="148">
        <f t="shared" si="105"/>
        <v>-1.948926454675038</v>
      </c>
      <c r="U698">
        <f t="shared" si="111"/>
        <v>2.0961989250927542</v>
      </c>
      <c r="V698" s="55">
        <f t="shared" si="106"/>
        <v>2.1305081609740779</v>
      </c>
      <c r="W698">
        <f t="shared" si="112"/>
        <v>0.50811287096097568</v>
      </c>
      <c r="X698" s="55">
        <f t="shared" si="107"/>
        <v>0.49645676171051595</v>
      </c>
      <c r="Y698" s="149">
        <v>23.4233814</v>
      </c>
      <c r="Z698" s="55">
        <f t="shared" si="103"/>
        <v>5.712732733286042E-3</v>
      </c>
      <c r="AA698" s="55">
        <f t="shared" si="108"/>
        <v>5.608056721866486E-3</v>
      </c>
      <c r="AB698" s="55">
        <f t="shared" si="104"/>
        <v>-5.1650577825350705</v>
      </c>
      <c r="AC698" s="55">
        <f t="shared" si="109"/>
        <v>-5.1836388754634646</v>
      </c>
      <c r="AD698" s="55"/>
      <c r="AE698" s="55"/>
      <c r="AF698" s="55"/>
      <c r="AG698" s="55"/>
      <c r="AH698" s="55"/>
    </row>
    <row r="699" spans="1:34" ht="15.75">
      <c r="A699" s="39">
        <v>23.052474199999999</v>
      </c>
      <c r="B699" s="39">
        <v>23.489443300000001</v>
      </c>
      <c r="C699" s="39">
        <v>697</v>
      </c>
      <c r="D699">
        <v>697</v>
      </c>
      <c r="E699" s="10">
        <v>1598010</v>
      </c>
      <c r="F699" s="10">
        <v>1085570</v>
      </c>
      <c r="G699" s="10">
        <v>16230</v>
      </c>
      <c r="H699" s="10">
        <v>44939</v>
      </c>
      <c r="I699" s="10">
        <v>185237</v>
      </c>
      <c r="J699" s="10">
        <v>26026</v>
      </c>
      <c r="K699">
        <v>697</v>
      </c>
      <c r="L699" s="10">
        <v>1257</v>
      </c>
      <c r="M699" s="10">
        <v>402914</v>
      </c>
      <c r="N699" s="10">
        <v>6043</v>
      </c>
      <c r="O699">
        <v>0.85232031332606994</v>
      </c>
      <c r="P699">
        <v>0.95258895392211407</v>
      </c>
      <c r="Q699">
        <v>-0.4423048842757053</v>
      </c>
      <c r="R699">
        <v>0.4423048842757053</v>
      </c>
      <c r="S699">
        <f t="shared" si="110"/>
        <v>-1.962540047920623</v>
      </c>
      <c r="T699" s="148">
        <f t="shared" si="105"/>
        <v>-1.9680838424757117</v>
      </c>
      <c r="U699">
        <f t="shared" si="111"/>
        <v>2.1934171250518517</v>
      </c>
      <c r="V699" s="55">
        <f t="shared" si="106"/>
        <v>2.1650572721988031</v>
      </c>
      <c r="W699">
        <f t="shared" si="112"/>
        <v>0.47223465682806581</v>
      </c>
      <c r="X699" s="55">
        <f t="shared" si="107"/>
        <v>0.47924177237053972</v>
      </c>
      <c r="Y699" s="149">
        <v>23.489443300000001</v>
      </c>
      <c r="Z699" s="55">
        <f t="shared" si="103"/>
        <v>5.5666608325580114E-3</v>
      </c>
      <c r="AA699" s="55">
        <f t="shared" si="108"/>
        <v>5.5021485480084798E-3</v>
      </c>
      <c r="AB699" s="55">
        <f t="shared" si="104"/>
        <v>-5.1909598962715577</v>
      </c>
      <c r="AC699" s="55">
        <f t="shared" si="109"/>
        <v>-5.203308498268421</v>
      </c>
      <c r="AD699" s="55"/>
      <c r="AE699" s="55"/>
      <c r="AF699" s="55"/>
      <c r="AG699" s="55"/>
      <c r="AH699" s="55"/>
    </row>
    <row r="700" spans="1:34" ht="15.75">
      <c r="A700" s="39">
        <v>23.114865999999999</v>
      </c>
      <c r="B700" s="39">
        <v>23.555505199999999</v>
      </c>
      <c r="C700" s="39">
        <v>698</v>
      </c>
      <c r="D700">
        <v>698</v>
      </c>
      <c r="E700" s="10">
        <v>1622720</v>
      </c>
      <c r="F700" s="10">
        <v>1091820</v>
      </c>
      <c r="G700" s="10">
        <v>16409</v>
      </c>
      <c r="H700" s="10">
        <v>45422</v>
      </c>
      <c r="I700" s="10">
        <v>197742</v>
      </c>
      <c r="J700" s="10">
        <v>25925</v>
      </c>
      <c r="K700">
        <v>698</v>
      </c>
      <c r="L700" s="10">
        <v>1527</v>
      </c>
      <c r="M700" s="10">
        <v>412218</v>
      </c>
      <c r="N700" s="10">
        <v>5707</v>
      </c>
      <c r="O700">
        <v>0.8823801573178145</v>
      </c>
      <c r="P700">
        <v>0.95786069889991532</v>
      </c>
      <c r="Q700">
        <v>-0.44218413794057387</v>
      </c>
      <c r="R700">
        <v>0.44218413794057393</v>
      </c>
      <c r="S700">
        <f t="shared" si="110"/>
        <v>-2.0317553965937409</v>
      </c>
      <c r="T700" s="148">
        <f t="shared" si="105"/>
        <v>-1.9808653428947596</v>
      </c>
      <c r="U700">
        <f t="shared" si="111"/>
        <v>2.2055557664518033</v>
      </c>
      <c r="V700" s="55">
        <f t="shared" si="106"/>
        <v>2.185488713086619</v>
      </c>
      <c r="W700">
        <f t="shared" si="112"/>
        <v>0.45737778932257778</v>
      </c>
      <c r="X700" s="55">
        <f t="shared" si="107"/>
        <v>0.46144422253640593</v>
      </c>
      <c r="Y700" s="149">
        <v>23.555505199999999</v>
      </c>
      <c r="Z700" s="55">
        <f t="shared" si="103"/>
        <v>5.2270520781813852E-3</v>
      </c>
      <c r="AA700" s="55">
        <f t="shared" si="108"/>
        <v>5.41777584565573E-3</v>
      </c>
      <c r="AB700" s="55">
        <f t="shared" si="104"/>
        <v>-5.2539078159986357</v>
      </c>
      <c r="AC700" s="55">
        <f t="shared" si="109"/>
        <v>-5.2184149284211507</v>
      </c>
      <c r="AD700" s="55"/>
      <c r="AE700" s="55"/>
      <c r="AF700" s="55"/>
      <c r="AG700" s="55"/>
      <c r="AH700" s="55"/>
    </row>
    <row r="701" spans="1:34" ht="15.75">
      <c r="A701" s="39">
        <v>23.177257699999998</v>
      </c>
      <c r="B701" s="39">
        <v>23.621566999999999</v>
      </c>
      <c r="C701" s="39">
        <v>699</v>
      </c>
      <c r="D701">
        <v>699</v>
      </c>
      <c r="E701" s="10">
        <v>1601920</v>
      </c>
      <c r="F701" s="10">
        <v>1090370</v>
      </c>
      <c r="G701" s="10">
        <v>16895</v>
      </c>
      <c r="H701" s="10">
        <v>46718</v>
      </c>
      <c r="I701" s="10">
        <v>186800</v>
      </c>
      <c r="J701" s="10">
        <v>26622</v>
      </c>
      <c r="K701">
        <v>699</v>
      </c>
      <c r="L701" s="10">
        <v>1763</v>
      </c>
      <c r="M701" s="10">
        <v>404084</v>
      </c>
      <c r="N701" s="10">
        <v>5953</v>
      </c>
      <c r="O701">
        <v>0.84613619279387609</v>
      </c>
      <c r="P701">
        <v>0.93698741224404369</v>
      </c>
      <c r="Q701">
        <v>-0.44172604622211564</v>
      </c>
      <c r="R701">
        <v>0.4417260462221157</v>
      </c>
      <c r="S701">
        <f t="shared" si="110"/>
        <v>-1.9483005841699148</v>
      </c>
      <c r="T701" s="148">
        <f t="shared" si="105"/>
        <v>-1.97357735662342</v>
      </c>
      <c r="U701">
        <f t="shared" si="111"/>
        <v>2.1574932477562014</v>
      </c>
      <c r="V701" s="55">
        <f t="shared" si="106"/>
        <v>2.1580133726538393</v>
      </c>
      <c r="W701">
        <f t="shared" si="112"/>
        <v>0.45472022145857421</v>
      </c>
      <c r="X701" s="55">
        <f t="shared" si="107"/>
        <v>0.45495522790600434</v>
      </c>
      <c r="Y701" s="149">
        <v>23.621566999999999</v>
      </c>
      <c r="Z701" s="55">
        <f t="shared" si="103"/>
        <v>5.4596146262277942E-3</v>
      </c>
      <c r="AA701" s="55">
        <f t="shared" si="108"/>
        <v>5.4473363967768784E-3</v>
      </c>
      <c r="AB701" s="55">
        <f t="shared" si="104"/>
        <v>-5.2103770729932597</v>
      </c>
      <c r="AC701" s="55">
        <f t="shared" si="109"/>
        <v>-5.2131464989528338</v>
      </c>
      <c r="AD701" s="55"/>
      <c r="AE701" s="55"/>
      <c r="AF701" s="55"/>
      <c r="AG701" s="55"/>
      <c r="AH701" s="55"/>
    </row>
    <row r="702" spans="1:34" ht="15.75">
      <c r="A702" s="39">
        <v>23.239649499999999</v>
      </c>
      <c r="B702" s="39">
        <v>23.6876289</v>
      </c>
      <c r="C702" s="39">
        <v>700</v>
      </c>
      <c r="D702">
        <v>700</v>
      </c>
      <c r="E702" s="10">
        <v>1574540</v>
      </c>
      <c r="F702" s="10">
        <v>1086760</v>
      </c>
      <c r="G702" s="10">
        <v>16722</v>
      </c>
      <c r="H702" s="10">
        <v>46416</v>
      </c>
      <c r="I702" s="10">
        <v>183125</v>
      </c>
      <c r="J702" s="10">
        <v>26298</v>
      </c>
      <c r="K702">
        <v>700</v>
      </c>
      <c r="L702" s="10">
        <v>1939</v>
      </c>
      <c r="M702" s="10">
        <v>383230</v>
      </c>
      <c r="N702" s="10">
        <v>6146</v>
      </c>
      <c r="O702">
        <v>0.84282491666058179</v>
      </c>
      <c r="P702">
        <v>0.91679178770700553</v>
      </c>
      <c r="Q702">
        <v>-0.44337949236164109</v>
      </c>
      <c r="R702">
        <v>0.44337949236164109</v>
      </c>
      <c r="S702">
        <f t="shared" si="110"/>
        <v>-1.9406760891066046</v>
      </c>
      <c r="T702" s="148">
        <f t="shared" si="105"/>
        <v>-1.9493277141887664</v>
      </c>
      <c r="U702">
        <f t="shared" si="111"/>
        <v>2.1109911037535127</v>
      </c>
      <c r="V702" s="55">
        <f t="shared" si="106"/>
        <v>2.1469473358106748</v>
      </c>
      <c r="W702">
        <f t="shared" si="112"/>
        <v>0.45276767293686099</v>
      </c>
      <c r="X702" s="55">
        <f t="shared" si="107"/>
        <v>0.48072243856936475</v>
      </c>
      <c r="Y702" s="149">
        <v>23.6876289</v>
      </c>
      <c r="Z702" s="55">
        <f t="shared" si="103"/>
        <v>5.6553424859214548E-3</v>
      </c>
      <c r="AA702" s="55">
        <f t="shared" si="108"/>
        <v>5.4189147049769418E-3</v>
      </c>
      <c r="AB702" s="55">
        <f t="shared" si="104"/>
        <v>-5.1751546078666051</v>
      </c>
      <c r="AC702" s="55">
        <f t="shared" si="109"/>
        <v>-5.2186287582953019</v>
      </c>
      <c r="AD702" s="55"/>
      <c r="AE702" s="55"/>
      <c r="AF702" s="55"/>
      <c r="AG702" s="55"/>
      <c r="AH702" s="55"/>
    </row>
    <row r="703" spans="1:34" ht="15.75">
      <c r="A703" s="39">
        <v>23.302041200000001</v>
      </c>
      <c r="B703" s="39">
        <v>23.7536907</v>
      </c>
      <c r="C703" s="39">
        <v>701</v>
      </c>
      <c r="D703">
        <v>701</v>
      </c>
      <c r="E703" s="10">
        <v>1585670</v>
      </c>
      <c r="F703" s="10">
        <v>1089310</v>
      </c>
      <c r="G703" s="10">
        <v>15650</v>
      </c>
      <c r="H703" s="10">
        <v>45023</v>
      </c>
      <c r="I703" s="10">
        <v>189456</v>
      </c>
      <c r="J703" s="10">
        <v>26713</v>
      </c>
      <c r="K703">
        <v>701</v>
      </c>
      <c r="L703" s="10">
        <v>1518</v>
      </c>
      <c r="M703" s="10">
        <v>395255</v>
      </c>
      <c r="N703" s="10">
        <v>5601</v>
      </c>
      <c r="O703">
        <v>0.85078569962532336</v>
      </c>
      <c r="P703">
        <v>0.94344294268734241</v>
      </c>
      <c r="Q703">
        <v>-0.45892008792102734</v>
      </c>
      <c r="R703">
        <v>0.45892008792102734</v>
      </c>
      <c r="S703">
        <f t="shared" si="110"/>
        <v>-1.9590064692897795</v>
      </c>
      <c r="T703" s="148">
        <f t="shared" si="105"/>
        <v>-1.9414875680641286</v>
      </c>
      <c r="U703">
        <f t="shared" si="111"/>
        <v>2.1723576559223106</v>
      </c>
      <c r="V703" s="55">
        <f t="shared" si="106"/>
        <v>2.1606383970928977</v>
      </c>
      <c r="W703">
        <f t="shared" si="112"/>
        <v>0.53467942131265922</v>
      </c>
      <c r="X703" s="55">
        <f t="shared" si="107"/>
        <v>0.50295437459373737</v>
      </c>
      <c r="Y703" s="149">
        <v>23.7536907</v>
      </c>
      <c r="Z703" s="55">
        <f t="shared" si="103"/>
        <v>5.1417870027815771E-3</v>
      </c>
      <c r="AA703" s="55">
        <f t="shared" si="108"/>
        <v>5.447341314602859E-3</v>
      </c>
      <c r="AB703" s="55">
        <f t="shared" si="104"/>
        <v>-5.2703545940260392</v>
      </c>
      <c r="AC703" s="55">
        <f t="shared" si="109"/>
        <v>-5.2134622981665579</v>
      </c>
      <c r="AD703" s="55"/>
      <c r="AE703" s="55"/>
      <c r="AF703" s="55"/>
      <c r="AG703" s="55"/>
      <c r="AH703" s="55"/>
    </row>
    <row r="704" spans="1:34" ht="15.75">
      <c r="A704" s="39">
        <v>23.364432999999998</v>
      </c>
      <c r="B704" s="39">
        <v>23.819752600000001</v>
      </c>
      <c r="C704" s="39">
        <v>702</v>
      </c>
      <c r="D704">
        <v>702</v>
      </c>
      <c r="E704" s="10">
        <v>1584970</v>
      </c>
      <c r="F704" s="10">
        <v>1089110</v>
      </c>
      <c r="G704" s="10">
        <v>15479</v>
      </c>
      <c r="H704" s="10">
        <v>44767</v>
      </c>
      <c r="I704" s="10">
        <v>178695</v>
      </c>
      <c r="J704" s="10">
        <v>26073</v>
      </c>
      <c r="K704">
        <v>702</v>
      </c>
      <c r="L704" s="10">
        <v>1901</v>
      </c>
      <c r="M704" s="10">
        <v>403444</v>
      </c>
      <c r="N704" s="10">
        <v>6039</v>
      </c>
      <c r="O704">
        <v>0.83592139619614003</v>
      </c>
      <c r="P704">
        <v>0.95482526934284995</v>
      </c>
      <c r="Q704">
        <v>-0.46121509145927048</v>
      </c>
      <c r="R704">
        <v>0.46121509145927048</v>
      </c>
      <c r="S704">
        <f t="shared" si="110"/>
        <v>-1.9247801457960014</v>
      </c>
      <c r="T704" s="148">
        <f t="shared" si="105"/>
        <v>-1.9537417981721168</v>
      </c>
      <c r="U704">
        <f t="shared" si="111"/>
        <v>2.1985664316028708</v>
      </c>
      <c r="V704" s="55">
        <f t="shared" si="106"/>
        <v>2.1975836877223887</v>
      </c>
      <c r="W704">
        <f t="shared" si="112"/>
        <v>0.52141602953169219</v>
      </c>
      <c r="X704" s="55">
        <f t="shared" si="107"/>
        <v>0.53300117185089391</v>
      </c>
      <c r="Y704" s="149">
        <v>23.819752600000001</v>
      </c>
      <c r="Z704" s="55">
        <f t="shared" si="103"/>
        <v>5.5448944551055451E-3</v>
      </c>
      <c r="AA704" s="55">
        <f t="shared" si="108"/>
        <v>5.4001957873941056E-3</v>
      </c>
      <c r="AB704" s="55">
        <f t="shared" si="104"/>
        <v>-5.1948776926070295</v>
      </c>
      <c r="AC704" s="55">
        <f t="shared" si="109"/>
        <v>-5.2219047726771048</v>
      </c>
      <c r="AD704" s="55"/>
      <c r="AE704" s="55"/>
      <c r="AF704" s="55"/>
      <c r="AG704" s="55"/>
      <c r="AH704" s="55"/>
    </row>
    <row r="705" spans="1:34" ht="15.75">
      <c r="A705" s="39">
        <v>23.426824700000001</v>
      </c>
      <c r="B705" s="39">
        <v>23.885814400000001</v>
      </c>
      <c r="C705" s="39">
        <v>703</v>
      </c>
      <c r="D705">
        <v>703</v>
      </c>
      <c r="E705" s="10">
        <v>1596430</v>
      </c>
      <c r="F705" s="10">
        <v>1093780</v>
      </c>
      <c r="G705" s="10">
        <v>15054</v>
      </c>
      <c r="H705" s="10">
        <v>44431</v>
      </c>
      <c r="I705" s="10">
        <v>187165</v>
      </c>
      <c r="J705" s="10">
        <v>25908</v>
      </c>
      <c r="K705">
        <v>703</v>
      </c>
      <c r="L705" s="10">
        <v>2336</v>
      </c>
      <c r="M705" s="10">
        <v>409839</v>
      </c>
      <c r="N705" s="10">
        <v>6031</v>
      </c>
      <c r="O705">
        <v>0.85879075020819762</v>
      </c>
      <c r="P705">
        <v>0.96492719526510495</v>
      </c>
      <c r="Q705">
        <v>-0.47003417623526977</v>
      </c>
      <c r="R705">
        <v>0.47003417623526977</v>
      </c>
      <c r="S705">
        <f t="shared" si="110"/>
        <v>-1.977438779430569</v>
      </c>
      <c r="T705" s="148">
        <f t="shared" si="105"/>
        <v>-1.9459400308354666</v>
      </c>
      <c r="U705">
        <f t="shared" si="111"/>
        <v>2.2218269756419851</v>
      </c>
      <c r="V705" s="55">
        <f t="shared" si="106"/>
        <v>2.2045458693158699</v>
      </c>
      <c r="W705">
        <f t="shared" si="112"/>
        <v>0.54290806470833042</v>
      </c>
      <c r="X705" s="55">
        <f t="shared" si="107"/>
        <v>0.53909976854571884</v>
      </c>
      <c r="Y705" s="149">
        <v>23.885814400000001</v>
      </c>
      <c r="Z705" s="55">
        <f t="shared" si="103"/>
        <v>5.5139059042951964E-3</v>
      </c>
      <c r="AA705" s="55">
        <f t="shared" si="108"/>
        <v>5.5714681830022691E-3</v>
      </c>
      <c r="AB705" s="55">
        <f t="shared" si="104"/>
        <v>-5.2004820313982467</v>
      </c>
      <c r="AC705" s="55">
        <f t="shared" si="109"/>
        <v>-5.1901560191543918</v>
      </c>
      <c r="AD705" s="55"/>
      <c r="AE705" s="55"/>
      <c r="AF705" s="55"/>
      <c r="AG705" s="55"/>
      <c r="AH705" s="55"/>
    </row>
    <row r="706" spans="1:34" ht="15.75">
      <c r="A706" s="39">
        <v>23.489216500000001</v>
      </c>
      <c r="B706" s="39">
        <v>23.951876299999999</v>
      </c>
      <c r="C706" s="39">
        <v>704</v>
      </c>
      <c r="D706">
        <v>704</v>
      </c>
      <c r="E706" s="10">
        <v>1601230</v>
      </c>
      <c r="F706" s="10">
        <v>1098910</v>
      </c>
      <c r="G706" s="10">
        <v>15368</v>
      </c>
      <c r="H706" s="10">
        <v>45228</v>
      </c>
      <c r="I706" s="10">
        <v>185094</v>
      </c>
      <c r="J706" s="10">
        <v>26716</v>
      </c>
      <c r="K706">
        <v>704</v>
      </c>
      <c r="L706" s="10">
        <v>1624</v>
      </c>
      <c r="M706" s="10">
        <v>405435</v>
      </c>
      <c r="N706" s="10">
        <v>6215</v>
      </c>
      <c r="O706">
        <v>0.84062090611512263</v>
      </c>
      <c r="P706">
        <v>0.9525138538315141</v>
      </c>
      <c r="Q706">
        <v>-0.46879003164359256</v>
      </c>
      <c r="R706">
        <v>0.46879003164359251</v>
      </c>
      <c r="S706">
        <f t="shared" si="110"/>
        <v>-1.9356011672798288</v>
      </c>
      <c r="T706" s="148">
        <f t="shared" si="105"/>
        <v>-1.9707748559680276</v>
      </c>
      <c r="U706">
        <f t="shared" si="111"/>
        <v>2.1932442007027535</v>
      </c>
      <c r="V706" s="55">
        <f t="shared" si="106"/>
        <v>2.2030652042560246</v>
      </c>
      <c r="W706">
        <f t="shared" si="112"/>
        <v>0.55297521139713401</v>
      </c>
      <c r="X706" s="55">
        <f t="shared" si="107"/>
        <v>0.53111977328357807</v>
      </c>
      <c r="Y706" s="149">
        <v>23.951876299999999</v>
      </c>
      <c r="Z706" s="55">
        <f t="shared" si="103"/>
        <v>5.6556041896060642E-3</v>
      </c>
      <c r="AA706" s="55">
        <f t="shared" si="108"/>
        <v>5.5246251232057841E-3</v>
      </c>
      <c r="AB706" s="55">
        <f t="shared" si="104"/>
        <v>-5.1751083334578993</v>
      </c>
      <c r="AC706" s="55">
        <f t="shared" si="109"/>
        <v>-5.198712877480955</v>
      </c>
      <c r="AD706" s="55"/>
      <c r="AE706" s="55"/>
      <c r="AF706" s="55"/>
      <c r="AG706" s="55"/>
      <c r="AH706" s="55"/>
    </row>
    <row r="707" spans="1:34" ht="15.75">
      <c r="A707" s="39">
        <v>23.551608300000002</v>
      </c>
      <c r="B707" s="39">
        <v>24.017938099999999</v>
      </c>
      <c r="C707" s="39">
        <v>705</v>
      </c>
      <c r="D707">
        <v>705</v>
      </c>
      <c r="E707" s="10">
        <v>1595050</v>
      </c>
      <c r="F707" s="10">
        <v>1091340</v>
      </c>
      <c r="G707" s="10">
        <v>15640</v>
      </c>
      <c r="H707" s="10">
        <v>44978</v>
      </c>
      <c r="I707" s="10">
        <v>189918</v>
      </c>
      <c r="J707" s="10">
        <v>25721</v>
      </c>
      <c r="K707">
        <v>705</v>
      </c>
      <c r="L707" s="10">
        <v>1516</v>
      </c>
      <c r="M707" s="10">
        <v>403549</v>
      </c>
      <c r="N707" s="10">
        <v>5898</v>
      </c>
      <c r="O707">
        <v>0.86827827873845043</v>
      </c>
      <c r="P707">
        <v>0.95289613534773698</v>
      </c>
      <c r="Q707">
        <v>-0.45876339138701278</v>
      </c>
      <c r="R707">
        <v>0.45876339138701278</v>
      </c>
      <c r="S707">
        <f t="shared" si="110"/>
        <v>-1.9992846211936848</v>
      </c>
      <c r="T707" s="148">
        <f t="shared" si="105"/>
        <v>-1.9481349046984064</v>
      </c>
      <c r="U707">
        <f t="shared" si="111"/>
        <v>2.1941244364233357</v>
      </c>
      <c r="V707" s="55">
        <f t="shared" si="106"/>
        <v>2.1883849895070906</v>
      </c>
      <c r="W707">
        <f t="shared" si="112"/>
        <v>0.49747604374526994</v>
      </c>
      <c r="X707" s="55">
        <f t="shared" si="107"/>
        <v>0.51242511069660568</v>
      </c>
      <c r="Y707" s="149">
        <v>24.017938099999999</v>
      </c>
      <c r="Z707" s="55">
        <f t="shared" ref="Z707:Z770" si="113">N707/F707</f>
        <v>5.4043652757160918E-3</v>
      </c>
      <c r="AA707" s="55">
        <f t="shared" si="108"/>
        <v>5.5257788636192519E-3</v>
      </c>
      <c r="AB707" s="55">
        <f t="shared" ref="AB707:AB770" si="114">LN(Z707)</f>
        <v>-5.2205482675867199</v>
      </c>
      <c r="AC707" s="55">
        <f t="shared" si="109"/>
        <v>-5.1985037011785993</v>
      </c>
      <c r="AD707" s="55"/>
      <c r="AE707" s="55"/>
      <c r="AF707" s="55"/>
      <c r="AG707" s="55"/>
      <c r="AH707" s="55"/>
    </row>
    <row r="708" spans="1:34" ht="15.75">
      <c r="A708" s="39">
        <v>23.614000000000001</v>
      </c>
      <c r="B708" s="39">
        <v>24.084</v>
      </c>
      <c r="C708" s="39">
        <v>706</v>
      </c>
      <c r="D708">
        <v>706</v>
      </c>
      <c r="E708" s="10">
        <v>1595820</v>
      </c>
      <c r="F708" s="10">
        <v>1096900</v>
      </c>
      <c r="G708" s="10">
        <v>16411</v>
      </c>
      <c r="H708" s="10">
        <v>45713</v>
      </c>
      <c r="I708" s="10">
        <v>180241</v>
      </c>
      <c r="J708" s="10">
        <v>26703</v>
      </c>
      <c r="K708">
        <v>706</v>
      </c>
      <c r="L708" s="10">
        <v>1969</v>
      </c>
      <c r="M708" s="10">
        <v>403497</v>
      </c>
      <c r="N708" s="10">
        <v>6052</v>
      </c>
      <c r="O708">
        <v>0.82929353248733262</v>
      </c>
      <c r="P708">
        <v>0.94580058648925425</v>
      </c>
      <c r="Q708">
        <v>-0.44490467812131451</v>
      </c>
      <c r="R708">
        <v>0.44490467812131451</v>
      </c>
      <c r="S708">
        <f t="shared" si="110"/>
        <v>-1.9095189256217053</v>
      </c>
      <c r="T708" s="148">
        <f t="shared" ref="T708:T771" si="115">AVERAGE(S707:S709)</f>
        <v>-1.9309542471216987</v>
      </c>
      <c r="U708">
        <f t="shared" si="111"/>
        <v>2.1777863313951826</v>
      </c>
      <c r="V708" s="55">
        <f t="shared" ref="V708:V771" si="116">AVERAGE(U707:U709)</f>
        <v>2.1845138636002055</v>
      </c>
      <c r="W708">
        <f t="shared" si="112"/>
        <v>0.48682407694741336</v>
      </c>
      <c r="X708" s="55">
        <f t="shared" ref="X708:X771" si="117">AVERAGE(W707:W709)</f>
        <v>0.50379819011832128</v>
      </c>
      <c r="Y708" s="149">
        <v>24.084</v>
      </c>
      <c r="Z708" s="55">
        <f t="shared" si="113"/>
        <v>5.5173671255356006E-3</v>
      </c>
      <c r="AA708" s="55">
        <f t="shared" ref="AA708:AA771" si="118">AVERAGE(Z707:Z709)</f>
        <v>5.5911017711176248E-3</v>
      </c>
      <c r="AB708" s="55">
        <f t="shared" si="114"/>
        <v>-5.1998545024911786</v>
      </c>
      <c r="AC708" s="55">
        <f t="shared" ref="AC708:AC771" si="119">AVERAGE(AB707:AB709)</f>
        <v>-5.1871491833643075</v>
      </c>
      <c r="AD708" s="55"/>
      <c r="AE708" s="55"/>
      <c r="AF708" s="55"/>
      <c r="AG708" s="55"/>
      <c r="AH708" s="55"/>
    </row>
    <row r="709" spans="1:34" ht="15.75">
      <c r="A709" s="39">
        <v>23.6672692</v>
      </c>
      <c r="B709" s="39">
        <v>24.135461500000002</v>
      </c>
      <c r="C709" s="39">
        <v>707</v>
      </c>
      <c r="D709">
        <v>707</v>
      </c>
      <c r="E709" s="10">
        <v>1614140</v>
      </c>
      <c r="F709" s="10">
        <v>1117990</v>
      </c>
      <c r="G709" s="10">
        <v>15925</v>
      </c>
      <c r="H709" s="10">
        <v>46483</v>
      </c>
      <c r="I709" s="10">
        <v>177513</v>
      </c>
      <c r="J709" s="10">
        <v>26977</v>
      </c>
      <c r="K709">
        <v>707</v>
      </c>
      <c r="L709" s="10">
        <v>1762</v>
      </c>
      <c r="M709" s="10">
        <v>411874</v>
      </c>
      <c r="N709" s="10">
        <v>6542</v>
      </c>
      <c r="O709">
        <v>0.8182365117720225</v>
      </c>
      <c r="P709">
        <v>0.94747022797117519</v>
      </c>
      <c r="Q709">
        <v>-0.46521470852550884</v>
      </c>
      <c r="R709">
        <v>0.46521470852550884</v>
      </c>
      <c r="S709">
        <f t="shared" si="110"/>
        <v>-1.8840591945497061</v>
      </c>
      <c r="T709" s="148">
        <f t="shared" si="115"/>
        <v>-1.8878168441290242</v>
      </c>
      <c r="U709">
        <f t="shared" si="111"/>
        <v>2.1816308229820982</v>
      </c>
      <c r="V709" s="55">
        <f t="shared" si="116"/>
        <v>2.1882093611153834</v>
      </c>
      <c r="W709">
        <f t="shared" si="112"/>
        <v>0.52709444966228047</v>
      </c>
      <c r="X709" s="55">
        <f t="shared" si="117"/>
        <v>0.52891419282657515</v>
      </c>
      <c r="Y709" s="149">
        <v>24.135461500000002</v>
      </c>
      <c r="Z709" s="55">
        <f t="shared" si="113"/>
        <v>5.8515729121011812E-3</v>
      </c>
      <c r="AA709" s="55">
        <f t="shared" si="118"/>
        <v>5.6636953854527468E-3</v>
      </c>
      <c r="AB709" s="55">
        <f t="shared" si="114"/>
        <v>-5.1410447800150214</v>
      </c>
      <c r="AC709" s="55">
        <f t="shared" si="119"/>
        <v>-5.1739803662728461</v>
      </c>
      <c r="AD709" s="55"/>
      <c r="AE709" s="55"/>
      <c r="AF709" s="55"/>
      <c r="AG709" s="55"/>
      <c r="AH709" s="55"/>
    </row>
    <row r="710" spans="1:34" ht="15.75">
      <c r="A710" s="39">
        <v>23.7205385</v>
      </c>
      <c r="B710" s="39">
        <v>24.186923100000001</v>
      </c>
      <c r="C710" s="39">
        <v>708</v>
      </c>
      <c r="D710">
        <v>708</v>
      </c>
      <c r="E710" s="10">
        <v>1607560</v>
      </c>
      <c r="F710" s="10">
        <v>1121280</v>
      </c>
      <c r="G710" s="10">
        <v>15053</v>
      </c>
      <c r="H710" s="10">
        <v>45784</v>
      </c>
      <c r="I710" s="10">
        <v>173170</v>
      </c>
      <c r="J710" s="10">
        <v>26693</v>
      </c>
      <c r="K710">
        <v>708</v>
      </c>
      <c r="L710" s="10">
        <v>2060</v>
      </c>
      <c r="M710" s="10">
        <v>415360</v>
      </c>
      <c r="N710" s="10">
        <v>6304</v>
      </c>
      <c r="O710">
        <v>0.81207527048838424</v>
      </c>
      <c r="P710">
        <v>0.95771093788392381</v>
      </c>
      <c r="Q710">
        <v>-0.48309067126897742</v>
      </c>
      <c r="R710">
        <v>0.48309067126897737</v>
      </c>
      <c r="S710">
        <f t="shared" si="110"/>
        <v>-1.8698724122156611</v>
      </c>
      <c r="T710" s="148">
        <f t="shared" si="115"/>
        <v>-1.8725505939307669</v>
      </c>
      <c r="U710">
        <f t="shared" si="111"/>
        <v>2.2052109289688695</v>
      </c>
      <c r="V710" s="55">
        <f t="shared" si="116"/>
        <v>2.1956975034045141</v>
      </c>
      <c r="W710">
        <f t="shared" si="112"/>
        <v>0.57282405187003149</v>
      </c>
      <c r="X710" s="55">
        <f t="shared" si="117"/>
        <v>0.5548063606734468</v>
      </c>
      <c r="Y710" s="149">
        <v>24.186923100000001</v>
      </c>
      <c r="Z710" s="55">
        <f t="shared" si="113"/>
        <v>5.6221461187214612E-3</v>
      </c>
      <c r="AA710" s="55">
        <f t="shared" si="118"/>
        <v>5.6891516829065784E-3</v>
      </c>
      <c r="AB710" s="55">
        <f t="shared" si="114"/>
        <v>-5.1810418163123391</v>
      </c>
      <c r="AC710" s="55">
        <f t="shared" si="119"/>
        <v>-5.1693981572884695</v>
      </c>
      <c r="AD710" s="55"/>
      <c r="AE710" s="55"/>
      <c r="AF710" s="55"/>
      <c r="AG710" s="55"/>
      <c r="AH710" s="55"/>
    </row>
    <row r="711" spans="1:34" ht="15.75">
      <c r="A711" s="39">
        <v>23.773807699999999</v>
      </c>
      <c r="B711" s="39">
        <v>24.2383846</v>
      </c>
      <c r="C711" s="39">
        <v>709</v>
      </c>
      <c r="D711">
        <v>709</v>
      </c>
      <c r="E711" s="10">
        <v>1609520</v>
      </c>
      <c r="F711" s="10">
        <v>1117500</v>
      </c>
      <c r="G711" s="10">
        <v>15433</v>
      </c>
      <c r="H711" s="10">
        <v>45973</v>
      </c>
      <c r="I711" s="10">
        <v>174990</v>
      </c>
      <c r="J711" s="10">
        <v>27140</v>
      </c>
      <c r="K711">
        <v>709</v>
      </c>
      <c r="L711" s="10">
        <v>1870</v>
      </c>
      <c r="M711" s="10">
        <v>415011</v>
      </c>
      <c r="N711" s="10">
        <v>6251</v>
      </c>
      <c r="O711">
        <v>0.80940338782595966</v>
      </c>
      <c r="P711">
        <v>0.95555676311688198</v>
      </c>
      <c r="Q711">
        <v>-0.47405248867606975</v>
      </c>
      <c r="R711">
        <v>0.47405248867606975</v>
      </c>
      <c r="S711">
        <f t="shared" si="110"/>
        <v>-1.863720175026933</v>
      </c>
      <c r="T711" s="148">
        <f t="shared" si="115"/>
        <v>-1.8745167385348627</v>
      </c>
      <c r="U711">
        <f t="shared" si="111"/>
        <v>2.200250758262575</v>
      </c>
      <c r="V711" s="55">
        <f t="shared" si="116"/>
        <v>2.2276430952321196</v>
      </c>
      <c r="W711">
        <f t="shared" si="112"/>
        <v>0.56450058048802865</v>
      </c>
      <c r="X711" s="55">
        <f t="shared" si="117"/>
        <v>0.55696423608577128</v>
      </c>
      <c r="Y711" s="149">
        <v>24.2383846</v>
      </c>
      <c r="Z711" s="55">
        <f t="shared" si="113"/>
        <v>5.593736017897092E-3</v>
      </c>
      <c r="AA711" s="55">
        <f t="shared" si="118"/>
        <v>5.5570612954384769E-3</v>
      </c>
      <c r="AB711" s="55">
        <f t="shared" si="114"/>
        <v>-5.186107875538049</v>
      </c>
      <c r="AC711" s="55">
        <f t="shared" si="119"/>
        <v>-5.1927723456364312</v>
      </c>
      <c r="AD711" s="55"/>
      <c r="AE711" s="55"/>
      <c r="AF711" s="55"/>
      <c r="AG711" s="55"/>
      <c r="AH711" s="55"/>
    </row>
    <row r="712" spans="1:34" ht="15.75">
      <c r="A712" s="39">
        <v>23.827076900000002</v>
      </c>
      <c r="B712" s="39">
        <v>24.289846199999999</v>
      </c>
      <c r="C712" s="39">
        <v>710</v>
      </c>
      <c r="D712">
        <v>710</v>
      </c>
      <c r="E712" s="10">
        <v>1659810</v>
      </c>
      <c r="F712" s="10">
        <v>1129910</v>
      </c>
      <c r="G712" s="10">
        <v>15824</v>
      </c>
      <c r="H712" s="10">
        <v>46205</v>
      </c>
      <c r="I712" s="10">
        <v>178583</v>
      </c>
      <c r="J712" s="10">
        <v>26980</v>
      </c>
      <c r="K712">
        <v>710</v>
      </c>
      <c r="L712" s="10">
        <v>1431</v>
      </c>
      <c r="M712" s="10">
        <v>450589</v>
      </c>
      <c r="N712" s="10">
        <v>6164</v>
      </c>
      <c r="O712">
        <v>0.82079816902857083</v>
      </c>
      <c r="P712">
        <v>0.98909161072676322</v>
      </c>
      <c r="Q712">
        <v>-0.46537270032713546</v>
      </c>
      <c r="R712">
        <v>0.46537270032713546</v>
      </c>
      <c r="S712">
        <f t="shared" si="110"/>
        <v>-1.8899576283619943</v>
      </c>
      <c r="T712" s="148">
        <f t="shared" si="115"/>
        <v>-1.8882322697898684</v>
      </c>
      <c r="U712">
        <f t="shared" si="111"/>
        <v>2.2774675984649142</v>
      </c>
      <c r="V712" s="55">
        <f t="shared" si="116"/>
        <v>2.2469429526206959</v>
      </c>
      <c r="W712">
        <f t="shared" si="112"/>
        <v>0.53356807589925359</v>
      </c>
      <c r="X712" s="55">
        <f t="shared" si="117"/>
        <v>0.54753071332543379</v>
      </c>
      <c r="Y712" s="149">
        <v>24.289846199999999</v>
      </c>
      <c r="Z712" s="55">
        <f t="shared" si="113"/>
        <v>5.4553017496968784E-3</v>
      </c>
      <c r="AA712" s="55">
        <f t="shared" si="118"/>
        <v>5.5188720651702617E-3</v>
      </c>
      <c r="AB712" s="55">
        <f t="shared" si="114"/>
        <v>-5.2111673450589056</v>
      </c>
      <c r="AC712" s="55">
        <f t="shared" si="119"/>
        <v>-5.1996351532611138</v>
      </c>
      <c r="AD712" s="55"/>
      <c r="AE712" s="55"/>
      <c r="AF712" s="55"/>
      <c r="AG712" s="55"/>
      <c r="AH712" s="55"/>
    </row>
    <row r="713" spans="1:34" ht="15.75">
      <c r="A713" s="39">
        <v>23.880346200000002</v>
      </c>
      <c r="B713" s="39">
        <v>24.341307700000002</v>
      </c>
      <c r="C713" s="39">
        <v>711</v>
      </c>
      <c r="D713">
        <v>711</v>
      </c>
      <c r="E713" s="10">
        <v>1668830</v>
      </c>
      <c r="F713" s="10">
        <v>1134800</v>
      </c>
      <c r="G713" s="10">
        <v>15908</v>
      </c>
      <c r="H713" s="10">
        <v>46926</v>
      </c>
      <c r="I713" s="10">
        <v>185372</v>
      </c>
      <c r="J713" s="10">
        <v>27422</v>
      </c>
      <c r="K713">
        <v>711</v>
      </c>
      <c r="L713" s="10">
        <v>1774</v>
      </c>
      <c r="M713" s="10">
        <v>451097</v>
      </c>
      <c r="N713" s="10">
        <v>6250</v>
      </c>
      <c r="O713">
        <v>0.82994500910964564</v>
      </c>
      <c r="P713">
        <v>0.98285640258005891</v>
      </c>
      <c r="Q713">
        <v>-0.46979795395769219</v>
      </c>
      <c r="R713">
        <v>0.46979795395769225</v>
      </c>
      <c r="S713">
        <f t="shared" si="110"/>
        <v>-1.9110190059806773</v>
      </c>
      <c r="T713" s="148">
        <f t="shared" si="115"/>
        <v>-1.931034351672049</v>
      </c>
      <c r="U713">
        <f t="shared" si="111"/>
        <v>2.263110501134598</v>
      </c>
      <c r="V713" s="55">
        <f t="shared" si="116"/>
        <v>2.2426675167807151</v>
      </c>
      <c r="W713">
        <f t="shared" si="112"/>
        <v>0.54452348358901903</v>
      </c>
      <c r="X713" s="55">
        <f t="shared" si="117"/>
        <v>0.52019159091067446</v>
      </c>
      <c r="Y713" s="149">
        <v>24.341307700000002</v>
      </c>
      <c r="Z713" s="55">
        <f t="shared" si="113"/>
        <v>5.5075784279168139E-3</v>
      </c>
      <c r="AA713" s="55">
        <f t="shared" si="118"/>
        <v>5.452803832357086E-3</v>
      </c>
      <c r="AB713" s="55">
        <f t="shared" si="114"/>
        <v>-5.201630239186386</v>
      </c>
      <c r="AC713" s="55">
        <f t="shared" si="119"/>
        <v>-5.2116605952285981</v>
      </c>
      <c r="AD713" s="55"/>
      <c r="AE713" s="55"/>
      <c r="AF713" s="55"/>
      <c r="AG713" s="55"/>
      <c r="AH713" s="55"/>
    </row>
    <row r="714" spans="1:34" ht="15.75">
      <c r="A714" s="39">
        <v>23.933615400000001</v>
      </c>
      <c r="B714" s="39">
        <v>24.3927692</v>
      </c>
      <c r="C714" s="39">
        <v>712</v>
      </c>
      <c r="D714">
        <v>712</v>
      </c>
      <c r="E714" s="10">
        <v>1668250</v>
      </c>
      <c r="F714" s="10">
        <v>1111290</v>
      </c>
      <c r="G714" s="10">
        <v>17091</v>
      </c>
      <c r="H714" s="10">
        <v>47761</v>
      </c>
      <c r="I714" s="10">
        <v>202991</v>
      </c>
      <c r="J714" s="10">
        <v>27689</v>
      </c>
      <c r="K714">
        <v>712</v>
      </c>
      <c r="L714" s="10">
        <v>1915</v>
      </c>
      <c r="M714" s="10">
        <v>425657</v>
      </c>
      <c r="N714" s="10">
        <v>5996</v>
      </c>
      <c r="O714">
        <v>0.86516951175216639</v>
      </c>
      <c r="P714">
        <v>0.94998636853777696</v>
      </c>
      <c r="Q714">
        <v>-0.44630593711782057</v>
      </c>
      <c r="R714">
        <v>0.44630593711782063</v>
      </c>
      <c r="S714">
        <f t="shared" si="110"/>
        <v>-1.9921264206734752</v>
      </c>
      <c r="T714" s="148">
        <f t="shared" si="115"/>
        <v>-1.9068253500499985</v>
      </c>
      <c r="U714">
        <f t="shared" si="111"/>
        <v>2.187424450742633</v>
      </c>
      <c r="V714" s="55">
        <f t="shared" si="116"/>
        <v>2.1919271090637711</v>
      </c>
      <c r="W714">
        <f t="shared" si="112"/>
        <v>0.4824832132437506</v>
      </c>
      <c r="X714" s="55">
        <f t="shared" si="117"/>
        <v>0.48871690648906513</v>
      </c>
      <c r="Y714" s="149">
        <v>24.3927692</v>
      </c>
      <c r="Z714" s="55">
        <f t="shared" si="113"/>
        <v>5.3955313194575675E-3</v>
      </c>
      <c r="AA714" s="55">
        <f t="shared" si="118"/>
        <v>5.465072415456085E-3</v>
      </c>
      <c r="AB714" s="55">
        <f t="shared" si="114"/>
        <v>-5.2221842014405029</v>
      </c>
      <c r="AC714" s="55">
        <f t="shared" si="119"/>
        <v>-5.2094192193841176</v>
      </c>
      <c r="AD714" s="55"/>
      <c r="AE714" s="55"/>
      <c r="AF714" s="55"/>
      <c r="AG714" s="55"/>
      <c r="AH714" s="55"/>
    </row>
    <row r="715" spans="1:34" ht="15.75">
      <c r="A715" s="39">
        <v>23.9868846</v>
      </c>
      <c r="B715" s="39">
        <v>24.4442308</v>
      </c>
      <c r="C715" s="39">
        <v>713</v>
      </c>
      <c r="D715">
        <v>713</v>
      </c>
      <c r="E715" s="10">
        <v>1672050</v>
      </c>
      <c r="F715" s="10">
        <v>1118150</v>
      </c>
      <c r="G715" s="10">
        <v>19366</v>
      </c>
      <c r="H715" s="10">
        <v>50784</v>
      </c>
      <c r="I715" s="10">
        <v>184933</v>
      </c>
      <c r="J715" s="10">
        <v>30044</v>
      </c>
      <c r="K715">
        <v>713</v>
      </c>
      <c r="L715" s="10">
        <v>2598</v>
      </c>
      <c r="M715" s="10">
        <v>425314</v>
      </c>
      <c r="N715" s="10">
        <v>6141</v>
      </c>
      <c r="O715">
        <v>0.78925666157804086</v>
      </c>
      <c r="P715">
        <v>0.92298277348379365</v>
      </c>
      <c r="Q715">
        <v>-0.41868697755751183</v>
      </c>
      <c r="R715">
        <v>0.41868697755751177</v>
      </c>
      <c r="S715">
        <f t="shared" si="110"/>
        <v>-1.8173306234958431</v>
      </c>
      <c r="T715" s="148">
        <f t="shared" si="115"/>
        <v>-1.8558976871507682</v>
      </c>
      <c r="U715">
        <f t="shared" si="111"/>
        <v>2.1252463753140831</v>
      </c>
      <c r="V715" s="55">
        <f t="shared" si="116"/>
        <v>2.1352992584993378</v>
      </c>
      <c r="W715">
        <f t="shared" si="112"/>
        <v>0.43914402263442592</v>
      </c>
      <c r="X715" s="55">
        <f t="shared" si="117"/>
        <v>0.45703752433190176</v>
      </c>
      <c r="Y715" s="149">
        <v>24.4442308</v>
      </c>
      <c r="Z715" s="55">
        <f t="shared" si="113"/>
        <v>5.4921074989938735E-3</v>
      </c>
      <c r="AA715" s="55">
        <f t="shared" si="118"/>
        <v>5.5010631914636553E-3</v>
      </c>
      <c r="AB715" s="55">
        <f t="shared" si="114"/>
        <v>-5.2044432175254638</v>
      </c>
      <c r="AC715" s="55">
        <f t="shared" si="119"/>
        <v>-5.2029476760082547</v>
      </c>
      <c r="AD715" s="55"/>
      <c r="AE715" s="55"/>
      <c r="AF715" s="55"/>
      <c r="AG715" s="55"/>
      <c r="AH715" s="55"/>
    </row>
    <row r="716" spans="1:34" ht="15.75">
      <c r="A716" s="39">
        <v>24.0401539</v>
      </c>
      <c r="B716" s="39">
        <v>24.495692300000002</v>
      </c>
      <c r="C716" s="39">
        <v>714</v>
      </c>
      <c r="D716">
        <v>714</v>
      </c>
      <c r="E716" s="10">
        <v>1611560</v>
      </c>
      <c r="F716" s="10">
        <v>1115830</v>
      </c>
      <c r="G716" s="10">
        <v>19080</v>
      </c>
      <c r="H716" s="10">
        <v>50195</v>
      </c>
      <c r="I716" s="10">
        <v>173532</v>
      </c>
      <c r="J716" s="10">
        <v>29908</v>
      </c>
      <c r="K716">
        <v>714</v>
      </c>
      <c r="L716" s="10">
        <v>3227</v>
      </c>
      <c r="M716" s="10">
        <v>407134</v>
      </c>
      <c r="N716" s="10">
        <v>6266</v>
      </c>
      <c r="O716">
        <v>0.76359220018955143</v>
      </c>
      <c r="P716">
        <v>0.90907691351353281</v>
      </c>
      <c r="Q716">
        <v>-0.42008208820009535</v>
      </c>
      <c r="R716">
        <v>0.42008208820009529</v>
      </c>
      <c r="S716">
        <f t="shared" si="110"/>
        <v>-1.7582360172829863</v>
      </c>
      <c r="T716" s="148">
        <f t="shared" si="115"/>
        <v>-1.7848355713072361</v>
      </c>
      <c r="U716">
        <f t="shared" si="111"/>
        <v>2.0932269494412981</v>
      </c>
      <c r="V716" s="55">
        <f t="shared" si="116"/>
        <v>2.1303145042938239</v>
      </c>
      <c r="W716">
        <f t="shared" si="112"/>
        <v>0.44948533711752858</v>
      </c>
      <c r="X716" s="55">
        <f t="shared" si="117"/>
        <v>0.44216635203940363</v>
      </c>
      <c r="Y716" s="149">
        <v>24.495692300000002</v>
      </c>
      <c r="Z716" s="55">
        <f t="shared" si="113"/>
        <v>5.6155507559395249E-3</v>
      </c>
      <c r="AA716" s="55">
        <f t="shared" si="118"/>
        <v>5.6568850956757802E-3</v>
      </c>
      <c r="AB716" s="55">
        <f t="shared" si="114"/>
        <v>-5.1822156090587974</v>
      </c>
      <c r="AC716" s="55">
        <f t="shared" si="119"/>
        <v>-5.175251064597969</v>
      </c>
      <c r="AD716" s="55"/>
      <c r="AE716" s="55"/>
      <c r="AF716" s="55"/>
      <c r="AG716" s="55"/>
      <c r="AH716" s="55"/>
    </row>
    <row r="717" spans="1:34" ht="15.75">
      <c r="A717" s="39">
        <v>24.093423099999999</v>
      </c>
      <c r="B717" s="39">
        <v>24.547153900000001</v>
      </c>
      <c r="C717" s="39">
        <v>715</v>
      </c>
      <c r="D717">
        <v>715</v>
      </c>
      <c r="E717" s="10">
        <v>1602770</v>
      </c>
      <c r="F717" s="10">
        <v>1084940</v>
      </c>
      <c r="G717" s="10">
        <v>18258</v>
      </c>
      <c r="H717" s="10">
        <v>47979</v>
      </c>
      <c r="I717" s="10">
        <v>167572</v>
      </c>
      <c r="J717" s="10">
        <v>28289</v>
      </c>
      <c r="K717">
        <v>715</v>
      </c>
      <c r="L717" s="10">
        <v>2434</v>
      </c>
      <c r="M717" s="10">
        <v>421253</v>
      </c>
      <c r="N717" s="10">
        <v>6361</v>
      </c>
      <c r="O717">
        <v>0.77258385740251934</v>
      </c>
      <c r="P717">
        <v>0.94349181480248046</v>
      </c>
      <c r="Q717">
        <v>-0.4195979892224781</v>
      </c>
      <c r="R717">
        <v>0.4195979892224781</v>
      </c>
      <c r="S717">
        <f t="shared" si="110"/>
        <v>-1.7789400731428786</v>
      </c>
      <c r="T717" s="148">
        <f t="shared" si="115"/>
        <v>-1.8007476872320296</v>
      </c>
      <c r="U717">
        <f t="shared" si="111"/>
        <v>2.1724701881260904</v>
      </c>
      <c r="V717" s="55">
        <f t="shared" si="116"/>
        <v>2.1522691507415659</v>
      </c>
      <c r="W717">
        <f t="shared" si="112"/>
        <v>0.43786969636625633</v>
      </c>
      <c r="X717" s="55">
        <f t="shared" si="117"/>
        <v>0.44280526232778045</v>
      </c>
      <c r="Y717" s="149">
        <v>24.547153900000001</v>
      </c>
      <c r="Z717" s="55">
        <f t="shared" si="113"/>
        <v>5.8629970320939404E-3</v>
      </c>
      <c r="AA717" s="55">
        <f t="shared" si="118"/>
        <v>5.6271093884920657E-3</v>
      </c>
      <c r="AB717" s="55">
        <f t="shared" si="114"/>
        <v>-5.1390943672096467</v>
      </c>
      <c r="AC717" s="55">
        <f t="shared" si="119"/>
        <v>-5.1807171831587953</v>
      </c>
      <c r="AD717" s="55"/>
      <c r="AE717" s="55"/>
      <c r="AF717" s="55"/>
      <c r="AG717" s="55"/>
      <c r="AH717" s="55"/>
    </row>
    <row r="718" spans="1:34" ht="15.75">
      <c r="A718" s="39">
        <v>24.146692300000002</v>
      </c>
      <c r="B718" s="39">
        <v>24.5986154</v>
      </c>
      <c r="C718" s="39">
        <v>716</v>
      </c>
      <c r="D718">
        <v>716</v>
      </c>
      <c r="E718" s="10">
        <v>1612716.25</v>
      </c>
      <c r="F718" s="10">
        <v>1075063.75</v>
      </c>
      <c r="G718" s="10">
        <v>17667.375</v>
      </c>
      <c r="H718" s="10">
        <v>47077</v>
      </c>
      <c r="I718" s="10">
        <v>177300.75</v>
      </c>
      <c r="J718" s="10">
        <v>27461.375</v>
      </c>
      <c r="K718">
        <v>716</v>
      </c>
      <c r="L718" s="10">
        <v>2035.666667</v>
      </c>
      <c r="M718" s="10">
        <v>421110.3333</v>
      </c>
      <c r="N718" s="10">
        <v>5808.3333329999996</v>
      </c>
      <c r="O718">
        <v>0.80998829400266903</v>
      </c>
      <c r="P718">
        <v>0.95158711889696734</v>
      </c>
      <c r="Q718">
        <v>-0.42563675218713781</v>
      </c>
      <c r="R718">
        <v>0.42563675218713776</v>
      </c>
      <c r="S718">
        <f t="shared" si="110"/>
        <v>-1.8650669712702241</v>
      </c>
      <c r="T718" s="148">
        <f t="shared" si="115"/>
        <v>-1.8066144575785605</v>
      </c>
      <c r="U718">
        <f t="shared" si="111"/>
        <v>2.1911103146573097</v>
      </c>
      <c r="V718" s="55">
        <f t="shared" si="116"/>
        <v>2.1963928228820175</v>
      </c>
      <c r="W718">
        <f t="shared" si="112"/>
        <v>0.4410607534995562</v>
      </c>
      <c r="X718" s="55">
        <f t="shared" si="117"/>
        <v>0.44144471838979299</v>
      </c>
      <c r="Y718" s="149">
        <v>24.5986154</v>
      </c>
      <c r="Z718" s="55">
        <f t="shared" si="113"/>
        <v>5.4027803774427327E-3</v>
      </c>
      <c r="AA718" s="55">
        <f t="shared" si="118"/>
        <v>5.6366955304157683E-3</v>
      </c>
      <c r="AB718" s="55">
        <f t="shared" si="114"/>
        <v>-5.2208415732079425</v>
      </c>
      <c r="AC718" s="55">
        <f t="shared" si="119"/>
        <v>-5.179014468769604</v>
      </c>
      <c r="AD718" s="55"/>
      <c r="AE718" s="55"/>
      <c r="AF718" s="55"/>
      <c r="AG718" s="55"/>
      <c r="AH718" s="55"/>
    </row>
    <row r="719" spans="1:34" ht="15.75">
      <c r="A719" s="39">
        <v>24.199961500000001</v>
      </c>
      <c r="B719" s="39">
        <v>24.650076899999998</v>
      </c>
      <c r="C719" s="39">
        <v>717</v>
      </c>
      <c r="D719">
        <v>717</v>
      </c>
      <c r="E719" s="10">
        <v>1607200</v>
      </c>
      <c r="F719" s="10">
        <v>1107310</v>
      </c>
      <c r="G719" s="10">
        <v>17531</v>
      </c>
      <c r="H719" s="10">
        <v>46769</v>
      </c>
      <c r="I719" s="10">
        <v>161614</v>
      </c>
      <c r="J719" s="10">
        <v>27368</v>
      </c>
      <c r="K719">
        <v>717</v>
      </c>
      <c r="L719" s="10">
        <v>1894</v>
      </c>
      <c r="M719" s="10">
        <v>433035</v>
      </c>
      <c r="N719" s="10">
        <v>6250</v>
      </c>
      <c r="O719">
        <v>0.7712359181538273</v>
      </c>
      <c r="P719">
        <v>0.96656491550925194</v>
      </c>
      <c r="Q719">
        <v>-0.42615139431580218</v>
      </c>
      <c r="R719">
        <v>0.42615139431580218</v>
      </c>
      <c r="S719">
        <f t="shared" si="110"/>
        <v>-1.7758363283225786</v>
      </c>
      <c r="T719" s="148">
        <f t="shared" si="115"/>
        <v>-1.7837409921291858</v>
      </c>
      <c r="U719">
        <f t="shared" si="111"/>
        <v>2.225597965862653</v>
      </c>
      <c r="V719" s="55">
        <f t="shared" si="116"/>
        <v>2.2041536427101196</v>
      </c>
      <c r="W719">
        <f t="shared" si="112"/>
        <v>0.44540370530356649</v>
      </c>
      <c r="X719" s="55">
        <f t="shared" si="117"/>
        <v>0.45737157152740515</v>
      </c>
      <c r="Y719" s="149">
        <v>24.650076899999998</v>
      </c>
      <c r="Z719" s="55">
        <f t="shared" si="113"/>
        <v>5.6443091817106319E-3</v>
      </c>
      <c r="AA719" s="55">
        <f t="shared" si="118"/>
        <v>5.5344287128178092E-3</v>
      </c>
      <c r="AB719" s="55">
        <f t="shared" si="114"/>
        <v>-5.1771074658912219</v>
      </c>
      <c r="AC719" s="55">
        <f t="shared" si="119"/>
        <v>-5.1969301707905382</v>
      </c>
      <c r="AD719" s="55"/>
      <c r="AE719" s="55"/>
      <c r="AF719" s="55"/>
      <c r="AG719" s="55"/>
      <c r="AH719" s="55"/>
    </row>
    <row r="720" spans="1:34" ht="15.75">
      <c r="A720" s="39">
        <v>24.253230800000001</v>
      </c>
      <c r="B720" s="39">
        <v>24.701538500000002</v>
      </c>
      <c r="C720" s="39">
        <v>718</v>
      </c>
      <c r="D720">
        <v>718</v>
      </c>
      <c r="E720" s="10">
        <v>1606890</v>
      </c>
      <c r="F720" s="10">
        <v>1126670</v>
      </c>
      <c r="G720" s="10">
        <v>17280</v>
      </c>
      <c r="H720" s="10">
        <v>47365</v>
      </c>
      <c r="I720" s="10">
        <v>155325</v>
      </c>
      <c r="J720" s="10">
        <v>28084</v>
      </c>
      <c r="K720">
        <v>718</v>
      </c>
      <c r="L720" s="10">
        <v>1698</v>
      </c>
      <c r="M720" s="10">
        <v>425658</v>
      </c>
      <c r="N720" s="10">
        <v>6260</v>
      </c>
      <c r="O720">
        <v>0.74278239792251533</v>
      </c>
      <c r="P720">
        <v>0.95360325848165028</v>
      </c>
      <c r="Q720">
        <v>-0.43791380349833425</v>
      </c>
      <c r="R720">
        <v>0.43791380349833425</v>
      </c>
      <c r="S720">
        <f t="shared" si="110"/>
        <v>-1.7103196767947551</v>
      </c>
      <c r="T720" s="148">
        <f t="shared" si="115"/>
        <v>-1.7679595745890893</v>
      </c>
      <c r="U720">
        <f t="shared" si="111"/>
        <v>2.1957526476103957</v>
      </c>
      <c r="V720" s="55">
        <f t="shared" si="116"/>
        <v>2.2381131738030229</v>
      </c>
      <c r="W720">
        <f t="shared" si="112"/>
        <v>0.48565025577909282</v>
      </c>
      <c r="X720" s="55">
        <f t="shared" si="117"/>
        <v>0.480463409447559</v>
      </c>
      <c r="Y720" s="149">
        <v>24.701538500000002</v>
      </c>
      <c r="Z720" s="55">
        <f t="shared" si="113"/>
        <v>5.5561965793000613E-3</v>
      </c>
      <c r="AA720" s="55">
        <f t="shared" si="118"/>
        <v>5.5348304439012631E-3</v>
      </c>
      <c r="AB720" s="55">
        <f t="shared" si="114"/>
        <v>-5.1928414732724528</v>
      </c>
      <c r="AC720" s="55">
        <f t="shared" si="119"/>
        <v>-5.196855822722477</v>
      </c>
      <c r="AD720" s="55"/>
      <c r="AE720" s="55"/>
      <c r="AF720" s="55"/>
      <c r="AG720" s="55"/>
      <c r="AH720" s="55"/>
    </row>
    <row r="721" spans="1:34" ht="15.75">
      <c r="A721" s="39">
        <v>24.3065</v>
      </c>
      <c r="B721" s="39">
        <v>24.753</v>
      </c>
      <c r="C721" s="39">
        <v>719</v>
      </c>
      <c r="D721">
        <v>719</v>
      </c>
      <c r="E721" s="10">
        <v>1668000</v>
      </c>
      <c r="F721" s="10">
        <v>1142120</v>
      </c>
      <c r="G721" s="10">
        <v>16352</v>
      </c>
      <c r="H721" s="10">
        <v>47297</v>
      </c>
      <c r="I721" s="10">
        <v>167739</v>
      </c>
      <c r="J721" s="10">
        <v>27240</v>
      </c>
      <c r="K721">
        <v>719</v>
      </c>
      <c r="L721" s="10">
        <v>1812</v>
      </c>
      <c r="M721" s="10">
        <v>468453</v>
      </c>
      <c r="N721" s="10">
        <v>6172</v>
      </c>
      <c r="O721">
        <v>0.78942694633984345</v>
      </c>
      <c r="P721">
        <v>0.99583242978197695</v>
      </c>
      <c r="Q721">
        <v>-0.46126271630507204</v>
      </c>
      <c r="R721">
        <v>0.46126271630507204</v>
      </c>
      <c r="S721">
        <f t="shared" ref="S721:S784" si="120">LN(J721/I721)</f>
        <v>-1.8177227186499341</v>
      </c>
      <c r="T721" s="148">
        <f t="shared" si="115"/>
        <v>-1.7707016732267942</v>
      </c>
      <c r="U721">
        <f t="shared" ref="U721:U784" si="121">LN(M721/H721)</f>
        <v>2.2929889079360199</v>
      </c>
      <c r="V721" s="55">
        <f t="shared" si="116"/>
        <v>2.2404382165746668</v>
      </c>
      <c r="W721">
        <f t="shared" ref="W721:W784" si="122">LN(J721/G721)</f>
        <v>0.51033626726001768</v>
      </c>
      <c r="X721" s="55">
        <f t="shared" si="117"/>
        <v>0.496257575089945</v>
      </c>
      <c r="Y721" s="149">
        <v>24.753</v>
      </c>
      <c r="Z721" s="55">
        <f t="shared" si="113"/>
        <v>5.403985570693097E-3</v>
      </c>
      <c r="AA721" s="55">
        <f t="shared" si="118"/>
        <v>5.5442528298084567E-3</v>
      </c>
      <c r="AB721" s="55">
        <f t="shared" si="114"/>
        <v>-5.2206185290037563</v>
      </c>
      <c r="AC721" s="55">
        <f t="shared" si="119"/>
        <v>-5.1951906286220551</v>
      </c>
      <c r="AD721" s="55"/>
      <c r="AE721" s="55"/>
      <c r="AF721" s="55"/>
      <c r="AG721" s="55"/>
      <c r="AH721" s="55"/>
    </row>
    <row r="722" spans="1:34" ht="15.75">
      <c r="A722" s="39">
        <v>24.359769199999999</v>
      </c>
      <c r="B722" s="39">
        <v>24.804461499999999</v>
      </c>
      <c r="C722" s="39">
        <v>720</v>
      </c>
      <c r="D722">
        <v>720</v>
      </c>
      <c r="E722" s="10">
        <v>1631450</v>
      </c>
      <c r="F722" s="10">
        <v>1127530</v>
      </c>
      <c r="G722" s="10">
        <v>17038</v>
      </c>
      <c r="H722" s="10">
        <v>47053</v>
      </c>
      <c r="I722" s="10">
        <v>166051</v>
      </c>
      <c r="J722" s="10">
        <v>27889</v>
      </c>
      <c r="K722">
        <v>720</v>
      </c>
      <c r="L722" s="10">
        <v>1708</v>
      </c>
      <c r="M722" s="10">
        <v>438714</v>
      </c>
      <c r="N722" s="10">
        <v>6396</v>
      </c>
      <c r="O722">
        <v>0.77480855307539642</v>
      </c>
      <c r="P722">
        <v>0.96959417524699432</v>
      </c>
      <c r="Q722">
        <v>-0.44116870443755035</v>
      </c>
      <c r="R722">
        <v>0.4411687044375503</v>
      </c>
      <c r="S722">
        <f t="shared" si="120"/>
        <v>-1.7840626242356936</v>
      </c>
      <c r="T722" s="148">
        <f t="shared" si="115"/>
        <v>-1.8096441687304619</v>
      </c>
      <c r="U722">
        <f t="shared" si="121"/>
        <v>2.2325730941775856</v>
      </c>
      <c r="V722" s="55">
        <f t="shared" si="116"/>
        <v>2.244571146791229</v>
      </c>
      <c r="W722">
        <f t="shared" si="122"/>
        <v>0.4927862022307245</v>
      </c>
      <c r="X722" s="55">
        <f t="shared" si="117"/>
        <v>0.50337471188206073</v>
      </c>
      <c r="Y722" s="149">
        <v>24.804461499999999</v>
      </c>
      <c r="Z722" s="55">
        <f t="shared" si="113"/>
        <v>5.6725763394322101E-3</v>
      </c>
      <c r="AA722" s="55">
        <f t="shared" si="118"/>
        <v>5.5765886643483241E-3</v>
      </c>
      <c r="AB722" s="55">
        <f t="shared" si="114"/>
        <v>-5.1721118835899542</v>
      </c>
      <c r="AC722" s="55">
        <f t="shared" si="119"/>
        <v>-5.1894210709442179</v>
      </c>
      <c r="AD722" s="55"/>
      <c r="AE722" s="55"/>
      <c r="AF722" s="55"/>
      <c r="AG722" s="55"/>
      <c r="AH722" s="55"/>
    </row>
    <row r="723" spans="1:34" ht="15.75">
      <c r="A723" s="39">
        <v>24.413038499999999</v>
      </c>
      <c r="B723" s="39">
        <v>24.855923099999998</v>
      </c>
      <c r="C723" s="39">
        <v>721</v>
      </c>
      <c r="D723">
        <v>721</v>
      </c>
      <c r="E723" s="10">
        <v>1622870</v>
      </c>
      <c r="F723" s="10">
        <v>1109990</v>
      </c>
      <c r="G723" s="10">
        <v>16559</v>
      </c>
      <c r="H723" s="10">
        <v>47006</v>
      </c>
      <c r="I723" s="10">
        <v>170900</v>
      </c>
      <c r="J723" s="10">
        <v>27493</v>
      </c>
      <c r="K723">
        <v>721</v>
      </c>
      <c r="L723" s="10">
        <v>2176</v>
      </c>
      <c r="M723" s="10">
        <v>427702</v>
      </c>
      <c r="N723" s="10">
        <v>6275</v>
      </c>
      <c r="O723">
        <v>0.79351993064887039</v>
      </c>
      <c r="P723">
        <v>0.95898798484308267</v>
      </c>
      <c r="Q723">
        <v>-0.45311919010112672</v>
      </c>
      <c r="R723">
        <v>0.45311919010112667</v>
      </c>
      <c r="S723">
        <f t="shared" si="120"/>
        <v>-1.8271471633057579</v>
      </c>
      <c r="T723" s="148">
        <f t="shared" si="115"/>
        <v>-1.8117856689634779</v>
      </c>
      <c r="U723">
        <f t="shared" si="121"/>
        <v>2.208151438260082</v>
      </c>
      <c r="V723" s="55">
        <f t="shared" si="116"/>
        <v>2.2295028092663474</v>
      </c>
      <c r="W723">
        <f t="shared" si="122"/>
        <v>0.50700166615544007</v>
      </c>
      <c r="X723" s="55">
        <f t="shared" si="117"/>
        <v>0.50732399460173727</v>
      </c>
      <c r="Y723" s="149">
        <v>24.855923099999998</v>
      </c>
      <c r="Z723" s="55">
        <f t="shared" si="113"/>
        <v>5.6532040829196661E-3</v>
      </c>
      <c r="AA723" s="55">
        <f t="shared" si="118"/>
        <v>5.6182218251610372E-3</v>
      </c>
      <c r="AB723" s="55">
        <f t="shared" si="114"/>
        <v>-5.1755328002389422</v>
      </c>
      <c r="AC723" s="55">
        <f t="shared" si="119"/>
        <v>-5.181804595161009</v>
      </c>
      <c r="AD723" s="55"/>
      <c r="AE723" s="55"/>
      <c r="AF723" s="55"/>
      <c r="AG723" s="55"/>
      <c r="AH723" s="55"/>
    </row>
    <row r="724" spans="1:34" ht="15.75">
      <c r="A724" s="39">
        <v>24.466307700000002</v>
      </c>
      <c r="B724" s="39">
        <v>24.9073846</v>
      </c>
      <c r="C724" s="39">
        <v>722</v>
      </c>
      <c r="D724">
        <v>722</v>
      </c>
      <c r="E724" s="10">
        <v>1615790</v>
      </c>
      <c r="F724" s="10">
        <v>1112340</v>
      </c>
      <c r="G724" s="10">
        <v>16090</v>
      </c>
      <c r="H724" s="10">
        <v>46022</v>
      </c>
      <c r="I724" s="10">
        <v>168095</v>
      </c>
      <c r="J724" s="10">
        <v>27123</v>
      </c>
      <c r="K724">
        <v>722</v>
      </c>
      <c r="L724" s="10">
        <v>1977</v>
      </c>
      <c r="M724" s="10">
        <v>435678</v>
      </c>
      <c r="N724" s="10">
        <v>6150</v>
      </c>
      <c r="O724">
        <v>0.79221707154242371</v>
      </c>
      <c r="P724">
        <v>0.97620014226644147</v>
      </c>
      <c r="Q724">
        <v>-0.45640944398609812</v>
      </c>
      <c r="R724">
        <v>0.45640944398609812</v>
      </c>
      <c r="S724">
        <f t="shared" si="120"/>
        <v>-1.8241472193489823</v>
      </c>
      <c r="T724" s="148">
        <f t="shared" si="115"/>
        <v>-1.8131474875956002</v>
      </c>
      <c r="U724">
        <f t="shared" si="121"/>
        <v>2.2477838953613745</v>
      </c>
      <c r="V724" s="55">
        <f t="shared" si="116"/>
        <v>2.2378177489240341</v>
      </c>
      <c r="W724">
        <f t="shared" si="122"/>
        <v>0.52218411541904719</v>
      </c>
      <c r="X724" s="55">
        <f t="shared" si="117"/>
        <v>0.52901570869850867</v>
      </c>
      <c r="Y724" s="149">
        <v>24.9073846</v>
      </c>
      <c r="Z724" s="55">
        <f t="shared" si="113"/>
        <v>5.5288850531312371E-3</v>
      </c>
      <c r="AA724" s="55">
        <f t="shared" si="118"/>
        <v>5.4715231039955603E-3</v>
      </c>
      <c r="AB724" s="55">
        <f t="shared" si="114"/>
        <v>-5.1977691016541296</v>
      </c>
      <c r="AC724" s="55">
        <f t="shared" si="119"/>
        <v>-5.2087239313951352</v>
      </c>
      <c r="AD724" s="55"/>
      <c r="AE724" s="55"/>
      <c r="AF724" s="55"/>
      <c r="AG724" s="55"/>
      <c r="AH724" s="55"/>
    </row>
    <row r="725" spans="1:34" ht="15.75">
      <c r="A725" s="39">
        <v>24.519576900000001</v>
      </c>
      <c r="B725" s="39">
        <v>24.9588462</v>
      </c>
      <c r="C725" s="39">
        <v>723</v>
      </c>
      <c r="D725">
        <v>723</v>
      </c>
      <c r="E725" s="10">
        <v>1608590</v>
      </c>
      <c r="F725" s="10">
        <v>1118590</v>
      </c>
      <c r="G725" s="10">
        <v>15403</v>
      </c>
      <c r="H725" s="10">
        <v>46509</v>
      </c>
      <c r="I725" s="10">
        <v>160866</v>
      </c>
      <c r="J725" s="10">
        <v>26908</v>
      </c>
      <c r="K725">
        <v>723</v>
      </c>
      <c r="L725" s="10">
        <v>2091</v>
      </c>
      <c r="M725" s="10">
        <v>444595</v>
      </c>
      <c r="N725" s="10">
        <v>5853</v>
      </c>
      <c r="O725">
        <v>0.77658284402724753</v>
      </c>
      <c r="P725">
        <v>0.9804275724790702</v>
      </c>
      <c r="Q725">
        <v>-0.47993168633480421</v>
      </c>
      <c r="R725">
        <v>0.47993168633480421</v>
      </c>
      <c r="S725">
        <f t="shared" si="120"/>
        <v>-1.7881480801320602</v>
      </c>
      <c r="T725" s="148">
        <f t="shared" si="115"/>
        <v>-1.809568480633964</v>
      </c>
      <c r="U725">
        <f t="shared" si="121"/>
        <v>2.2575179131506462</v>
      </c>
      <c r="V725" s="55">
        <f t="shared" si="116"/>
        <v>2.2604009400705425</v>
      </c>
      <c r="W725">
        <f t="shared" si="122"/>
        <v>0.55786134452103875</v>
      </c>
      <c r="X725" s="55">
        <f t="shared" si="117"/>
        <v>0.55154674307588036</v>
      </c>
      <c r="Y725" s="149">
        <v>24.9588462</v>
      </c>
      <c r="Z725" s="55">
        <f t="shared" si="113"/>
        <v>5.2324801759357767E-3</v>
      </c>
      <c r="AA725" s="55">
        <f t="shared" si="118"/>
        <v>5.3656992427058648E-3</v>
      </c>
      <c r="AB725" s="55">
        <f t="shared" si="114"/>
        <v>-5.2528698922923329</v>
      </c>
      <c r="AC725" s="55">
        <f t="shared" si="119"/>
        <v>-5.2279893656447429</v>
      </c>
      <c r="AD725" s="55"/>
      <c r="AE725" s="55"/>
      <c r="AF725" s="55"/>
      <c r="AG725" s="55"/>
      <c r="AH725" s="55"/>
    </row>
    <row r="726" spans="1:34" ht="15.75">
      <c r="A726" s="39">
        <v>24.572846200000001</v>
      </c>
      <c r="B726" s="39">
        <v>25.010307699999998</v>
      </c>
      <c r="C726" s="39">
        <v>724</v>
      </c>
      <c r="D726">
        <v>724</v>
      </c>
      <c r="E726" s="10">
        <v>1618730</v>
      </c>
      <c r="F726" s="10">
        <v>1105940</v>
      </c>
      <c r="G726" s="10">
        <v>15278</v>
      </c>
      <c r="H726" s="10">
        <v>46086</v>
      </c>
      <c r="I726" s="10">
        <v>166904</v>
      </c>
      <c r="J726" s="10">
        <v>27140</v>
      </c>
      <c r="K726">
        <v>724</v>
      </c>
      <c r="L726" s="10">
        <v>1502</v>
      </c>
      <c r="M726" s="10">
        <v>448725</v>
      </c>
      <c r="N726" s="10">
        <v>5901</v>
      </c>
      <c r="O726">
        <v>0.78885690172647482</v>
      </c>
      <c r="P726">
        <v>0.9884112507391668</v>
      </c>
      <c r="Q726">
        <v>-0.47950250980291875</v>
      </c>
      <c r="R726">
        <v>0.4795025098029187</v>
      </c>
      <c r="S726">
        <f t="shared" si="120"/>
        <v>-1.8164101424208499</v>
      </c>
      <c r="T726" s="148">
        <f t="shared" si="115"/>
        <v>-1.8084934851020502</v>
      </c>
      <c r="U726">
        <f t="shared" si="121"/>
        <v>2.2759010116996055</v>
      </c>
      <c r="V726" s="55">
        <f t="shared" si="116"/>
        <v>2.2498601064478776</v>
      </c>
      <c r="W726">
        <f t="shared" si="122"/>
        <v>0.57459476928755515</v>
      </c>
      <c r="X726" s="55">
        <f t="shared" si="117"/>
        <v>0.56061429753596015</v>
      </c>
      <c r="Y726" s="149">
        <v>25.010307699999998</v>
      </c>
      <c r="Z726" s="55">
        <f t="shared" si="113"/>
        <v>5.3357324990505814E-3</v>
      </c>
      <c r="AA726" s="55">
        <f t="shared" si="118"/>
        <v>5.2889378944283834E-3</v>
      </c>
      <c r="AB726" s="55">
        <f t="shared" si="114"/>
        <v>-5.233329102987768</v>
      </c>
      <c r="AC726" s="55">
        <f t="shared" si="119"/>
        <v>-5.242170483082087</v>
      </c>
      <c r="AD726" s="55"/>
      <c r="AE726" s="55"/>
      <c r="AF726" s="55"/>
      <c r="AG726" s="55"/>
      <c r="AH726" s="55"/>
    </row>
    <row r="727" spans="1:34" ht="15.75">
      <c r="A727" s="39">
        <v>24.6261154</v>
      </c>
      <c r="B727" s="39">
        <v>25.061769200000001</v>
      </c>
      <c r="C727" s="39">
        <v>725</v>
      </c>
      <c r="D727">
        <v>725</v>
      </c>
      <c r="E727" s="10">
        <v>1589780</v>
      </c>
      <c r="F727" s="10">
        <v>1092930</v>
      </c>
      <c r="G727" s="10">
        <v>15750</v>
      </c>
      <c r="H727" s="10">
        <v>46363</v>
      </c>
      <c r="I727" s="10">
        <v>168536</v>
      </c>
      <c r="J727" s="10">
        <v>27282</v>
      </c>
      <c r="K727">
        <v>725</v>
      </c>
      <c r="L727" s="10">
        <v>1920</v>
      </c>
      <c r="M727" s="10">
        <v>425244</v>
      </c>
      <c r="N727" s="10">
        <v>5791</v>
      </c>
      <c r="O727">
        <v>0.79081647765968111</v>
      </c>
      <c r="P727">
        <v>0.96246666463549102</v>
      </c>
      <c r="Q727">
        <v>-0.46889097186852985</v>
      </c>
      <c r="R727">
        <v>0.4688909718685299</v>
      </c>
      <c r="S727">
        <f t="shared" si="120"/>
        <v>-1.8209222327532406</v>
      </c>
      <c r="T727" s="148">
        <f t="shared" si="115"/>
        <v>-1.8325102450178437</v>
      </c>
      <c r="U727">
        <f t="shared" si="121"/>
        <v>2.2161613944933811</v>
      </c>
      <c r="V727" s="55">
        <f t="shared" si="116"/>
        <v>2.2256002254444556</v>
      </c>
      <c r="W727">
        <f t="shared" si="122"/>
        <v>0.54938677879928655</v>
      </c>
      <c r="X727" s="55">
        <f t="shared" si="117"/>
        <v>0.56082900204675079</v>
      </c>
      <c r="Y727" s="149">
        <v>25.061769200000001</v>
      </c>
      <c r="Z727" s="55">
        <f t="shared" si="113"/>
        <v>5.2986010082987931E-3</v>
      </c>
      <c r="AA727" s="55">
        <f t="shared" si="118"/>
        <v>5.2807092119570506E-3</v>
      </c>
      <c r="AB727" s="55">
        <f t="shared" si="114"/>
        <v>-5.2403124539661583</v>
      </c>
      <c r="AC727" s="55">
        <f t="shared" si="119"/>
        <v>-5.24374682055495</v>
      </c>
      <c r="AD727" s="55"/>
      <c r="AE727" s="55"/>
      <c r="AF727" s="55"/>
      <c r="AG727" s="55"/>
      <c r="AH727" s="55"/>
    </row>
    <row r="728" spans="1:34" ht="15.75">
      <c r="A728" s="39">
        <v>24.679384599999999</v>
      </c>
      <c r="B728" s="39">
        <v>25.1132308</v>
      </c>
      <c r="C728" s="39">
        <v>726</v>
      </c>
      <c r="D728">
        <v>726</v>
      </c>
      <c r="E728" s="10">
        <v>1580030</v>
      </c>
      <c r="F728" s="10">
        <v>1081840</v>
      </c>
      <c r="G728" s="10">
        <v>15448</v>
      </c>
      <c r="H728" s="10">
        <v>46249</v>
      </c>
      <c r="I728" s="10">
        <v>173501</v>
      </c>
      <c r="J728" s="10">
        <v>27004</v>
      </c>
      <c r="K728">
        <v>726</v>
      </c>
      <c r="L728" s="10">
        <v>1707</v>
      </c>
      <c r="M728" s="10">
        <v>411076</v>
      </c>
      <c r="N728" s="10">
        <v>5634</v>
      </c>
      <c r="O728">
        <v>0.80787388294112039</v>
      </c>
      <c r="P728">
        <v>0.94881977512482285</v>
      </c>
      <c r="Q728">
        <v>-0.47623008605123646</v>
      </c>
      <c r="R728">
        <v>0.47623008605123646</v>
      </c>
      <c r="S728">
        <f t="shared" si="120"/>
        <v>-1.8601983598794407</v>
      </c>
      <c r="T728" s="148">
        <f t="shared" si="115"/>
        <v>-1.8493675821884563</v>
      </c>
      <c r="U728">
        <f t="shared" si="121"/>
        <v>2.1847382701403797</v>
      </c>
      <c r="V728" s="55">
        <f t="shared" si="116"/>
        <v>2.1930868933521026</v>
      </c>
      <c r="W728">
        <f t="shared" si="122"/>
        <v>0.55850545805341067</v>
      </c>
      <c r="X728" s="55">
        <f t="shared" si="117"/>
        <v>0.5652618770120319</v>
      </c>
      <c r="Y728" s="149">
        <v>25.1132308</v>
      </c>
      <c r="Z728" s="55">
        <f t="shared" si="113"/>
        <v>5.2077941285217774E-3</v>
      </c>
      <c r="AA728" s="55">
        <f t="shared" si="118"/>
        <v>5.2720569249557663E-3</v>
      </c>
      <c r="AB728" s="55">
        <f t="shared" si="114"/>
        <v>-5.2575989047109237</v>
      </c>
      <c r="AC728" s="55">
        <f t="shared" si="119"/>
        <v>-5.2453723520066466</v>
      </c>
      <c r="AD728" s="55"/>
      <c r="AE728" s="55"/>
      <c r="AF728" s="55"/>
      <c r="AG728" s="55"/>
      <c r="AH728" s="55"/>
    </row>
    <row r="729" spans="1:34" ht="15.75">
      <c r="A729" s="39">
        <v>24.732653899999999</v>
      </c>
      <c r="B729" s="39">
        <v>25.164692299999999</v>
      </c>
      <c r="C729" s="39">
        <v>727</v>
      </c>
      <c r="D729">
        <v>727</v>
      </c>
      <c r="E729" s="10">
        <v>1556620</v>
      </c>
      <c r="F729" s="10">
        <v>1075940</v>
      </c>
      <c r="G729" s="10">
        <v>14574</v>
      </c>
      <c r="H729" s="10">
        <v>45790</v>
      </c>
      <c r="I729" s="10">
        <v>169714</v>
      </c>
      <c r="J729" s="10">
        <v>26236</v>
      </c>
      <c r="K729">
        <v>727</v>
      </c>
      <c r="L729" s="10">
        <v>2240</v>
      </c>
      <c r="M729" s="10">
        <v>404409</v>
      </c>
      <c r="N729" s="10">
        <v>5713</v>
      </c>
      <c r="O729">
        <v>0.8108200472648136</v>
      </c>
      <c r="P729">
        <v>0.94605016859117685</v>
      </c>
      <c r="Q729">
        <v>-0.4971918783389232</v>
      </c>
      <c r="R729">
        <v>0.49719187833892314</v>
      </c>
      <c r="S729">
        <f t="shared" si="120"/>
        <v>-1.8669821539326874</v>
      </c>
      <c r="T729" s="148">
        <f t="shared" si="115"/>
        <v>-1.8855036514781673</v>
      </c>
      <c r="U729">
        <f t="shared" si="121"/>
        <v>2.1783610154225475</v>
      </c>
      <c r="V729" s="55">
        <f t="shared" si="116"/>
        <v>2.1722699198864697</v>
      </c>
      <c r="W729">
        <f t="shared" si="122"/>
        <v>0.58789339418339859</v>
      </c>
      <c r="X729" s="55">
        <f t="shared" si="117"/>
        <v>0.58008597134024664</v>
      </c>
      <c r="Y729" s="149">
        <v>25.164692299999999</v>
      </c>
      <c r="Z729" s="55">
        <f t="shared" si="113"/>
        <v>5.309775638046731E-3</v>
      </c>
      <c r="AA729" s="55">
        <f t="shared" si="118"/>
        <v>5.2966534421302752E-3</v>
      </c>
      <c r="AB729" s="55">
        <f t="shared" si="114"/>
        <v>-5.238205697342857</v>
      </c>
      <c r="AC729" s="55">
        <f t="shared" si="119"/>
        <v>-5.2407623007155939</v>
      </c>
      <c r="AD729" s="55"/>
      <c r="AE729" s="55"/>
      <c r="AF729" s="55"/>
      <c r="AG729" s="55"/>
      <c r="AH729" s="55"/>
    </row>
    <row r="730" spans="1:34" ht="15.75">
      <c r="A730" s="39">
        <v>24.785923100000002</v>
      </c>
      <c r="B730" s="39">
        <v>25.216153899999998</v>
      </c>
      <c r="C730" s="39">
        <v>728</v>
      </c>
      <c r="D730">
        <v>728</v>
      </c>
      <c r="E730" s="10">
        <v>1569660</v>
      </c>
      <c r="F730" s="10">
        <v>1071590</v>
      </c>
      <c r="G730" s="10">
        <v>14685</v>
      </c>
      <c r="H730" s="10">
        <v>46758</v>
      </c>
      <c r="I730" s="10">
        <v>183097</v>
      </c>
      <c r="J730" s="10">
        <v>26594</v>
      </c>
      <c r="K730">
        <v>728</v>
      </c>
      <c r="L730" s="10">
        <v>2557</v>
      </c>
      <c r="M730" s="10">
        <v>402903</v>
      </c>
      <c r="N730" s="10">
        <v>5757</v>
      </c>
      <c r="O730">
        <v>0.83789756413026628</v>
      </c>
      <c r="P730">
        <v>0.93534457451733877</v>
      </c>
      <c r="Q730">
        <v>-0.50298197576400727</v>
      </c>
      <c r="R730">
        <v>0.50298197576400727</v>
      </c>
      <c r="S730">
        <f t="shared" si="120"/>
        <v>-1.9293304406223735</v>
      </c>
      <c r="T730" s="148">
        <f t="shared" si="115"/>
        <v>-1.903772777348868</v>
      </c>
      <c r="U730">
        <f t="shared" si="121"/>
        <v>2.1537104740964828</v>
      </c>
      <c r="V730" s="55">
        <f t="shared" si="116"/>
        <v>2.1736802705151388</v>
      </c>
      <c r="W730">
        <f t="shared" si="122"/>
        <v>0.59385906178393078</v>
      </c>
      <c r="X730" s="55">
        <f t="shared" si="117"/>
        <v>0.59279472053049265</v>
      </c>
      <c r="Y730" s="149">
        <v>25.216153899999998</v>
      </c>
      <c r="Z730" s="55">
        <f t="shared" si="113"/>
        <v>5.3723905598223199E-3</v>
      </c>
      <c r="AA730" s="55">
        <f t="shared" si="118"/>
        <v>5.2322205540638348E-3</v>
      </c>
      <c r="AB730" s="55">
        <f t="shared" si="114"/>
        <v>-5.2264823000930001</v>
      </c>
      <c r="AC730" s="55">
        <f t="shared" si="119"/>
        <v>-5.2533701551282332</v>
      </c>
      <c r="AD730" s="55"/>
      <c r="AE730" s="55"/>
      <c r="AF730" s="55"/>
      <c r="AG730" s="55"/>
      <c r="AH730" s="55"/>
    </row>
    <row r="731" spans="1:34" ht="15.75">
      <c r="A731" s="39">
        <v>24.839192300000001</v>
      </c>
      <c r="B731" s="39">
        <v>25.2676154</v>
      </c>
      <c r="C731" s="39">
        <v>729</v>
      </c>
      <c r="D731">
        <v>729</v>
      </c>
      <c r="E731" s="10">
        <v>1569500</v>
      </c>
      <c r="F731" s="10">
        <v>1069300</v>
      </c>
      <c r="G731" s="10">
        <v>14445</v>
      </c>
      <c r="H731" s="10">
        <v>46181</v>
      </c>
      <c r="I731" s="10">
        <v>178036</v>
      </c>
      <c r="J731" s="10">
        <v>26232</v>
      </c>
      <c r="K731">
        <v>729</v>
      </c>
      <c r="L731" s="10">
        <v>2416</v>
      </c>
      <c r="M731" s="10">
        <v>412212</v>
      </c>
      <c r="N731" s="10">
        <v>5362</v>
      </c>
      <c r="O731">
        <v>0.83167642460564439</v>
      </c>
      <c r="P731">
        <v>0.95065729761156148</v>
      </c>
      <c r="Q731">
        <v>-0.50474578668374337</v>
      </c>
      <c r="R731">
        <v>0.50474578668374337</v>
      </c>
      <c r="S731">
        <f t="shared" si="120"/>
        <v>-1.9150057374915432</v>
      </c>
      <c r="T731" s="148">
        <f t="shared" si="115"/>
        <v>-1.8503888394033821</v>
      </c>
      <c r="U731">
        <f t="shared" si="121"/>
        <v>2.1889693220263857</v>
      </c>
      <c r="V731" s="55">
        <f t="shared" si="116"/>
        <v>2.1688100134331649</v>
      </c>
      <c r="W731">
        <f t="shared" si="122"/>
        <v>0.59663170562414858</v>
      </c>
      <c r="X731" s="55">
        <f t="shared" si="117"/>
        <v>0.60042632946414443</v>
      </c>
      <c r="Y731" s="149">
        <v>25.2676154</v>
      </c>
      <c r="Z731" s="55">
        <f t="shared" si="113"/>
        <v>5.0144954643224536E-3</v>
      </c>
      <c r="AA731" s="55">
        <f t="shared" si="118"/>
        <v>5.1630687636096901E-3</v>
      </c>
      <c r="AB731" s="55">
        <f t="shared" si="114"/>
        <v>-5.2954224679488435</v>
      </c>
      <c r="AC731" s="55">
        <f t="shared" si="119"/>
        <v>-5.2666548855007278</v>
      </c>
      <c r="AD731" s="55"/>
      <c r="AE731" s="55"/>
      <c r="AF731" s="55"/>
      <c r="AG731" s="55"/>
      <c r="AH731" s="55"/>
    </row>
    <row r="732" spans="1:34" ht="15.75">
      <c r="A732" s="39">
        <v>24.8924615</v>
      </c>
      <c r="B732" s="39">
        <v>25.319076899999999</v>
      </c>
      <c r="C732" s="39">
        <v>730</v>
      </c>
      <c r="D732">
        <v>730</v>
      </c>
      <c r="E732" s="10">
        <v>1509620</v>
      </c>
      <c r="F732" s="10">
        <v>1058930</v>
      </c>
      <c r="G732" s="10">
        <v>14894</v>
      </c>
      <c r="H732" s="10">
        <v>45325</v>
      </c>
      <c r="I732" s="10">
        <v>151196</v>
      </c>
      <c r="J732" s="10">
        <v>27433</v>
      </c>
      <c r="K732">
        <v>730</v>
      </c>
      <c r="L732" s="10">
        <v>2016</v>
      </c>
      <c r="M732" s="10">
        <v>394496</v>
      </c>
      <c r="N732" s="10">
        <v>5403</v>
      </c>
      <c r="O732">
        <v>0.74126699824884312</v>
      </c>
      <c r="P732">
        <v>0.93970479126272255</v>
      </c>
      <c r="Q732">
        <v>-0.48332646326019574</v>
      </c>
      <c r="R732">
        <v>0.48332646326019574</v>
      </c>
      <c r="S732">
        <f t="shared" si="120"/>
        <v>-1.7068303400962295</v>
      </c>
      <c r="T732" s="148">
        <f t="shared" si="115"/>
        <v>-1.7330156058429669</v>
      </c>
      <c r="U732">
        <f t="shared" si="121"/>
        <v>2.1637502441766263</v>
      </c>
      <c r="V732" s="55">
        <f t="shared" si="116"/>
        <v>2.158170940993708</v>
      </c>
      <c r="W732">
        <f t="shared" si="122"/>
        <v>0.61078822098435392</v>
      </c>
      <c r="X732" s="55">
        <f t="shared" si="117"/>
        <v>0.60693983311681687</v>
      </c>
      <c r="Y732" s="149">
        <v>25.319076899999999</v>
      </c>
      <c r="Z732" s="55">
        <f t="shared" si="113"/>
        <v>5.1023202666842949E-3</v>
      </c>
      <c r="AA732" s="55">
        <f t="shared" si="118"/>
        <v>5.171353498056537E-3</v>
      </c>
      <c r="AB732" s="55">
        <f t="shared" si="114"/>
        <v>-5.2780598884603416</v>
      </c>
      <c r="AC732" s="55">
        <f t="shared" si="119"/>
        <v>-5.2651163470253799</v>
      </c>
      <c r="AD732" s="55"/>
      <c r="AE732" s="55"/>
      <c r="AF732" s="55"/>
      <c r="AG732" s="55"/>
      <c r="AH732" s="55"/>
    </row>
    <row r="733" spans="1:34" ht="15.75">
      <c r="A733" s="39">
        <v>24.9457308</v>
      </c>
      <c r="B733" s="39">
        <v>25.370538499999999</v>
      </c>
      <c r="C733" s="39">
        <v>731</v>
      </c>
      <c r="D733">
        <v>731</v>
      </c>
      <c r="E733" s="10">
        <v>1484520</v>
      </c>
      <c r="F733" s="10">
        <v>1059800</v>
      </c>
      <c r="G733" s="10">
        <v>15388</v>
      </c>
      <c r="H733" s="10">
        <v>45725</v>
      </c>
      <c r="I733" s="10">
        <v>137579</v>
      </c>
      <c r="J733" s="10">
        <v>28417</v>
      </c>
      <c r="K733">
        <v>731</v>
      </c>
      <c r="L733" s="10">
        <v>1772</v>
      </c>
      <c r="M733" s="10">
        <v>381625</v>
      </c>
      <c r="N733" s="10">
        <v>5720</v>
      </c>
      <c r="O733">
        <v>0.68497392115497646</v>
      </c>
      <c r="P733">
        <v>0.92148310315826376</v>
      </c>
      <c r="Q733">
        <v>-0.47297153651367663</v>
      </c>
      <c r="R733">
        <v>0.47297153651367663</v>
      </c>
      <c r="S733">
        <f t="shared" si="120"/>
        <v>-1.5772107399411275</v>
      </c>
      <c r="T733" s="148">
        <f t="shared" si="115"/>
        <v>-1.642450873769622</v>
      </c>
      <c r="U733">
        <f t="shared" si="121"/>
        <v>2.1217932567781124</v>
      </c>
      <c r="V733" s="55">
        <f t="shared" si="116"/>
        <v>2.1651740673134476</v>
      </c>
      <c r="W733">
        <f t="shared" si="122"/>
        <v>0.61339957274194812</v>
      </c>
      <c r="X733" s="55">
        <f t="shared" si="117"/>
        <v>0.59749703266908749</v>
      </c>
      <c r="Y733" s="149">
        <v>25.370538499999999</v>
      </c>
      <c r="Z733" s="55">
        <f t="shared" si="113"/>
        <v>5.3972447631628609E-3</v>
      </c>
      <c r="AA733" s="55">
        <f t="shared" si="118"/>
        <v>5.2067730263476346E-3</v>
      </c>
      <c r="AB733" s="55">
        <f t="shared" si="114"/>
        <v>-5.2218666846669555</v>
      </c>
      <c r="AC733" s="55">
        <f t="shared" si="119"/>
        <v>-5.2581267162228018</v>
      </c>
      <c r="AD733" s="55"/>
      <c r="AE733" s="55"/>
      <c r="AF733" s="55"/>
      <c r="AG733" s="55"/>
      <c r="AH733" s="55"/>
    </row>
    <row r="734" spans="1:34" ht="15.75">
      <c r="A734" s="39">
        <v>24.998999999999999</v>
      </c>
      <c r="B734" s="39">
        <v>25.422000000000001</v>
      </c>
      <c r="C734" s="39">
        <v>732</v>
      </c>
      <c r="D734">
        <v>732</v>
      </c>
      <c r="E734" s="10">
        <v>1512260</v>
      </c>
      <c r="F734" s="10">
        <v>1073670</v>
      </c>
      <c r="G734" s="10">
        <v>15554</v>
      </c>
      <c r="H734" s="10">
        <v>44156</v>
      </c>
      <c r="I734" s="10">
        <v>142015</v>
      </c>
      <c r="J734" s="10">
        <v>27457</v>
      </c>
      <c r="K734">
        <v>732</v>
      </c>
      <c r="L734" s="10">
        <v>1537</v>
      </c>
      <c r="M734" s="10">
        <v>402505</v>
      </c>
      <c r="N734" s="10">
        <v>5498</v>
      </c>
      <c r="O734">
        <v>0.71368113442214398</v>
      </c>
      <c r="P734">
        <v>0.95978155496176454</v>
      </c>
      <c r="Q734">
        <v>-0.45314763005201641</v>
      </c>
      <c r="R734">
        <v>0.45314763005201647</v>
      </c>
      <c r="S734">
        <f t="shared" si="120"/>
        <v>-1.6433115412715085</v>
      </c>
      <c r="T734" s="148">
        <f t="shared" si="115"/>
        <v>-1.667679430666908</v>
      </c>
      <c r="U734">
        <f t="shared" si="121"/>
        <v>2.2099787009856042</v>
      </c>
      <c r="V734" s="55">
        <f t="shared" si="116"/>
        <v>2.1872758283604177</v>
      </c>
      <c r="W734">
        <f t="shared" si="122"/>
        <v>0.56830330428096043</v>
      </c>
      <c r="X734" s="55">
        <f t="shared" si="117"/>
        <v>0.57572581600277151</v>
      </c>
      <c r="Y734" s="149">
        <v>25.422000000000001</v>
      </c>
      <c r="Z734" s="55">
        <f t="shared" si="113"/>
        <v>5.120754049195749E-3</v>
      </c>
      <c r="AA734" s="55">
        <f t="shared" si="118"/>
        <v>5.222604694616933E-3</v>
      </c>
      <c r="AB734" s="55">
        <f t="shared" si="114"/>
        <v>-5.2744535755411084</v>
      </c>
      <c r="AC734" s="55">
        <f t="shared" si="119"/>
        <v>-5.2550382315903512</v>
      </c>
      <c r="AD734" s="55"/>
      <c r="AE734" s="55"/>
      <c r="AF734" s="55"/>
      <c r="AG734" s="55"/>
      <c r="AH734" s="55"/>
    </row>
    <row r="735" spans="1:34" ht="15.75">
      <c r="A735" s="39">
        <v>25.052269200000001</v>
      </c>
      <c r="B735" s="39">
        <v>25.473461499999999</v>
      </c>
      <c r="C735" s="39">
        <v>733</v>
      </c>
      <c r="D735">
        <v>733</v>
      </c>
      <c r="E735" s="10">
        <v>1610560</v>
      </c>
      <c r="F735" s="10">
        <v>1107030</v>
      </c>
      <c r="G735" s="10">
        <v>16451</v>
      </c>
      <c r="H735" s="10">
        <v>47060</v>
      </c>
      <c r="I735" s="10">
        <v>168743</v>
      </c>
      <c r="J735" s="10">
        <v>28385</v>
      </c>
      <c r="K735">
        <v>733</v>
      </c>
      <c r="L735" s="10">
        <v>1912</v>
      </c>
      <c r="M735" s="10">
        <v>437676</v>
      </c>
      <c r="N735" s="10">
        <v>5701</v>
      </c>
      <c r="O735">
        <v>0.77413686738946386</v>
      </c>
      <c r="P735">
        <v>0.96850080985185194</v>
      </c>
      <c r="Q735">
        <v>-0.45645962047607636</v>
      </c>
      <c r="R735">
        <v>0.45645962047607641</v>
      </c>
      <c r="S735">
        <f t="shared" si="120"/>
        <v>-1.7825160107880877</v>
      </c>
      <c r="T735" s="148">
        <f t="shared" si="115"/>
        <v>-1.7507842369863653</v>
      </c>
      <c r="U735">
        <f t="shared" si="121"/>
        <v>2.2300555273175351</v>
      </c>
      <c r="V735" s="55">
        <f t="shared" si="116"/>
        <v>2.2112108074486589</v>
      </c>
      <c r="W735">
        <f t="shared" si="122"/>
        <v>0.54547457098540619</v>
      </c>
      <c r="X735" s="55">
        <f t="shared" si="117"/>
        <v>0.56385671664528514</v>
      </c>
      <c r="Y735" s="149">
        <v>25.473461499999999</v>
      </c>
      <c r="Z735" s="55">
        <f t="shared" si="113"/>
        <v>5.149815271492191E-3</v>
      </c>
      <c r="AA735" s="55">
        <f t="shared" si="118"/>
        <v>5.1285444984744532E-3</v>
      </c>
      <c r="AB735" s="55">
        <f t="shared" si="114"/>
        <v>-5.2687944345629889</v>
      </c>
      <c r="AC735" s="55">
        <f t="shared" si="119"/>
        <v>-5.2729377811270046</v>
      </c>
      <c r="AD735" s="55"/>
      <c r="AE735" s="55"/>
      <c r="AF735" s="55"/>
      <c r="AG735" s="55"/>
      <c r="AH735" s="55"/>
    </row>
    <row r="736" spans="1:34" ht="15.75">
      <c r="A736" s="39">
        <v>25.105538500000002</v>
      </c>
      <c r="B736" s="39">
        <v>25.524923099999999</v>
      </c>
      <c r="C736" s="39">
        <v>734</v>
      </c>
      <c r="D736">
        <v>734</v>
      </c>
      <c r="E736" s="10">
        <v>1624240</v>
      </c>
      <c r="F736" s="10">
        <v>1110250</v>
      </c>
      <c r="G736" s="10">
        <v>15888</v>
      </c>
      <c r="H736" s="10">
        <v>48345</v>
      </c>
      <c r="I736" s="10">
        <v>175894</v>
      </c>
      <c r="J736" s="10">
        <v>28314</v>
      </c>
      <c r="K736">
        <v>734</v>
      </c>
      <c r="L736" s="10">
        <v>1697</v>
      </c>
      <c r="M736" s="10">
        <v>433530</v>
      </c>
      <c r="N736" s="10">
        <v>5679</v>
      </c>
      <c r="O736">
        <v>0.79324979756751324</v>
      </c>
      <c r="P736">
        <v>0.95266759118574318</v>
      </c>
      <c r="Q736">
        <v>-0.48328233341670979</v>
      </c>
      <c r="R736">
        <v>0.48328233341670979</v>
      </c>
      <c r="S736">
        <f t="shared" si="120"/>
        <v>-1.8265251588995004</v>
      </c>
      <c r="T736" s="148">
        <f t="shared" si="115"/>
        <v>-1.7726834110213006</v>
      </c>
      <c r="U736">
        <f t="shared" si="121"/>
        <v>2.193598194042838</v>
      </c>
      <c r="V736" s="55">
        <f t="shared" si="116"/>
        <v>2.1925668437345931</v>
      </c>
      <c r="W736">
        <f t="shared" si="122"/>
        <v>0.57779227466948868</v>
      </c>
      <c r="X736" s="55">
        <f t="shared" si="117"/>
        <v>0.56817113884184345</v>
      </c>
      <c r="Y736" s="149">
        <v>25.524923099999999</v>
      </c>
      <c r="Z736" s="55">
        <f t="shared" si="113"/>
        <v>5.1150641747354196E-3</v>
      </c>
      <c r="AA736" s="55">
        <f t="shared" si="118"/>
        <v>5.2121262050071658E-3</v>
      </c>
      <c r="AB736" s="55">
        <f t="shared" si="114"/>
        <v>-5.2755653332769166</v>
      </c>
      <c r="AC736" s="55">
        <f t="shared" si="119"/>
        <v>-5.2570026674804522</v>
      </c>
      <c r="AD736" s="55"/>
      <c r="AE736" s="55"/>
      <c r="AF736" s="55"/>
      <c r="AG736" s="55"/>
      <c r="AH736" s="55"/>
    </row>
    <row r="737" spans="1:34" ht="15.75">
      <c r="A737" s="39">
        <v>25.158807700000001</v>
      </c>
      <c r="B737" s="39">
        <v>25.576384600000001</v>
      </c>
      <c r="C737" s="39">
        <v>735</v>
      </c>
      <c r="D737">
        <v>735</v>
      </c>
      <c r="E737" s="10">
        <v>1586360</v>
      </c>
      <c r="F737" s="10">
        <v>1100810</v>
      </c>
      <c r="G737" s="10">
        <v>16346</v>
      </c>
      <c r="H737" s="10">
        <v>47890</v>
      </c>
      <c r="I737" s="10">
        <v>161457</v>
      </c>
      <c r="J737" s="10">
        <v>29231</v>
      </c>
      <c r="K737">
        <v>735</v>
      </c>
      <c r="L737" s="10">
        <v>1781</v>
      </c>
      <c r="M737" s="10">
        <v>412796</v>
      </c>
      <c r="N737" s="10">
        <v>5913</v>
      </c>
      <c r="O737">
        <v>0.74221320574697802</v>
      </c>
      <c r="P737">
        <v>0.93549064327629472</v>
      </c>
      <c r="Q737">
        <v>-0.46683334245982616</v>
      </c>
      <c r="R737">
        <v>0.46683334245982622</v>
      </c>
      <c r="S737">
        <f t="shared" si="120"/>
        <v>-1.709009063376314</v>
      </c>
      <c r="T737" s="148">
        <f t="shared" si="115"/>
        <v>-1.7876318281782961</v>
      </c>
      <c r="U737">
        <f t="shared" si="121"/>
        <v>2.1540468098434067</v>
      </c>
      <c r="V737" s="55">
        <f t="shared" si="116"/>
        <v>2.173029573912828</v>
      </c>
      <c r="W737">
        <f t="shared" si="122"/>
        <v>0.58124657087063558</v>
      </c>
      <c r="X737" s="55">
        <f t="shared" si="117"/>
        <v>0.57210428545103753</v>
      </c>
      <c r="Y737" s="149">
        <v>25.576384600000001</v>
      </c>
      <c r="Z737" s="55">
        <f t="shared" si="113"/>
        <v>5.3714991687938878E-3</v>
      </c>
      <c r="AA737" s="55">
        <f t="shared" si="118"/>
        <v>5.2462969676433623E-3</v>
      </c>
      <c r="AB737" s="55">
        <f t="shared" si="114"/>
        <v>-5.2266482346014502</v>
      </c>
      <c r="AC737" s="55">
        <f t="shared" si="119"/>
        <v>-5.2504325079524685</v>
      </c>
      <c r="AD737" s="55"/>
      <c r="AE737" s="55"/>
      <c r="AF737" s="55"/>
      <c r="AG737" s="55"/>
      <c r="AH737" s="55"/>
    </row>
    <row r="738" spans="1:34" ht="15.75">
      <c r="A738" s="39">
        <v>25.2120769</v>
      </c>
      <c r="B738" s="39">
        <v>25.6278462</v>
      </c>
      <c r="C738" s="39">
        <v>736</v>
      </c>
      <c r="D738">
        <v>736</v>
      </c>
      <c r="E738" s="10">
        <v>1600690</v>
      </c>
      <c r="F738" s="10">
        <v>1093420</v>
      </c>
      <c r="G738" s="10">
        <v>16246</v>
      </c>
      <c r="H738" s="10">
        <v>47725</v>
      </c>
      <c r="I738" s="10">
        <v>176352</v>
      </c>
      <c r="J738" s="10">
        <v>28364</v>
      </c>
      <c r="K738">
        <v>736</v>
      </c>
      <c r="L738" s="10">
        <v>1932</v>
      </c>
      <c r="M738" s="10">
        <v>418593</v>
      </c>
      <c r="N738" s="10">
        <v>5743</v>
      </c>
      <c r="O738">
        <v>0.79361291264287714</v>
      </c>
      <c r="P738">
        <v>0.94304602442670959</v>
      </c>
      <c r="Q738">
        <v>-0.46799948816737857</v>
      </c>
      <c r="R738">
        <v>0.46799948816737857</v>
      </c>
      <c r="S738">
        <f t="shared" si="120"/>
        <v>-1.8273612622590747</v>
      </c>
      <c r="T738" s="148">
        <f t="shared" si="115"/>
        <v>-1.7117365736811501</v>
      </c>
      <c r="U738">
        <f t="shared" si="121"/>
        <v>2.1714437178522403</v>
      </c>
      <c r="V738" s="55">
        <f t="shared" si="116"/>
        <v>2.1441446774460666</v>
      </c>
      <c r="W738">
        <f t="shared" si="122"/>
        <v>0.55727401081298811</v>
      </c>
      <c r="X738" s="55">
        <f t="shared" si="117"/>
        <v>0.56227957994950672</v>
      </c>
      <c r="Y738" s="149">
        <v>25.6278462</v>
      </c>
      <c r="Z738" s="55">
        <f t="shared" si="113"/>
        <v>5.2523275594007794E-3</v>
      </c>
      <c r="AA738" s="55">
        <f t="shared" si="118"/>
        <v>5.3205131155916081E-3</v>
      </c>
      <c r="AB738" s="55">
        <f t="shared" si="114"/>
        <v>-5.2490839559790379</v>
      </c>
      <c r="AC738" s="55">
        <f t="shared" si="119"/>
        <v>-5.2362300856461585</v>
      </c>
      <c r="AD738" s="55"/>
      <c r="AE738" s="55"/>
      <c r="AF738" s="55"/>
      <c r="AG738" s="55"/>
      <c r="AH738" s="55"/>
    </row>
    <row r="739" spans="1:34" ht="15.75">
      <c r="A739" s="39">
        <v>25.2653462</v>
      </c>
      <c r="B739" s="39">
        <v>25.679307699999999</v>
      </c>
      <c r="C739" s="39">
        <v>737</v>
      </c>
      <c r="D739">
        <v>737</v>
      </c>
      <c r="E739" s="10">
        <v>1533220</v>
      </c>
      <c r="F739" s="10">
        <v>1089980</v>
      </c>
      <c r="G739" s="10">
        <v>16862</v>
      </c>
      <c r="H739" s="10">
        <v>46972</v>
      </c>
      <c r="I739" s="10">
        <v>144347</v>
      </c>
      <c r="J739" s="10">
        <v>29177</v>
      </c>
      <c r="K739">
        <v>737</v>
      </c>
      <c r="L739" s="10">
        <v>1583</v>
      </c>
      <c r="M739" s="10">
        <v>386254</v>
      </c>
      <c r="N739" s="10">
        <v>5818</v>
      </c>
      <c r="O739">
        <v>0.6943671268752527</v>
      </c>
      <c r="P739">
        <v>0.91503393774815911</v>
      </c>
      <c r="Q739">
        <v>-0.44492996724399447</v>
      </c>
      <c r="R739">
        <v>0.44492996724399453</v>
      </c>
      <c r="S739">
        <f t="shared" si="120"/>
        <v>-1.5988393954080622</v>
      </c>
      <c r="T739" s="148">
        <f t="shared" si="115"/>
        <v>-1.6539023902104546</v>
      </c>
      <c r="U739">
        <f t="shared" si="121"/>
        <v>2.1069435046425529</v>
      </c>
      <c r="V739" s="55">
        <f t="shared" si="116"/>
        <v>2.1214493727619348</v>
      </c>
      <c r="W739">
        <f t="shared" si="122"/>
        <v>0.54831815816489637</v>
      </c>
      <c r="X739" s="55">
        <f t="shared" si="117"/>
        <v>0.55711023221941369</v>
      </c>
      <c r="Y739" s="149">
        <v>25.679307699999999</v>
      </c>
      <c r="Z739" s="55">
        <f t="shared" si="113"/>
        <v>5.3377126185801572E-3</v>
      </c>
      <c r="AA739" s="55">
        <f t="shared" si="118"/>
        <v>5.3712253576223461E-3</v>
      </c>
      <c r="AB739" s="55">
        <f t="shared" si="114"/>
        <v>-5.2329580663579884</v>
      </c>
      <c r="AC739" s="55">
        <f t="shared" si="119"/>
        <v>-5.2269203270841951</v>
      </c>
      <c r="AD739" s="55"/>
      <c r="AE739" s="55"/>
      <c r="AF739" s="55"/>
      <c r="AG739" s="55"/>
      <c r="AH739" s="55"/>
    </row>
    <row r="740" spans="1:34" ht="15.75">
      <c r="A740" s="39">
        <v>25.318615399999999</v>
      </c>
      <c r="B740" s="39">
        <v>25.730769200000001</v>
      </c>
      <c r="C740" s="39">
        <v>738</v>
      </c>
      <c r="D740">
        <v>738</v>
      </c>
      <c r="E740" s="10">
        <v>1518990</v>
      </c>
      <c r="F740" s="10">
        <v>1086060</v>
      </c>
      <c r="G740" s="10">
        <v>17120</v>
      </c>
      <c r="H740" s="10">
        <v>47071</v>
      </c>
      <c r="I740" s="10">
        <v>139979</v>
      </c>
      <c r="J740" s="10">
        <v>30144</v>
      </c>
      <c r="K740">
        <v>738</v>
      </c>
      <c r="L740" s="10">
        <v>1652</v>
      </c>
      <c r="M740" s="10">
        <v>379031</v>
      </c>
      <c r="N740" s="10">
        <v>5999</v>
      </c>
      <c r="O740">
        <v>0.66686200550686758</v>
      </c>
      <c r="P740">
        <v>0.90592130650800007</v>
      </c>
      <c r="Q740">
        <v>-0.43924966443388802</v>
      </c>
      <c r="R740">
        <v>0.43924966443388802</v>
      </c>
      <c r="S740">
        <f t="shared" si="120"/>
        <v>-1.5355065129642267</v>
      </c>
      <c r="T740" s="148">
        <f t="shared" si="115"/>
        <v>-1.5704393713838891</v>
      </c>
      <c r="U740">
        <f t="shared" si="121"/>
        <v>2.0859608957910107</v>
      </c>
      <c r="V740" s="55">
        <f t="shared" si="116"/>
        <v>2.1103640156571339</v>
      </c>
      <c r="W740">
        <f t="shared" si="122"/>
        <v>0.56573852768035648</v>
      </c>
      <c r="X740" s="55">
        <f t="shared" si="117"/>
        <v>0.56907048726591458</v>
      </c>
      <c r="Y740" s="149">
        <v>25.730769200000001</v>
      </c>
      <c r="Z740" s="55">
        <f t="shared" si="113"/>
        <v>5.5236358948861017E-3</v>
      </c>
      <c r="AA740" s="55">
        <f t="shared" si="118"/>
        <v>5.4076349078746476E-3</v>
      </c>
      <c r="AB740" s="55">
        <f t="shared" si="114"/>
        <v>-5.1987189589155607</v>
      </c>
      <c r="AC740" s="55">
        <f t="shared" si="119"/>
        <v>-5.2200593445322765</v>
      </c>
      <c r="AD740" s="55"/>
      <c r="AE740" s="55"/>
      <c r="AF740" s="55"/>
      <c r="AG740" s="55"/>
      <c r="AH740" s="55"/>
    </row>
    <row r="741" spans="1:34" ht="15.75">
      <c r="A741" s="39">
        <v>25.371884600000001</v>
      </c>
      <c r="B741" s="39">
        <v>25.782230800000001</v>
      </c>
      <c r="C741" s="39">
        <v>739</v>
      </c>
      <c r="D741">
        <v>739</v>
      </c>
      <c r="E741" s="10">
        <v>1558500</v>
      </c>
      <c r="F741" s="10">
        <v>1096510</v>
      </c>
      <c r="G741" s="10">
        <v>16762</v>
      </c>
      <c r="H741" s="10">
        <v>47485</v>
      </c>
      <c r="I741" s="10">
        <v>146825</v>
      </c>
      <c r="J741" s="10">
        <v>30334</v>
      </c>
      <c r="K741">
        <v>739</v>
      </c>
      <c r="L741" s="10">
        <v>1948</v>
      </c>
      <c r="M741" s="10">
        <v>402865</v>
      </c>
      <c r="N741" s="10">
        <v>5879</v>
      </c>
      <c r="O741">
        <v>0.68487032708478324</v>
      </c>
      <c r="P741">
        <v>0.92860309616508363</v>
      </c>
      <c r="Q741">
        <v>-0.45223060602038484</v>
      </c>
      <c r="R741">
        <v>0.45223060602038478</v>
      </c>
      <c r="S741">
        <f t="shared" si="120"/>
        <v>-1.576972205779378</v>
      </c>
      <c r="T741" s="148">
        <f t="shared" si="115"/>
        <v>-1.5680776503514462</v>
      </c>
      <c r="U741">
        <f t="shared" si="121"/>
        <v>2.1381876465378378</v>
      </c>
      <c r="V741" s="55">
        <f t="shared" si="116"/>
        <v>2.1299683486490832</v>
      </c>
      <c r="W741">
        <f t="shared" si="122"/>
        <v>0.59315477595249078</v>
      </c>
      <c r="X741" s="55">
        <f t="shared" si="117"/>
        <v>0.58160003258434823</v>
      </c>
      <c r="Y741" s="149">
        <v>25.782230800000001</v>
      </c>
      <c r="Z741" s="55">
        <f t="shared" si="113"/>
        <v>5.361556210157682E-3</v>
      </c>
      <c r="AA741" s="55">
        <f t="shared" si="118"/>
        <v>5.3700175638267305E-3</v>
      </c>
      <c r="AB741" s="55">
        <f t="shared" si="114"/>
        <v>-5.2285010083232795</v>
      </c>
      <c r="AC741" s="55">
        <f t="shared" si="119"/>
        <v>-5.2271823769159385</v>
      </c>
      <c r="AD741" s="55"/>
      <c r="AE741" s="55"/>
      <c r="AF741" s="55"/>
      <c r="AG741" s="55"/>
      <c r="AH741" s="55"/>
    </row>
    <row r="742" spans="1:34" ht="15.75">
      <c r="A742" s="39">
        <v>25.425153900000002</v>
      </c>
      <c r="B742" s="39">
        <v>25.833692299999999</v>
      </c>
      <c r="C742" s="39">
        <v>740</v>
      </c>
      <c r="D742">
        <v>740</v>
      </c>
      <c r="E742" s="10">
        <v>1573450</v>
      </c>
      <c r="F742" s="10">
        <v>1111800</v>
      </c>
      <c r="G742" s="10">
        <v>16506</v>
      </c>
      <c r="H742" s="10">
        <v>47417</v>
      </c>
      <c r="I742" s="10">
        <v>145676</v>
      </c>
      <c r="J742" s="10">
        <v>29655</v>
      </c>
      <c r="K742">
        <v>740</v>
      </c>
      <c r="L742" s="10">
        <v>1622</v>
      </c>
      <c r="M742" s="10">
        <v>413533</v>
      </c>
      <c r="N742" s="10">
        <v>5809</v>
      </c>
      <c r="O742">
        <v>0.69129007963869837</v>
      </c>
      <c r="P742">
        <v>0.94057609866755165</v>
      </c>
      <c r="Q742">
        <v>-0.45829223260016766</v>
      </c>
      <c r="R742">
        <v>0.4582922326001676</v>
      </c>
      <c r="S742">
        <f t="shared" si="120"/>
        <v>-1.5917542323107337</v>
      </c>
      <c r="T742" s="148">
        <f t="shared" si="115"/>
        <v>-1.597461903637061</v>
      </c>
      <c r="U742">
        <f t="shared" si="121"/>
        <v>2.1657565036184012</v>
      </c>
      <c r="V742" s="55">
        <f t="shared" si="116"/>
        <v>2.1504167746518204</v>
      </c>
      <c r="W742">
        <f t="shared" si="122"/>
        <v>0.58590679412019742</v>
      </c>
      <c r="X742" s="55">
        <f t="shared" si="117"/>
        <v>0.59028087752612313</v>
      </c>
      <c r="Y742" s="149">
        <v>25.833692299999999</v>
      </c>
      <c r="Z742" s="55">
        <f t="shared" si="113"/>
        <v>5.2248605864364094E-3</v>
      </c>
      <c r="AA742" s="55">
        <f t="shared" si="118"/>
        <v>5.2984906132419974E-3</v>
      </c>
      <c r="AB742" s="55">
        <f t="shared" si="114"/>
        <v>-5.2543271635089734</v>
      </c>
      <c r="AC742" s="55">
        <f t="shared" si="119"/>
        <v>-5.2403898631252899</v>
      </c>
      <c r="AD742" s="55"/>
      <c r="AE742" s="55"/>
      <c r="AF742" s="55"/>
      <c r="AG742" s="55"/>
      <c r="AH742" s="55"/>
    </row>
    <row r="743" spans="1:34" ht="15.75">
      <c r="A743" s="39">
        <v>25.478423100000001</v>
      </c>
      <c r="B743" s="39">
        <v>25.885153899999999</v>
      </c>
      <c r="C743" s="39">
        <v>741</v>
      </c>
      <c r="D743">
        <v>741</v>
      </c>
      <c r="E743" s="10">
        <v>1561715</v>
      </c>
      <c r="F743" s="10">
        <v>1098375</v>
      </c>
      <c r="G743" s="10">
        <v>16393</v>
      </c>
      <c r="H743" s="10">
        <v>47236.375</v>
      </c>
      <c r="I743" s="10">
        <v>150249.125</v>
      </c>
      <c r="J743" s="10">
        <v>29625.5</v>
      </c>
      <c r="K743">
        <v>741</v>
      </c>
      <c r="L743" s="10">
        <v>1598.666667</v>
      </c>
      <c r="M743" s="10">
        <v>404426.6667</v>
      </c>
      <c r="N743" s="10">
        <v>5831.3333329999996</v>
      </c>
      <c r="O743">
        <v>0.70514626267723779</v>
      </c>
      <c r="P743">
        <v>0.93256322223778754</v>
      </c>
      <c r="Q743">
        <v>-0.45961812284091402</v>
      </c>
      <c r="R743">
        <v>0.45961812284091402</v>
      </c>
      <c r="S743">
        <f t="shared" si="120"/>
        <v>-1.6236592728210713</v>
      </c>
      <c r="T743" s="148">
        <f t="shared" si="115"/>
        <v>-1.6299731948814629</v>
      </c>
      <c r="U743">
        <f t="shared" si="121"/>
        <v>2.147306173799223</v>
      </c>
      <c r="V743" s="55">
        <f t="shared" si="116"/>
        <v>2.1435264106425387</v>
      </c>
      <c r="W743">
        <f t="shared" si="122"/>
        <v>0.59178106250568108</v>
      </c>
      <c r="X743" s="55">
        <f t="shared" si="117"/>
        <v>0.58894885814966347</v>
      </c>
      <c r="Y743" s="149">
        <v>25.885153899999999</v>
      </c>
      <c r="Z743" s="55">
        <f t="shared" si="113"/>
        <v>5.3090550431318991E-3</v>
      </c>
      <c r="AA743" s="55">
        <f t="shared" si="118"/>
        <v>5.3464214031427133E-3</v>
      </c>
      <c r="AB743" s="55">
        <f t="shared" si="114"/>
        <v>-5.2383414175436167</v>
      </c>
      <c r="AC743" s="55">
        <f t="shared" si="119"/>
        <v>-5.2315679237575301</v>
      </c>
      <c r="AD743" s="55"/>
      <c r="AE743" s="55"/>
      <c r="AF743" s="55"/>
      <c r="AG743" s="55"/>
      <c r="AH743" s="55"/>
    </row>
    <row r="744" spans="1:34" ht="15.75">
      <c r="A744" s="39">
        <v>25.5316923</v>
      </c>
      <c r="B744" s="39">
        <v>25.936615400000001</v>
      </c>
      <c r="C744" s="39">
        <v>742</v>
      </c>
      <c r="D744">
        <v>742</v>
      </c>
      <c r="E744" s="10">
        <v>1552110</v>
      </c>
      <c r="F744" s="10">
        <v>1084400</v>
      </c>
      <c r="G744" s="10">
        <v>16428</v>
      </c>
      <c r="H744" s="10">
        <v>46996</v>
      </c>
      <c r="I744" s="10">
        <v>158009</v>
      </c>
      <c r="J744" s="10">
        <v>29611</v>
      </c>
      <c r="K744">
        <v>742</v>
      </c>
      <c r="L744" s="10">
        <v>1705</v>
      </c>
      <c r="M744" s="10">
        <v>390559</v>
      </c>
      <c r="N744" s="10">
        <v>5970</v>
      </c>
      <c r="O744">
        <v>0.72722875024576339</v>
      </c>
      <c r="P744">
        <v>0.91962575496247545</v>
      </c>
      <c r="Q744">
        <v>-0.45647620094869257</v>
      </c>
      <c r="R744">
        <v>0.45647620094869257</v>
      </c>
      <c r="S744">
        <f t="shared" si="120"/>
        <v>-1.6745060795125846</v>
      </c>
      <c r="T744" s="148">
        <f t="shared" si="115"/>
        <v>-1.651466793837115</v>
      </c>
      <c r="U744">
        <f t="shared" si="121"/>
        <v>2.117516554509991</v>
      </c>
      <c r="V744" s="55">
        <f t="shared" si="116"/>
        <v>2.1109401180111322</v>
      </c>
      <c r="W744">
        <f t="shared" si="122"/>
        <v>0.58915871782311191</v>
      </c>
      <c r="X744" s="55">
        <f t="shared" si="117"/>
        <v>0.58880779066505384</v>
      </c>
      <c r="Y744" s="149">
        <v>25.936615400000001</v>
      </c>
      <c r="Z744" s="55">
        <f t="shared" si="113"/>
        <v>5.5053485798598305E-3</v>
      </c>
      <c r="AA744" s="55">
        <f t="shared" si="118"/>
        <v>5.3868716319515793E-3</v>
      </c>
      <c r="AB744" s="55">
        <f t="shared" si="114"/>
        <v>-5.2020351902199993</v>
      </c>
      <c r="AC744" s="55">
        <f t="shared" si="119"/>
        <v>-5.2239145833358762</v>
      </c>
      <c r="AD744" s="55"/>
      <c r="AE744" s="55"/>
      <c r="AF744" s="55"/>
      <c r="AG744" s="55"/>
      <c r="AH744" s="55"/>
    </row>
    <row r="745" spans="1:34" ht="15.75">
      <c r="A745" s="39">
        <v>25.584961499999999</v>
      </c>
      <c r="B745" s="39">
        <v>25.988076899999999</v>
      </c>
      <c r="C745" s="39">
        <v>743</v>
      </c>
      <c r="D745">
        <v>743</v>
      </c>
      <c r="E745" s="10">
        <v>1527150</v>
      </c>
      <c r="F745" s="10">
        <v>1071600</v>
      </c>
      <c r="G745" s="10">
        <v>16567</v>
      </c>
      <c r="H745" s="10">
        <v>47578</v>
      </c>
      <c r="I745" s="10">
        <v>155887</v>
      </c>
      <c r="J745" s="10">
        <v>29752</v>
      </c>
      <c r="K745">
        <v>743</v>
      </c>
      <c r="L745" s="10">
        <v>2027</v>
      </c>
      <c r="M745" s="10">
        <v>376293</v>
      </c>
      <c r="N745" s="10">
        <v>5729</v>
      </c>
      <c r="O745">
        <v>0.71929373390674156</v>
      </c>
      <c r="P745">
        <v>0.89811995744103845</v>
      </c>
      <c r="Q745">
        <v>-0.45816230973462763</v>
      </c>
      <c r="R745">
        <v>0.45816230973462763</v>
      </c>
      <c r="S745">
        <f t="shared" si="120"/>
        <v>-1.6562350291776891</v>
      </c>
      <c r="T745" s="148">
        <f t="shared" si="115"/>
        <v>-1.6534229217503871</v>
      </c>
      <c r="U745">
        <f t="shared" si="121"/>
        <v>2.0679976257241819</v>
      </c>
      <c r="V745" s="55">
        <f t="shared" si="116"/>
        <v>2.0807852916241889</v>
      </c>
      <c r="W745">
        <f t="shared" si="122"/>
        <v>0.58548359166636854</v>
      </c>
      <c r="X745" s="55">
        <f t="shared" si="117"/>
        <v>0.58802143997528378</v>
      </c>
      <c r="Y745" s="149">
        <v>25.988076899999999</v>
      </c>
      <c r="Z745" s="55">
        <f t="shared" si="113"/>
        <v>5.3462112728630082E-3</v>
      </c>
      <c r="AA745" s="55">
        <f t="shared" si="118"/>
        <v>5.4793684030213863E-3</v>
      </c>
      <c r="AB745" s="55">
        <f t="shared" si="114"/>
        <v>-5.2313671422440127</v>
      </c>
      <c r="AC745" s="55">
        <f t="shared" si="119"/>
        <v>-5.2069321731849314</v>
      </c>
      <c r="AD745" s="55"/>
      <c r="AE745" s="55"/>
      <c r="AF745" s="55"/>
      <c r="AG745" s="55"/>
      <c r="AH745" s="55"/>
    </row>
    <row r="746" spans="1:34" ht="15.75">
      <c r="A746" s="39">
        <v>25.638230799999999</v>
      </c>
      <c r="B746" s="39">
        <v>26.039538499999999</v>
      </c>
      <c r="C746" s="39">
        <v>744</v>
      </c>
      <c r="D746">
        <v>744</v>
      </c>
      <c r="E746" s="10">
        <v>1515750</v>
      </c>
      <c r="F746" s="10">
        <v>1073830</v>
      </c>
      <c r="G746" s="10">
        <v>16361</v>
      </c>
      <c r="H746" s="10">
        <v>47228</v>
      </c>
      <c r="I746" s="10">
        <v>150483</v>
      </c>
      <c r="J746" s="10">
        <v>29498</v>
      </c>
      <c r="K746">
        <v>744</v>
      </c>
      <c r="L746" s="10">
        <v>1885</v>
      </c>
      <c r="M746" s="10">
        <v>369381</v>
      </c>
      <c r="N746" s="10">
        <v>5999</v>
      </c>
      <c r="O746">
        <v>0.70769486935313075</v>
      </c>
      <c r="P746">
        <v>0.89327499812998823</v>
      </c>
      <c r="Q746">
        <v>-0.46038970992620126</v>
      </c>
      <c r="R746">
        <v>0.46038970992620126</v>
      </c>
      <c r="S746">
        <f t="shared" si="120"/>
        <v>-1.6295276565608876</v>
      </c>
      <c r="T746" s="148">
        <f t="shared" si="115"/>
        <v>-1.6062399594748171</v>
      </c>
      <c r="U746">
        <f t="shared" si="121"/>
        <v>2.0568416946383947</v>
      </c>
      <c r="V746" s="55">
        <f t="shared" si="116"/>
        <v>2.0836722147466169</v>
      </c>
      <c r="W746">
        <f t="shared" si="122"/>
        <v>0.5894220104363711</v>
      </c>
      <c r="X746" s="55">
        <f t="shared" si="117"/>
        <v>0.59075390600700306</v>
      </c>
      <c r="Y746" s="149">
        <v>26.039538499999999</v>
      </c>
      <c r="Z746" s="55">
        <f t="shared" si="113"/>
        <v>5.5865453563413202E-3</v>
      </c>
      <c r="AA746" s="55">
        <f t="shared" si="118"/>
        <v>5.3931600989532633E-3</v>
      </c>
      <c r="AB746" s="55">
        <f t="shared" si="114"/>
        <v>-5.1873941870907814</v>
      </c>
      <c r="AC746" s="55">
        <f t="shared" si="119"/>
        <v>-5.2229709299418916</v>
      </c>
      <c r="AD746" s="55"/>
      <c r="AE746" s="55"/>
      <c r="AF746" s="55"/>
      <c r="AG746" s="55"/>
      <c r="AH746" s="55"/>
    </row>
    <row r="747" spans="1:34" ht="15.75">
      <c r="A747" s="39">
        <v>25.691500000000001</v>
      </c>
      <c r="B747" s="39">
        <v>26.091000000000001</v>
      </c>
      <c r="C747" s="39">
        <v>745</v>
      </c>
      <c r="D747">
        <v>745</v>
      </c>
      <c r="E747" s="10">
        <v>1528570</v>
      </c>
      <c r="F747" s="10">
        <v>1088870</v>
      </c>
      <c r="G747" s="10">
        <v>16328</v>
      </c>
      <c r="H747" s="10">
        <v>46789</v>
      </c>
      <c r="I747" s="10">
        <v>137441</v>
      </c>
      <c r="J747" s="10">
        <v>29673</v>
      </c>
      <c r="K747">
        <v>745</v>
      </c>
      <c r="L747" s="10">
        <v>1717</v>
      </c>
      <c r="M747" s="10">
        <v>392221</v>
      </c>
      <c r="N747" s="10">
        <v>5713</v>
      </c>
      <c r="O747">
        <v>0.66575484977737531</v>
      </c>
      <c r="P747">
        <v>0.92338707930772301</v>
      </c>
      <c r="Q747">
        <v>-0.45721077160507106</v>
      </c>
      <c r="R747">
        <v>0.45721077160507101</v>
      </c>
      <c r="S747">
        <f t="shared" si="120"/>
        <v>-1.5329571926858745</v>
      </c>
      <c r="T747" s="148">
        <f t="shared" si="115"/>
        <v>-1.5840408364028995</v>
      </c>
      <c r="U747">
        <f t="shared" si="121"/>
        <v>2.1261773238772737</v>
      </c>
      <c r="V747" s="55">
        <f t="shared" si="116"/>
        <v>2.1110739676452841</v>
      </c>
      <c r="W747">
        <f t="shared" si="122"/>
        <v>0.59735611591826976</v>
      </c>
      <c r="X747" s="55">
        <f t="shared" si="117"/>
        <v>0.58874933249717076</v>
      </c>
      <c r="Y747" s="149">
        <v>26.091000000000001</v>
      </c>
      <c r="Z747" s="55">
        <f t="shared" si="113"/>
        <v>5.2467236676554596E-3</v>
      </c>
      <c r="AA747" s="55">
        <f t="shared" si="118"/>
        <v>5.349317010750209E-3</v>
      </c>
      <c r="AB747" s="55">
        <f t="shared" si="114"/>
        <v>-5.2501514604908825</v>
      </c>
      <c r="AC747" s="55">
        <f t="shared" si="119"/>
        <v>-5.2312742721119045</v>
      </c>
      <c r="AD747" s="55"/>
      <c r="AE747" s="55"/>
      <c r="AF747" s="55"/>
      <c r="AG747" s="55"/>
      <c r="AH747" s="55"/>
    </row>
    <row r="748" spans="1:34" ht="15.75">
      <c r="A748" s="129">
        <v>25.7447692</v>
      </c>
      <c r="B748" s="129">
        <v>26.1424615</v>
      </c>
      <c r="C748" s="129">
        <v>746</v>
      </c>
      <c r="D748" s="130">
        <v>746</v>
      </c>
      <c r="E748" s="131">
        <v>1565440</v>
      </c>
      <c r="F748" s="131">
        <v>1097670</v>
      </c>
      <c r="G748" s="131">
        <v>16984</v>
      </c>
      <c r="H748" s="131">
        <v>47419</v>
      </c>
      <c r="I748" s="131">
        <v>148618</v>
      </c>
      <c r="J748" s="131">
        <v>30318</v>
      </c>
      <c r="K748" s="130">
        <v>746</v>
      </c>
      <c r="L748" s="131">
        <v>2133</v>
      </c>
      <c r="M748" s="131">
        <v>407168</v>
      </c>
      <c r="N748" s="131">
        <v>5724</v>
      </c>
      <c r="O748" s="130">
        <v>0.6903708639470667</v>
      </c>
      <c r="P748" s="130">
        <v>0.93382124767614128</v>
      </c>
      <c r="Q748" s="130">
        <v>-0.44591240992114806</v>
      </c>
      <c r="R748" s="130">
        <v>0.44591240992114806</v>
      </c>
      <c r="S748" s="130">
        <f t="shared" si="120"/>
        <v>-1.5896376599619362</v>
      </c>
      <c r="T748" s="148">
        <f t="shared" si="115"/>
        <v>-1.5715075637724676</v>
      </c>
      <c r="U748" s="130">
        <f t="shared" si="121"/>
        <v>2.1502028844201835</v>
      </c>
      <c r="V748" s="132">
        <f t="shared" si="116"/>
        <v>2.1228430294507743</v>
      </c>
      <c r="W748" s="130">
        <f t="shared" si="122"/>
        <v>0.57946987113687154</v>
      </c>
      <c r="X748" s="132">
        <f t="shared" si="117"/>
        <v>0.57784814509837601</v>
      </c>
      <c r="Y748" s="149">
        <v>26.1424615</v>
      </c>
      <c r="Z748" s="132">
        <f t="shared" si="113"/>
        <v>5.2146820082538464E-3</v>
      </c>
      <c r="AA748" s="132">
        <f t="shared" si="118"/>
        <v>5.2476932430000596E-3</v>
      </c>
      <c r="AB748" s="132">
        <f t="shared" si="114"/>
        <v>-5.2562771687540488</v>
      </c>
      <c r="AC748" s="132">
        <f t="shared" si="119"/>
        <v>-5.2499802684169135</v>
      </c>
      <c r="AD748" s="55"/>
      <c r="AE748" s="55"/>
      <c r="AF748" s="55"/>
      <c r="AG748" s="55"/>
      <c r="AH748" s="55"/>
    </row>
    <row r="749" spans="1:34" ht="15.75">
      <c r="A749" s="39">
        <v>25.798038500000001</v>
      </c>
      <c r="B749" s="39">
        <v>26.193923099999999</v>
      </c>
      <c r="C749" s="39">
        <v>747</v>
      </c>
      <c r="D749">
        <v>747</v>
      </c>
      <c r="E749" s="10">
        <v>1560420</v>
      </c>
      <c r="F749" s="10">
        <v>1094350</v>
      </c>
      <c r="G749" s="10">
        <v>17776</v>
      </c>
      <c r="H749" s="10">
        <v>48237</v>
      </c>
      <c r="I749" s="10">
        <v>152398</v>
      </c>
      <c r="J749" s="10">
        <v>31018</v>
      </c>
      <c r="K749">
        <v>747</v>
      </c>
      <c r="L749" s="10">
        <v>1716</v>
      </c>
      <c r="M749" s="10">
        <v>390831</v>
      </c>
      <c r="N749" s="10">
        <v>5780</v>
      </c>
      <c r="O749">
        <v>0.69136547592237418</v>
      </c>
      <c r="P749">
        <v>0.90860871392789633</v>
      </c>
      <c r="Q749">
        <v>-0.43354624833215294</v>
      </c>
      <c r="R749">
        <v>0.43354624833215294</v>
      </c>
      <c r="S749">
        <f t="shared" si="120"/>
        <v>-1.5919278386695928</v>
      </c>
      <c r="T749" s="148">
        <f t="shared" si="115"/>
        <v>-1.6049094784575131</v>
      </c>
      <c r="U749">
        <f t="shared" si="121"/>
        <v>2.0921488800548653</v>
      </c>
      <c r="V749" s="55">
        <f t="shared" si="116"/>
        <v>2.1203696440494766</v>
      </c>
      <c r="W749">
        <f t="shared" si="122"/>
        <v>0.55671844823998695</v>
      </c>
      <c r="X749" s="55">
        <f t="shared" si="117"/>
        <v>0.55315784827126468</v>
      </c>
      <c r="Y749" s="149">
        <v>26.193923099999999</v>
      </c>
      <c r="Z749" s="55">
        <f t="shared" si="113"/>
        <v>5.2816740530908755E-3</v>
      </c>
      <c r="AA749" s="55">
        <f t="shared" si="118"/>
        <v>5.2629744878979852E-3</v>
      </c>
      <c r="AB749" s="55">
        <f t="shared" si="114"/>
        <v>-5.2435121760058081</v>
      </c>
      <c r="AC749" s="55">
        <f t="shared" si="119"/>
        <v>-5.2470803881166548</v>
      </c>
      <c r="AD749" s="55"/>
      <c r="AE749" s="55"/>
      <c r="AF749" s="55"/>
      <c r="AG749" s="55"/>
      <c r="AH749" s="55"/>
    </row>
    <row r="750" spans="1:34" ht="15.75">
      <c r="A750" s="39">
        <v>25.8513077</v>
      </c>
      <c r="B750" s="39">
        <v>26.245384600000001</v>
      </c>
      <c r="C750" s="39">
        <v>748</v>
      </c>
      <c r="D750">
        <v>748</v>
      </c>
      <c r="E750" s="10">
        <v>1576600</v>
      </c>
      <c r="F750" s="10">
        <v>1104190</v>
      </c>
      <c r="G750" s="10">
        <v>17978</v>
      </c>
      <c r="H750" s="10">
        <v>48524</v>
      </c>
      <c r="I750" s="10">
        <v>155337</v>
      </c>
      <c r="J750" s="10">
        <v>30339</v>
      </c>
      <c r="K750">
        <v>748</v>
      </c>
      <c r="L750" s="10">
        <v>1413</v>
      </c>
      <c r="M750" s="10">
        <v>403758</v>
      </c>
      <c r="N750" s="10">
        <v>5844</v>
      </c>
      <c r="O750">
        <v>0.70927365147553034</v>
      </c>
      <c r="P750">
        <v>0.92016454641351175</v>
      </c>
      <c r="Q750">
        <v>-0.43121521796459966</v>
      </c>
      <c r="R750">
        <v>0.43121521796459966</v>
      </c>
      <c r="S750">
        <f t="shared" si="120"/>
        <v>-1.6331629367410105</v>
      </c>
      <c r="T750" s="148">
        <f t="shared" si="115"/>
        <v>-1.579551953969103</v>
      </c>
      <c r="U750">
        <f t="shared" si="121"/>
        <v>2.1187571676733801</v>
      </c>
      <c r="V750" s="55">
        <f t="shared" si="116"/>
        <v>2.1161327782735064</v>
      </c>
      <c r="W750">
        <f t="shared" si="122"/>
        <v>0.52328522543693556</v>
      </c>
      <c r="X750" s="55">
        <f t="shared" si="117"/>
        <v>0.54998148349107312</v>
      </c>
      <c r="Y750" s="149">
        <v>26.245384600000001</v>
      </c>
      <c r="Z750" s="55">
        <f t="shared" si="113"/>
        <v>5.2925674023492335E-3</v>
      </c>
      <c r="AA750" s="55">
        <f t="shared" si="118"/>
        <v>5.2339411574836812E-3</v>
      </c>
      <c r="AB750" s="55">
        <f t="shared" si="114"/>
        <v>-5.2414518195901074</v>
      </c>
      <c r="AC750" s="55">
        <f t="shared" si="119"/>
        <v>-5.2526950227416878</v>
      </c>
      <c r="AD750" s="55"/>
      <c r="AE750" s="55"/>
      <c r="AF750" s="55"/>
      <c r="AG750" s="55"/>
      <c r="AH750" s="55"/>
    </row>
    <row r="751" spans="1:34" ht="15.75">
      <c r="A751" s="39">
        <v>25.904576899999999</v>
      </c>
      <c r="B751" s="39">
        <v>26.296846200000001</v>
      </c>
      <c r="C751" s="39">
        <v>749</v>
      </c>
      <c r="D751">
        <v>749</v>
      </c>
      <c r="E751" s="10">
        <v>1556740</v>
      </c>
      <c r="F751" s="10">
        <v>1111050</v>
      </c>
      <c r="G751" s="10">
        <v>17495</v>
      </c>
      <c r="H751" s="10">
        <v>47529</v>
      </c>
      <c r="I751" s="10">
        <v>140530</v>
      </c>
      <c r="J751" s="10">
        <v>30934</v>
      </c>
      <c r="K751">
        <v>749</v>
      </c>
      <c r="L751" s="10">
        <v>2268</v>
      </c>
      <c r="M751" s="10">
        <v>402958</v>
      </c>
      <c r="N751" s="10">
        <v>5697</v>
      </c>
      <c r="O751">
        <v>0.65733296506693728</v>
      </c>
      <c r="P751">
        <v>0.92830110539493582</v>
      </c>
      <c r="Q751">
        <v>-0.43404473010889444</v>
      </c>
      <c r="R751">
        <v>0.43404473010889444</v>
      </c>
      <c r="S751">
        <f t="shared" si="120"/>
        <v>-1.5135650864967056</v>
      </c>
      <c r="T751" s="148">
        <f t="shared" si="115"/>
        <v>-1.5774805364177009</v>
      </c>
      <c r="U751">
        <f t="shared" si="121"/>
        <v>2.1374922870922739</v>
      </c>
      <c r="V751" s="55">
        <f t="shared" si="116"/>
        <v>2.1361295475061644</v>
      </c>
      <c r="W751">
        <f t="shared" si="122"/>
        <v>0.56994077679629673</v>
      </c>
      <c r="X751" s="55">
        <f t="shared" si="117"/>
        <v>0.56956380405832263</v>
      </c>
      <c r="Y751" s="149">
        <v>26.296846200000001</v>
      </c>
      <c r="Z751" s="55">
        <f t="shared" si="113"/>
        <v>5.1275820170109355E-3</v>
      </c>
      <c r="AA751" s="55">
        <f t="shared" si="118"/>
        <v>5.0569237231012148E-3</v>
      </c>
      <c r="AB751" s="55">
        <f t="shared" si="114"/>
        <v>-5.2731210726291495</v>
      </c>
      <c r="AC751" s="55">
        <f t="shared" si="119"/>
        <v>-5.2880175556652889</v>
      </c>
      <c r="AD751" s="55"/>
      <c r="AE751" s="55"/>
      <c r="AF751" s="55"/>
      <c r="AG751" s="55"/>
      <c r="AH751" s="55"/>
    </row>
    <row r="752" spans="1:34" ht="15.75">
      <c r="A752" s="39">
        <v>25.957846199999999</v>
      </c>
      <c r="B752" s="39">
        <v>26.348307699999999</v>
      </c>
      <c r="C752" s="39">
        <v>750</v>
      </c>
      <c r="D752">
        <v>750</v>
      </c>
      <c r="E752" s="10">
        <v>1576100</v>
      </c>
      <c r="F752" s="10">
        <v>1105750</v>
      </c>
      <c r="G752" s="10">
        <v>16517</v>
      </c>
      <c r="H752" s="10">
        <v>47800</v>
      </c>
      <c r="I752" s="10">
        <v>149242</v>
      </c>
      <c r="J752" s="10">
        <v>30565</v>
      </c>
      <c r="K752">
        <v>750</v>
      </c>
      <c r="L752" s="10">
        <v>3346</v>
      </c>
      <c r="M752" s="10">
        <v>411235</v>
      </c>
      <c r="N752" s="10">
        <v>5253</v>
      </c>
      <c r="O752">
        <v>0.68866666028549961</v>
      </c>
      <c r="P752">
        <v>0.93466217352880443</v>
      </c>
      <c r="Q752">
        <v>-0.46149672782633833</v>
      </c>
      <c r="R752">
        <v>0.46149672782633833</v>
      </c>
      <c r="S752">
        <f t="shared" si="120"/>
        <v>-1.5857135860153861</v>
      </c>
      <c r="T752" s="148">
        <f t="shared" si="115"/>
        <v>-1.5848024237061662</v>
      </c>
      <c r="U752">
        <f t="shared" si="121"/>
        <v>2.1521391877528391</v>
      </c>
      <c r="V752" s="55">
        <f t="shared" si="116"/>
        <v>2.1475405215496726</v>
      </c>
      <c r="W752">
        <f t="shared" si="122"/>
        <v>0.61546540994173549</v>
      </c>
      <c r="X752" s="55">
        <f t="shared" si="117"/>
        <v>0.59965861975609902</v>
      </c>
      <c r="Y752" s="149">
        <v>26.348307699999999</v>
      </c>
      <c r="Z752" s="55">
        <f t="shared" si="113"/>
        <v>4.7506217499434771E-3</v>
      </c>
      <c r="AA752" s="55">
        <f t="shared" si="118"/>
        <v>4.9114761880648368E-3</v>
      </c>
      <c r="AB752" s="55">
        <f t="shared" si="114"/>
        <v>-5.3494797747766114</v>
      </c>
      <c r="AC752" s="55">
        <f t="shared" si="119"/>
        <v>-5.3166982603416839</v>
      </c>
      <c r="AD752" s="55"/>
      <c r="AE752" s="55"/>
      <c r="AF752" s="55"/>
      <c r="AG752" s="55"/>
      <c r="AH752" s="55"/>
    </row>
    <row r="753" spans="1:34" ht="15.75">
      <c r="A753" s="39">
        <v>26.011115400000001</v>
      </c>
      <c r="B753" s="39">
        <v>26.399769200000001</v>
      </c>
      <c r="C753" s="39">
        <v>751</v>
      </c>
      <c r="D753">
        <v>751</v>
      </c>
      <c r="E753" s="10">
        <v>1571780</v>
      </c>
      <c r="F753" s="10">
        <v>1098590</v>
      </c>
      <c r="G753" s="10">
        <v>16387</v>
      </c>
      <c r="H753" s="10">
        <v>47112</v>
      </c>
      <c r="I753" s="10">
        <v>158410</v>
      </c>
      <c r="J753" s="10">
        <v>30267</v>
      </c>
      <c r="K753">
        <v>751</v>
      </c>
      <c r="L753" s="10">
        <v>2153</v>
      </c>
      <c r="M753" s="10">
        <v>405661</v>
      </c>
      <c r="N753" s="10">
        <v>5335</v>
      </c>
      <c r="O753">
        <v>0.718813217215025</v>
      </c>
      <c r="P753">
        <v>0.93503171559422293</v>
      </c>
      <c r="Q753">
        <v>-0.4586320876007311</v>
      </c>
      <c r="R753">
        <v>0.4586320876007311</v>
      </c>
      <c r="S753">
        <f t="shared" si="120"/>
        <v>-1.6551285986064075</v>
      </c>
      <c r="T753" s="148">
        <f t="shared" si="115"/>
        <v>-1.6258606757661627</v>
      </c>
      <c r="U753">
        <f t="shared" si="121"/>
        <v>2.1529900898039056</v>
      </c>
      <c r="V753" s="55">
        <f t="shared" si="116"/>
        <v>2.1609445546836628</v>
      </c>
      <c r="W753">
        <f t="shared" si="122"/>
        <v>0.61356967253026495</v>
      </c>
      <c r="X753" s="55">
        <f t="shared" si="117"/>
        <v>0.61738656485244847</v>
      </c>
      <c r="Y753" s="149">
        <v>26.399769200000001</v>
      </c>
      <c r="Z753" s="55">
        <f t="shared" si="113"/>
        <v>4.8562247972400987E-3</v>
      </c>
      <c r="AA753" s="55">
        <f t="shared" si="118"/>
        <v>4.8147794913615018E-3</v>
      </c>
      <c r="AB753" s="55">
        <f t="shared" si="114"/>
        <v>-5.3274939336192917</v>
      </c>
      <c r="AC753" s="55">
        <f t="shared" si="119"/>
        <v>-5.3361108659604071</v>
      </c>
      <c r="AD753" s="55"/>
      <c r="AE753" s="55"/>
      <c r="AF753" s="55"/>
      <c r="AG753" s="55"/>
      <c r="AH753" s="55"/>
    </row>
    <row r="754" spans="1:34" ht="15.75">
      <c r="A754" s="39">
        <v>26.0643846</v>
      </c>
      <c r="B754" s="39">
        <v>26.451230800000001</v>
      </c>
      <c r="C754" s="39">
        <v>752</v>
      </c>
      <c r="D754">
        <v>752</v>
      </c>
      <c r="E754" s="10">
        <v>1580770</v>
      </c>
      <c r="F754" s="10">
        <v>1099330</v>
      </c>
      <c r="G754" s="10">
        <v>16310</v>
      </c>
      <c r="H754" s="10">
        <v>47414</v>
      </c>
      <c r="I754" s="10">
        <v>156279</v>
      </c>
      <c r="J754" s="10">
        <v>30414</v>
      </c>
      <c r="K754">
        <v>752</v>
      </c>
      <c r="L754" s="10">
        <v>1803</v>
      </c>
      <c r="M754" s="10">
        <v>418477</v>
      </c>
      <c r="N754" s="10">
        <v>5318</v>
      </c>
      <c r="O754">
        <v>0.71082708198568489</v>
      </c>
      <c r="P754">
        <v>0.94576499827095595</v>
      </c>
      <c r="Q754">
        <v>-0.46345263432610856</v>
      </c>
      <c r="R754">
        <v>0.46345263432610856</v>
      </c>
      <c r="S754">
        <f t="shared" si="120"/>
        <v>-1.6367398426766944</v>
      </c>
      <c r="T754" s="148">
        <f t="shared" si="115"/>
        <v>-1.6609701601116804</v>
      </c>
      <c r="U754">
        <f t="shared" si="121"/>
        <v>2.1777043864942427</v>
      </c>
      <c r="V754" s="55">
        <f t="shared" si="116"/>
        <v>2.150615378813578</v>
      </c>
      <c r="W754">
        <f t="shared" si="122"/>
        <v>0.62312461208534475</v>
      </c>
      <c r="X754" s="55">
        <f t="shared" si="117"/>
        <v>0.59541551950510974</v>
      </c>
      <c r="Y754" s="149">
        <v>26.451230800000001</v>
      </c>
      <c r="Z754" s="55">
        <f t="shared" si="113"/>
        <v>4.8374919269009303E-3</v>
      </c>
      <c r="AA754" s="55">
        <f t="shared" si="118"/>
        <v>4.910978437423952E-3</v>
      </c>
      <c r="AB754" s="55">
        <f t="shared" si="114"/>
        <v>-5.3313588894853181</v>
      </c>
      <c r="AC754" s="55">
        <f t="shared" si="119"/>
        <v>-5.3164523580204213</v>
      </c>
      <c r="AD754" s="55"/>
      <c r="AE754" s="55"/>
      <c r="AF754" s="55"/>
      <c r="AG754" s="55"/>
      <c r="AH754" s="55"/>
    </row>
    <row r="755" spans="1:34" ht="15.75">
      <c r="A755" s="39">
        <v>26.117653900000001</v>
      </c>
      <c r="B755" s="39">
        <v>26.5026923</v>
      </c>
      <c r="C755" s="39">
        <v>753</v>
      </c>
      <c r="D755">
        <v>753</v>
      </c>
      <c r="E755" s="10">
        <v>1573450</v>
      </c>
      <c r="F755" s="10">
        <v>1081120</v>
      </c>
      <c r="G755" s="10">
        <v>17520</v>
      </c>
      <c r="H755" s="10">
        <v>47990</v>
      </c>
      <c r="I755" s="10">
        <v>164669</v>
      </c>
      <c r="J755" s="10">
        <v>30353</v>
      </c>
      <c r="K755">
        <v>753</v>
      </c>
      <c r="L755" s="10">
        <v>1997</v>
      </c>
      <c r="M755" s="10">
        <v>400272</v>
      </c>
      <c r="N755" s="10">
        <v>5448</v>
      </c>
      <c r="O755">
        <v>0.73441022622668073</v>
      </c>
      <c r="P755">
        <v>0.92120446127984656</v>
      </c>
      <c r="Q755">
        <v>-0.43761664810035944</v>
      </c>
      <c r="R755">
        <v>0.4376166481003595</v>
      </c>
      <c r="S755">
        <f t="shared" si="120"/>
        <v>-1.6910420390519396</v>
      </c>
      <c r="T755" s="148">
        <f t="shared" si="115"/>
        <v>-1.6541890816720191</v>
      </c>
      <c r="U755">
        <f t="shared" si="121"/>
        <v>2.1211516601425853</v>
      </c>
      <c r="V755" s="55">
        <f t="shared" si="116"/>
        <v>2.1279547648449699</v>
      </c>
      <c r="W755">
        <f t="shared" si="122"/>
        <v>0.5495522738997195</v>
      </c>
      <c r="X755" s="55">
        <f t="shared" si="117"/>
        <v>0.60193839278740746</v>
      </c>
      <c r="Y755" s="149">
        <v>26.5026923</v>
      </c>
      <c r="Z755" s="55">
        <f t="shared" si="113"/>
        <v>5.0392185881308277E-3</v>
      </c>
      <c r="AA755" s="55">
        <f t="shared" si="118"/>
        <v>4.9406681002709223E-3</v>
      </c>
      <c r="AB755" s="55">
        <f t="shared" si="114"/>
        <v>-5.2905042509566531</v>
      </c>
      <c r="AC755" s="55">
        <f t="shared" si="119"/>
        <v>-5.3103940151468549</v>
      </c>
      <c r="AD755" s="55"/>
      <c r="AE755" s="55"/>
      <c r="AF755" s="55"/>
      <c r="AG755" s="55"/>
      <c r="AH755" s="55"/>
    </row>
    <row r="756" spans="1:34" ht="15.75">
      <c r="A756" s="39">
        <v>26.1709231</v>
      </c>
      <c r="B756" s="39">
        <v>26.554153899999999</v>
      </c>
      <c r="C756" s="39">
        <v>754</v>
      </c>
      <c r="D756">
        <v>754</v>
      </c>
      <c r="E756" s="10">
        <v>1549240</v>
      </c>
      <c r="F756" s="10">
        <v>1081230</v>
      </c>
      <c r="G756" s="10">
        <v>16388</v>
      </c>
      <c r="H756" s="10">
        <v>47696</v>
      </c>
      <c r="I756" s="10">
        <v>158297</v>
      </c>
      <c r="J756" s="10">
        <v>30867</v>
      </c>
      <c r="K756">
        <v>754</v>
      </c>
      <c r="L756" s="10">
        <v>1797</v>
      </c>
      <c r="M756" s="10">
        <v>383698</v>
      </c>
      <c r="N756" s="10">
        <v>5347</v>
      </c>
      <c r="O756">
        <v>0.70997826237193096</v>
      </c>
      <c r="P756">
        <v>0.90550757678490401</v>
      </c>
      <c r="Q756">
        <v>-0.4639560034074508</v>
      </c>
      <c r="R756">
        <v>0.46395600340745086</v>
      </c>
      <c r="S756">
        <f t="shared" si="120"/>
        <v>-1.6347853632874236</v>
      </c>
      <c r="T756" s="148">
        <f t="shared" si="115"/>
        <v>-1.6531347470480757</v>
      </c>
      <c r="U756">
        <f t="shared" si="121"/>
        <v>2.0850082478980814</v>
      </c>
      <c r="V756" s="55">
        <f t="shared" si="116"/>
        <v>2.0925390215020787</v>
      </c>
      <c r="W756">
        <f t="shared" si="122"/>
        <v>0.63313829237715824</v>
      </c>
      <c r="X756" s="55">
        <f t="shared" si="117"/>
        <v>0.59822280442941933</v>
      </c>
      <c r="Y756" s="149">
        <v>26.554153899999999</v>
      </c>
      <c r="Z756" s="55">
        <f t="shared" si="113"/>
        <v>4.9452937857810087E-3</v>
      </c>
      <c r="AA756" s="55">
        <f t="shared" si="118"/>
        <v>5.0248189440575443E-3</v>
      </c>
      <c r="AB756" s="55">
        <f t="shared" si="114"/>
        <v>-5.3093189049985945</v>
      </c>
      <c r="AC756" s="55">
        <f t="shared" si="119"/>
        <v>-5.2934371721225117</v>
      </c>
      <c r="AD756" s="55"/>
      <c r="AE756" s="55"/>
      <c r="AF756" s="55"/>
      <c r="AG756" s="55"/>
      <c r="AH756" s="55"/>
    </row>
    <row r="757" spans="1:34" ht="15.75">
      <c r="A757" s="39">
        <v>26.224192299999999</v>
      </c>
      <c r="B757" s="39">
        <v>26.605615400000001</v>
      </c>
      <c r="C757" s="39">
        <v>755</v>
      </c>
      <c r="D757">
        <v>755</v>
      </c>
      <c r="E757" s="10">
        <v>1552710</v>
      </c>
      <c r="F757" s="10">
        <v>1085670</v>
      </c>
      <c r="G757" s="10">
        <v>16726</v>
      </c>
      <c r="H757" s="10">
        <v>48349</v>
      </c>
      <c r="I757" s="10">
        <v>157988</v>
      </c>
      <c r="J757" s="10">
        <v>30844</v>
      </c>
      <c r="K757">
        <v>755</v>
      </c>
      <c r="L757" s="10">
        <v>2256</v>
      </c>
      <c r="M757" s="10">
        <v>383716</v>
      </c>
      <c r="N757" s="10">
        <v>5526</v>
      </c>
      <c r="O757">
        <v>0.7094534068579107</v>
      </c>
      <c r="P757">
        <v>0.89962241255199771</v>
      </c>
      <c r="Q757">
        <v>-0.46099540357163254</v>
      </c>
      <c r="R757">
        <v>0.46099540357163254</v>
      </c>
      <c r="S757">
        <f t="shared" si="120"/>
        <v>-1.6335768388048648</v>
      </c>
      <c r="T757" s="148">
        <f t="shared" si="115"/>
        <v>-1.6428563610629023</v>
      </c>
      <c r="U757">
        <f t="shared" si="121"/>
        <v>2.0714571564655695</v>
      </c>
      <c r="V757" s="55">
        <f t="shared" si="116"/>
        <v>2.1093283892735069</v>
      </c>
      <c r="W757">
        <f t="shared" si="122"/>
        <v>0.61197784701138014</v>
      </c>
      <c r="X757" s="55">
        <f t="shared" si="117"/>
        <v>0.62810883409251073</v>
      </c>
      <c r="Y757" s="149">
        <v>26.605615400000001</v>
      </c>
      <c r="Z757" s="55">
        <f t="shared" si="113"/>
        <v>5.0899444582607973E-3</v>
      </c>
      <c r="AA757" s="55">
        <f t="shared" si="118"/>
        <v>4.9657864160982633E-3</v>
      </c>
      <c r="AB757" s="55">
        <f t="shared" si="114"/>
        <v>-5.2804883604122868</v>
      </c>
      <c r="AC757" s="55">
        <f t="shared" si="119"/>
        <v>-5.3053625936854045</v>
      </c>
      <c r="AD757" s="55"/>
      <c r="AE757" s="55"/>
      <c r="AF757" s="55"/>
      <c r="AG757" s="55"/>
      <c r="AH757" s="55"/>
    </row>
    <row r="758" spans="1:34" ht="15.75">
      <c r="A758" s="39">
        <v>26.277461500000001</v>
      </c>
      <c r="B758" s="39">
        <v>26.6570769</v>
      </c>
      <c r="C758" s="39">
        <v>756</v>
      </c>
      <c r="D758">
        <v>756</v>
      </c>
      <c r="E758" s="10">
        <v>1598710</v>
      </c>
      <c r="F758" s="10">
        <v>1093350</v>
      </c>
      <c r="G758" s="10">
        <v>16188</v>
      </c>
      <c r="H758" s="10">
        <v>47860</v>
      </c>
      <c r="I758" s="10">
        <v>161368</v>
      </c>
      <c r="J758" s="10">
        <v>30676</v>
      </c>
      <c r="K758">
        <v>756</v>
      </c>
      <c r="L758" s="10">
        <v>2142</v>
      </c>
      <c r="M758" s="10">
        <v>419809</v>
      </c>
      <c r="N758" s="10">
        <v>5316</v>
      </c>
      <c r="O758">
        <v>0.72101868727798279</v>
      </c>
      <c r="P758">
        <v>0.9430790506131731</v>
      </c>
      <c r="Q758">
        <v>-0.47077949855788953</v>
      </c>
      <c r="R758">
        <v>0.47077949855788948</v>
      </c>
      <c r="S758">
        <f t="shared" si="120"/>
        <v>-1.6602068810964188</v>
      </c>
      <c r="T758" s="148">
        <f t="shared" si="115"/>
        <v>-1.6439098458610053</v>
      </c>
      <c r="U758">
        <f t="shared" si="121"/>
        <v>2.1715197634568697</v>
      </c>
      <c r="V758" s="55">
        <f t="shared" si="116"/>
        <v>2.1182084928791043</v>
      </c>
      <c r="W758">
        <f t="shared" si="122"/>
        <v>0.63921036288899369</v>
      </c>
      <c r="X758" s="55">
        <f t="shared" si="117"/>
        <v>0.63009898994596358</v>
      </c>
      <c r="Y758" s="149">
        <v>26.6570769</v>
      </c>
      <c r="Z758" s="55">
        <f t="shared" si="113"/>
        <v>4.8621210042529839E-3</v>
      </c>
      <c r="AA758" s="55">
        <f t="shared" si="118"/>
        <v>4.9843121249849983E-3</v>
      </c>
      <c r="AB758" s="55">
        <f t="shared" si="114"/>
        <v>-5.3262805156453323</v>
      </c>
      <c r="AC758" s="55">
        <f t="shared" si="119"/>
        <v>-5.3016373584284731</v>
      </c>
      <c r="AD758" s="55"/>
      <c r="AE758" s="55"/>
      <c r="AF758" s="55"/>
      <c r="AG758" s="55"/>
      <c r="AH758" s="55"/>
    </row>
    <row r="759" spans="1:34" ht="15.75">
      <c r="A759" s="39">
        <v>26.330730800000001</v>
      </c>
      <c r="B759" s="39">
        <v>26.7085385</v>
      </c>
      <c r="C759" s="39">
        <v>757</v>
      </c>
      <c r="D759">
        <v>757</v>
      </c>
      <c r="E759" s="10">
        <v>1563630</v>
      </c>
      <c r="F759" s="10">
        <v>1090810</v>
      </c>
      <c r="G759" s="10">
        <v>16396</v>
      </c>
      <c r="H759" s="10">
        <v>47573</v>
      </c>
      <c r="I759" s="10">
        <v>159827</v>
      </c>
      <c r="J759" s="10">
        <v>31067</v>
      </c>
      <c r="K759">
        <v>757</v>
      </c>
      <c r="L759" s="10">
        <v>1918</v>
      </c>
      <c r="M759" s="10">
        <v>393041</v>
      </c>
      <c r="N759" s="10">
        <v>5455</v>
      </c>
      <c r="O759">
        <v>0.71135083027568613</v>
      </c>
      <c r="P759">
        <v>0.91707731676882487</v>
      </c>
      <c r="Q759">
        <v>-0.46262262967462392</v>
      </c>
      <c r="R759">
        <v>0.46262262967462386</v>
      </c>
      <c r="S759">
        <f t="shared" si="120"/>
        <v>-1.6379458176817321</v>
      </c>
      <c r="T759" s="148">
        <f t="shared" si="115"/>
        <v>-1.6612619149664785</v>
      </c>
      <c r="U759">
        <f t="shared" si="121"/>
        <v>2.1116485587148746</v>
      </c>
      <c r="V759" s="55">
        <f t="shared" si="116"/>
        <v>2.1469983782563253</v>
      </c>
      <c r="W759">
        <f t="shared" si="122"/>
        <v>0.6391087599375167</v>
      </c>
      <c r="X759" s="55">
        <f t="shared" si="117"/>
        <v>0.63998542939271363</v>
      </c>
      <c r="Y759" s="149">
        <v>26.7085385</v>
      </c>
      <c r="Z759" s="55">
        <f t="shared" si="113"/>
        <v>5.000870912441213E-3</v>
      </c>
      <c r="AA759" s="55">
        <f t="shared" si="118"/>
        <v>4.8178465861115289E-3</v>
      </c>
      <c r="AB759" s="55">
        <f t="shared" si="114"/>
        <v>-5.2981431992278027</v>
      </c>
      <c r="AC759" s="55">
        <f t="shared" si="119"/>
        <v>-5.3360598738093019</v>
      </c>
      <c r="AD759" s="55"/>
      <c r="AE759" s="55"/>
      <c r="AF759" s="55"/>
      <c r="AG759" s="55"/>
      <c r="AH759" s="55"/>
    </row>
    <row r="760" spans="1:34" ht="15.75">
      <c r="A760" s="39">
        <v>26.384</v>
      </c>
      <c r="B760" s="39">
        <v>26.76</v>
      </c>
      <c r="C760" s="39">
        <v>758</v>
      </c>
      <c r="D760">
        <v>758</v>
      </c>
      <c r="E760" s="10">
        <v>1582530</v>
      </c>
      <c r="F760" s="10">
        <v>1084620</v>
      </c>
      <c r="G760" s="10">
        <v>16273</v>
      </c>
      <c r="H760" s="10">
        <v>47448</v>
      </c>
      <c r="I760" s="10">
        <v>166797</v>
      </c>
      <c r="J760" s="10">
        <v>30912</v>
      </c>
      <c r="K760">
        <v>758</v>
      </c>
      <c r="L760" s="10">
        <v>1515</v>
      </c>
      <c r="M760" s="10">
        <v>410535</v>
      </c>
      <c r="N760" s="10">
        <v>4979</v>
      </c>
      <c r="O760">
        <v>0.7320611304442437</v>
      </c>
      <c r="P760">
        <v>0.93713227761385998</v>
      </c>
      <c r="Q760">
        <v>-0.46475028658613637</v>
      </c>
      <c r="R760">
        <v>0.46475028658613637</v>
      </c>
      <c r="S760">
        <f t="shared" si="120"/>
        <v>-1.685633046121285</v>
      </c>
      <c r="T760" s="148">
        <f t="shared" si="115"/>
        <v>-1.6550161803559209</v>
      </c>
      <c r="U760">
        <f t="shared" si="121"/>
        <v>2.1578268125972313</v>
      </c>
      <c r="V760" s="55">
        <f t="shared" si="116"/>
        <v>2.1255880685433524</v>
      </c>
      <c r="W760">
        <f t="shared" si="122"/>
        <v>0.64163716535163029</v>
      </c>
      <c r="X760" s="55">
        <f t="shared" si="117"/>
        <v>0.63988898672627303</v>
      </c>
      <c r="Y760" s="149">
        <v>26.76</v>
      </c>
      <c r="Z760" s="55">
        <f t="shared" si="113"/>
        <v>4.5905478416403906E-3</v>
      </c>
      <c r="AA760" s="55">
        <f t="shared" si="118"/>
        <v>4.8253437676425764E-3</v>
      </c>
      <c r="AB760" s="55">
        <f t="shared" si="114"/>
        <v>-5.3837559065547724</v>
      </c>
      <c r="AC760" s="55">
        <f t="shared" si="119"/>
        <v>-5.3345214722929866</v>
      </c>
      <c r="AD760" s="55"/>
      <c r="AE760" s="55"/>
      <c r="AF760" s="55"/>
      <c r="AG760" s="55"/>
      <c r="AH760" s="55"/>
    </row>
    <row r="761" spans="1:34" ht="15.75">
      <c r="A761" s="39">
        <v>26.437269199999999</v>
      </c>
      <c r="B761" s="39">
        <v>26.8114615</v>
      </c>
      <c r="C761" s="39">
        <v>759</v>
      </c>
      <c r="D761">
        <v>759</v>
      </c>
      <c r="E761" s="10">
        <v>1574630</v>
      </c>
      <c r="F761" s="10">
        <v>1085040</v>
      </c>
      <c r="G761" s="10">
        <v>16606</v>
      </c>
      <c r="H761" s="10">
        <v>48338</v>
      </c>
      <c r="I761" s="10">
        <v>162415</v>
      </c>
      <c r="J761" s="10">
        <v>31459</v>
      </c>
      <c r="K761">
        <v>759</v>
      </c>
      <c r="L761" s="10">
        <v>2283</v>
      </c>
      <c r="M761" s="10">
        <v>397624</v>
      </c>
      <c r="N761" s="10">
        <v>5300</v>
      </c>
      <c r="O761">
        <v>0.71288122304759072</v>
      </c>
      <c r="P761">
        <v>0.91518391252062148</v>
      </c>
      <c r="Q761">
        <v>-0.46402364378492439</v>
      </c>
      <c r="R761">
        <v>0.46402364378492439</v>
      </c>
      <c r="S761">
        <f t="shared" si="120"/>
        <v>-1.6414696772647457</v>
      </c>
      <c r="T761" s="148">
        <f t="shared" si="115"/>
        <v>-1.6829585775423703</v>
      </c>
      <c r="U761">
        <f t="shared" si="121"/>
        <v>2.1072888343179499</v>
      </c>
      <c r="V761" s="55">
        <f t="shared" si="116"/>
        <v>2.1632545048261829</v>
      </c>
      <c r="W761">
        <f t="shared" si="122"/>
        <v>0.63892103488967189</v>
      </c>
      <c r="X761" s="55">
        <f t="shared" si="117"/>
        <v>0.64784690636305642</v>
      </c>
      <c r="Y761" s="149">
        <v>26.8114615</v>
      </c>
      <c r="Z761" s="55">
        <f t="shared" si="113"/>
        <v>4.8846125488461256E-3</v>
      </c>
      <c r="AA761" s="55">
        <f t="shared" si="118"/>
        <v>4.7135139427023354E-3</v>
      </c>
      <c r="AB761" s="55">
        <f t="shared" si="114"/>
        <v>-5.3216653110963836</v>
      </c>
      <c r="AC761" s="55">
        <f t="shared" si="119"/>
        <v>-5.3576689666138613</v>
      </c>
      <c r="AD761" s="55"/>
      <c r="AE761" s="55"/>
      <c r="AF761" s="55"/>
      <c r="AG761" s="55"/>
      <c r="AH761" s="55"/>
    </row>
    <row r="762" spans="1:34" ht="15.75">
      <c r="A762" s="39">
        <v>26.4905385</v>
      </c>
      <c r="B762" s="39">
        <v>26.8629231</v>
      </c>
      <c r="C762" s="39">
        <v>760</v>
      </c>
      <c r="D762">
        <v>760</v>
      </c>
      <c r="E762" s="10">
        <v>1593390</v>
      </c>
      <c r="F762" s="10">
        <v>1089300</v>
      </c>
      <c r="G762" s="10">
        <v>15363</v>
      </c>
      <c r="H762" s="10">
        <v>46682</v>
      </c>
      <c r="I762" s="10">
        <v>166787</v>
      </c>
      <c r="J762" s="10">
        <v>29813</v>
      </c>
      <c r="K762">
        <v>760</v>
      </c>
      <c r="L762" s="10">
        <v>2303</v>
      </c>
      <c r="M762" s="10">
        <v>431819</v>
      </c>
      <c r="N762" s="10">
        <v>5082</v>
      </c>
      <c r="O762">
        <v>0.74775651700335777</v>
      </c>
      <c r="P762">
        <v>0.9661522930606069</v>
      </c>
      <c r="Q762">
        <v>-0.48267342372495176</v>
      </c>
      <c r="R762">
        <v>0.48267342372495176</v>
      </c>
      <c r="S762">
        <f t="shared" si="120"/>
        <v>-1.7217730092410801</v>
      </c>
      <c r="T762" s="148">
        <f t="shared" si="115"/>
        <v>-1.6702897867935953</v>
      </c>
      <c r="U762">
        <f t="shared" si="121"/>
        <v>2.2246478675633679</v>
      </c>
      <c r="V762" s="55">
        <f t="shared" si="116"/>
        <v>2.183756142160346</v>
      </c>
      <c r="W762">
        <f t="shared" si="122"/>
        <v>0.66298251884786674</v>
      </c>
      <c r="X762" s="55">
        <f t="shared" si="117"/>
        <v>0.64231319677416765</v>
      </c>
      <c r="Y762" s="149">
        <v>26.8629231</v>
      </c>
      <c r="Z762" s="55">
        <f t="shared" si="113"/>
        <v>4.6653814376204899E-3</v>
      </c>
      <c r="AA762" s="55">
        <f t="shared" si="118"/>
        <v>4.7384223083034287E-3</v>
      </c>
      <c r="AB762" s="55">
        <f t="shared" si="114"/>
        <v>-5.3675856821904278</v>
      </c>
      <c r="AC762" s="55">
        <f t="shared" si="119"/>
        <v>-5.3522866439920618</v>
      </c>
      <c r="AD762" s="55"/>
      <c r="AE762" s="55"/>
      <c r="AF762" s="55"/>
      <c r="AG762" s="55"/>
      <c r="AH762" s="55"/>
    </row>
    <row r="763" spans="1:34" ht="15.75">
      <c r="A763" s="39">
        <v>26.543807699999999</v>
      </c>
      <c r="B763" s="39">
        <v>26.914384600000002</v>
      </c>
      <c r="C763" s="39">
        <v>761</v>
      </c>
      <c r="D763">
        <v>761</v>
      </c>
      <c r="E763" s="10">
        <v>1551940</v>
      </c>
      <c r="F763" s="10">
        <v>1076250</v>
      </c>
      <c r="G763" s="10">
        <v>15628</v>
      </c>
      <c r="H763" s="10">
        <v>45089</v>
      </c>
      <c r="I763" s="10">
        <v>151673</v>
      </c>
      <c r="J763" s="10">
        <v>29198</v>
      </c>
      <c r="K763">
        <v>761</v>
      </c>
      <c r="L763" s="10">
        <v>1662</v>
      </c>
      <c r="M763" s="10">
        <v>414872</v>
      </c>
      <c r="N763" s="10">
        <v>5021</v>
      </c>
      <c r="O763">
        <v>0.71555517270050362</v>
      </c>
      <c r="P763">
        <v>0.96384352150648578</v>
      </c>
      <c r="Q763">
        <v>-0.46016720092197999</v>
      </c>
      <c r="R763">
        <v>0.46016720092197994</v>
      </c>
      <c r="S763">
        <f t="shared" si="120"/>
        <v>-1.6476266738749596</v>
      </c>
      <c r="T763" s="148">
        <f t="shared" si="115"/>
        <v>-1.6545377469934397</v>
      </c>
      <c r="U763">
        <f t="shared" si="121"/>
        <v>2.2193317245997202</v>
      </c>
      <c r="V763" s="55">
        <f t="shared" si="116"/>
        <v>2.189628754995002</v>
      </c>
      <c r="W763">
        <f t="shared" si="122"/>
        <v>0.62503603658496398</v>
      </c>
      <c r="X763" s="55">
        <f t="shared" si="117"/>
        <v>0.63856922871443922</v>
      </c>
      <c r="Y763" s="149">
        <v>26.914384600000002</v>
      </c>
      <c r="Z763" s="55">
        <f t="shared" si="113"/>
        <v>4.6652729384436698E-3</v>
      </c>
      <c r="AA763" s="55">
        <f t="shared" si="118"/>
        <v>4.6971996276417268E-3</v>
      </c>
      <c r="AB763" s="55">
        <f t="shared" si="114"/>
        <v>-5.3676089386893722</v>
      </c>
      <c r="AC763" s="55">
        <f t="shared" si="119"/>
        <v>-5.3608346084970888</v>
      </c>
      <c r="AD763" s="55"/>
      <c r="AE763" s="55"/>
      <c r="AF763" s="55"/>
      <c r="AG763" s="55"/>
      <c r="AH763" s="55"/>
    </row>
    <row r="764" spans="1:34" ht="15.75">
      <c r="A764" s="39">
        <v>26.597076900000001</v>
      </c>
      <c r="B764" s="39">
        <v>26.965846200000001</v>
      </c>
      <c r="C764" s="39">
        <v>762</v>
      </c>
      <c r="D764">
        <v>762</v>
      </c>
      <c r="E764" s="10">
        <v>1489250</v>
      </c>
      <c r="F764" s="10">
        <v>1041390</v>
      </c>
      <c r="G764" s="10">
        <v>15885</v>
      </c>
      <c r="H764" s="10">
        <v>45338</v>
      </c>
      <c r="I764" s="10">
        <v>146537</v>
      </c>
      <c r="J764" s="10">
        <v>29757</v>
      </c>
      <c r="K764">
        <v>762</v>
      </c>
      <c r="L764" s="10">
        <v>1850</v>
      </c>
      <c r="M764" s="10">
        <v>379575</v>
      </c>
      <c r="N764" s="10">
        <v>4958</v>
      </c>
      <c r="O764">
        <v>0.6923581511558069</v>
      </c>
      <c r="P764">
        <v>0.92283524256595739</v>
      </c>
      <c r="Q764">
        <v>-0.45547513897136405</v>
      </c>
      <c r="R764">
        <v>0.45547513897136405</v>
      </c>
      <c r="S764">
        <f t="shared" si="120"/>
        <v>-1.5942135578642791</v>
      </c>
      <c r="T764" s="148">
        <f t="shared" si="115"/>
        <v>-1.620219809822762</v>
      </c>
      <c r="U764">
        <f t="shared" si="121"/>
        <v>2.1249066728219179</v>
      </c>
      <c r="V764" s="55">
        <f t="shared" si="116"/>
        <v>2.1374952608027726</v>
      </c>
      <c r="W764">
        <f t="shared" si="122"/>
        <v>0.62768913071048693</v>
      </c>
      <c r="X764" s="55">
        <f t="shared" si="117"/>
        <v>0.61187606684883233</v>
      </c>
      <c r="Y764" s="149">
        <v>26.965846200000001</v>
      </c>
      <c r="Z764" s="55">
        <f t="shared" si="113"/>
        <v>4.7609445068610224E-3</v>
      </c>
      <c r="AA764" s="55">
        <f t="shared" si="118"/>
        <v>4.8499898285649769E-3</v>
      </c>
      <c r="AB764" s="55">
        <f t="shared" si="114"/>
        <v>-5.3473092046114665</v>
      </c>
      <c r="AC764" s="55">
        <f t="shared" si="119"/>
        <v>-5.3295954770748644</v>
      </c>
      <c r="AD764" s="55"/>
      <c r="AE764" s="55"/>
      <c r="AF764" s="55"/>
      <c r="AG764" s="55"/>
      <c r="AH764" s="55"/>
    </row>
    <row r="765" spans="1:34" ht="15.75">
      <c r="A765" s="39">
        <v>26.650346200000001</v>
      </c>
      <c r="B765" s="39">
        <v>27.0173077</v>
      </c>
      <c r="C765" s="39">
        <v>763</v>
      </c>
      <c r="D765">
        <v>763</v>
      </c>
      <c r="E765" s="10">
        <v>1517410</v>
      </c>
      <c r="F765" s="10">
        <v>1053720</v>
      </c>
      <c r="G765" s="10">
        <v>17402</v>
      </c>
      <c r="H765" s="10">
        <v>47140</v>
      </c>
      <c r="I765" s="10">
        <v>157324</v>
      </c>
      <c r="J765" s="10">
        <v>31171</v>
      </c>
      <c r="K765">
        <v>763</v>
      </c>
      <c r="L765" s="10">
        <v>2230</v>
      </c>
      <c r="M765" s="10">
        <v>372922</v>
      </c>
      <c r="N765" s="10">
        <v>5399</v>
      </c>
      <c r="O765">
        <v>0.70304424477277438</v>
      </c>
      <c r="P765">
        <v>0.89822842651054569</v>
      </c>
      <c r="Q765">
        <v>-0.43279041386842215</v>
      </c>
      <c r="R765">
        <v>0.43279041386842221</v>
      </c>
      <c r="S765">
        <f t="shared" si="120"/>
        <v>-1.6188191977290474</v>
      </c>
      <c r="T765" s="148">
        <f t="shared" si="115"/>
        <v>-1.6142945865310612</v>
      </c>
      <c r="U765">
        <f t="shared" si="121"/>
        <v>2.0682473849866803</v>
      </c>
      <c r="V765" s="55">
        <f t="shared" si="116"/>
        <v>2.1224574071830355</v>
      </c>
      <c r="W765">
        <f t="shared" si="122"/>
        <v>0.58290303325104598</v>
      </c>
      <c r="X765" s="55">
        <f t="shared" si="117"/>
        <v>0.60434393545979515</v>
      </c>
      <c r="Y765" s="149">
        <v>27.0173077</v>
      </c>
      <c r="Z765" s="55">
        <f t="shared" si="113"/>
        <v>5.1237520403902368E-3</v>
      </c>
      <c r="AA765" s="55">
        <f t="shared" si="118"/>
        <v>4.8472862257952082E-3</v>
      </c>
      <c r="AB765" s="55">
        <f t="shared" si="114"/>
        <v>-5.2738682879237544</v>
      </c>
      <c r="AC765" s="55">
        <f t="shared" si="119"/>
        <v>-5.3301754979453877</v>
      </c>
      <c r="AD765" s="55"/>
      <c r="AE765" s="55"/>
      <c r="AF765" s="55"/>
      <c r="AG765" s="55"/>
      <c r="AH765" s="55"/>
    </row>
    <row r="766" spans="1:34" ht="15.75">
      <c r="A766" s="39">
        <v>26.7036154</v>
      </c>
      <c r="B766" s="39">
        <v>27.068769199999998</v>
      </c>
      <c r="C766" s="39">
        <v>764</v>
      </c>
      <c r="D766">
        <v>764</v>
      </c>
      <c r="E766" s="10">
        <v>1584130</v>
      </c>
      <c r="F766" s="10">
        <v>1097020</v>
      </c>
      <c r="G766" s="10">
        <v>17298</v>
      </c>
      <c r="H766" s="10">
        <v>46953</v>
      </c>
      <c r="I766" s="10">
        <v>161238</v>
      </c>
      <c r="J766" s="10">
        <v>31596</v>
      </c>
      <c r="K766">
        <v>764</v>
      </c>
      <c r="L766" s="10">
        <v>1734</v>
      </c>
      <c r="M766" s="10">
        <v>412966</v>
      </c>
      <c r="N766" s="10">
        <v>5109</v>
      </c>
      <c r="O766">
        <v>0.70783529736161244</v>
      </c>
      <c r="P766">
        <v>0.9442509509663235</v>
      </c>
      <c r="Q766">
        <v>-0.43366745338984836</v>
      </c>
      <c r="R766">
        <v>0.4336674533898483</v>
      </c>
      <c r="S766">
        <f t="shared" si="120"/>
        <v>-1.6298510039998564</v>
      </c>
      <c r="T766" s="148">
        <f t="shared" si="115"/>
        <v>-1.601906646358022</v>
      </c>
      <c r="U766">
        <f t="shared" si="121"/>
        <v>2.174218163740508</v>
      </c>
      <c r="V766" s="55">
        <f t="shared" si="116"/>
        <v>2.1400481843372536</v>
      </c>
      <c r="W766">
        <f t="shared" si="122"/>
        <v>0.60243964241785253</v>
      </c>
      <c r="X766" s="55">
        <f t="shared" si="117"/>
        <v>0.62510002028691458</v>
      </c>
      <c r="Y766" s="149">
        <v>27.068769199999998</v>
      </c>
      <c r="Z766" s="55">
        <f t="shared" si="113"/>
        <v>4.6571621301343636E-3</v>
      </c>
      <c r="AA766" s="55">
        <f t="shared" si="118"/>
        <v>4.8848789456362946E-3</v>
      </c>
      <c r="AB766" s="55">
        <f t="shared" si="114"/>
        <v>-5.3693490013009422</v>
      </c>
      <c r="AC766" s="55">
        <f t="shared" si="119"/>
        <v>-5.3223715050804854</v>
      </c>
      <c r="AD766" s="55"/>
      <c r="AE766" s="55"/>
      <c r="AF766" s="55"/>
      <c r="AG766" s="55"/>
      <c r="AH766" s="55"/>
    </row>
    <row r="767" spans="1:34" ht="15.75">
      <c r="A767" s="39">
        <v>26.756884599999999</v>
      </c>
      <c r="B767" s="39">
        <v>27.120230800000002</v>
      </c>
      <c r="C767" s="39">
        <v>765</v>
      </c>
      <c r="D767">
        <v>765</v>
      </c>
      <c r="E767" s="10">
        <v>1088480</v>
      </c>
      <c r="F767" s="10">
        <v>755480</v>
      </c>
      <c r="G767" s="10">
        <v>10205</v>
      </c>
      <c r="H767" s="10">
        <v>30677</v>
      </c>
      <c r="I767" s="10">
        <v>96533</v>
      </c>
      <c r="J767" s="10">
        <v>20345</v>
      </c>
      <c r="K767">
        <v>765</v>
      </c>
      <c r="L767" s="10">
        <v>1071</v>
      </c>
      <c r="M767" s="10">
        <v>270749</v>
      </c>
      <c r="N767" s="10">
        <v>3682</v>
      </c>
      <c r="O767">
        <v>0.67621810897791179</v>
      </c>
      <c r="P767">
        <v>0.94575397491735758</v>
      </c>
      <c r="Q767">
        <v>-0.47799987728254112</v>
      </c>
      <c r="R767">
        <v>0.47799987728254106</v>
      </c>
      <c r="S767">
        <f t="shared" si="120"/>
        <v>-1.5570497373451626</v>
      </c>
      <c r="T767" s="148">
        <f t="shared" si="115"/>
        <v>-1.5148006407969925</v>
      </c>
      <c r="U767">
        <f t="shared" si="121"/>
        <v>2.1776790042845722</v>
      </c>
      <c r="V767" s="55">
        <f t="shared" si="116"/>
        <v>2.1755682330354404</v>
      </c>
      <c r="W767">
        <f t="shared" si="122"/>
        <v>0.68995738519184513</v>
      </c>
      <c r="X767" s="55">
        <f t="shared" si="117"/>
        <v>0.60917474717239573</v>
      </c>
      <c r="Y767" s="149">
        <v>27.120230800000002</v>
      </c>
      <c r="Z767" s="55">
        <f t="shared" si="113"/>
        <v>4.8737226663842859E-3</v>
      </c>
      <c r="AA767" s="55">
        <f t="shared" si="118"/>
        <v>4.6837015084546345E-3</v>
      </c>
      <c r="AB767" s="55">
        <f t="shared" si="114"/>
        <v>-5.3238972260167587</v>
      </c>
      <c r="AC767" s="55">
        <f t="shared" si="119"/>
        <v>-5.3641469670202895</v>
      </c>
      <c r="AD767" s="55"/>
      <c r="AE767" s="55"/>
      <c r="AF767" s="55"/>
      <c r="AG767" s="55"/>
      <c r="AH767" s="55"/>
    </row>
    <row r="768" spans="1:34" ht="15.75">
      <c r="A768" s="39">
        <v>26.8101539</v>
      </c>
      <c r="B768" s="39">
        <v>27.1716923</v>
      </c>
      <c r="C768" s="39">
        <v>766</v>
      </c>
      <c r="D768">
        <v>766</v>
      </c>
      <c r="E768" s="10">
        <v>1461590</v>
      </c>
      <c r="F768" s="10">
        <v>1026720</v>
      </c>
      <c r="G768" s="10">
        <v>18342</v>
      </c>
      <c r="H768" s="10">
        <v>46830</v>
      </c>
      <c r="I768" s="10">
        <v>121732</v>
      </c>
      <c r="J768" s="10">
        <v>31322</v>
      </c>
      <c r="K768">
        <v>766</v>
      </c>
      <c r="L768" s="10">
        <v>1749</v>
      </c>
      <c r="M768" s="10">
        <v>412127</v>
      </c>
      <c r="N768" s="10">
        <v>4641</v>
      </c>
      <c r="O768">
        <v>0.58955527210540715</v>
      </c>
      <c r="P768">
        <v>0.94450690995021835</v>
      </c>
      <c r="Q768">
        <v>-0.40707746867234751</v>
      </c>
      <c r="R768">
        <v>0.40707746867234751</v>
      </c>
      <c r="S768">
        <f t="shared" si="120"/>
        <v>-1.357501181045959</v>
      </c>
      <c r="T768" s="148">
        <f t="shared" si="115"/>
        <v>-1.4294102483977982</v>
      </c>
      <c r="U768">
        <f t="shared" si="121"/>
        <v>2.174807531081242</v>
      </c>
      <c r="V768" s="55">
        <f t="shared" si="116"/>
        <v>2.1775693186916247</v>
      </c>
      <c r="W768">
        <f t="shared" si="122"/>
        <v>0.53512721390748963</v>
      </c>
      <c r="X768" s="55">
        <f t="shared" si="117"/>
        <v>0.5994258730333043</v>
      </c>
      <c r="Y768" s="149">
        <v>27.1716923</v>
      </c>
      <c r="Z768" s="55">
        <f t="shared" si="113"/>
        <v>4.5202197288452548E-3</v>
      </c>
      <c r="AA768" s="55">
        <f t="shared" si="118"/>
        <v>4.6143840000451948E-3</v>
      </c>
      <c r="AB768" s="55">
        <f t="shared" si="114"/>
        <v>-5.3991946737431666</v>
      </c>
      <c r="AC768" s="55">
        <f t="shared" si="119"/>
        <v>-5.3793735717382347</v>
      </c>
      <c r="AD768" s="55"/>
      <c r="AE768" s="55"/>
      <c r="AF768" s="55"/>
      <c r="AG768" s="55"/>
      <c r="AH768" s="55"/>
    </row>
    <row r="769" spans="1:34" ht="15.75">
      <c r="A769" s="39">
        <v>26.863423099999999</v>
      </c>
      <c r="B769" s="39">
        <v>27.2231539</v>
      </c>
      <c r="C769" s="39">
        <v>767</v>
      </c>
      <c r="D769">
        <v>767</v>
      </c>
      <c r="E769" s="10">
        <v>1361460</v>
      </c>
      <c r="F769" s="10">
        <v>965340</v>
      </c>
      <c r="G769" s="10">
        <v>16167</v>
      </c>
      <c r="H769" s="10">
        <v>43464</v>
      </c>
      <c r="I769" s="10">
        <v>113278</v>
      </c>
      <c r="J769" s="10">
        <v>28679</v>
      </c>
      <c r="K769">
        <v>767</v>
      </c>
      <c r="L769" s="10">
        <v>1157</v>
      </c>
      <c r="M769" s="10">
        <v>384581</v>
      </c>
      <c r="N769" s="10">
        <v>4295</v>
      </c>
      <c r="O769">
        <v>0.59658156868204182</v>
      </c>
      <c r="P769">
        <v>0.94685813234121308</v>
      </c>
      <c r="Q769">
        <v>-0.42950025370997658</v>
      </c>
      <c r="R769">
        <v>0.42950025370997658</v>
      </c>
      <c r="S769">
        <f t="shared" si="120"/>
        <v>-1.3736798268022727</v>
      </c>
      <c r="T769" s="148">
        <f t="shared" si="115"/>
        <v>-1.3765837979002606</v>
      </c>
      <c r="U769">
        <f t="shared" si="121"/>
        <v>2.1802214207090604</v>
      </c>
      <c r="V769" s="55">
        <f t="shared" si="116"/>
        <v>2.1777380913529019</v>
      </c>
      <c r="W769">
        <f t="shared" si="122"/>
        <v>0.57319302000057804</v>
      </c>
      <c r="X769" s="55">
        <f t="shared" si="117"/>
        <v>0.58315618617000575</v>
      </c>
      <c r="Y769" s="149">
        <v>27.2231539</v>
      </c>
      <c r="Z769" s="55">
        <f t="shared" si="113"/>
        <v>4.4492096049060436E-3</v>
      </c>
      <c r="AA769" s="55">
        <f t="shared" si="118"/>
        <v>4.5008700043061081E-3</v>
      </c>
      <c r="AB769" s="55">
        <f t="shared" si="114"/>
        <v>-5.4150288154547797</v>
      </c>
      <c r="AC769" s="55">
        <f t="shared" si="119"/>
        <v>-5.4035183127954385</v>
      </c>
      <c r="AD769" s="55"/>
      <c r="AE769" s="55"/>
      <c r="AF769" s="55"/>
      <c r="AG769" s="55"/>
      <c r="AH769" s="55"/>
    </row>
    <row r="770" spans="1:34" ht="15.75">
      <c r="A770" s="39">
        <v>26.916692300000001</v>
      </c>
      <c r="B770" s="39">
        <v>27.274615399999998</v>
      </c>
      <c r="C770" s="39">
        <v>768</v>
      </c>
      <c r="D770">
        <v>768</v>
      </c>
      <c r="E770" s="10">
        <v>1276380</v>
      </c>
      <c r="F770" s="10">
        <v>925840</v>
      </c>
      <c r="G770" s="10">
        <v>13805</v>
      </c>
      <c r="H770" s="10">
        <v>40393</v>
      </c>
      <c r="I770" s="10">
        <v>106139</v>
      </c>
      <c r="J770" s="10">
        <v>26211</v>
      </c>
      <c r="K770">
        <v>768</v>
      </c>
      <c r="L770" s="10">
        <v>1373</v>
      </c>
      <c r="M770" s="10">
        <v>356681</v>
      </c>
      <c r="N770" s="10">
        <v>4197</v>
      </c>
      <c r="O770">
        <v>0.6073914011290642</v>
      </c>
      <c r="P770">
        <v>0.94597386602382383</v>
      </c>
      <c r="Q770">
        <v>-0.46626969857157541</v>
      </c>
      <c r="R770">
        <v>0.46626969857157535</v>
      </c>
      <c r="S770">
        <f t="shared" si="120"/>
        <v>-1.39857038585255</v>
      </c>
      <c r="T770" s="148">
        <f t="shared" si="115"/>
        <v>-1.4037084936247775</v>
      </c>
      <c r="U770">
        <f t="shared" si="121"/>
        <v>2.1781853222684031</v>
      </c>
      <c r="V770" s="55">
        <f t="shared" si="116"/>
        <v>2.1750061971406929</v>
      </c>
      <c r="W770">
        <f t="shared" si="122"/>
        <v>0.64114832460194948</v>
      </c>
      <c r="X770" s="55">
        <f t="shared" si="117"/>
        <v>0.65492538809898726</v>
      </c>
      <c r="Y770" s="149">
        <v>27.274615399999998</v>
      </c>
      <c r="Z770" s="55">
        <f t="shared" si="113"/>
        <v>4.5331806791670268E-3</v>
      </c>
      <c r="AA770" s="55">
        <f t="shared" si="118"/>
        <v>4.4543823236961643E-3</v>
      </c>
      <c r="AB770" s="55">
        <f t="shared" si="114"/>
        <v>-5.3963314491883683</v>
      </c>
      <c r="AC770" s="55">
        <f t="shared" si="119"/>
        <v>-5.4139646915218629</v>
      </c>
      <c r="AD770" s="55"/>
      <c r="AE770" s="55"/>
      <c r="AF770" s="55"/>
      <c r="AG770" s="55"/>
      <c r="AH770" s="55"/>
    </row>
    <row r="771" spans="1:34" ht="15.75">
      <c r="A771" s="39">
        <v>26.9699615</v>
      </c>
      <c r="B771" s="39">
        <v>27.3260769</v>
      </c>
      <c r="C771" s="39">
        <v>769</v>
      </c>
      <c r="D771">
        <v>769</v>
      </c>
      <c r="E771" s="10">
        <v>1169980</v>
      </c>
      <c r="F771" s="10">
        <v>837070</v>
      </c>
      <c r="G771" s="10">
        <v>11177</v>
      </c>
      <c r="H771" s="10">
        <v>36832</v>
      </c>
      <c r="I771" s="10">
        <v>99800</v>
      </c>
      <c r="J771" s="10">
        <v>23672</v>
      </c>
      <c r="K771">
        <v>769</v>
      </c>
      <c r="L771" s="10">
        <v>979</v>
      </c>
      <c r="M771" s="10">
        <v>321494</v>
      </c>
      <c r="N771" s="10">
        <v>3667</v>
      </c>
      <c r="O771">
        <v>0.62489558913479448</v>
      </c>
      <c r="P771">
        <v>0.94094757020570086</v>
      </c>
      <c r="Q771">
        <v>-0.51790005101847558</v>
      </c>
      <c r="R771">
        <v>0.51790005101847558</v>
      </c>
      <c r="S771">
        <f t="shared" si="120"/>
        <v>-1.4388752682195098</v>
      </c>
      <c r="T771" s="148">
        <f t="shared" si="115"/>
        <v>-1.4034393300855326</v>
      </c>
      <c r="U771">
        <f t="shared" si="121"/>
        <v>2.1666118484446151</v>
      </c>
      <c r="V771" s="55">
        <f t="shared" si="116"/>
        <v>2.1865250887919268</v>
      </c>
      <c r="W771">
        <f t="shared" si="122"/>
        <v>0.75043481969443415</v>
      </c>
      <c r="X771" s="55">
        <f t="shared" si="117"/>
        <v>0.73265229144872546</v>
      </c>
      <c r="Y771" s="149">
        <v>27.3260769</v>
      </c>
      <c r="Z771" s="55">
        <f t="shared" ref="Z771:Z834" si="123">N771/F771</f>
        <v>4.3807566870154233E-3</v>
      </c>
      <c r="AA771" s="55">
        <f t="shared" si="118"/>
        <v>4.3755371313423013E-3</v>
      </c>
      <c r="AB771" s="55">
        <f t="shared" ref="AB771:AB834" si="124">LN(Z771)</f>
        <v>-5.4305338099224398</v>
      </c>
      <c r="AC771" s="55">
        <f t="shared" si="119"/>
        <v>-5.43217431033995</v>
      </c>
      <c r="AD771" s="55"/>
      <c r="AE771" s="55"/>
      <c r="AF771" s="55"/>
      <c r="AG771" s="55"/>
      <c r="AH771" s="55"/>
    </row>
    <row r="772" spans="1:34" ht="15.75">
      <c r="A772" s="39">
        <v>27.0232308</v>
      </c>
      <c r="B772" s="39">
        <v>27.3775385</v>
      </c>
      <c r="C772" s="39">
        <v>770</v>
      </c>
      <c r="D772">
        <v>770</v>
      </c>
      <c r="E772" s="10">
        <v>1041600</v>
      </c>
      <c r="F772" s="10">
        <v>749880</v>
      </c>
      <c r="G772" s="10">
        <v>9092</v>
      </c>
      <c r="H772" s="10">
        <v>31686</v>
      </c>
      <c r="I772" s="10">
        <v>80370</v>
      </c>
      <c r="J772" s="10">
        <v>20364</v>
      </c>
      <c r="K772">
        <v>770</v>
      </c>
      <c r="L772" s="10">
        <v>868</v>
      </c>
      <c r="M772" s="10">
        <v>290224</v>
      </c>
      <c r="N772" s="10">
        <v>3159</v>
      </c>
      <c r="O772">
        <v>0.59623087996257074</v>
      </c>
      <c r="P772">
        <v>0.96186590558653018</v>
      </c>
      <c r="Q772">
        <v>-0.54220799081920523</v>
      </c>
      <c r="R772">
        <v>0.54220799081920523</v>
      </c>
      <c r="S772">
        <f t="shared" si="120"/>
        <v>-1.3728723361845374</v>
      </c>
      <c r="T772" s="148">
        <f t="shared" ref="T772:T835" si="125">AVERAGE(S771:S773)</f>
        <v>-1.3874902775585884</v>
      </c>
      <c r="U772">
        <f t="shared" si="121"/>
        <v>2.2147780956627625</v>
      </c>
      <c r="V772" s="55">
        <f t="shared" ref="V772:V835" si="126">AVERAGE(U771:U773)</f>
        <v>2.2054488103649281</v>
      </c>
      <c r="W772">
        <f t="shared" si="122"/>
        <v>0.80637373004979285</v>
      </c>
      <c r="X772" s="55">
        <f t="shared" ref="X772:X835" si="127">AVERAGE(W771:W773)</f>
        <v>0.84688345467121773</v>
      </c>
      <c r="Y772" s="149">
        <v>27.3775385</v>
      </c>
      <c r="Z772" s="55">
        <f t="shared" si="123"/>
        <v>4.2126740278444555E-3</v>
      </c>
      <c r="AA772" s="55">
        <f t="shared" ref="AA772:AA835" si="128">AVERAGE(Z771:Z773)</f>
        <v>4.3190187192764752E-3</v>
      </c>
      <c r="AB772" s="55">
        <f t="shared" si="124"/>
        <v>-5.4696576719090428</v>
      </c>
      <c r="AC772" s="55">
        <f t="shared" ref="AC772:AC835" si="129">AVERAGE(AB771:AB773)</f>
        <v>-5.4448811751200141</v>
      </c>
      <c r="AD772" s="55"/>
      <c r="AE772" s="55"/>
      <c r="AF772" s="55"/>
      <c r="AG772" s="55"/>
      <c r="AH772" s="55"/>
    </row>
    <row r="773" spans="1:34" ht="15.75">
      <c r="A773" s="39">
        <v>27.076499999999999</v>
      </c>
      <c r="B773" s="39">
        <v>27.428999999999998</v>
      </c>
      <c r="C773" s="39">
        <v>771</v>
      </c>
      <c r="D773">
        <v>771</v>
      </c>
      <c r="E773" s="10">
        <v>882220</v>
      </c>
      <c r="F773" s="10">
        <v>665960</v>
      </c>
      <c r="G773" s="10">
        <v>6256</v>
      </c>
      <c r="H773" s="10">
        <v>24931</v>
      </c>
      <c r="I773" s="10">
        <v>64593</v>
      </c>
      <c r="J773" s="10">
        <v>16733</v>
      </c>
      <c r="K773">
        <v>771</v>
      </c>
      <c r="L773" s="10">
        <v>913</v>
      </c>
      <c r="M773" s="10">
        <v>233007</v>
      </c>
      <c r="N773" s="10">
        <v>2906</v>
      </c>
      <c r="O773">
        <v>0.58661164461695336</v>
      </c>
      <c r="P773">
        <v>0.9706292695925075</v>
      </c>
      <c r="Q773">
        <v>-0.60044295865943698</v>
      </c>
      <c r="R773">
        <v>0.60044295865943709</v>
      </c>
      <c r="S773">
        <f t="shared" si="120"/>
        <v>-1.3507232282717179</v>
      </c>
      <c r="T773" s="148">
        <f t="shared" si="125"/>
        <v>-1.3771401369781326</v>
      </c>
      <c r="U773">
        <f t="shared" si="121"/>
        <v>2.2349564869874063</v>
      </c>
      <c r="V773" s="55">
        <f t="shared" si="126"/>
        <v>2.225083352113034</v>
      </c>
      <c r="W773">
        <f t="shared" si="122"/>
        <v>0.98384181426942652</v>
      </c>
      <c r="X773" s="55">
        <f t="shared" si="127"/>
        <v>0.94692255651641732</v>
      </c>
      <c r="Y773" s="149">
        <v>27.428999999999998</v>
      </c>
      <c r="Z773" s="55">
        <f t="shared" si="123"/>
        <v>4.3636254429695476E-3</v>
      </c>
      <c r="AA773" s="55">
        <f t="shared" si="128"/>
        <v>4.3389428012382486E-3</v>
      </c>
      <c r="AB773" s="55">
        <f t="shared" si="124"/>
        <v>-5.4344520435285606</v>
      </c>
      <c r="AC773" s="55">
        <f t="shared" si="129"/>
        <v>-5.4403638320130687</v>
      </c>
      <c r="AD773" s="55"/>
      <c r="AE773" s="55"/>
      <c r="AF773" s="55"/>
      <c r="AG773" s="55"/>
      <c r="AH773" s="55"/>
    </row>
    <row r="774" spans="1:34" ht="15.75">
      <c r="A774" s="39">
        <v>27.129769199999998</v>
      </c>
      <c r="B774" s="39">
        <v>27.480461500000001</v>
      </c>
      <c r="C774" s="39">
        <v>772</v>
      </c>
      <c r="D774">
        <v>772</v>
      </c>
      <c r="E774" s="10">
        <v>770005</v>
      </c>
      <c r="F774" s="10">
        <v>590245</v>
      </c>
      <c r="G774" s="10">
        <v>4827</v>
      </c>
      <c r="H774" s="10">
        <v>20263</v>
      </c>
      <c r="I774" s="10">
        <v>56407.5</v>
      </c>
      <c r="J774" s="10">
        <v>13801.5</v>
      </c>
      <c r="K774">
        <v>772</v>
      </c>
      <c r="L774" s="10">
        <v>954</v>
      </c>
      <c r="M774" s="10">
        <v>187600</v>
      </c>
      <c r="N774" s="10">
        <v>2621</v>
      </c>
      <c r="O774">
        <v>0.61141056231174984</v>
      </c>
      <c r="P774">
        <v>0.96652908961340478</v>
      </c>
      <c r="Q774">
        <v>-0.62302644561094878</v>
      </c>
      <c r="R774">
        <v>0.62302644561094878</v>
      </c>
      <c r="S774">
        <f t="shared" si="120"/>
        <v>-1.4078248464781422</v>
      </c>
      <c r="T774" s="148">
        <f t="shared" si="125"/>
        <v>-1.4161189073584595</v>
      </c>
      <c r="U774">
        <f t="shared" si="121"/>
        <v>2.2255154736889322</v>
      </c>
      <c r="V774" s="55">
        <f t="shared" si="126"/>
        <v>2.223568966777473</v>
      </c>
      <c r="W774">
        <f t="shared" si="122"/>
        <v>1.0505521252300327</v>
      </c>
      <c r="X774" s="55">
        <f t="shared" si="127"/>
        <v>1.0657378724609456</v>
      </c>
      <c r="Y774" s="149">
        <v>27.480461500000001</v>
      </c>
      <c r="Z774" s="55">
        <f t="shared" si="123"/>
        <v>4.4405289329007445E-3</v>
      </c>
      <c r="AA774" s="55">
        <f t="shared" si="128"/>
        <v>4.4480733556297595E-3</v>
      </c>
      <c r="AB774" s="55">
        <f t="shared" si="124"/>
        <v>-5.4169817806016036</v>
      </c>
      <c r="AC774" s="55">
        <f t="shared" si="129"/>
        <v>-5.4154158739254283</v>
      </c>
      <c r="AD774" s="55"/>
      <c r="AE774" s="55"/>
      <c r="AF774" s="55"/>
      <c r="AG774" s="55"/>
      <c r="AH774" s="55"/>
    </row>
    <row r="775" spans="1:34" ht="15.75">
      <c r="A775" s="39">
        <v>27.183038499999999</v>
      </c>
      <c r="B775" s="39">
        <v>27.5319231</v>
      </c>
      <c r="C775" s="39">
        <v>773</v>
      </c>
      <c r="D775">
        <v>773</v>
      </c>
      <c r="E775" s="10">
        <v>657790</v>
      </c>
      <c r="F775" s="10">
        <v>514530</v>
      </c>
      <c r="G775" s="10">
        <v>3398</v>
      </c>
      <c r="H775" s="10">
        <v>15595</v>
      </c>
      <c r="I775" s="10">
        <v>48222</v>
      </c>
      <c r="J775" s="10">
        <v>10870</v>
      </c>
      <c r="K775">
        <v>773</v>
      </c>
      <c r="L775" s="10">
        <v>995</v>
      </c>
      <c r="M775" s="10">
        <v>142193</v>
      </c>
      <c r="N775" s="10">
        <v>2336</v>
      </c>
      <c r="O775">
        <v>0.64701567462522036</v>
      </c>
      <c r="P775">
        <v>0.95989283800240288</v>
      </c>
      <c r="Q775">
        <v>-0.66176200456013579</v>
      </c>
      <c r="R775">
        <v>0.66176200456013579</v>
      </c>
      <c r="S775">
        <f t="shared" si="120"/>
        <v>-1.4898086473255183</v>
      </c>
      <c r="T775" s="148">
        <f t="shared" si="125"/>
        <v>-1.4231749969030021</v>
      </c>
      <c r="U775">
        <f t="shared" si="121"/>
        <v>2.2102349396560812</v>
      </c>
      <c r="V775" s="55">
        <f t="shared" si="126"/>
        <v>2.1962427139816163</v>
      </c>
      <c r="W775">
        <f t="shared" si="122"/>
        <v>1.1628196778833779</v>
      </c>
      <c r="X775" s="55">
        <f t="shared" si="127"/>
        <v>1.0044533289723809</v>
      </c>
      <c r="Y775" s="149">
        <v>27.5319231</v>
      </c>
      <c r="Z775" s="55">
        <f t="shared" si="123"/>
        <v>4.5400656910189879E-3</v>
      </c>
      <c r="AA775" s="55">
        <f t="shared" si="128"/>
        <v>4.4597020670758226E-3</v>
      </c>
      <c r="AB775" s="55">
        <f t="shared" si="124"/>
        <v>-5.394813797646119</v>
      </c>
      <c r="AC775" s="55">
        <f t="shared" si="129"/>
        <v>-5.4127615504730393</v>
      </c>
      <c r="AD775" s="55"/>
      <c r="AE775" s="55"/>
      <c r="AF775" s="55"/>
      <c r="AG775" s="55"/>
      <c r="AH775" s="55"/>
    </row>
    <row r="776" spans="1:34" ht="15.75">
      <c r="A776" s="39">
        <v>27.236307700000001</v>
      </c>
      <c r="B776" s="39">
        <v>27.583384599999999</v>
      </c>
      <c r="C776" s="39">
        <v>774</v>
      </c>
      <c r="D776">
        <v>774</v>
      </c>
      <c r="E776" s="10">
        <v>1134320</v>
      </c>
      <c r="F776" s="10">
        <v>808910</v>
      </c>
      <c r="G776" s="10">
        <v>10833</v>
      </c>
      <c r="H776" s="10">
        <v>34379</v>
      </c>
      <c r="I776" s="10">
        <v>95057</v>
      </c>
      <c r="J776" s="10">
        <v>24109</v>
      </c>
      <c r="K776">
        <v>774</v>
      </c>
      <c r="L776" s="10">
        <v>1233</v>
      </c>
      <c r="M776" s="10">
        <v>296019</v>
      </c>
      <c r="N776" s="10">
        <v>3558</v>
      </c>
      <c r="O776">
        <v>0.59580490687598375</v>
      </c>
      <c r="P776">
        <v>0.93502634719150546</v>
      </c>
      <c r="Q776">
        <v>-0.50154449683694369</v>
      </c>
      <c r="R776">
        <v>0.50154449683694369</v>
      </c>
      <c r="S776">
        <f t="shared" si="120"/>
        <v>-1.3718914969053457</v>
      </c>
      <c r="T776" s="148">
        <f t="shared" si="125"/>
        <v>-1.4328162661710373</v>
      </c>
      <c r="U776">
        <f t="shared" si="121"/>
        <v>2.1529777285998355</v>
      </c>
      <c r="V776" s="55">
        <f t="shared" si="126"/>
        <v>2.1621678578345986</v>
      </c>
      <c r="W776">
        <f t="shared" si="122"/>
        <v>0.79998818380373238</v>
      </c>
      <c r="X776" s="55">
        <f t="shared" si="127"/>
        <v>0.85738763339855861</v>
      </c>
      <c r="Y776" s="149">
        <v>27.583384599999999</v>
      </c>
      <c r="Z776" s="55">
        <f t="shared" si="123"/>
        <v>4.3985115773077354E-3</v>
      </c>
      <c r="AA776" s="55">
        <f t="shared" si="128"/>
        <v>4.6601413547771933E-3</v>
      </c>
      <c r="AB776" s="55">
        <f t="shared" si="124"/>
        <v>-5.4264890731713971</v>
      </c>
      <c r="AC776" s="55">
        <f t="shared" si="129"/>
        <v>-5.3704285690186326</v>
      </c>
      <c r="AD776" s="55"/>
      <c r="AE776" s="55"/>
      <c r="AF776" s="55"/>
      <c r="AG776" s="55"/>
      <c r="AH776" s="55"/>
    </row>
    <row r="777" spans="1:34" ht="15.75">
      <c r="A777" s="39">
        <v>27.2895769</v>
      </c>
      <c r="B777" s="39">
        <v>27.634846199999998</v>
      </c>
      <c r="C777" s="39">
        <v>775</v>
      </c>
      <c r="D777">
        <v>775</v>
      </c>
      <c r="E777" s="10">
        <v>1309230</v>
      </c>
      <c r="F777" s="10">
        <v>939140</v>
      </c>
      <c r="G777" s="10">
        <v>14830</v>
      </c>
      <c r="H777" s="10">
        <v>39961</v>
      </c>
      <c r="I777" s="10">
        <v>114750</v>
      </c>
      <c r="J777" s="10">
        <v>27276</v>
      </c>
      <c r="K777">
        <v>775</v>
      </c>
      <c r="L777" s="10">
        <v>1405</v>
      </c>
      <c r="M777" s="10">
        <v>334018</v>
      </c>
      <c r="N777" s="10">
        <v>4735</v>
      </c>
      <c r="O777">
        <v>0.62397201243670319</v>
      </c>
      <c r="P777">
        <v>0.92213352362451417</v>
      </c>
      <c r="Q777">
        <v>-0.43049519661985397</v>
      </c>
      <c r="R777">
        <v>0.43049519661985397</v>
      </c>
      <c r="S777">
        <f t="shared" si="120"/>
        <v>-1.4367486542822481</v>
      </c>
      <c r="T777" s="148">
        <f t="shared" si="125"/>
        <v>-1.3609251341164539</v>
      </c>
      <c r="U777">
        <f t="shared" si="121"/>
        <v>2.1232909052478788</v>
      </c>
      <c r="V777" s="55">
        <f t="shared" si="126"/>
        <v>2.1192870851945922</v>
      </c>
      <c r="W777">
        <f t="shared" si="122"/>
        <v>0.60935503850856576</v>
      </c>
      <c r="X777" s="55">
        <f t="shared" si="127"/>
        <v>0.67445717582506681</v>
      </c>
      <c r="Y777" s="149">
        <v>27.634846199999998</v>
      </c>
      <c r="Z777" s="55">
        <f t="shared" si="123"/>
        <v>5.0418467960048558E-3</v>
      </c>
      <c r="AA777" s="55">
        <f t="shared" si="128"/>
        <v>4.8165783331648301E-3</v>
      </c>
      <c r="AB777" s="55">
        <f t="shared" si="124"/>
        <v>-5.2899828362383818</v>
      </c>
      <c r="AC777" s="55">
        <f t="shared" si="129"/>
        <v>-5.337638568982829</v>
      </c>
      <c r="AD777" s="55"/>
      <c r="AE777" s="55"/>
      <c r="AF777" s="55"/>
      <c r="AG777" s="55"/>
      <c r="AH777" s="55"/>
    </row>
    <row r="778" spans="1:34" ht="15.75">
      <c r="A778" s="39">
        <v>27.3428462</v>
      </c>
      <c r="B778" s="39">
        <v>27.6863077</v>
      </c>
      <c r="C778" s="39">
        <v>776</v>
      </c>
      <c r="D778">
        <v>776</v>
      </c>
      <c r="E778" s="10">
        <v>1400810</v>
      </c>
      <c r="F778" s="10">
        <v>1018490</v>
      </c>
      <c r="G778" s="10">
        <v>17221</v>
      </c>
      <c r="H778" s="10">
        <v>44871</v>
      </c>
      <c r="I778" s="10">
        <v>113783</v>
      </c>
      <c r="J778" s="10">
        <v>31822</v>
      </c>
      <c r="K778">
        <v>776</v>
      </c>
      <c r="L778" s="10">
        <v>1581</v>
      </c>
      <c r="M778" s="10">
        <v>359741</v>
      </c>
      <c r="N778" s="10">
        <v>5102</v>
      </c>
      <c r="O778">
        <v>0.55334990877796963</v>
      </c>
      <c r="P778">
        <v>0.90402418919049488</v>
      </c>
      <c r="Q778">
        <v>-0.4159073816365636</v>
      </c>
      <c r="R778">
        <v>0.4159073816365636</v>
      </c>
      <c r="S778">
        <f t="shared" si="120"/>
        <v>-1.2741352511617678</v>
      </c>
      <c r="T778" s="148">
        <f t="shared" si="125"/>
        <v>-1.3503309591525208</v>
      </c>
      <c r="U778">
        <f t="shared" si="121"/>
        <v>2.0815926217360623</v>
      </c>
      <c r="V778" s="55">
        <f t="shared" si="126"/>
        <v>2.0916672435536579</v>
      </c>
      <c r="W778">
        <f t="shared" si="122"/>
        <v>0.61402830516290241</v>
      </c>
      <c r="X778" s="55">
        <f t="shared" si="127"/>
        <v>0.58368780583536306</v>
      </c>
      <c r="Y778" s="149">
        <v>27.6863077</v>
      </c>
      <c r="Z778" s="55">
        <f t="shared" si="123"/>
        <v>5.0093766261818965E-3</v>
      </c>
      <c r="AA778" s="55">
        <f t="shared" si="128"/>
        <v>5.1206493865543603E-3</v>
      </c>
      <c r="AB778" s="55">
        <f t="shared" si="124"/>
        <v>-5.2964437975387071</v>
      </c>
      <c r="AC778" s="55">
        <f t="shared" si="129"/>
        <v>-5.2748178671394079</v>
      </c>
      <c r="AD778" s="55"/>
      <c r="AE778" s="55"/>
      <c r="AF778" s="55"/>
      <c r="AG778" s="55"/>
      <c r="AH778" s="55"/>
    </row>
    <row r="779" spans="1:34" ht="15.75">
      <c r="A779" s="39">
        <v>27.396115399999999</v>
      </c>
      <c r="B779" s="39">
        <v>27.737769199999999</v>
      </c>
      <c r="C779" s="39">
        <v>777</v>
      </c>
      <c r="D779">
        <v>777</v>
      </c>
      <c r="E779" s="10">
        <v>1433630</v>
      </c>
      <c r="F779" s="10">
        <v>1045620</v>
      </c>
      <c r="G779" s="10">
        <v>18803</v>
      </c>
      <c r="H779" s="10">
        <v>45959</v>
      </c>
      <c r="I779" s="10">
        <v>121730</v>
      </c>
      <c r="J779" s="10">
        <v>31871</v>
      </c>
      <c r="K779">
        <v>777</v>
      </c>
      <c r="L779" s="10">
        <v>1636</v>
      </c>
      <c r="M779" s="10">
        <v>364260</v>
      </c>
      <c r="N779" s="10">
        <v>5553</v>
      </c>
      <c r="O779">
        <v>0.58200193169452263</v>
      </c>
      <c r="P779">
        <v>0.89904091274440667</v>
      </c>
      <c r="Q779">
        <v>-0.38814342446641559</v>
      </c>
      <c r="R779">
        <v>0.38814342446641564</v>
      </c>
      <c r="S779">
        <f t="shared" si="120"/>
        <v>-1.3401089720135466</v>
      </c>
      <c r="T779" s="148">
        <f t="shared" si="125"/>
        <v>-1.3289489182483445</v>
      </c>
      <c r="U779">
        <f t="shared" si="121"/>
        <v>2.0701182036770311</v>
      </c>
      <c r="V779" s="55">
        <f t="shared" si="126"/>
        <v>2.085281478988724</v>
      </c>
      <c r="W779">
        <f t="shared" si="122"/>
        <v>0.5276800738346209</v>
      </c>
      <c r="X779" s="55">
        <f t="shared" si="127"/>
        <v>0.57550666817245821</v>
      </c>
      <c r="Y779" s="149">
        <v>27.737769199999999</v>
      </c>
      <c r="Z779" s="55">
        <f t="shared" si="123"/>
        <v>5.3107247374763302E-3</v>
      </c>
      <c r="AA779" s="55">
        <f t="shared" si="128"/>
        <v>5.1523834514857992E-3</v>
      </c>
      <c r="AB779" s="55">
        <f t="shared" si="124"/>
        <v>-5.2380269676411357</v>
      </c>
      <c r="AC779" s="55">
        <f t="shared" si="129"/>
        <v>-5.2685824186240611</v>
      </c>
      <c r="AD779" s="55"/>
      <c r="AE779" s="55"/>
      <c r="AF779" s="55"/>
      <c r="AG779" s="55"/>
      <c r="AH779" s="55"/>
    </row>
    <row r="780" spans="1:34" ht="15.75">
      <c r="A780" s="39">
        <v>27.449384599999998</v>
      </c>
      <c r="B780" s="39">
        <v>27.789230799999999</v>
      </c>
      <c r="C780" s="39">
        <v>778</v>
      </c>
      <c r="D780">
        <v>778</v>
      </c>
      <c r="E780" s="10">
        <v>1441370</v>
      </c>
      <c r="F780" s="10">
        <v>1037950</v>
      </c>
      <c r="G780" s="10">
        <v>17804</v>
      </c>
      <c r="H780" s="10">
        <v>44941</v>
      </c>
      <c r="I780" s="10">
        <v>126070</v>
      </c>
      <c r="J780" s="10">
        <v>31952</v>
      </c>
      <c r="K780">
        <v>778</v>
      </c>
      <c r="L780" s="10">
        <v>1214</v>
      </c>
      <c r="M780" s="10">
        <v>368516</v>
      </c>
      <c r="N780" s="10">
        <v>5332</v>
      </c>
      <c r="O780">
        <v>0.59611370530716279</v>
      </c>
      <c r="P780">
        <v>0.9138136166846621</v>
      </c>
      <c r="Q780">
        <v>-0.40212514623875867</v>
      </c>
      <c r="R780">
        <v>0.40212514623875867</v>
      </c>
      <c r="S780">
        <f t="shared" si="120"/>
        <v>-1.3726025315697188</v>
      </c>
      <c r="T780" s="148">
        <f t="shared" si="125"/>
        <v>-1.369608741500306</v>
      </c>
      <c r="U780">
        <f t="shared" si="121"/>
        <v>2.104133611553078</v>
      </c>
      <c r="V780" s="55">
        <f t="shared" si="126"/>
        <v>2.0750565051589551</v>
      </c>
      <c r="W780">
        <f t="shared" si="122"/>
        <v>0.58481162551985155</v>
      </c>
      <c r="X780" s="55">
        <f t="shared" si="127"/>
        <v>0.56419969247844659</v>
      </c>
      <c r="Y780" s="149">
        <v>27.789230799999999</v>
      </c>
      <c r="Z780" s="55">
        <f t="shared" si="123"/>
        <v>5.1370489907991718E-3</v>
      </c>
      <c r="AA780" s="55">
        <f t="shared" si="128"/>
        <v>5.2663136651463398E-3</v>
      </c>
      <c r="AB780" s="55">
        <f t="shared" si="124"/>
        <v>-5.2712764906923413</v>
      </c>
      <c r="AC780" s="55">
        <f t="shared" si="129"/>
        <v>-5.2465813398091461</v>
      </c>
      <c r="AD780" s="55"/>
      <c r="AE780" s="55"/>
      <c r="AF780" s="55"/>
      <c r="AG780" s="55"/>
      <c r="AH780" s="55"/>
    </row>
    <row r="781" spans="1:34" ht="15.75">
      <c r="A781" s="39">
        <v>27.502653899999999</v>
      </c>
      <c r="B781" s="39">
        <v>27.840692300000001</v>
      </c>
      <c r="C781" s="39">
        <v>779</v>
      </c>
      <c r="D781">
        <v>779</v>
      </c>
      <c r="E781" s="10">
        <v>1384120</v>
      </c>
      <c r="F781" s="10">
        <v>1013050</v>
      </c>
      <c r="G781" s="10">
        <v>17444</v>
      </c>
      <c r="H781" s="10">
        <v>43962</v>
      </c>
      <c r="I781" s="10">
        <v>125866</v>
      </c>
      <c r="J781" s="10">
        <v>31159</v>
      </c>
      <c r="K781">
        <v>779</v>
      </c>
      <c r="L781" s="10">
        <v>1570</v>
      </c>
      <c r="M781" s="10">
        <v>341806</v>
      </c>
      <c r="N781" s="10">
        <v>5421</v>
      </c>
      <c r="O781">
        <v>0.6063249193984348</v>
      </c>
      <c r="P781">
        <v>0.89070224005487375</v>
      </c>
      <c r="Q781">
        <v>-0.40143136392126028</v>
      </c>
      <c r="R781">
        <v>0.40143136392126033</v>
      </c>
      <c r="S781">
        <f t="shared" si="120"/>
        <v>-1.3961147209176521</v>
      </c>
      <c r="T781" s="148">
        <f t="shared" si="125"/>
        <v>-1.3736418063660485</v>
      </c>
      <c r="U781">
        <f t="shared" si="121"/>
        <v>2.0509177002467562</v>
      </c>
      <c r="V781" s="55">
        <f t="shared" si="126"/>
        <v>2.0670205511236683</v>
      </c>
      <c r="W781">
        <f t="shared" si="122"/>
        <v>0.58010737808086721</v>
      </c>
      <c r="X781" s="55">
        <f t="shared" si="127"/>
        <v>0.58329688110294542</v>
      </c>
      <c r="Y781" s="149">
        <v>27.840692300000001</v>
      </c>
      <c r="Z781" s="55">
        <f t="shared" si="123"/>
        <v>5.3511672671635157E-3</v>
      </c>
      <c r="AA781" s="55">
        <f t="shared" si="128"/>
        <v>5.2942238288906859E-3</v>
      </c>
      <c r="AB781" s="55">
        <f t="shared" si="124"/>
        <v>-5.2304405610939595</v>
      </c>
      <c r="AC781" s="55">
        <f t="shared" si="129"/>
        <v>-5.241366904742164</v>
      </c>
      <c r="AD781" s="55"/>
      <c r="AE781" s="55"/>
      <c r="AF781" s="55"/>
      <c r="AG781" s="55"/>
      <c r="AH781" s="55"/>
    </row>
    <row r="782" spans="1:34" ht="15.75">
      <c r="A782" s="39">
        <v>27.555923100000001</v>
      </c>
      <c r="B782" s="39">
        <v>27.8921539</v>
      </c>
      <c r="C782" s="39">
        <v>780</v>
      </c>
      <c r="D782">
        <v>780</v>
      </c>
      <c r="E782" s="10">
        <v>1369200</v>
      </c>
      <c r="F782" s="10">
        <v>1004550</v>
      </c>
      <c r="G782" s="10">
        <v>17273</v>
      </c>
      <c r="H782" s="10">
        <v>43904</v>
      </c>
      <c r="I782" s="10">
        <v>119860</v>
      </c>
      <c r="J782" s="10">
        <v>31004</v>
      </c>
      <c r="K782">
        <v>780</v>
      </c>
      <c r="L782" s="10">
        <v>1639</v>
      </c>
      <c r="M782" s="10">
        <v>339684</v>
      </c>
      <c r="N782" s="10">
        <v>5419</v>
      </c>
      <c r="O782">
        <v>0.58725654514357217</v>
      </c>
      <c r="P782">
        <v>0.88857100126134647</v>
      </c>
      <c r="Q782">
        <v>-0.40513631666887762</v>
      </c>
      <c r="R782">
        <v>0.40513631666887762</v>
      </c>
      <c r="S782">
        <f t="shared" si="120"/>
        <v>-1.3522081666107741</v>
      </c>
      <c r="T782" s="148">
        <f t="shared" si="125"/>
        <v>-1.3824922619487443</v>
      </c>
      <c r="U782">
        <f t="shared" si="121"/>
        <v>2.0460103415711699</v>
      </c>
      <c r="V782" s="55">
        <f t="shared" si="126"/>
        <v>2.0593280028021961</v>
      </c>
      <c r="W782">
        <f t="shared" si="122"/>
        <v>0.58497163970811761</v>
      </c>
      <c r="X782" s="55">
        <f t="shared" si="127"/>
        <v>0.59305094723531848</v>
      </c>
      <c r="Y782" s="149">
        <v>27.8921539</v>
      </c>
      <c r="Z782" s="55">
        <f t="shared" si="123"/>
        <v>5.394455228709372E-3</v>
      </c>
      <c r="AA782" s="55">
        <f t="shared" si="128"/>
        <v>5.3769029560136921E-3</v>
      </c>
      <c r="AB782" s="55">
        <f t="shared" si="124"/>
        <v>-5.2223836624401914</v>
      </c>
      <c r="AC782" s="55">
        <f t="shared" si="129"/>
        <v>-5.2256487175455719</v>
      </c>
      <c r="AD782" s="55"/>
      <c r="AE782" s="55"/>
      <c r="AF782" s="55"/>
      <c r="AG782" s="55"/>
      <c r="AH782" s="55"/>
    </row>
    <row r="783" spans="1:34" ht="15.75">
      <c r="A783" s="39">
        <v>27.6091923</v>
      </c>
      <c r="B783" s="39">
        <v>27.943615399999999</v>
      </c>
      <c r="C783" s="39">
        <v>781</v>
      </c>
      <c r="D783">
        <v>781</v>
      </c>
      <c r="E783" s="10">
        <v>1364860</v>
      </c>
      <c r="F783" s="10">
        <v>996270</v>
      </c>
      <c r="G783" s="10">
        <v>16369</v>
      </c>
      <c r="H783" s="10">
        <v>42241</v>
      </c>
      <c r="I783" s="10">
        <v>122562</v>
      </c>
      <c r="J783" s="10">
        <v>30249</v>
      </c>
      <c r="K783">
        <v>781</v>
      </c>
      <c r="L783" s="10">
        <v>1438</v>
      </c>
      <c r="M783" s="10">
        <v>338474</v>
      </c>
      <c r="N783" s="10">
        <v>5365</v>
      </c>
      <c r="O783">
        <v>0.60764481737284681</v>
      </c>
      <c r="P783">
        <v>0.9037911228212937</v>
      </c>
      <c r="Q783">
        <v>-0.41171204229646841</v>
      </c>
      <c r="R783">
        <v>0.41171204229646846</v>
      </c>
      <c r="S783">
        <f t="shared" si="120"/>
        <v>-1.3991538983178062</v>
      </c>
      <c r="T783" s="148">
        <f t="shared" si="125"/>
        <v>-1.3636705000642122</v>
      </c>
      <c r="U783">
        <f t="shared" si="121"/>
        <v>2.0810559665886617</v>
      </c>
      <c r="V783" s="55">
        <f t="shared" si="126"/>
        <v>2.078996016841387</v>
      </c>
      <c r="W783">
        <f t="shared" si="122"/>
        <v>0.61407382391697041</v>
      </c>
      <c r="X783" s="55">
        <f t="shared" si="127"/>
        <v>0.59448038768109557</v>
      </c>
      <c r="Y783" s="149">
        <v>27.943615399999999</v>
      </c>
      <c r="Z783" s="55">
        <f t="shared" si="123"/>
        <v>5.3850863721681876E-3</v>
      </c>
      <c r="AA783" s="55">
        <f t="shared" si="128"/>
        <v>5.3527447637472733E-3</v>
      </c>
      <c r="AB783" s="55">
        <f t="shared" si="124"/>
        <v>-5.2241219291025658</v>
      </c>
      <c r="AC783" s="55">
        <f t="shared" si="129"/>
        <v>-5.230194133328574</v>
      </c>
      <c r="AD783" s="55"/>
      <c r="AE783" s="55"/>
      <c r="AF783" s="55"/>
      <c r="AG783" s="55"/>
      <c r="AH783" s="55"/>
    </row>
    <row r="784" spans="1:34" ht="15.75">
      <c r="A784" s="39">
        <v>27.662461499999999</v>
      </c>
      <c r="B784" s="39">
        <v>27.995076900000001</v>
      </c>
      <c r="C784" s="39">
        <v>782</v>
      </c>
      <c r="D784">
        <v>782</v>
      </c>
      <c r="E784" s="10">
        <v>1391950</v>
      </c>
      <c r="F784" s="10">
        <v>1023170</v>
      </c>
      <c r="G784" s="10">
        <v>17002</v>
      </c>
      <c r="H784" s="10">
        <v>43466</v>
      </c>
      <c r="I784" s="10">
        <v>116440</v>
      </c>
      <c r="J784" s="10">
        <v>30500</v>
      </c>
      <c r="K784">
        <v>782</v>
      </c>
      <c r="L784" s="10">
        <v>1345</v>
      </c>
      <c r="M784" s="10">
        <v>358490</v>
      </c>
      <c r="N784" s="10">
        <v>5401</v>
      </c>
      <c r="O784">
        <v>0.58180235741998731</v>
      </c>
      <c r="P784">
        <v>0.91632736995652309</v>
      </c>
      <c r="Q784">
        <v>-0.40764966382537537</v>
      </c>
      <c r="R784">
        <v>0.40764966382537537</v>
      </c>
      <c r="S784">
        <f t="shared" si="120"/>
        <v>-1.3396494352640564</v>
      </c>
      <c r="T784" s="148">
        <f t="shared" si="125"/>
        <v>-1.3564101950731489</v>
      </c>
      <c r="U784">
        <f t="shared" si="121"/>
        <v>2.1099217423643299</v>
      </c>
      <c r="V784" s="55">
        <f t="shared" si="126"/>
        <v>2.109527163634707</v>
      </c>
      <c r="W784">
        <f t="shared" si="122"/>
        <v>0.5843956994181988</v>
      </c>
      <c r="X784" s="55">
        <f t="shared" si="127"/>
        <v>0.59511580662914731</v>
      </c>
      <c r="Y784" s="149">
        <v>27.995076900000001</v>
      </c>
      <c r="Z784" s="55">
        <f t="shared" si="123"/>
        <v>5.2786926903642603E-3</v>
      </c>
      <c r="AA784" s="55">
        <f t="shared" si="128"/>
        <v>5.2477467762767722E-3</v>
      </c>
      <c r="AB784" s="55">
        <f t="shared" si="124"/>
        <v>-5.2440768084429665</v>
      </c>
      <c r="AC784" s="55">
        <f t="shared" si="129"/>
        <v>-5.2502496035007784</v>
      </c>
      <c r="AD784" s="55"/>
      <c r="AE784" s="55"/>
      <c r="AF784" s="55"/>
      <c r="AG784" s="55"/>
      <c r="AH784" s="55"/>
    </row>
    <row r="785" spans="1:34" ht="15.75">
      <c r="A785" s="39">
        <v>27.715730799999999</v>
      </c>
      <c r="B785" s="39">
        <v>28.0465385</v>
      </c>
      <c r="C785" s="39">
        <v>783</v>
      </c>
      <c r="D785">
        <v>783</v>
      </c>
      <c r="E785" s="10">
        <v>1412040</v>
      </c>
      <c r="F785" s="10">
        <v>1023140</v>
      </c>
      <c r="G785" s="10">
        <v>16758</v>
      </c>
      <c r="H785" s="10">
        <v>43914</v>
      </c>
      <c r="I785" s="10">
        <v>113998</v>
      </c>
      <c r="J785" s="10">
        <v>30137</v>
      </c>
      <c r="K785">
        <v>783</v>
      </c>
      <c r="L785" s="10">
        <v>2050</v>
      </c>
      <c r="M785" s="10">
        <v>372351</v>
      </c>
      <c r="N785" s="10">
        <v>5197</v>
      </c>
      <c r="O785">
        <v>0.57779721395991168</v>
      </c>
      <c r="P785">
        <v>0.92834952699689743</v>
      </c>
      <c r="Q785">
        <v>-0.41838081145717793</v>
      </c>
      <c r="R785">
        <v>0.41838081145717798</v>
      </c>
      <c r="S785">
        <f t="shared" ref="S785:S848" si="130">LN(J785/I785)</f>
        <v>-1.3304272516375837</v>
      </c>
      <c r="T785" s="148">
        <f t="shared" si="125"/>
        <v>-1.3437123843008345</v>
      </c>
      <c r="U785">
        <f t="shared" ref="U785:U848" si="131">LN(M785/H785)</f>
        <v>2.1376037819511295</v>
      </c>
      <c r="V785" s="55">
        <f t="shared" si="126"/>
        <v>2.0838627126382656</v>
      </c>
      <c r="W785">
        <f t="shared" ref="W785:W848" si="132">LN(J785/G785)</f>
        <v>0.58687789655227263</v>
      </c>
      <c r="X785" s="55">
        <f t="shared" si="127"/>
        <v>0.58596480662593953</v>
      </c>
      <c r="Y785" s="149">
        <v>28.0465385</v>
      </c>
      <c r="Z785" s="55">
        <f t="shared" si="123"/>
        <v>5.079461266297867E-3</v>
      </c>
      <c r="AA785" s="55">
        <f t="shared" si="128"/>
        <v>5.2936448932485976E-3</v>
      </c>
      <c r="AB785" s="55">
        <f t="shared" si="124"/>
        <v>-5.2825500729568038</v>
      </c>
      <c r="AC785" s="55">
        <f t="shared" si="129"/>
        <v>-5.241833557584207</v>
      </c>
      <c r="AD785" s="55"/>
      <c r="AE785" s="55"/>
      <c r="AF785" s="55"/>
      <c r="AG785" s="55"/>
      <c r="AH785" s="55"/>
    </row>
    <row r="786" spans="1:34" ht="15.75">
      <c r="A786" s="39">
        <v>27.768999999999998</v>
      </c>
      <c r="B786" s="39">
        <v>28.097999999999999</v>
      </c>
      <c r="C786" s="39">
        <v>784</v>
      </c>
      <c r="D786">
        <v>784</v>
      </c>
      <c r="E786" s="10">
        <v>1368830</v>
      </c>
      <c r="F786" s="10">
        <v>1003480</v>
      </c>
      <c r="G786" s="10">
        <v>17165</v>
      </c>
      <c r="H786" s="10">
        <v>44377</v>
      </c>
      <c r="I786" s="10">
        <v>120368</v>
      </c>
      <c r="J786" s="10">
        <v>30861</v>
      </c>
      <c r="K786">
        <v>784</v>
      </c>
      <c r="L786" s="10">
        <v>2478</v>
      </c>
      <c r="M786" s="10">
        <v>329239</v>
      </c>
      <c r="N786" s="10">
        <v>5542</v>
      </c>
      <c r="O786">
        <v>0.59110104992084334</v>
      </c>
      <c r="P786">
        <v>0.87035333447480079</v>
      </c>
      <c r="Q786">
        <v>-0.41251413169609841</v>
      </c>
      <c r="R786">
        <v>0.41251413169609841</v>
      </c>
      <c r="S786">
        <f t="shared" si="130"/>
        <v>-1.3610604660008632</v>
      </c>
      <c r="T786" s="148">
        <f t="shared" si="125"/>
        <v>-1.3296085995816176</v>
      </c>
      <c r="U786">
        <f t="shared" si="131"/>
        <v>2.0040626135993369</v>
      </c>
      <c r="V786" s="55">
        <f t="shared" si="126"/>
        <v>2.083391151874872</v>
      </c>
      <c r="W786">
        <f t="shared" si="132"/>
        <v>0.58662082390734727</v>
      </c>
      <c r="X786" s="55">
        <f t="shared" si="127"/>
        <v>0.59600350353814313</v>
      </c>
      <c r="Y786" s="149">
        <v>28.097999999999999</v>
      </c>
      <c r="Z786" s="55">
        <f t="shared" si="123"/>
        <v>5.522780723083669E-3</v>
      </c>
      <c r="AA786" s="55">
        <f t="shared" si="128"/>
        <v>5.1534013818991939E-3</v>
      </c>
      <c r="AB786" s="55">
        <f t="shared" si="124"/>
        <v>-5.1988737913528507</v>
      </c>
      <c r="AC786" s="55">
        <f t="shared" si="129"/>
        <v>-5.2695200342380497</v>
      </c>
      <c r="AD786" s="55"/>
      <c r="AE786" s="55"/>
      <c r="AF786" s="55"/>
      <c r="AG786" s="55"/>
      <c r="AH786" s="55"/>
    </row>
    <row r="787" spans="1:34" ht="15.75">
      <c r="A787" s="39">
        <v>27.796702100000001</v>
      </c>
      <c r="B787" s="39">
        <v>28.126127700000001</v>
      </c>
      <c r="C787" s="39">
        <v>785</v>
      </c>
      <c r="D787">
        <v>785</v>
      </c>
      <c r="E787" s="10">
        <v>1372410</v>
      </c>
      <c r="F787" s="10">
        <v>1007830</v>
      </c>
      <c r="G787" s="10">
        <v>16450</v>
      </c>
      <c r="H787" s="10">
        <v>43232</v>
      </c>
      <c r="I787" s="10">
        <v>111294</v>
      </c>
      <c r="J787" s="10">
        <v>30412</v>
      </c>
      <c r="K787">
        <v>785</v>
      </c>
      <c r="L787" s="10">
        <v>1926</v>
      </c>
      <c r="M787" s="10">
        <v>356056</v>
      </c>
      <c r="N787" s="10">
        <v>4896</v>
      </c>
      <c r="O787">
        <v>0.56342676978746553</v>
      </c>
      <c r="P787">
        <v>0.91571298124425193</v>
      </c>
      <c r="Q787">
        <v>-0.41963942505594343</v>
      </c>
      <c r="R787">
        <v>0.41963942505594348</v>
      </c>
      <c r="S787">
        <f t="shared" si="130"/>
        <v>-1.2973380811064061</v>
      </c>
      <c r="T787" s="148">
        <f t="shared" si="125"/>
        <v>-1.3287833805350904</v>
      </c>
      <c r="U787">
        <f t="shared" si="131"/>
        <v>2.1085070600741505</v>
      </c>
      <c r="V787" s="55">
        <f t="shared" si="126"/>
        <v>2.0428491684534493</v>
      </c>
      <c r="W787">
        <f t="shared" si="132"/>
        <v>0.61451179015480928</v>
      </c>
      <c r="X787" s="55">
        <f t="shared" si="127"/>
        <v>0.60279218443592841</v>
      </c>
      <c r="Y787" s="149">
        <v>28.126127700000001</v>
      </c>
      <c r="Z787" s="55">
        <f t="shared" si="123"/>
        <v>4.8579621563160456E-3</v>
      </c>
      <c r="AA787" s="55">
        <f t="shared" si="128"/>
        <v>5.2273732519212647E-3</v>
      </c>
      <c r="AB787" s="55">
        <f t="shared" si="124"/>
        <v>-5.3271362384044938</v>
      </c>
      <c r="AC787" s="55">
        <f t="shared" si="129"/>
        <v>-5.2552662446424137</v>
      </c>
      <c r="AD787" s="55"/>
      <c r="AE787" s="55"/>
      <c r="AF787" s="55"/>
      <c r="AG787" s="55"/>
      <c r="AH787" s="55"/>
    </row>
    <row r="788" spans="1:34" ht="15.75">
      <c r="A788" s="39">
        <v>27.824404300000001</v>
      </c>
      <c r="B788" s="39">
        <v>28.154255299999999</v>
      </c>
      <c r="C788" s="39">
        <v>786</v>
      </c>
      <c r="D788">
        <v>786</v>
      </c>
      <c r="E788" s="10">
        <v>1323995</v>
      </c>
      <c r="F788" s="10">
        <v>989680</v>
      </c>
      <c r="G788" s="10">
        <v>16234.5</v>
      </c>
      <c r="H788" s="10">
        <v>42511.75</v>
      </c>
      <c r="I788" s="10">
        <v>112430.375</v>
      </c>
      <c r="J788" s="10">
        <v>29796.25</v>
      </c>
      <c r="K788">
        <v>786</v>
      </c>
      <c r="L788" s="10">
        <v>1485.666667</v>
      </c>
      <c r="M788" s="10">
        <v>319181</v>
      </c>
      <c r="N788" s="10">
        <v>5246.6666670000004</v>
      </c>
      <c r="O788">
        <v>0.5767220497251071</v>
      </c>
      <c r="P788">
        <v>0.87552804794088657</v>
      </c>
      <c r="Q788">
        <v>-0.41807006560385629</v>
      </c>
      <c r="R788">
        <v>0.41807006560385634</v>
      </c>
      <c r="S788">
        <f t="shared" si="130"/>
        <v>-1.3279515944980023</v>
      </c>
      <c r="T788" s="148">
        <f t="shared" si="125"/>
        <v>-1.3357044441079093</v>
      </c>
      <c r="U788">
        <f t="shared" si="131"/>
        <v>2.0159778316868615</v>
      </c>
      <c r="V788" s="55">
        <f t="shared" si="126"/>
        <v>2.0773094228897975</v>
      </c>
      <c r="W788">
        <f t="shared" si="132"/>
        <v>0.60724393924562858</v>
      </c>
      <c r="X788" s="55">
        <f t="shared" si="127"/>
        <v>0.595300210415172</v>
      </c>
      <c r="Y788" s="149">
        <v>28.154255299999999</v>
      </c>
      <c r="Z788" s="55">
        <f t="shared" si="123"/>
        <v>5.3013768763640777E-3</v>
      </c>
      <c r="AA788" s="55">
        <f t="shared" si="128"/>
        <v>5.0561272962745896E-3</v>
      </c>
      <c r="AB788" s="55">
        <f t="shared" si="124"/>
        <v>-5.2397887041698965</v>
      </c>
      <c r="AC788" s="55">
        <f t="shared" si="129"/>
        <v>-5.2878117904631372</v>
      </c>
      <c r="AD788" s="55"/>
      <c r="AE788" s="55"/>
      <c r="AF788" s="55"/>
      <c r="AG788" s="55"/>
      <c r="AH788" s="55"/>
    </row>
    <row r="789" spans="1:34" ht="15.75">
      <c r="A789" s="39">
        <v>27.8521064</v>
      </c>
      <c r="B789" s="39">
        <v>28.182383000000002</v>
      </c>
      <c r="C789" s="39">
        <v>787</v>
      </c>
      <c r="D789">
        <v>787</v>
      </c>
      <c r="E789" s="10">
        <v>1382110</v>
      </c>
      <c r="F789" s="10">
        <v>1000790</v>
      </c>
      <c r="G789" s="10">
        <v>17120</v>
      </c>
      <c r="H789" s="10">
        <v>43406</v>
      </c>
      <c r="I789" s="10">
        <v>119847</v>
      </c>
      <c r="J789" s="10">
        <v>30096</v>
      </c>
      <c r="K789">
        <v>787</v>
      </c>
      <c r="L789" s="10">
        <v>1713</v>
      </c>
      <c r="M789" s="10">
        <v>357109</v>
      </c>
      <c r="N789" s="10">
        <v>5013</v>
      </c>
      <c r="O789">
        <v>0.60011838907657378</v>
      </c>
      <c r="P789">
        <v>0.91525102951486459</v>
      </c>
      <c r="Q789">
        <v>-0.40404600573326305</v>
      </c>
      <c r="R789">
        <v>0.40404600573326299</v>
      </c>
      <c r="S789">
        <f t="shared" si="130"/>
        <v>-1.3818236567193194</v>
      </c>
      <c r="T789" s="148">
        <f t="shared" si="125"/>
        <v>-1.3718969300485782</v>
      </c>
      <c r="U789">
        <f t="shared" si="131"/>
        <v>2.1074433769083805</v>
      </c>
      <c r="V789" s="55">
        <f t="shared" si="126"/>
        <v>2.0842511459631843</v>
      </c>
      <c r="W789">
        <f t="shared" si="132"/>
        <v>0.56414490184507848</v>
      </c>
      <c r="X789" s="55">
        <f t="shared" si="127"/>
        <v>0.57342515464759058</v>
      </c>
      <c r="Y789" s="149">
        <v>28.182383000000002</v>
      </c>
      <c r="Z789" s="55">
        <f t="shared" si="123"/>
        <v>5.0090428561436464E-3</v>
      </c>
      <c r="AA789" s="55">
        <f t="shared" si="128"/>
        <v>5.0356221224810618E-3</v>
      </c>
      <c r="AB789" s="55">
        <f t="shared" si="124"/>
        <v>-5.2965104288150195</v>
      </c>
      <c r="AC789" s="55">
        <f t="shared" si="129"/>
        <v>-5.2920596841958156</v>
      </c>
      <c r="AD789" s="55"/>
      <c r="AE789" s="55"/>
      <c r="AF789" s="55"/>
      <c r="AG789" s="55"/>
      <c r="AH789" s="55"/>
    </row>
    <row r="790" spans="1:34" ht="15.75">
      <c r="A790" s="39">
        <v>27.879808499999999</v>
      </c>
      <c r="B790" s="39">
        <v>28.210510599999999</v>
      </c>
      <c r="C790" s="39">
        <v>788</v>
      </c>
      <c r="D790">
        <v>788</v>
      </c>
      <c r="E790" s="10">
        <v>1412650</v>
      </c>
      <c r="F790" s="10">
        <v>1006370</v>
      </c>
      <c r="G790" s="10">
        <v>17322</v>
      </c>
      <c r="H790" s="10">
        <v>44716</v>
      </c>
      <c r="I790" s="10">
        <v>122337</v>
      </c>
      <c r="J790" s="10">
        <v>29990</v>
      </c>
      <c r="K790">
        <v>788</v>
      </c>
      <c r="L790" s="10">
        <v>1663</v>
      </c>
      <c r="M790" s="10">
        <v>376028</v>
      </c>
      <c r="N790" s="10">
        <v>4827</v>
      </c>
      <c r="O790">
        <v>0.61058136057864598</v>
      </c>
      <c r="P790">
        <v>0.92475723732126924</v>
      </c>
      <c r="Q790">
        <v>-0.41186491321633806</v>
      </c>
      <c r="R790">
        <v>0.411864913216338</v>
      </c>
      <c r="S790">
        <f t="shared" si="130"/>
        <v>-1.4059155389284126</v>
      </c>
      <c r="T790" s="148">
        <f t="shared" si="125"/>
        <v>-1.3975577980037592</v>
      </c>
      <c r="U790">
        <f t="shared" si="131"/>
        <v>2.1293322292943113</v>
      </c>
      <c r="V790" s="55">
        <f t="shared" si="126"/>
        <v>2.1429708790091797</v>
      </c>
      <c r="W790">
        <f t="shared" si="132"/>
        <v>0.54888662285206469</v>
      </c>
      <c r="X790" s="55">
        <f t="shared" si="127"/>
        <v>0.55355278769782623</v>
      </c>
      <c r="Y790" s="149">
        <v>28.210510599999999</v>
      </c>
      <c r="Z790" s="55">
        <f t="shared" si="123"/>
        <v>4.7964466349354612E-3</v>
      </c>
      <c r="AA790" s="55">
        <f t="shared" si="128"/>
        <v>5.002604343741098E-3</v>
      </c>
      <c r="AB790" s="55">
        <f t="shared" si="124"/>
        <v>-5.3398799196025308</v>
      </c>
      <c r="AC790" s="55">
        <f t="shared" si="129"/>
        <v>-5.2983467556566879</v>
      </c>
      <c r="AD790" s="55"/>
      <c r="AE790" s="55"/>
      <c r="AF790" s="55"/>
      <c r="AG790" s="55"/>
      <c r="AH790" s="55"/>
    </row>
    <row r="791" spans="1:34" ht="15.75">
      <c r="A791" s="39">
        <v>27.907510599999998</v>
      </c>
      <c r="B791" s="39">
        <v>28.238638300000002</v>
      </c>
      <c r="C791" s="39">
        <v>789</v>
      </c>
      <c r="D791">
        <v>789</v>
      </c>
      <c r="E791" s="10">
        <v>1418030</v>
      </c>
      <c r="F791" s="10">
        <v>1013970</v>
      </c>
      <c r="G791" s="10">
        <v>16998</v>
      </c>
      <c r="H791" s="10">
        <v>43550</v>
      </c>
      <c r="I791" s="10">
        <v>119780</v>
      </c>
      <c r="J791" s="10">
        <v>29392</v>
      </c>
      <c r="K791">
        <v>789</v>
      </c>
      <c r="L791" s="10">
        <v>1422</v>
      </c>
      <c r="M791" s="10">
        <v>389961</v>
      </c>
      <c r="N791" s="10">
        <v>5275</v>
      </c>
      <c r="O791">
        <v>0.6101551697864569</v>
      </c>
      <c r="P791">
        <v>0.95203301606300961</v>
      </c>
      <c r="Q791">
        <v>-0.40859033443960119</v>
      </c>
      <c r="R791">
        <v>0.40859033443960119</v>
      </c>
      <c r="S791">
        <f t="shared" si="130"/>
        <v>-1.4049341983635464</v>
      </c>
      <c r="T791" s="148">
        <f t="shared" si="125"/>
        <v>-1.4338331521006709</v>
      </c>
      <c r="U791">
        <f t="shared" si="131"/>
        <v>2.1921370308248469</v>
      </c>
      <c r="V791" s="55">
        <f t="shared" si="126"/>
        <v>2.1491118335476971</v>
      </c>
      <c r="W791">
        <f t="shared" si="132"/>
        <v>0.5476268383963353</v>
      </c>
      <c r="X791" s="55">
        <f t="shared" si="127"/>
        <v>0.55357454104067372</v>
      </c>
      <c r="Y791" s="149">
        <v>28.238638300000002</v>
      </c>
      <c r="Z791" s="55">
        <f t="shared" si="123"/>
        <v>5.2023235401441855E-3</v>
      </c>
      <c r="AA791" s="55">
        <f t="shared" si="128"/>
        <v>4.8809770472958616E-3</v>
      </c>
      <c r="AB791" s="55">
        <f t="shared" si="124"/>
        <v>-5.2586499185525133</v>
      </c>
      <c r="AC791" s="55">
        <f t="shared" si="129"/>
        <v>-5.3235581308867346</v>
      </c>
      <c r="AD791" s="55"/>
      <c r="AE791" s="55"/>
      <c r="AF791" s="55"/>
      <c r="AG791" s="55"/>
      <c r="AH791" s="55"/>
    </row>
    <row r="792" spans="1:34" ht="15.75">
      <c r="A792" s="39">
        <v>27.935212799999999</v>
      </c>
      <c r="B792" s="39">
        <v>28.266766000000001</v>
      </c>
      <c r="C792" s="39">
        <v>790</v>
      </c>
      <c r="D792">
        <v>790</v>
      </c>
      <c r="E792" s="10">
        <v>1363470</v>
      </c>
      <c r="F792" s="10">
        <v>953240</v>
      </c>
      <c r="G792" s="10">
        <v>16504</v>
      </c>
      <c r="H792" s="10">
        <v>42325</v>
      </c>
      <c r="I792" s="10">
        <v>128826</v>
      </c>
      <c r="J792" s="10">
        <v>29015</v>
      </c>
      <c r="K792">
        <v>790</v>
      </c>
      <c r="L792" s="10">
        <v>2268</v>
      </c>
      <c r="M792" s="10">
        <v>354690</v>
      </c>
      <c r="N792" s="10">
        <v>4427</v>
      </c>
      <c r="O792">
        <v>0.64738094741669916</v>
      </c>
      <c r="P792">
        <v>0.92325197752395516</v>
      </c>
      <c r="Q792">
        <v>-0.40900775181587773</v>
      </c>
      <c r="R792">
        <v>0.40900775181587767</v>
      </c>
      <c r="S792">
        <f t="shared" si="130"/>
        <v>-1.4906497190100534</v>
      </c>
      <c r="T792" s="148">
        <f t="shared" si="125"/>
        <v>-1.430276425659595</v>
      </c>
      <c r="U792">
        <f t="shared" si="131"/>
        <v>2.1258662405239326</v>
      </c>
      <c r="V792" s="55">
        <f t="shared" si="126"/>
        <v>2.1359890612213808</v>
      </c>
      <c r="W792">
        <f t="shared" si="132"/>
        <v>0.56421016187362094</v>
      </c>
      <c r="X792" s="55">
        <f t="shared" si="127"/>
        <v>0.59032066669113947</v>
      </c>
      <c r="Y792" s="149">
        <v>28.266766000000001</v>
      </c>
      <c r="Z792" s="55">
        <f t="shared" si="123"/>
        <v>4.6441609668079389E-3</v>
      </c>
      <c r="AA792" s="55">
        <f t="shared" si="128"/>
        <v>4.8452358275023416E-3</v>
      </c>
      <c r="AB792" s="55">
        <f t="shared" si="124"/>
        <v>-5.3721445545051596</v>
      </c>
      <c r="AC792" s="55">
        <f t="shared" si="129"/>
        <v>-5.3310942867205044</v>
      </c>
      <c r="AD792" s="55"/>
      <c r="AE792" s="55"/>
      <c r="AF792" s="55"/>
      <c r="AG792" s="55"/>
      <c r="AH792" s="55"/>
    </row>
    <row r="793" spans="1:34" ht="15.75">
      <c r="A793" s="39">
        <v>27.962914900000001</v>
      </c>
      <c r="B793" s="39">
        <v>28.294893600000002</v>
      </c>
      <c r="C793" s="39">
        <v>791</v>
      </c>
      <c r="D793">
        <v>791</v>
      </c>
      <c r="E793" s="10">
        <v>1227290</v>
      </c>
      <c r="F793" s="10">
        <v>915930</v>
      </c>
      <c r="G793" s="10">
        <v>13722</v>
      </c>
      <c r="H793" s="10">
        <v>38370</v>
      </c>
      <c r="I793" s="10">
        <v>107058</v>
      </c>
      <c r="J793" s="10">
        <v>26526</v>
      </c>
      <c r="K793">
        <v>791</v>
      </c>
      <c r="L793" s="10">
        <v>3508</v>
      </c>
      <c r="M793" s="10">
        <v>310207</v>
      </c>
      <c r="N793" s="10">
        <v>4295</v>
      </c>
      <c r="O793">
        <v>0.60594736057765031</v>
      </c>
      <c r="P793">
        <v>0.90765979449549383</v>
      </c>
      <c r="Q793">
        <v>-0.44657438420792422</v>
      </c>
      <c r="R793">
        <v>0.44657438420792422</v>
      </c>
      <c r="S793">
        <f t="shared" si="130"/>
        <v>-1.3952453596051855</v>
      </c>
      <c r="T793" s="148">
        <f t="shared" si="125"/>
        <v>-1.4246114352584314</v>
      </c>
      <c r="U793">
        <f t="shared" si="131"/>
        <v>2.0899639123153633</v>
      </c>
      <c r="V793" s="55">
        <f t="shared" si="126"/>
        <v>2.1041354011485489</v>
      </c>
      <c r="W793">
        <f t="shared" si="132"/>
        <v>0.65912499980346217</v>
      </c>
      <c r="X793" s="55">
        <f t="shared" si="127"/>
        <v>0.64315386539403818</v>
      </c>
      <c r="Y793" s="149">
        <v>28.294893600000002</v>
      </c>
      <c r="Z793" s="55">
        <f t="shared" si="123"/>
        <v>4.6892229755549006E-3</v>
      </c>
      <c r="AA793" s="55">
        <f t="shared" si="128"/>
        <v>4.7415504135823955E-3</v>
      </c>
      <c r="AB793" s="55">
        <f t="shared" si="124"/>
        <v>-5.3624883871038405</v>
      </c>
      <c r="AC793" s="55">
        <f t="shared" si="129"/>
        <v>-5.3516455964856773</v>
      </c>
      <c r="AD793" s="55"/>
      <c r="AE793" s="55"/>
      <c r="AF793" s="55"/>
      <c r="AG793" s="55"/>
      <c r="AH793" s="55"/>
    </row>
    <row r="794" spans="1:34" ht="15.75">
      <c r="A794" s="39">
        <v>27.990617</v>
      </c>
      <c r="B794" s="39">
        <v>28.323021300000001</v>
      </c>
      <c r="C794" s="39">
        <v>792</v>
      </c>
      <c r="D794">
        <v>792</v>
      </c>
      <c r="E794" s="10">
        <v>1192650</v>
      </c>
      <c r="F794" s="10">
        <v>880140</v>
      </c>
      <c r="G794" s="10">
        <v>12592</v>
      </c>
      <c r="H794" s="10">
        <v>37640</v>
      </c>
      <c r="I794" s="10">
        <v>102220</v>
      </c>
      <c r="J794" s="10">
        <v>25513</v>
      </c>
      <c r="K794">
        <v>792</v>
      </c>
      <c r="L794" s="10">
        <v>1517</v>
      </c>
      <c r="M794" s="10">
        <v>306324</v>
      </c>
      <c r="N794" s="10">
        <v>4305</v>
      </c>
      <c r="O794">
        <v>0.60277434757267567</v>
      </c>
      <c r="P794">
        <v>0.91053140966885127</v>
      </c>
      <c r="Q794">
        <v>-0.47555489974022996</v>
      </c>
      <c r="R794">
        <v>0.47555489974022996</v>
      </c>
      <c r="S794">
        <f t="shared" si="130"/>
        <v>-1.3879392271600546</v>
      </c>
      <c r="T794" s="148">
        <f t="shared" si="125"/>
        <v>-1.4011379344779453</v>
      </c>
      <c r="U794">
        <f t="shared" si="131"/>
        <v>2.0965760506063513</v>
      </c>
      <c r="V794" s="55">
        <f t="shared" si="126"/>
        <v>2.1442547578624214</v>
      </c>
      <c r="W794">
        <f t="shared" si="132"/>
        <v>0.70612643450503165</v>
      </c>
      <c r="X794" s="55">
        <f t="shared" si="127"/>
        <v>0.69519046529554096</v>
      </c>
      <c r="Y794" s="149">
        <v>28.323021300000001</v>
      </c>
      <c r="Z794" s="55">
        <f t="shared" si="123"/>
        <v>4.891267298384348E-3</v>
      </c>
      <c r="AA794" s="55">
        <f t="shared" si="128"/>
        <v>4.7678918274898516E-3</v>
      </c>
      <c r="AB794" s="55">
        <f t="shared" si="124"/>
        <v>-5.3203038478480327</v>
      </c>
      <c r="AC794" s="55">
        <f t="shared" si="129"/>
        <v>-5.3460213698725809</v>
      </c>
      <c r="AD794" s="55"/>
      <c r="AE794" s="55"/>
      <c r="AF794" s="55"/>
      <c r="AG794" s="55"/>
      <c r="AH794" s="55"/>
    </row>
    <row r="795" spans="1:34" ht="15.75">
      <c r="A795" s="39">
        <v>28.018319200000001</v>
      </c>
      <c r="B795" s="39">
        <v>28.351148899999998</v>
      </c>
      <c r="C795" s="39">
        <v>793</v>
      </c>
      <c r="D795">
        <v>793</v>
      </c>
      <c r="E795" s="10">
        <v>1303250</v>
      </c>
      <c r="F795" s="10">
        <v>951900</v>
      </c>
      <c r="G795" s="10">
        <v>12906</v>
      </c>
      <c r="H795" s="10">
        <v>38422</v>
      </c>
      <c r="I795" s="10">
        <v>109754</v>
      </c>
      <c r="J795" s="10">
        <v>26523</v>
      </c>
      <c r="K795">
        <v>793</v>
      </c>
      <c r="L795" s="10">
        <v>1018</v>
      </c>
      <c r="M795" s="10">
        <v>363164</v>
      </c>
      <c r="N795" s="10">
        <v>4496</v>
      </c>
      <c r="O795">
        <v>0.61679771183694887</v>
      </c>
      <c r="P795">
        <v>0.97552282323898365</v>
      </c>
      <c r="Q795">
        <v>-0.47378830689555934</v>
      </c>
      <c r="R795">
        <v>0.47378830689555934</v>
      </c>
      <c r="S795">
        <f t="shared" si="130"/>
        <v>-1.4202292166685955</v>
      </c>
      <c r="T795" s="148">
        <f t="shared" si="125"/>
        <v>-1.4095747367140141</v>
      </c>
      <c r="U795">
        <f t="shared" si="131"/>
        <v>2.2462243106655491</v>
      </c>
      <c r="V795" s="55">
        <f t="shared" si="126"/>
        <v>2.1761197969640023</v>
      </c>
      <c r="W795">
        <f t="shared" si="132"/>
        <v>0.72031996157812905</v>
      </c>
      <c r="X795" s="55">
        <f t="shared" si="127"/>
        <v>0.70058492408497719</v>
      </c>
      <c r="Y795" s="149">
        <v>28.351148899999998</v>
      </c>
      <c r="Z795" s="55">
        <f t="shared" si="123"/>
        <v>4.723185208530308E-3</v>
      </c>
      <c r="AA795" s="55">
        <f t="shared" si="128"/>
        <v>4.7822921079362334E-3</v>
      </c>
      <c r="AB795" s="55">
        <f t="shared" si="124"/>
        <v>-5.3552718746658696</v>
      </c>
      <c r="AC795" s="55">
        <f t="shared" si="129"/>
        <v>-5.3429644984602618</v>
      </c>
      <c r="AD795" s="55"/>
      <c r="AE795" s="55"/>
      <c r="AF795" s="55"/>
      <c r="AG795" s="55"/>
      <c r="AH795" s="55"/>
    </row>
    <row r="796" spans="1:34" ht="15.75">
      <c r="A796" s="39">
        <v>28.0460213</v>
      </c>
      <c r="B796" s="39">
        <v>28.379276600000001</v>
      </c>
      <c r="C796" s="39">
        <v>794</v>
      </c>
      <c r="D796">
        <v>794</v>
      </c>
      <c r="E796" s="10">
        <v>1346120</v>
      </c>
      <c r="F796" s="10">
        <v>975610</v>
      </c>
      <c r="G796" s="10">
        <v>14366</v>
      </c>
      <c r="H796" s="10">
        <v>40640</v>
      </c>
      <c r="I796" s="10">
        <v>116831</v>
      </c>
      <c r="J796" s="10">
        <v>28224</v>
      </c>
      <c r="K796">
        <v>794</v>
      </c>
      <c r="L796" s="10">
        <v>1291</v>
      </c>
      <c r="M796" s="10">
        <v>361518</v>
      </c>
      <c r="N796" s="10">
        <v>4617</v>
      </c>
      <c r="O796">
        <v>0.61693953054575157</v>
      </c>
      <c r="P796">
        <v>0.94917622643783783</v>
      </c>
      <c r="Q796">
        <v>-0.45161783717858267</v>
      </c>
      <c r="R796">
        <v>0.45161783717858267</v>
      </c>
      <c r="S796">
        <f t="shared" si="130"/>
        <v>-1.4205557663133923</v>
      </c>
      <c r="T796" s="148">
        <f t="shared" si="125"/>
        <v>-1.4073246751237651</v>
      </c>
      <c r="U796">
        <f t="shared" si="131"/>
        <v>2.1855590296201064</v>
      </c>
      <c r="V796" s="55">
        <f t="shared" si="126"/>
        <v>2.2013020802380079</v>
      </c>
      <c r="W796">
        <f t="shared" si="132"/>
        <v>0.67530837617177097</v>
      </c>
      <c r="X796" s="55">
        <f t="shared" si="127"/>
        <v>0.66647408878462022</v>
      </c>
      <c r="Y796" s="149">
        <v>28.379276600000001</v>
      </c>
      <c r="Z796" s="55">
        <f t="shared" si="123"/>
        <v>4.7324238168940458E-3</v>
      </c>
      <c r="AA796" s="55">
        <f t="shared" si="128"/>
        <v>4.8131249786093717E-3</v>
      </c>
      <c r="AB796" s="55">
        <f t="shared" si="124"/>
        <v>-5.3533177728668822</v>
      </c>
      <c r="AC796" s="55">
        <f t="shared" si="129"/>
        <v>-5.3367197047834409</v>
      </c>
      <c r="AD796" s="55"/>
      <c r="AE796" s="55"/>
      <c r="AF796" s="55"/>
      <c r="AG796" s="55"/>
      <c r="AH796" s="55"/>
    </row>
    <row r="797" spans="1:34" ht="15.75">
      <c r="A797" s="39">
        <v>28.073723399999999</v>
      </c>
      <c r="B797" s="39">
        <v>28.4074043</v>
      </c>
      <c r="C797" s="39">
        <v>795</v>
      </c>
      <c r="D797">
        <v>795</v>
      </c>
      <c r="E797" s="10">
        <v>1386220</v>
      </c>
      <c r="F797" s="10">
        <v>1004060</v>
      </c>
      <c r="G797" s="10">
        <v>16051</v>
      </c>
      <c r="H797" s="10">
        <v>42375</v>
      </c>
      <c r="I797" s="10">
        <v>116834</v>
      </c>
      <c r="J797" s="10">
        <v>29358</v>
      </c>
      <c r="K797">
        <v>795</v>
      </c>
      <c r="L797" s="10">
        <v>1472</v>
      </c>
      <c r="M797" s="10">
        <v>371921</v>
      </c>
      <c r="N797" s="10">
        <v>5004</v>
      </c>
      <c r="O797">
        <v>0.59984277957491294</v>
      </c>
      <c r="P797">
        <v>0.9433409896717273</v>
      </c>
      <c r="Q797">
        <v>-0.42160761646694289</v>
      </c>
      <c r="R797">
        <v>0.42160761646694284</v>
      </c>
      <c r="S797">
        <f t="shared" si="130"/>
        <v>-1.3811890423893078</v>
      </c>
      <c r="T797" s="148">
        <f t="shared" si="125"/>
        <v>-1.3805803898586613</v>
      </c>
      <c r="U797">
        <f t="shared" si="131"/>
        <v>2.1721229004283691</v>
      </c>
      <c r="V797" s="55">
        <f t="shared" si="126"/>
        <v>2.1422723482049846</v>
      </c>
      <c r="W797">
        <f t="shared" si="132"/>
        <v>0.60379392860396075</v>
      </c>
      <c r="X797" s="55">
        <f t="shared" si="127"/>
        <v>0.61805405379517475</v>
      </c>
      <c r="Y797" s="149">
        <v>28.4074043</v>
      </c>
      <c r="Z797" s="55">
        <f t="shared" si="123"/>
        <v>4.9837659104037604E-3</v>
      </c>
      <c r="AA797" s="55">
        <f t="shared" si="128"/>
        <v>4.9934448419404658E-3</v>
      </c>
      <c r="AB797" s="55">
        <f t="shared" si="124"/>
        <v>-5.3015694668175701</v>
      </c>
      <c r="AC797" s="55">
        <f t="shared" si="129"/>
        <v>-5.3005746059011933</v>
      </c>
      <c r="AD797" s="55"/>
      <c r="AE797" s="55"/>
      <c r="AF797" s="55"/>
      <c r="AG797" s="55"/>
      <c r="AH797" s="55"/>
    </row>
    <row r="798" spans="1:34" ht="15.75">
      <c r="A798" s="39">
        <v>28.101425500000001</v>
      </c>
      <c r="B798" s="39">
        <v>28.435531900000001</v>
      </c>
      <c r="C798" s="39">
        <v>796</v>
      </c>
      <c r="D798">
        <v>796</v>
      </c>
      <c r="E798" s="10">
        <v>1387240</v>
      </c>
      <c r="F798" s="10">
        <v>1013270</v>
      </c>
      <c r="G798" s="10">
        <v>17256</v>
      </c>
      <c r="H798" s="10">
        <v>44241</v>
      </c>
      <c r="I798" s="10">
        <v>117122</v>
      </c>
      <c r="J798" s="10">
        <v>30668</v>
      </c>
      <c r="K798">
        <v>796</v>
      </c>
      <c r="L798" s="10">
        <v>1613</v>
      </c>
      <c r="M798" s="10">
        <v>350299</v>
      </c>
      <c r="N798" s="10">
        <v>5334</v>
      </c>
      <c r="O798">
        <v>0.58195302529770565</v>
      </c>
      <c r="P798">
        <v>0.89861396256847426</v>
      </c>
      <c r="Q798">
        <v>-0.40888480287425055</v>
      </c>
      <c r="R798">
        <v>0.40888480287425055</v>
      </c>
      <c r="S798">
        <f t="shared" si="130"/>
        <v>-1.3399963608732839</v>
      </c>
      <c r="T798" s="148">
        <f t="shared" si="125"/>
        <v>-1.3606009628629809</v>
      </c>
      <c r="U798">
        <f t="shared" si="131"/>
        <v>2.0691351145664783</v>
      </c>
      <c r="V798" s="55">
        <f t="shared" si="126"/>
        <v>2.1357085260162982</v>
      </c>
      <c r="W798">
        <f t="shared" si="132"/>
        <v>0.57505985660979264</v>
      </c>
      <c r="X798" s="55">
        <f t="shared" si="127"/>
        <v>0.59563271151384956</v>
      </c>
      <c r="Y798" s="149">
        <v>28.435531900000001</v>
      </c>
      <c r="Z798" s="55">
        <f t="shared" si="123"/>
        <v>5.264144798523592E-3</v>
      </c>
      <c r="AA798" s="55">
        <f t="shared" si="128"/>
        <v>5.0046094991963623E-3</v>
      </c>
      <c r="AB798" s="55">
        <f t="shared" si="124"/>
        <v>-5.2468365780191286</v>
      </c>
      <c r="AC798" s="55">
        <f t="shared" si="129"/>
        <v>-5.298223731612496</v>
      </c>
      <c r="AD798" s="55"/>
      <c r="AE798" s="55"/>
      <c r="AF798" s="55"/>
      <c r="AG798" s="55"/>
      <c r="AH798" s="55"/>
    </row>
    <row r="799" spans="1:34" ht="15.75">
      <c r="A799" s="39">
        <v>28.129127700000002</v>
      </c>
      <c r="B799" s="39">
        <v>28.4636596</v>
      </c>
      <c r="C799" s="39">
        <v>797</v>
      </c>
      <c r="D799">
        <v>797</v>
      </c>
      <c r="E799" s="10">
        <v>1405250</v>
      </c>
      <c r="F799" s="10">
        <v>1008620</v>
      </c>
      <c r="G799" s="10">
        <v>16370</v>
      </c>
      <c r="H799" s="10">
        <v>43220</v>
      </c>
      <c r="I799" s="10">
        <v>117227</v>
      </c>
      <c r="J799" s="10">
        <v>30069</v>
      </c>
      <c r="K799">
        <v>797</v>
      </c>
      <c r="L799" s="10">
        <v>2289</v>
      </c>
      <c r="M799" s="10">
        <v>376972</v>
      </c>
      <c r="N799" s="10">
        <v>4807</v>
      </c>
      <c r="O799">
        <v>0.59090866585831281</v>
      </c>
      <c r="P799">
        <v>0.94062433116761601</v>
      </c>
      <c r="Q799">
        <v>-0.42163608313528111</v>
      </c>
      <c r="R799">
        <v>0.42163608313528111</v>
      </c>
      <c r="S799">
        <f t="shared" si="130"/>
        <v>-1.3606174853263509</v>
      </c>
      <c r="T799" s="148">
        <f t="shared" si="125"/>
        <v>-1.3669017809429989</v>
      </c>
      <c r="U799">
        <f t="shared" si="131"/>
        <v>2.1658675630540474</v>
      </c>
      <c r="V799" s="55">
        <f t="shared" si="126"/>
        <v>2.1213637457686141</v>
      </c>
      <c r="W799">
        <f t="shared" si="132"/>
        <v>0.60804434932779539</v>
      </c>
      <c r="X799" s="55">
        <f t="shared" si="127"/>
        <v>0.61329872331709323</v>
      </c>
      <c r="Y799" s="149">
        <v>28.4636596</v>
      </c>
      <c r="Z799" s="55">
        <f t="shared" si="123"/>
        <v>4.7659177886617355E-3</v>
      </c>
      <c r="AA799" s="55">
        <f t="shared" si="128"/>
        <v>5.056487545867086E-3</v>
      </c>
      <c r="AB799" s="55">
        <f t="shared" si="124"/>
        <v>-5.3462651500007876</v>
      </c>
      <c r="AC799" s="55">
        <f t="shared" si="129"/>
        <v>-5.2879735520188174</v>
      </c>
      <c r="AD799" s="55"/>
      <c r="AE799" s="55"/>
      <c r="AF799" s="55"/>
      <c r="AG799" s="55"/>
      <c r="AH799" s="55"/>
    </row>
    <row r="800" spans="1:34" ht="15.75">
      <c r="A800" s="39">
        <v>28.156829800000001</v>
      </c>
      <c r="B800" s="39">
        <v>28.491787200000001</v>
      </c>
      <c r="C800" s="39">
        <v>798</v>
      </c>
      <c r="D800">
        <v>798</v>
      </c>
      <c r="E800" s="10">
        <v>1364450</v>
      </c>
      <c r="F800" s="10">
        <v>991750</v>
      </c>
      <c r="G800" s="10">
        <v>14901</v>
      </c>
      <c r="H800" s="10">
        <v>42635</v>
      </c>
      <c r="I800" s="10">
        <v>116549</v>
      </c>
      <c r="J800" s="10">
        <v>28738</v>
      </c>
      <c r="K800">
        <v>798</v>
      </c>
      <c r="L800" s="10">
        <v>2309</v>
      </c>
      <c r="M800" s="10">
        <v>358441</v>
      </c>
      <c r="N800" s="10">
        <v>5097</v>
      </c>
      <c r="O800">
        <v>0.60805201114579754</v>
      </c>
      <c r="P800">
        <v>0.92465141295467523</v>
      </c>
      <c r="Q800">
        <v>-0.45655085260443323</v>
      </c>
      <c r="R800">
        <v>0.45655085260443323</v>
      </c>
      <c r="S800">
        <f t="shared" si="130"/>
        <v>-1.4000914966293627</v>
      </c>
      <c r="T800" s="148">
        <f t="shared" si="125"/>
        <v>-1.3920525794203817</v>
      </c>
      <c r="U800">
        <f t="shared" si="131"/>
        <v>2.1290885596853166</v>
      </c>
      <c r="V800" s="55">
        <f t="shared" si="126"/>
        <v>2.1327155681164269</v>
      </c>
      <c r="W800">
        <f t="shared" si="132"/>
        <v>0.65679196401369178</v>
      </c>
      <c r="X800" s="55">
        <f t="shared" si="127"/>
        <v>0.63582590371499126</v>
      </c>
      <c r="Y800" s="149">
        <v>28.491787200000001</v>
      </c>
      <c r="Z800" s="55">
        <f t="shared" si="123"/>
        <v>5.1394000504159315E-3</v>
      </c>
      <c r="AA800" s="55">
        <f t="shared" si="128"/>
        <v>4.9582919036658644E-3</v>
      </c>
      <c r="AB800" s="55">
        <f t="shared" si="124"/>
        <v>-5.270818928036535</v>
      </c>
      <c r="AC800" s="55">
        <f t="shared" si="129"/>
        <v>-5.3071694934134301</v>
      </c>
      <c r="AD800" s="55"/>
      <c r="AE800" s="55"/>
      <c r="AF800" s="55"/>
      <c r="AG800" s="55"/>
      <c r="AH800" s="55"/>
    </row>
    <row r="801" spans="1:34" ht="15.75">
      <c r="A801" s="39">
        <v>28.1845319</v>
      </c>
      <c r="B801" s="39">
        <v>28.5199149</v>
      </c>
      <c r="C801" s="39">
        <v>799</v>
      </c>
      <c r="D801">
        <v>799</v>
      </c>
      <c r="E801" s="10">
        <v>1287450</v>
      </c>
      <c r="F801" s="10">
        <v>941130</v>
      </c>
      <c r="G801" s="10">
        <v>14497</v>
      </c>
      <c r="H801" s="10">
        <v>40007</v>
      </c>
      <c r="I801" s="10">
        <v>113526</v>
      </c>
      <c r="J801" s="10">
        <v>27566</v>
      </c>
      <c r="K801">
        <v>799</v>
      </c>
      <c r="L801" s="10">
        <v>1587</v>
      </c>
      <c r="M801" s="10">
        <v>327748</v>
      </c>
      <c r="N801" s="10">
        <v>4677</v>
      </c>
      <c r="O801">
        <v>0.61472158428026968</v>
      </c>
      <c r="P801">
        <v>0.91340406398407747</v>
      </c>
      <c r="Q801">
        <v>-0.44085784730522753</v>
      </c>
      <c r="R801">
        <v>0.44085784730522753</v>
      </c>
      <c r="S801">
        <f t="shared" si="130"/>
        <v>-1.4154487563054319</v>
      </c>
      <c r="T801" s="148">
        <f t="shared" si="125"/>
        <v>-1.3756743350212062</v>
      </c>
      <c r="U801">
        <f t="shared" si="131"/>
        <v>2.1031905816099163</v>
      </c>
      <c r="V801" s="55">
        <f t="shared" si="126"/>
        <v>2.1241972569645227</v>
      </c>
      <c r="W801">
        <f t="shared" si="132"/>
        <v>0.64264139780348661</v>
      </c>
      <c r="X801" s="55">
        <f t="shared" si="127"/>
        <v>0.64871774621951994</v>
      </c>
      <c r="Y801" s="149">
        <v>28.5199149</v>
      </c>
      <c r="Z801" s="55">
        <f t="shared" si="123"/>
        <v>4.9695578719199263E-3</v>
      </c>
      <c r="AA801" s="55">
        <f t="shared" si="128"/>
        <v>5.0753787913296817E-3</v>
      </c>
      <c r="AB801" s="55">
        <f t="shared" si="124"/>
        <v>-5.3044244022029678</v>
      </c>
      <c r="AC801" s="55">
        <f t="shared" si="129"/>
        <v>-5.2834651352447066</v>
      </c>
      <c r="AD801" s="55"/>
      <c r="AE801" s="55"/>
      <c r="AF801" s="55"/>
      <c r="AG801" s="55"/>
      <c r="AH801" s="55"/>
    </row>
    <row r="802" spans="1:34" ht="15.75">
      <c r="A802" s="39">
        <v>28.212233999999999</v>
      </c>
      <c r="B802" s="39">
        <v>28.548042599999999</v>
      </c>
      <c r="C802" s="39">
        <v>800</v>
      </c>
      <c r="D802">
        <v>800</v>
      </c>
      <c r="E802" s="10">
        <v>1357220</v>
      </c>
      <c r="F802" s="10">
        <v>992930</v>
      </c>
      <c r="G802" s="10">
        <v>15408</v>
      </c>
      <c r="H802" s="10">
        <v>42239</v>
      </c>
      <c r="I802" s="10">
        <v>109190</v>
      </c>
      <c r="J802" s="10">
        <v>29418</v>
      </c>
      <c r="K802">
        <v>800</v>
      </c>
      <c r="L802" s="10">
        <v>1967</v>
      </c>
      <c r="M802" s="10">
        <v>359120</v>
      </c>
      <c r="N802" s="10">
        <v>5081</v>
      </c>
      <c r="O802">
        <v>0.56956972236083836</v>
      </c>
      <c r="P802">
        <v>0.92952596458239511</v>
      </c>
      <c r="Q802">
        <v>-0.43796735803074205</v>
      </c>
      <c r="R802">
        <v>0.43796735803074205</v>
      </c>
      <c r="S802">
        <f t="shared" si="130"/>
        <v>-1.3114827521288237</v>
      </c>
      <c r="T802" s="148">
        <f t="shared" si="125"/>
        <v>-1.3415604032128561</v>
      </c>
      <c r="U802">
        <f t="shared" si="131"/>
        <v>2.1403126295983341</v>
      </c>
      <c r="V802" s="55">
        <f t="shared" si="126"/>
        <v>2.124668791323201</v>
      </c>
      <c r="W802">
        <f t="shared" si="132"/>
        <v>0.64671987684138144</v>
      </c>
      <c r="X802" s="55">
        <f t="shared" si="127"/>
        <v>0.63156574347314132</v>
      </c>
      <c r="Y802" s="149">
        <v>28.548042599999999</v>
      </c>
      <c r="Z802" s="55">
        <f t="shared" si="123"/>
        <v>5.1171784516531879E-3</v>
      </c>
      <c r="AA802" s="55">
        <f t="shared" si="128"/>
        <v>5.1031472854250999E-3</v>
      </c>
      <c r="AB802" s="55">
        <f t="shared" si="124"/>
        <v>-5.275152075494618</v>
      </c>
      <c r="AC802" s="55">
        <f t="shared" si="129"/>
        <v>-5.2781053959243165</v>
      </c>
      <c r="AD802" s="55"/>
      <c r="AE802" s="55"/>
      <c r="AF802" s="55"/>
      <c r="AG802" s="55"/>
      <c r="AH802" s="55"/>
    </row>
    <row r="803" spans="1:34" ht="15.75">
      <c r="A803" s="39">
        <v>28.239936199999999</v>
      </c>
      <c r="B803" s="39">
        <v>28.5761702</v>
      </c>
      <c r="C803" s="39">
        <v>801</v>
      </c>
      <c r="D803">
        <v>801</v>
      </c>
      <c r="E803" s="10">
        <v>1390200</v>
      </c>
      <c r="F803" s="10">
        <v>1016140</v>
      </c>
      <c r="G803" s="10">
        <v>16487</v>
      </c>
      <c r="H803" s="10">
        <v>43493</v>
      </c>
      <c r="I803" s="10">
        <v>110571</v>
      </c>
      <c r="J803" s="10">
        <v>30202</v>
      </c>
      <c r="K803">
        <v>801</v>
      </c>
      <c r="L803" s="10">
        <v>2379</v>
      </c>
      <c r="M803" s="10">
        <v>366172</v>
      </c>
      <c r="N803" s="10">
        <v>5307</v>
      </c>
      <c r="O803">
        <v>0.56360553412462677</v>
      </c>
      <c r="P803">
        <v>0.92526576726468102</v>
      </c>
      <c r="Q803">
        <v>-0.42127772692435173</v>
      </c>
      <c r="R803">
        <v>0.42127772692435173</v>
      </c>
      <c r="S803">
        <f t="shared" si="130"/>
        <v>-1.2977497012043127</v>
      </c>
      <c r="T803" s="148">
        <f t="shared" si="125"/>
        <v>-1.3036736107053606</v>
      </c>
      <c r="U803">
        <f t="shared" si="131"/>
        <v>2.1305031627613524</v>
      </c>
      <c r="V803" s="55">
        <f t="shared" si="126"/>
        <v>2.1361005798447059</v>
      </c>
      <c r="W803">
        <f t="shared" si="132"/>
        <v>0.6053359557745559</v>
      </c>
      <c r="X803" s="55">
        <f t="shared" si="127"/>
        <v>0.63171329085916172</v>
      </c>
      <c r="Y803" s="149">
        <v>28.5761702</v>
      </c>
      <c r="Z803" s="55">
        <f t="shared" si="123"/>
        <v>5.2227055327021864E-3</v>
      </c>
      <c r="AA803" s="55">
        <f t="shared" si="128"/>
        <v>5.183219357932505E-3</v>
      </c>
      <c r="AB803" s="55">
        <f t="shared" si="124"/>
        <v>-5.2547397100753628</v>
      </c>
      <c r="AC803" s="55">
        <f t="shared" si="129"/>
        <v>-5.2623701902261866</v>
      </c>
      <c r="AD803" s="55"/>
      <c r="AE803" s="55"/>
      <c r="AF803" s="55"/>
      <c r="AG803" s="55"/>
      <c r="AH803" s="55"/>
    </row>
    <row r="804" spans="1:34" ht="15.75">
      <c r="A804" s="39">
        <v>28.267638300000002</v>
      </c>
      <c r="B804" s="39">
        <v>28.604297899999999</v>
      </c>
      <c r="C804" s="39">
        <v>802</v>
      </c>
      <c r="D804">
        <v>802</v>
      </c>
      <c r="E804" s="10">
        <v>1378830</v>
      </c>
      <c r="F804" s="10">
        <v>1019430</v>
      </c>
      <c r="G804" s="10">
        <v>15564</v>
      </c>
      <c r="H804" s="10">
        <v>43098</v>
      </c>
      <c r="I804" s="10">
        <v>108835</v>
      </c>
      <c r="J804" s="10">
        <v>29608</v>
      </c>
      <c r="K804">
        <v>802</v>
      </c>
      <c r="L804" s="10">
        <v>3864</v>
      </c>
      <c r="M804" s="10">
        <v>365389</v>
      </c>
      <c r="N804" s="10">
        <v>5311</v>
      </c>
      <c r="O804">
        <v>0.5653595095112135</v>
      </c>
      <c r="P804">
        <v>0.92829835200360111</v>
      </c>
      <c r="Q804">
        <v>-0.44233589468523765</v>
      </c>
      <c r="R804">
        <v>0.44233589468523765</v>
      </c>
      <c r="S804">
        <f t="shared" si="130"/>
        <v>-1.3017883787829456</v>
      </c>
      <c r="T804" s="148">
        <f t="shared" si="125"/>
        <v>-1.2874705574505265</v>
      </c>
      <c r="U804">
        <f t="shared" si="131"/>
        <v>2.1374859471744312</v>
      </c>
      <c r="V804" s="55">
        <f t="shared" si="126"/>
        <v>2.117702679328513</v>
      </c>
      <c r="W804">
        <f t="shared" si="132"/>
        <v>0.64308403996154773</v>
      </c>
      <c r="X804" s="55">
        <f t="shared" si="127"/>
        <v>0.63040393003531925</v>
      </c>
      <c r="Y804" s="149">
        <v>28.604297899999999</v>
      </c>
      <c r="Z804" s="55">
        <f t="shared" si="123"/>
        <v>5.2097740894421389E-3</v>
      </c>
      <c r="AA804" s="55">
        <f t="shared" si="128"/>
        <v>5.3498378867436651E-3</v>
      </c>
      <c r="AB804" s="55">
        <f t="shared" si="124"/>
        <v>-5.2572187851085799</v>
      </c>
      <c r="AC804" s="55">
        <f t="shared" si="129"/>
        <v>-5.2313033336001027</v>
      </c>
      <c r="AD804" s="55"/>
      <c r="AE804" s="55"/>
      <c r="AF804" s="55"/>
      <c r="AG804" s="55"/>
      <c r="AH804" s="55"/>
    </row>
    <row r="805" spans="1:34" ht="15.75">
      <c r="A805" s="39">
        <v>28.295340400000001</v>
      </c>
      <c r="B805" s="39">
        <v>28.6324255</v>
      </c>
      <c r="C805" s="39">
        <v>803</v>
      </c>
      <c r="D805">
        <v>803</v>
      </c>
      <c r="E805" s="10">
        <v>1345570</v>
      </c>
      <c r="F805" s="10">
        <v>1000350</v>
      </c>
      <c r="G805" s="10">
        <v>15649</v>
      </c>
      <c r="H805" s="10">
        <v>42680</v>
      </c>
      <c r="I805" s="10">
        <v>105222</v>
      </c>
      <c r="J805" s="10">
        <v>29761</v>
      </c>
      <c r="K805">
        <v>803</v>
      </c>
      <c r="L805" s="10">
        <v>2760</v>
      </c>
      <c r="M805" s="10">
        <v>343384</v>
      </c>
      <c r="N805" s="10">
        <v>5619</v>
      </c>
      <c r="O805">
        <v>0.54845903250516137</v>
      </c>
      <c r="P805">
        <v>0.9055556445640327</v>
      </c>
      <c r="Q805">
        <v>-0.43573782020272644</v>
      </c>
      <c r="R805">
        <v>0.43573782020272644</v>
      </c>
      <c r="S805">
        <f t="shared" si="130"/>
        <v>-1.2628735923643213</v>
      </c>
      <c r="T805" s="148">
        <f t="shared" si="125"/>
        <v>-1.2647010581759088</v>
      </c>
      <c r="U805">
        <f t="shared" si="131"/>
        <v>2.0851189280497562</v>
      </c>
      <c r="V805" s="55">
        <f t="shared" si="126"/>
        <v>2.0911542842593658</v>
      </c>
      <c r="W805">
        <f t="shared" si="132"/>
        <v>0.64279179436985423</v>
      </c>
      <c r="X805" s="55">
        <f t="shared" si="127"/>
        <v>0.63410160773563928</v>
      </c>
      <c r="Y805" s="149">
        <v>28.6324255</v>
      </c>
      <c r="Z805" s="55">
        <f t="shared" si="123"/>
        <v>5.61703403808667E-3</v>
      </c>
      <c r="AA805" s="55">
        <f t="shared" si="128"/>
        <v>5.4210261907473023E-3</v>
      </c>
      <c r="AB805" s="55">
        <f t="shared" si="124"/>
        <v>-5.1819515056163636</v>
      </c>
      <c r="AC805" s="55">
        <f t="shared" si="129"/>
        <v>-5.2179441079908839</v>
      </c>
      <c r="AD805" s="55"/>
      <c r="AE805" s="55"/>
      <c r="AF805" s="55"/>
      <c r="AG805" s="55"/>
      <c r="AH805" s="55"/>
    </row>
    <row r="806" spans="1:34" ht="15.75">
      <c r="A806" s="39">
        <v>28.323042600000001</v>
      </c>
      <c r="B806" s="39">
        <v>28.660553199999999</v>
      </c>
      <c r="C806" s="39">
        <v>804</v>
      </c>
      <c r="D806">
        <v>804</v>
      </c>
      <c r="E806" s="10">
        <v>1320070</v>
      </c>
      <c r="F806" s="10">
        <v>1000870</v>
      </c>
      <c r="G806" s="10">
        <v>15728</v>
      </c>
      <c r="H806" s="10">
        <v>42483</v>
      </c>
      <c r="I806" s="10">
        <v>99615</v>
      </c>
      <c r="J806" s="10">
        <v>29133</v>
      </c>
      <c r="K806">
        <v>804</v>
      </c>
      <c r="L806" s="10">
        <v>2345</v>
      </c>
      <c r="M806" s="10">
        <v>330287</v>
      </c>
      <c r="N806" s="10">
        <v>5441</v>
      </c>
      <c r="O806">
        <v>0.53393953045262732</v>
      </c>
      <c r="P806">
        <v>0.89067630281892651</v>
      </c>
      <c r="Q806">
        <v>-0.43154167701666352</v>
      </c>
      <c r="R806">
        <v>0.43154167701666357</v>
      </c>
      <c r="S806">
        <f t="shared" si="130"/>
        <v>-1.22944120338046</v>
      </c>
      <c r="T806" s="148">
        <f t="shared" si="125"/>
        <v>-1.2189068875721978</v>
      </c>
      <c r="U806">
        <f t="shared" si="131"/>
        <v>2.0508579775539109</v>
      </c>
      <c r="V806" s="55">
        <f t="shared" si="126"/>
        <v>2.0891188205591096</v>
      </c>
      <c r="W806">
        <f t="shared" si="132"/>
        <v>0.61642898887551589</v>
      </c>
      <c r="X806" s="55">
        <f t="shared" si="127"/>
        <v>0.62383050775105664</v>
      </c>
      <c r="Y806" s="149">
        <v>28.660553199999999</v>
      </c>
      <c r="Z806" s="55">
        <f t="shared" si="123"/>
        <v>5.4362704447130997E-3</v>
      </c>
      <c r="AA806" s="55">
        <f t="shared" si="128"/>
        <v>5.5055035859859916E-3</v>
      </c>
      <c r="AB806" s="55">
        <f t="shared" si="124"/>
        <v>-5.2146620332477065</v>
      </c>
      <c r="AC806" s="55">
        <f t="shared" si="129"/>
        <v>-5.2021109901863118</v>
      </c>
      <c r="AD806" s="55"/>
      <c r="AE806" s="55"/>
      <c r="AF806" s="55"/>
      <c r="AG806" s="55"/>
      <c r="AH806" s="55"/>
    </row>
    <row r="807" spans="1:34" ht="15.75">
      <c r="A807" s="39">
        <v>28.3507447</v>
      </c>
      <c r="B807" s="39">
        <v>28.688680900000001</v>
      </c>
      <c r="C807" s="39">
        <v>805</v>
      </c>
      <c r="D807">
        <v>805</v>
      </c>
      <c r="E807" s="10">
        <v>1342520</v>
      </c>
      <c r="F807" s="10">
        <v>1016070</v>
      </c>
      <c r="G807" s="10">
        <v>15999</v>
      </c>
      <c r="H807" s="10">
        <v>41807</v>
      </c>
      <c r="I807" s="10">
        <v>94557</v>
      </c>
      <c r="J807" s="10">
        <v>29512</v>
      </c>
      <c r="K807">
        <v>805</v>
      </c>
      <c r="L807" s="10">
        <v>1885</v>
      </c>
      <c r="M807" s="10">
        <v>352286</v>
      </c>
      <c r="N807" s="10">
        <v>5551</v>
      </c>
      <c r="O807">
        <v>0.50569504272162991</v>
      </c>
      <c r="P807">
        <v>0.92564638004419397</v>
      </c>
      <c r="Q807">
        <v>-0.41715616602443739</v>
      </c>
      <c r="R807">
        <v>0.41715616602443739</v>
      </c>
      <c r="S807">
        <f t="shared" si="130"/>
        <v>-1.164405866971812</v>
      </c>
      <c r="T807" s="148">
        <f t="shared" si="125"/>
        <v>-1.1859118627610565</v>
      </c>
      <c r="U807">
        <f t="shared" si="131"/>
        <v>2.1313795560736621</v>
      </c>
      <c r="V807" s="55">
        <f t="shared" si="126"/>
        <v>2.0907997413918697</v>
      </c>
      <c r="W807">
        <f t="shared" si="132"/>
        <v>0.61227074000779969</v>
      </c>
      <c r="X807" s="55">
        <f t="shared" si="127"/>
        <v>0.60405469648954713</v>
      </c>
      <c r="Y807" s="149">
        <v>28.688680900000001</v>
      </c>
      <c r="Z807" s="55">
        <f t="shared" si="123"/>
        <v>5.4632062751582078E-3</v>
      </c>
      <c r="AA807" s="55">
        <f t="shared" si="128"/>
        <v>5.4687360092319495E-3</v>
      </c>
      <c r="AB807" s="55">
        <f t="shared" si="124"/>
        <v>-5.2097194316948654</v>
      </c>
      <c r="AC807" s="55">
        <f t="shared" si="129"/>
        <v>-5.2087218419532757</v>
      </c>
      <c r="AD807" s="55"/>
      <c r="AE807" s="55"/>
      <c r="AF807" s="55"/>
      <c r="AG807" s="55"/>
      <c r="AH807" s="55"/>
    </row>
    <row r="808" spans="1:34" ht="15.75">
      <c r="A808" s="39">
        <v>28.378446799999999</v>
      </c>
      <c r="B808" s="39">
        <v>28.716808499999999</v>
      </c>
      <c r="C808" s="39">
        <v>806</v>
      </c>
      <c r="D808">
        <v>806</v>
      </c>
      <c r="E808" s="10">
        <v>1374380</v>
      </c>
      <c r="F808" s="10">
        <v>1035460</v>
      </c>
      <c r="G808" s="10">
        <v>17106</v>
      </c>
      <c r="H808" s="10">
        <v>44130</v>
      </c>
      <c r="I808" s="10">
        <v>98178</v>
      </c>
      <c r="J808" s="10">
        <v>30658</v>
      </c>
      <c r="K808">
        <v>806</v>
      </c>
      <c r="L808" s="10">
        <v>1494</v>
      </c>
      <c r="M808" s="10">
        <v>356845</v>
      </c>
      <c r="N808" s="10">
        <v>5702</v>
      </c>
      <c r="O808">
        <v>0.50547036088794295</v>
      </c>
      <c r="P808">
        <v>0.90774568849058479</v>
      </c>
      <c r="Q808">
        <v>-0.41158545975408894</v>
      </c>
      <c r="R808">
        <v>0.41158545975408894</v>
      </c>
      <c r="S808">
        <f t="shared" si="130"/>
        <v>-1.1638885179308978</v>
      </c>
      <c r="T808" s="148">
        <f t="shared" si="125"/>
        <v>-1.1440423251240406</v>
      </c>
      <c r="U808">
        <f t="shared" si="131"/>
        <v>2.0901616905480371</v>
      </c>
      <c r="V808" s="55">
        <f t="shared" si="126"/>
        <v>2.1068219195996809</v>
      </c>
      <c r="W808">
        <f t="shared" si="132"/>
        <v>0.58346436058532569</v>
      </c>
      <c r="X808" s="55">
        <f t="shared" si="127"/>
        <v>0.57898338564285723</v>
      </c>
      <c r="Y808" s="149">
        <v>28.716808499999999</v>
      </c>
      <c r="Z808" s="55">
        <f t="shared" si="123"/>
        <v>5.5067313078245419E-3</v>
      </c>
      <c r="AA808" s="55">
        <f t="shared" si="128"/>
        <v>5.4283943289172359E-3</v>
      </c>
      <c r="AB808" s="55">
        <f t="shared" si="124"/>
        <v>-5.2017840609172552</v>
      </c>
      <c r="AC808" s="55">
        <f t="shared" si="129"/>
        <v>-5.2162265296478578</v>
      </c>
      <c r="AD808" s="55"/>
      <c r="AE808" s="55"/>
      <c r="AF808" s="55"/>
      <c r="AG808" s="55"/>
      <c r="AH808" s="55"/>
    </row>
    <row r="809" spans="1:34" ht="15.75">
      <c r="A809" s="39">
        <v>28.406148900000002</v>
      </c>
      <c r="B809" s="39">
        <v>28.744936200000001</v>
      </c>
      <c r="C809" s="39">
        <v>807</v>
      </c>
      <c r="D809">
        <v>807</v>
      </c>
      <c r="E809" s="10">
        <v>1398610</v>
      </c>
      <c r="F809" s="10">
        <v>1043790</v>
      </c>
      <c r="G809" s="10">
        <v>18460</v>
      </c>
      <c r="H809" s="10">
        <v>45123</v>
      </c>
      <c r="I809" s="10">
        <v>95646</v>
      </c>
      <c r="J809" s="10">
        <v>31716</v>
      </c>
      <c r="K809">
        <v>807</v>
      </c>
      <c r="L809" s="10">
        <v>1308</v>
      </c>
      <c r="M809" s="10">
        <v>368086</v>
      </c>
      <c r="N809" s="10">
        <v>5548</v>
      </c>
      <c r="O809">
        <v>0.47938840298583774</v>
      </c>
      <c r="P809">
        <v>0.91155133357009499</v>
      </c>
      <c r="Q809">
        <v>-0.38816626928835551</v>
      </c>
      <c r="R809">
        <v>0.38816626928835557</v>
      </c>
      <c r="S809">
        <f t="shared" si="130"/>
        <v>-1.1038325904694122</v>
      </c>
      <c r="T809" s="148">
        <f t="shared" si="125"/>
        <v>-1.1384062276910469</v>
      </c>
      <c r="U809">
        <f t="shared" si="131"/>
        <v>2.0989245121773434</v>
      </c>
      <c r="V809" s="55">
        <f t="shared" si="126"/>
        <v>2.1060344707657292</v>
      </c>
      <c r="W809">
        <f t="shared" si="132"/>
        <v>0.54121505633544642</v>
      </c>
      <c r="X809" s="55">
        <f t="shared" si="127"/>
        <v>0.56364281272387606</v>
      </c>
      <c r="Y809" s="149">
        <v>28.744936200000001</v>
      </c>
      <c r="Z809" s="55">
        <f t="shared" si="123"/>
        <v>5.3152454037689572E-3</v>
      </c>
      <c r="AA809" s="55">
        <f t="shared" si="128"/>
        <v>5.3979916958116951E-3</v>
      </c>
      <c r="AB809" s="55">
        <f t="shared" si="124"/>
        <v>-5.2371760963314529</v>
      </c>
      <c r="AC809" s="55">
        <f t="shared" si="129"/>
        <v>-5.2218384866358845</v>
      </c>
      <c r="AD809" s="55"/>
      <c r="AE809" s="55"/>
      <c r="AF809" s="55"/>
      <c r="AG809" s="55"/>
      <c r="AH809" s="55"/>
    </row>
    <row r="810" spans="1:34" ht="15.75">
      <c r="A810" s="39">
        <v>28.433851099999998</v>
      </c>
      <c r="B810" s="39">
        <v>28.773063799999999</v>
      </c>
      <c r="C810" s="39">
        <v>808</v>
      </c>
      <c r="D810">
        <v>808</v>
      </c>
      <c r="E810" s="10">
        <v>1408240</v>
      </c>
      <c r="F810" s="10">
        <v>1059010</v>
      </c>
      <c r="G810" s="10">
        <v>17902</v>
      </c>
      <c r="H810" s="10">
        <v>44449</v>
      </c>
      <c r="I810" s="10">
        <v>99351</v>
      </c>
      <c r="J810" s="10">
        <v>31537</v>
      </c>
      <c r="K810">
        <v>808</v>
      </c>
      <c r="L810" s="10">
        <v>1156</v>
      </c>
      <c r="M810" s="10">
        <v>373665</v>
      </c>
      <c r="N810" s="10">
        <v>5689</v>
      </c>
      <c r="O810">
        <v>0.49835186467777504</v>
      </c>
      <c r="P810">
        <v>0.92462042599409433</v>
      </c>
      <c r="Q810">
        <v>-0.39496044199943969</v>
      </c>
      <c r="R810">
        <v>0.39496044199943975</v>
      </c>
      <c r="S810">
        <f t="shared" si="130"/>
        <v>-1.1474975746728306</v>
      </c>
      <c r="T810" s="148">
        <f t="shared" si="125"/>
        <v>-1.2235838637887462</v>
      </c>
      <c r="U810">
        <f t="shared" si="131"/>
        <v>2.1290172095718058</v>
      </c>
      <c r="V810" s="55">
        <f t="shared" si="126"/>
        <v>2.1356501940156778</v>
      </c>
      <c r="W810">
        <f t="shared" si="132"/>
        <v>0.56624902125085608</v>
      </c>
      <c r="X810" s="55">
        <f t="shared" si="127"/>
        <v>0.52974928254965259</v>
      </c>
      <c r="Y810" s="149">
        <v>28.773063799999999</v>
      </c>
      <c r="Z810" s="55">
        <f t="shared" si="123"/>
        <v>5.3719983758415881E-3</v>
      </c>
      <c r="AA810" s="55">
        <f t="shared" si="128"/>
        <v>5.2216667657300243E-3</v>
      </c>
      <c r="AB810" s="55">
        <f t="shared" si="124"/>
        <v>-5.2265553026589453</v>
      </c>
      <c r="AC810" s="55">
        <f t="shared" si="129"/>
        <v>-5.2555024623063016</v>
      </c>
      <c r="AD810" s="55"/>
      <c r="AE810" s="55"/>
      <c r="AF810" s="55"/>
      <c r="AG810" s="55"/>
      <c r="AH810" s="55"/>
    </row>
    <row r="811" spans="1:34" ht="15.75">
      <c r="A811" s="39">
        <v>28.461553200000001</v>
      </c>
      <c r="B811" s="39">
        <v>28.801191500000002</v>
      </c>
      <c r="C811" s="39">
        <v>809</v>
      </c>
      <c r="D811">
        <v>809</v>
      </c>
      <c r="E811" s="10">
        <v>1520280</v>
      </c>
      <c r="F811" s="10">
        <v>1045250</v>
      </c>
      <c r="G811" s="10">
        <v>19494</v>
      </c>
      <c r="H811" s="10">
        <v>45692</v>
      </c>
      <c r="I811" s="10">
        <v>130492</v>
      </c>
      <c r="J811" s="10">
        <v>31560</v>
      </c>
      <c r="K811">
        <v>809</v>
      </c>
      <c r="L811" s="10">
        <v>1703</v>
      </c>
      <c r="M811" s="10">
        <v>403805</v>
      </c>
      <c r="N811" s="10">
        <v>5203</v>
      </c>
      <c r="O811">
        <v>0.61644689290432519</v>
      </c>
      <c r="P811">
        <v>0.9463315240456649</v>
      </c>
      <c r="Q811">
        <v>-0.3699392063939177</v>
      </c>
      <c r="R811">
        <v>0.3699392063939177</v>
      </c>
      <c r="S811">
        <f t="shared" si="130"/>
        <v>-1.4194214262239961</v>
      </c>
      <c r="T811" s="148">
        <f t="shared" si="125"/>
        <v>-1.2995183778192219</v>
      </c>
      <c r="U811">
        <f t="shared" si="131"/>
        <v>2.1790088602978841</v>
      </c>
      <c r="V811" s="55">
        <f t="shared" si="126"/>
        <v>2.1559401064991839</v>
      </c>
      <c r="W811">
        <f t="shared" si="132"/>
        <v>0.48178377006265527</v>
      </c>
      <c r="X811" s="55">
        <f t="shared" si="127"/>
        <v>0.51579539331375557</v>
      </c>
      <c r="Y811" s="149">
        <v>28.801191500000002</v>
      </c>
      <c r="Z811" s="55">
        <f t="shared" si="123"/>
        <v>4.9777565175795268E-3</v>
      </c>
      <c r="AA811" s="55">
        <f t="shared" si="128"/>
        <v>5.0477427016472369E-3</v>
      </c>
      <c r="AB811" s="55">
        <f t="shared" si="124"/>
        <v>-5.3027759879285075</v>
      </c>
      <c r="AC811" s="55">
        <f t="shared" si="129"/>
        <v>-5.2899437748504212</v>
      </c>
      <c r="AD811" s="55"/>
      <c r="AE811" s="55"/>
      <c r="AF811" s="55"/>
      <c r="AG811" s="55"/>
      <c r="AH811" s="55"/>
    </row>
    <row r="812" spans="1:34" ht="15.75">
      <c r="A812" s="39">
        <v>28.4892553</v>
      </c>
      <c r="B812" s="39">
        <v>28.8293192</v>
      </c>
      <c r="C812" s="39">
        <v>810</v>
      </c>
      <c r="D812">
        <v>810</v>
      </c>
      <c r="E812" s="10">
        <v>1451710</v>
      </c>
      <c r="F812" s="10">
        <v>1033280</v>
      </c>
      <c r="G812" s="10">
        <v>18533</v>
      </c>
      <c r="H812" s="10">
        <v>44534</v>
      </c>
      <c r="I812" s="10">
        <v>115647</v>
      </c>
      <c r="J812" s="10">
        <v>30536</v>
      </c>
      <c r="K812">
        <v>810</v>
      </c>
      <c r="L812" s="10">
        <v>1778</v>
      </c>
      <c r="M812" s="10">
        <v>386081</v>
      </c>
      <c r="N812" s="10">
        <v>4953</v>
      </c>
      <c r="O812">
        <v>0.57832222427415947</v>
      </c>
      <c r="P812">
        <v>0.93798672465975441</v>
      </c>
      <c r="Q812">
        <v>-0.38074597904528323</v>
      </c>
      <c r="R812">
        <v>0.38074597904528329</v>
      </c>
      <c r="S812">
        <f t="shared" si="130"/>
        <v>-1.3316361325608388</v>
      </c>
      <c r="T812" s="148">
        <f t="shared" si="125"/>
        <v>-1.3573882904820795</v>
      </c>
      <c r="U812">
        <f t="shared" si="131"/>
        <v>2.1597942496278608</v>
      </c>
      <c r="V812" s="55">
        <f t="shared" si="126"/>
        <v>2.1679131883837557</v>
      </c>
      <c r="W812">
        <f t="shared" si="132"/>
        <v>0.49935338862775547</v>
      </c>
      <c r="X812" s="55">
        <f t="shared" si="127"/>
        <v>0.48868424035979641</v>
      </c>
      <c r="Y812" s="149">
        <v>28.8293192</v>
      </c>
      <c r="Z812" s="55">
        <f t="shared" si="123"/>
        <v>4.7934732115205948E-3</v>
      </c>
      <c r="AA812" s="55">
        <f t="shared" si="128"/>
        <v>5.0294501484115231E-3</v>
      </c>
      <c r="AB812" s="55">
        <f t="shared" si="124"/>
        <v>-5.34050003396381</v>
      </c>
      <c r="AC812" s="55">
        <f t="shared" si="129"/>
        <v>-5.2933664542681216</v>
      </c>
      <c r="AD812" s="55"/>
      <c r="AE812" s="55"/>
      <c r="AF812" s="55"/>
      <c r="AG812" s="55"/>
      <c r="AH812" s="55"/>
    </row>
    <row r="813" spans="1:34" ht="15.75">
      <c r="A813" s="39">
        <v>28.5169575</v>
      </c>
      <c r="B813" s="39">
        <v>28.857446800000002</v>
      </c>
      <c r="C813" s="39">
        <v>811</v>
      </c>
      <c r="D813">
        <v>811</v>
      </c>
      <c r="E813" s="10">
        <v>1488780</v>
      </c>
      <c r="F813" s="10">
        <v>1079406.25</v>
      </c>
      <c r="G813" s="10">
        <v>19406.875</v>
      </c>
      <c r="H813" s="10">
        <v>45404.5</v>
      </c>
      <c r="I813" s="10">
        <v>118114</v>
      </c>
      <c r="J813" s="10">
        <v>31517.5</v>
      </c>
      <c r="K813">
        <v>811</v>
      </c>
      <c r="L813" s="10">
        <v>1588.333333</v>
      </c>
      <c r="M813" s="10">
        <v>395657</v>
      </c>
      <c r="N813" s="10">
        <v>5739.3333329999996</v>
      </c>
      <c r="O813">
        <v>0.57374961589088158</v>
      </c>
      <c r="P813">
        <v>0.94021995617563037</v>
      </c>
      <c r="Q813">
        <v>-0.36914328896246562</v>
      </c>
      <c r="R813">
        <v>0.36914328896246562</v>
      </c>
      <c r="S813">
        <f t="shared" si="130"/>
        <v>-1.3211073126614037</v>
      </c>
      <c r="T813" s="148">
        <f t="shared" si="125"/>
        <v>-1.2937905171726427</v>
      </c>
      <c r="U813">
        <f t="shared" si="131"/>
        <v>2.1649364552255213</v>
      </c>
      <c r="V813" s="55">
        <f t="shared" si="126"/>
        <v>2.1775551949633529</v>
      </c>
      <c r="W813">
        <f t="shared" si="132"/>
        <v>0.48491556238897843</v>
      </c>
      <c r="X813" s="55">
        <f t="shared" si="127"/>
        <v>0.48854407102774494</v>
      </c>
      <c r="Y813" s="149">
        <v>28.857446800000002</v>
      </c>
      <c r="Z813" s="55">
        <f t="shared" si="123"/>
        <v>5.3171207161344484E-3</v>
      </c>
      <c r="AA813" s="55">
        <f t="shared" si="128"/>
        <v>5.1831361328370301E-3</v>
      </c>
      <c r="AB813" s="55">
        <f t="shared" si="124"/>
        <v>-5.236823340912049</v>
      </c>
      <c r="AC813" s="55">
        <f t="shared" si="129"/>
        <v>-5.2638391816304662</v>
      </c>
      <c r="AD813" s="55"/>
      <c r="AE813" s="55"/>
      <c r="AF813" s="55"/>
      <c r="AG813" s="55"/>
      <c r="AH813" s="55"/>
    </row>
    <row r="814" spans="1:34" ht="15.75">
      <c r="A814" s="39">
        <v>28.544659599999999</v>
      </c>
      <c r="B814" s="39">
        <v>28.885574500000001</v>
      </c>
      <c r="C814" s="39">
        <v>812</v>
      </c>
      <c r="D814">
        <v>812</v>
      </c>
      <c r="E814" s="10">
        <v>1546730</v>
      </c>
      <c r="F814" s="10">
        <v>1102630</v>
      </c>
      <c r="G814" s="10">
        <v>20198</v>
      </c>
      <c r="H814" s="10">
        <v>47002</v>
      </c>
      <c r="I814" s="10">
        <v>111673</v>
      </c>
      <c r="J814" s="10">
        <v>32686</v>
      </c>
      <c r="K814">
        <v>812</v>
      </c>
      <c r="L814" s="10">
        <v>1944</v>
      </c>
      <c r="M814" s="10">
        <v>427573</v>
      </c>
      <c r="N814" s="10">
        <v>5997</v>
      </c>
      <c r="O814">
        <v>0.53358640687545822</v>
      </c>
      <c r="P814">
        <v>0.9588939348016472</v>
      </c>
      <c r="Q814">
        <v>-0.36680797029463158</v>
      </c>
      <c r="R814">
        <v>0.36680797029463152</v>
      </c>
      <c r="S814">
        <f t="shared" si="130"/>
        <v>-1.2286281062956856</v>
      </c>
      <c r="T814" s="148">
        <f t="shared" si="125"/>
        <v>-1.2541742663320574</v>
      </c>
      <c r="U814">
        <f t="shared" si="131"/>
        <v>2.2079348800366771</v>
      </c>
      <c r="V814" s="55">
        <f t="shared" si="126"/>
        <v>2.1762675005881129</v>
      </c>
      <c r="W814">
        <f t="shared" si="132"/>
        <v>0.48136326206650099</v>
      </c>
      <c r="X814" s="55">
        <f t="shared" si="127"/>
        <v>0.50019586748563061</v>
      </c>
      <c r="Y814" s="149">
        <v>28.885574500000001</v>
      </c>
      <c r="Z814" s="55">
        <f t="shared" si="123"/>
        <v>5.4388144708560444E-3</v>
      </c>
      <c r="AA814" s="55">
        <f t="shared" si="128"/>
        <v>5.3366936936097079E-3</v>
      </c>
      <c r="AB814" s="55">
        <f t="shared" si="124"/>
        <v>-5.2141941700155385</v>
      </c>
      <c r="AC814" s="55">
        <f t="shared" si="129"/>
        <v>-5.2332517769619971</v>
      </c>
      <c r="AD814" s="55"/>
      <c r="AE814" s="55"/>
      <c r="AF814" s="55"/>
      <c r="AG814" s="55"/>
      <c r="AH814" s="55"/>
    </row>
    <row r="815" spans="1:34" ht="15.75">
      <c r="A815" s="39">
        <v>28.572361699999998</v>
      </c>
      <c r="B815" s="39">
        <v>28.913702099999998</v>
      </c>
      <c r="C815" s="39">
        <v>813</v>
      </c>
      <c r="D815">
        <v>813</v>
      </c>
      <c r="E815" s="10">
        <v>1404790</v>
      </c>
      <c r="F815" s="10">
        <v>1057070</v>
      </c>
      <c r="G815" s="10">
        <v>17979</v>
      </c>
      <c r="H815" s="10">
        <v>43398</v>
      </c>
      <c r="I815" s="10">
        <v>103162</v>
      </c>
      <c r="J815" s="10">
        <v>30677</v>
      </c>
      <c r="K815">
        <v>813</v>
      </c>
      <c r="L815" s="10">
        <v>2474</v>
      </c>
      <c r="M815" s="10">
        <v>374782</v>
      </c>
      <c r="N815" s="10">
        <v>5554</v>
      </c>
      <c r="O815">
        <v>0.52670686687287571</v>
      </c>
      <c r="P815">
        <v>0.9363090089751207</v>
      </c>
      <c r="Q815">
        <v>-0.38270418306461235</v>
      </c>
      <c r="R815">
        <v>0.3827041830646124</v>
      </c>
      <c r="S815">
        <f t="shared" si="130"/>
        <v>-1.2127873800390827</v>
      </c>
      <c r="T815" s="148">
        <f t="shared" si="125"/>
        <v>-1.2232845654947715</v>
      </c>
      <c r="U815">
        <f t="shared" si="131"/>
        <v>2.1559311665021412</v>
      </c>
      <c r="V815" s="55">
        <f t="shared" si="126"/>
        <v>2.1650110952381252</v>
      </c>
      <c r="W815">
        <f t="shared" si="132"/>
        <v>0.53430877800141252</v>
      </c>
      <c r="X815" s="55">
        <f t="shared" si="127"/>
        <v>0.51996552174620947</v>
      </c>
      <c r="Y815" s="149">
        <v>28.913702099999998</v>
      </c>
      <c r="Z815" s="55">
        <f t="shared" si="123"/>
        <v>5.2541458938386298E-3</v>
      </c>
      <c r="AA815" s="55">
        <f t="shared" si="128"/>
        <v>5.3500231156525966E-3</v>
      </c>
      <c r="AB815" s="55">
        <f t="shared" si="124"/>
        <v>-5.2487378199584036</v>
      </c>
      <c r="AC815" s="55">
        <f t="shared" si="129"/>
        <v>-5.2307542694553018</v>
      </c>
      <c r="AD815" s="55"/>
      <c r="AE815" s="55"/>
      <c r="AF815" s="55"/>
      <c r="AG815" s="55"/>
      <c r="AH815" s="55"/>
    </row>
    <row r="816" spans="1:34" ht="15.75">
      <c r="A816" s="39">
        <v>28.600063800000001</v>
      </c>
      <c r="B816" s="39">
        <v>28.941829800000001</v>
      </c>
      <c r="C816" s="39">
        <v>814</v>
      </c>
      <c r="D816">
        <v>814</v>
      </c>
      <c r="E816" s="10">
        <v>1406460</v>
      </c>
      <c r="F816" s="10">
        <v>1054300</v>
      </c>
      <c r="G816" s="10">
        <v>17631</v>
      </c>
      <c r="H816" s="10">
        <v>44220</v>
      </c>
      <c r="I816" s="10">
        <v>103785</v>
      </c>
      <c r="J816" s="10">
        <v>30383</v>
      </c>
      <c r="K816">
        <v>814</v>
      </c>
      <c r="L816" s="10">
        <v>2281</v>
      </c>
      <c r="M816" s="10">
        <v>372540</v>
      </c>
      <c r="N816" s="10">
        <v>5648</v>
      </c>
      <c r="O816">
        <v>0.53350393602705515</v>
      </c>
      <c r="P816">
        <v>0.9255541719869318</v>
      </c>
      <c r="Q816">
        <v>-0.39934179280863386</v>
      </c>
      <c r="R816">
        <v>0.39934179280863386</v>
      </c>
      <c r="S816">
        <f t="shared" si="130"/>
        <v>-1.2284382101495461</v>
      </c>
      <c r="T816" s="148">
        <f t="shared" si="125"/>
        <v>-1.2124611688434423</v>
      </c>
      <c r="U816">
        <f t="shared" si="131"/>
        <v>2.1311672391755563</v>
      </c>
      <c r="V816" s="55">
        <f t="shared" si="126"/>
        <v>2.1407724764779936</v>
      </c>
      <c r="W816">
        <f t="shared" si="132"/>
        <v>0.54422452517071485</v>
      </c>
      <c r="X816" s="55">
        <f t="shared" si="127"/>
        <v>0.55194539774495455</v>
      </c>
      <c r="Y816" s="149">
        <v>28.941829800000001</v>
      </c>
      <c r="Z816" s="55">
        <f t="shared" si="123"/>
        <v>5.357108982263113E-3</v>
      </c>
      <c r="AA816" s="55">
        <f t="shared" si="128"/>
        <v>5.2911761266321725E-3</v>
      </c>
      <c r="AB816" s="55">
        <f t="shared" si="124"/>
        <v>-5.2293308183919631</v>
      </c>
      <c r="AC816" s="55">
        <f t="shared" si="129"/>
        <v>-5.2417535863030622</v>
      </c>
      <c r="AD816" s="55"/>
      <c r="AE816" s="55"/>
      <c r="AF816" s="55"/>
      <c r="AG816" s="55"/>
      <c r="AH816" s="55"/>
    </row>
    <row r="817" spans="1:34" ht="15.75">
      <c r="A817" s="39">
        <v>28.627766000000001</v>
      </c>
      <c r="B817" s="39">
        <v>28.9699575</v>
      </c>
      <c r="C817" s="39">
        <v>815</v>
      </c>
      <c r="D817">
        <v>815</v>
      </c>
      <c r="E817" s="10">
        <v>1406970</v>
      </c>
      <c r="F817" s="10">
        <v>1071210</v>
      </c>
      <c r="G817" s="10">
        <v>16876</v>
      </c>
      <c r="H817" s="10">
        <v>44269</v>
      </c>
      <c r="I817" s="10">
        <v>99420</v>
      </c>
      <c r="J817" s="10">
        <v>30060</v>
      </c>
      <c r="K817">
        <v>815</v>
      </c>
      <c r="L817" s="10">
        <v>4198</v>
      </c>
      <c r="M817" s="10">
        <v>374467</v>
      </c>
      <c r="N817" s="10">
        <v>5637</v>
      </c>
      <c r="O817">
        <v>0.51948478255209107</v>
      </c>
      <c r="P817">
        <v>0.92731383967220238</v>
      </c>
      <c r="Q817">
        <v>-0.41883019502759855</v>
      </c>
      <c r="R817">
        <v>0.41883019502759861</v>
      </c>
      <c r="S817">
        <f t="shared" si="130"/>
        <v>-1.196157916341698</v>
      </c>
      <c r="T817" s="148">
        <f t="shared" si="125"/>
        <v>-1.1989902596960242</v>
      </c>
      <c r="U817">
        <f t="shared" si="131"/>
        <v>2.1352190237562838</v>
      </c>
      <c r="V817" s="55">
        <f t="shared" si="126"/>
        <v>2.1477315883185057</v>
      </c>
      <c r="W817">
        <f t="shared" si="132"/>
        <v>0.57730289006273616</v>
      </c>
      <c r="X817" s="55">
        <f t="shared" si="127"/>
        <v>0.56182433541659671</v>
      </c>
      <c r="Y817" s="149">
        <v>28.9699575</v>
      </c>
      <c r="Z817" s="55">
        <f t="shared" si="123"/>
        <v>5.2622735037947737E-3</v>
      </c>
      <c r="AA817" s="55">
        <f t="shared" si="128"/>
        <v>5.2842848108668296E-3</v>
      </c>
      <c r="AB817" s="55">
        <f t="shared" si="124"/>
        <v>-5.2471921205588199</v>
      </c>
      <c r="AC817" s="55">
        <f t="shared" si="129"/>
        <v>-5.2430677693323444</v>
      </c>
      <c r="AD817" s="55"/>
      <c r="AE817" s="55"/>
      <c r="AF817" s="55"/>
      <c r="AG817" s="55"/>
      <c r="AH817" s="55"/>
    </row>
    <row r="818" spans="1:34" ht="15.75">
      <c r="A818" s="39">
        <v>28.6554681</v>
      </c>
      <c r="B818" s="39">
        <v>28.998085100000001</v>
      </c>
      <c r="C818" s="39">
        <v>816</v>
      </c>
      <c r="D818">
        <v>816</v>
      </c>
      <c r="E818" s="10">
        <v>1556370</v>
      </c>
      <c r="F818" s="10">
        <v>1113410</v>
      </c>
      <c r="G818" s="10">
        <v>18700</v>
      </c>
      <c r="H818" s="10">
        <v>48658</v>
      </c>
      <c r="I818" s="10">
        <v>106149</v>
      </c>
      <c r="J818" s="10">
        <v>32867</v>
      </c>
      <c r="K818">
        <v>816</v>
      </c>
      <c r="L818" s="10">
        <v>4330</v>
      </c>
      <c r="M818" s="10">
        <v>429072</v>
      </c>
      <c r="N818" s="10">
        <v>5827</v>
      </c>
      <c r="O818">
        <v>0.50915584234604438</v>
      </c>
      <c r="P818">
        <v>0.94537592058896647</v>
      </c>
      <c r="Q818">
        <v>-0.4153126475277939</v>
      </c>
      <c r="R818">
        <v>0.41531264752779395</v>
      </c>
      <c r="S818">
        <f t="shared" si="130"/>
        <v>-1.1723746525968284</v>
      </c>
      <c r="T818" s="148">
        <f t="shared" si="125"/>
        <v>-1.162262459120595</v>
      </c>
      <c r="U818">
        <f t="shared" si="131"/>
        <v>2.1768085020236767</v>
      </c>
      <c r="V818" s="55">
        <f t="shared" si="126"/>
        <v>2.1660629951010879</v>
      </c>
      <c r="W818">
        <f t="shared" si="132"/>
        <v>0.56394559101633912</v>
      </c>
      <c r="X818" s="55">
        <f t="shared" si="127"/>
        <v>0.58123803805625474</v>
      </c>
      <c r="Y818" s="149">
        <v>28.998085100000001</v>
      </c>
      <c r="Z818" s="55">
        <f t="shared" si="123"/>
        <v>5.2334719465426029E-3</v>
      </c>
      <c r="AA818" s="55">
        <f t="shared" si="128"/>
        <v>5.2237699993488507E-3</v>
      </c>
      <c r="AB818" s="55">
        <f t="shared" si="124"/>
        <v>-5.2526803690462511</v>
      </c>
      <c r="AC818" s="55">
        <f t="shared" si="129"/>
        <v>-5.2545597813470115</v>
      </c>
      <c r="AD818" s="55"/>
      <c r="AE818" s="55"/>
      <c r="AF818" s="55"/>
      <c r="AG818" s="55"/>
      <c r="AH818" s="55"/>
    </row>
    <row r="819" spans="1:34" ht="15.75">
      <c r="A819" s="39">
        <v>28.683170199999999</v>
      </c>
      <c r="B819" s="39">
        <v>29.0262128</v>
      </c>
      <c r="C819" s="39">
        <v>817</v>
      </c>
      <c r="D819">
        <v>817</v>
      </c>
      <c r="E819" s="10">
        <v>1420180</v>
      </c>
      <c r="F819" s="10">
        <v>1072540</v>
      </c>
      <c r="G819" s="10">
        <v>16651</v>
      </c>
      <c r="H819" s="10">
        <v>44153</v>
      </c>
      <c r="I819" s="10">
        <v>93055</v>
      </c>
      <c r="J819" s="10">
        <v>30415</v>
      </c>
      <c r="K819">
        <v>817</v>
      </c>
      <c r="L819" s="10">
        <v>2787</v>
      </c>
      <c r="M819" s="10">
        <v>393005</v>
      </c>
      <c r="N819" s="10">
        <v>5551</v>
      </c>
      <c r="O819">
        <v>0.48565189265999908</v>
      </c>
      <c r="P819">
        <v>0.94943785842052975</v>
      </c>
      <c r="Q819">
        <v>-0.42351989648309524</v>
      </c>
      <c r="R819">
        <v>0.42351989648309524</v>
      </c>
      <c r="S819">
        <f t="shared" si="130"/>
        <v>-1.1182548084232582</v>
      </c>
      <c r="T819" s="148">
        <f t="shared" si="125"/>
        <v>-1.1892603664636641</v>
      </c>
      <c r="U819">
        <f t="shared" si="131"/>
        <v>2.1861614595233032</v>
      </c>
      <c r="V819" s="55">
        <f t="shared" si="126"/>
        <v>2.1758007335733316</v>
      </c>
      <c r="W819">
        <f t="shared" si="132"/>
        <v>0.60246563308968892</v>
      </c>
      <c r="X819" s="55">
        <f t="shared" si="127"/>
        <v>0.59439244348962239</v>
      </c>
      <c r="Y819" s="149">
        <v>29.0262128</v>
      </c>
      <c r="Z819" s="55">
        <f t="shared" si="123"/>
        <v>5.1755645477091763E-3</v>
      </c>
      <c r="AA819" s="55">
        <f t="shared" si="128"/>
        <v>5.1436249633741117E-3</v>
      </c>
      <c r="AB819" s="55">
        <f t="shared" si="124"/>
        <v>-5.2638068544359635</v>
      </c>
      <c r="AC819" s="55">
        <f t="shared" si="129"/>
        <v>-5.2701488071613225</v>
      </c>
      <c r="AD819" s="55"/>
      <c r="AE819" s="55"/>
      <c r="AF819" s="55"/>
      <c r="AG819" s="55"/>
      <c r="AH819" s="55"/>
    </row>
    <row r="820" spans="1:34" ht="15.75">
      <c r="A820" s="39">
        <v>28.710872299999998</v>
      </c>
      <c r="B820" s="39">
        <v>29.054340400000001</v>
      </c>
      <c r="C820" s="39">
        <v>818</v>
      </c>
      <c r="D820">
        <v>818</v>
      </c>
      <c r="E820" s="10">
        <v>1386840</v>
      </c>
      <c r="F820" s="10">
        <v>1007400</v>
      </c>
      <c r="G820" s="10">
        <v>15686</v>
      </c>
      <c r="H820" s="10">
        <v>42701</v>
      </c>
      <c r="I820" s="10">
        <v>104239</v>
      </c>
      <c r="J820" s="10">
        <v>29065</v>
      </c>
      <c r="K820">
        <v>818</v>
      </c>
      <c r="L820" s="10">
        <v>1836</v>
      </c>
      <c r="M820" s="10">
        <v>371911</v>
      </c>
      <c r="N820" s="10">
        <v>5059</v>
      </c>
      <c r="O820">
        <v>0.55465990909818175</v>
      </c>
      <c r="P820">
        <v>0.94000097792633941</v>
      </c>
      <c r="Q820">
        <v>-0.43492583506281546</v>
      </c>
      <c r="R820">
        <v>0.43492583506281546</v>
      </c>
      <c r="S820">
        <f t="shared" si="130"/>
        <v>-1.2771516383709056</v>
      </c>
      <c r="T820" s="148">
        <f t="shared" si="125"/>
        <v>-1.263763295787985</v>
      </c>
      <c r="U820">
        <f t="shared" si="131"/>
        <v>2.1644322391730144</v>
      </c>
      <c r="V820" s="55">
        <f t="shared" si="126"/>
        <v>2.1732229368933456</v>
      </c>
      <c r="W820">
        <f t="shared" si="132"/>
        <v>0.61676610636283913</v>
      </c>
      <c r="X820" s="55">
        <f t="shared" si="127"/>
        <v>0.62245923562612193</v>
      </c>
      <c r="Y820" s="149">
        <v>29.054340400000001</v>
      </c>
      <c r="Z820" s="55">
        <f t="shared" si="123"/>
        <v>5.0218383958705575E-3</v>
      </c>
      <c r="AA820" s="55">
        <f t="shared" si="128"/>
        <v>5.0166297988057463E-3</v>
      </c>
      <c r="AB820" s="55">
        <f t="shared" si="124"/>
        <v>-5.2939591980017511</v>
      </c>
      <c r="AC820" s="55">
        <f t="shared" si="129"/>
        <v>-5.2953433623843438</v>
      </c>
      <c r="AD820" s="55"/>
      <c r="AE820" s="55"/>
      <c r="AF820" s="55"/>
      <c r="AG820" s="55"/>
      <c r="AH820" s="55"/>
    </row>
    <row r="821" spans="1:34" ht="15.75">
      <c r="A821" s="39">
        <v>28.738574499999999</v>
      </c>
      <c r="B821" s="39">
        <v>29.0824681</v>
      </c>
      <c r="C821" s="39">
        <v>819</v>
      </c>
      <c r="D821">
        <v>819</v>
      </c>
      <c r="E821" s="10">
        <v>1413760</v>
      </c>
      <c r="F821" s="10">
        <v>979910</v>
      </c>
      <c r="G821" s="10">
        <v>15226</v>
      </c>
      <c r="H821" s="10">
        <v>42700</v>
      </c>
      <c r="I821" s="10">
        <v>117570</v>
      </c>
      <c r="J821" s="10">
        <v>29112</v>
      </c>
      <c r="K821">
        <v>819</v>
      </c>
      <c r="L821" s="10">
        <v>1548</v>
      </c>
      <c r="M821" s="10">
        <v>373633</v>
      </c>
      <c r="N821" s="10">
        <v>4755</v>
      </c>
      <c r="O821">
        <v>0.60622447561958603</v>
      </c>
      <c r="P821">
        <v>0.94201735196820713</v>
      </c>
      <c r="Q821">
        <v>-0.4478420495677311</v>
      </c>
      <c r="R821">
        <v>0.44784204956773105</v>
      </c>
      <c r="S821">
        <f t="shared" si="130"/>
        <v>-1.3958834405697911</v>
      </c>
      <c r="T821" s="148">
        <f t="shared" si="125"/>
        <v>-1.3639299199293384</v>
      </c>
      <c r="U821">
        <f t="shared" si="131"/>
        <v>2.1690751119837186</v>
      </c>
      <c r="V821" s="55">
        <f t="shared" si="126"/>
        <v>2.1693489572061928</v>
      </c>
      <c r="W821">
        <f t="shared" si="132"/>
        <v>0.64814596742583785</v>
      </c>
      <c r="X821" s="55">
        <f t="shared" si="127"/>
        <v>0.64620662135846019</v>
      </c>
      <c r="Y821" s="149">
        <v>29.0824681</v>
      </c>
      <c r="Z821" s="55">
        <f t="shared" si="123"/>
        <v>4.8524864528375058E-3</v>
      </c>
      <c r="AA821" s="55">
        <f t="shared" si="128"/>
        <v>5.0007324119529786E-3</v>
      </c>
      <c r="AB821" s="55">
        <f t="shared" si="124"/>
        <v>-5.3282640347153185</v>
      </c>
      <c r="AC821" s="55">
        <f t="shared" si="129"/>
        <v>-5.2984292259638286</v>
      </c>
      <c r="AD821" s="55"/>
      <c r="AE821" s="55"/>
      <c r="AF821" s="55"/>
      <c r="AG821" s="55"/>
      <c r="AH821" s="55"/>
    </row>
    <row r="822" spans="1:34" ht="15.75">
      <c r="A822" s="39">
        <v>28.766276600000001</v>
      </c>
      <c r="B822" s="39">
        <v>29.110595700000001</v>
      </c>
      <c r="C822" s="39">
        <v>820</v>
      </c>
      <c r="D822">
        <v>820</v>
      </c>
      <c r="E822" s="10">
        <v>1404720</v>
      </c>
      <c r="F822" s="10">
        <v>1001780</v>
      </c>
      <c r="G822" s="10">
        <v>14726</v>
      </c>
      <c r="H822" s="10">
        <v>42310</v>
      </c>
      <c r="I822" s="10">
        <v>119352</v>
      </c>
      <c r="J822" s="10">
        <v>28885</v>
      </c>
      <c r="K822">
        <v>820</v>
      </c>
      <c r="L822" s="10">
        <v>2523</v>
      </c>
      <c r="M822" s="10">
        <v>372249</v>
      </c>
      <c r="N822" s="10">
        <v>5137</v>
      </c>
      <c r="O822">
        <v>0.61615732906639953</v>
      </c>
      <c r="P822">
        <v>0.94439051441712263</v>
      </c>
      <c r="Q822">
        <v>-0.45835822919061181</v>
      </c>
      <c r="R822">
        <v>0.45835822919061181</v>
      </c>
      <c r="S822">
        <f t="shared" si="130"/>
        <v>-1.4187546808473182</v>
      </c>
      <c r="T822" s="148">
        <f t="shared" si="125"/>
        <v>-1.4296532582270869</v>
      </c>
      <c r="U822">
        <f t="shared" si="131"/>
        <v>2.174539520461845</v>
      </c>
      <c r="V822" s="55">
        <f t="shared" si="126"/>
        <v>2.1647723258163905</v>
      </c>
      <c r="W822">
        <f t="shared" si="132"/>
        <v>0.6737077902867038</v>
      </c>
      <c r="X822" s="55">
        <f t="shared" si="127"/>
        <v>0.66408294559038616</v>
      </c>
      <c r="Y822" s="149">
        <v>29.110595700000001</v>
      </c>
      <c r="Z822" s="55">
        <f t="shared" si="123"/>
        <v>5.1278723871508716E-3</v>
      </c>
      <c r="AA822" s="55">
        <f t="shared" si="128"/>
        <v>5.0294327740393547E-3</v>
      </c>
      <c r="AB822" s="55">
        <f t="shared" si="124"/>
        <v>-5.2730644451744171</v>
      </c>
      <c r="AC822" s="55">
        <f t="shared" si="129"/>
        <v>-5.2927625561454237</v>
      </c>
      <c r="AD822" s="55"/>
      <c r="AE822" s="55"/>
      <c r="AF822" s="55"/>
      <c r="AG822" s="55"/>
      <c r="AH822" s="55"/>
    </row>
    <row r="823" spans="1:34" ht="15.75">
      <c r="A823" s="39">
        <v>28.7939787</v>
      </c>
      <c r="B823" s="39">
        <v>29.1387234</v>
      </c>
      <c r="C823" s="39">
        <v>821</v>
      </c>
      <c r="D823">
        <v>821</v>
      </c>
      <c r="E823" s="10">
        <v>1434360</v>
      </c>
      <c r="F823" s="10">
        <v>1003340</v>
      </c>
      <c r="G823" s="10">
        <v>15181</v>
      </c>
      <c r="H823" s="10">
        <v>42964</v>
      </c>
      <c r="I823" s="10">
        <v>129640</v>
      </c>
      <c r="J823" s="10">
        <v>29679</v>
      </c>
      <c r="K823">
        <v>821</v>
      </c>
      <c r="L823" s="10">
        <v>2517</v>
      </c>
      <c r="M823" s="10">
        <v>369099</v>
      </c>
      <c r="N823" s="10">
        <v>5125</v>
      </c>
      <c r="O823">
        <v>0.64028975856310033</v>
      </c>
      <c r="P823">
        <v>0.93403816065145062</v>
      </c>
      <c r="Q823">
        <v>-0.45180432764484707</v>
      </c>
      <c r="R823">
        <v>0.45180432764484707</v>
      </c>
      <c r="S823">
        <f t="shared" si="130"/>
        <v>-1.4743216532641514</v>
      </c>
      <c r="T823" s="148">
        <f t="shared" si="125"/>
        <v>-1.4102639110225905</v>
      </c>
      <c r="U823">
        <f t="shared" si="131"/>
        <v>2.1507023450036078</v>
      </c>
      <c r="V823" s="55">
        <f t="shared" si="126"/>
        <v>2.1738087009068146</v>
      </c>
      <c r="W823">
        <f t="shared" si="132"/>
        <v>0.67039507905861717</v>
      </c>
      <c r="X823" s="55">
        <f t="shared" si="127"/>
        <v>0.67867374167790218</v>
      </c>
      <c r="Y823" s="149">
        <v>29.1387234</v>
      </c>
      <c r="Z823" s="55">
        <f t="shared" si="123"/>
        <v>5.1079394821296866E-3</v>
      </c>
      <c r="AA823" s="55">
        <f t="shared" si="128"/>
        <v>4.9461257998829273E-3</v>
      </c>
      <c r="AB823" s="55">
        <f t="shared" si="124"/>
        <v>-5.2769591885465372</v>
      </c>
      <c r="AC823" s="55">
        <f t="shared" si="129"/>
        <v>-5.3103883468950572</v>
      </c>
      <c r="AD823" s="55"/>
      <c r="AE823" s="55"/>
      <c r="AF823" s="55"/>
      <c r="AG823" s="55"/>
      <c r="AH823" s="55"/>
    </row>
    <row r="824" spans="1:34" ht="15.75">
      <c r="A824" s="39">
        <v>28.8216809</v>
      </c>
      <c r="B824" s="39">
        <v>29.166851099999999</v>
      </c>
      <c r="C824" s="39">
        <v>822</v>
      </c>
      <c r="D824">
        <v>822</v>
      </c>
      <c r="E824" s="10">
        <v>1378290</v>
      </c>
      <c r="F824" s="10">
        <v>987710</v>
      </c>
      <c r="G824" s="10">
        <v>14250</v>
      </c>
      <c r="H824" s="10">
        <v>41461</v>
      </c>
      <c r="I824" s="10">
        <v>108461</v>
      </c>
      <c r="J824" s="10">
        <v>28465</v>
      </c>
      <c r="K824">
        <v>822</v>
      </c>
      <c r="L824" s="10">
        <v>2605</v>
      </c>
      <c r="M824" s="10">
        <v>372761</v>
      </c>
      <c r="N824" s="10">
        <v>4546</v>
      </c>
      <c r="O824">
        <v>0.58096241612372879</v>
      </c>
      <c r="P824">
        <v>0.95379069548274453</v>
      </c>
      <c r="Q824">
        <v>-0.4638249083106713</v>
      </c>
      <c r="R824">
        <v>0.46382490831067136</v>
      </c>
      <c r="S824">
        <f t="shared" si="130"/>
        <v>-1.3377153989563015</v>
      </c>
      <c r="T824" s="148">
        <f t="shared" si="125"/>
        <v>-1.3353605750205604</v>
      </c>
      <c r="U824">
        <f t="shared" si="131"/>
        <v>2.1961842372549909</v>
      </c>
      <c r="V824" s="55">
        <f t="shared" si="126"/>
        <v>2.167566896266397</v>
      </c>
      <c r="W824">
        <f t="shared" si="132"/>
        <v>0.69191835568838567</v>
      </c>
      <c r="X824" s="55">
        <f t="shared" si="127"/>
        <v>0.70025387172829756</v>
      </c>
      <c r="Y824" s="149">
        <v>29.166851099999999</v>
      </c>
      <c r="Z824" s="55">
        <f t="shared" si="123"/>
        <v>4.6025655303682253E-3</v>
      </c>
      <c r="AA824" s="55">
        <f t="shared" si="128"/>
        <v>4.9281750902246116E-3</v>
      </c>
      <c r="AB824" s="55">
        <f t="shared" si="124"/>
        <v>-5.3811414069642183</v>
      </c>
      <c r="AC824" s="55">
        <f t="shared" si="129"/>
        <v>-5.3139074735927538</v>
      </c>
      <c r="AD824" s="55"/>
      <c r="AE824" s="55"/>
      <c r="AF824" s="55"/>
      <c r="AG824" s="55"/>
      <c r="AH824" s="55"/>
    </row>
    <row r="825" spans="1:34" ht="15.75">
      <c r="A825" s="39">
        <v>28.849383</v>
      </c>
      <c r="B825" s="39">
        <v>29.1949787</v>
      </c>
      <c r="C825" s="39">
        <v>823</v>
      </c>
      <c r="D825">
        <v>823</v>
      </c>
      <c r="E825" s="10">
        <v>1280120</v>
      </c>
      <c r="F825" s="10">
        <v>949740</v>
      </c>
      <c r="G825" s="10">
        <v>13152</v>
      </c>
      <c r="H825" s="10">
        <v>39969</v>
      </c>
      <c r="I825" s="10">
        <v>90837</v>
      </c>
      <c r="J825" s="10">
        <v>27523</v>
      </c>
      <c r="K825">
        <v>823</v>
      </c>
      <c r="L825" s="10">
        <v>2168</v>
      </c>
      <c r="M825" s="10">
        <v>345129</v>
      </c>
      <c r="N825" s="10">
        <v>4819</v>
      </c>
      <c r="O825">
        <v>0.51856701256091875</v>
      </c>
      <c r="P825">
        <v>0.93625817047976823</v>
      </c>
      <c r="Q825">
        <v>-0.48273148241702563</v>
      </c>
      <c r="R825">
        <v>0.48273148241702563</v>
      </c>
      <c r="S825">
        <f t="shared" si="130"/>
        <v>-1.1940446728412277</v>
      </c>
      <c r="T825" s="148">
        <f t="shared" si="125"/>
        <v>-1.2166256772189901</v>
      </c>
      <c r="U825">
        <f t="shared" si="131"/>
        <v>2.1558141065405922</v>
      </c>
      <c r="V825" s="55">
        <f t="shared" si="126"/>
        <v>2.1608611520667758</v>
      </c>
      <c r="W825">
        <f t="shared" si="132"/>
        <v>0.73844818043789007</v>
      </c>
      <c r="X825" s="55">
        <f t="shared" si="127"/>
        <v>0.71113297822299193</v>
      </c>
      <c r="Y825" s="149">
        <v>29.1949787</v>
      </c>
      <c r="Z825" s="55">
        <f t="shared" si="123"/>
        <v>5.0740202581759219E-3</v>
      </c>
      <c r="AA825" s="55">
        <f t="shared" si="128"/>
        <v>4.9876672227658894E-3</v>
      </c>
      <c r="AB825" s="55">
        <f t="shared" si="124"/>
        <v>-5.283621825267506</v>
      </c>
      <c r="AC825" s="55">
        <f t="shared" si="129"/>
        <v>-5.3024593408086353</v>
      </c>
      <c r="AD825" s="55"/>
      <c r="AE825" s="55"/>
      <c r="AF825" s="55"/>
      <c r="AG825" s="55"/>
      <c r="AH825" s="55"/>
    </row>
    <row r="826" spans="1:34" ht="15.75">
      <c r="A826" s="39">
        <v>28.877085099999999</v>
      </c>
      <c r="B826" s="39">
        <v>29.223106399999999</v>
      </c>
      <c r="C826" s="39">
        <v>824</v>
      </c>
      <c r="D826">
        <v>824</v>
      </c>
      <c r="E826" s="10">
        <v>1297430</v>
      </c>
      <c r="F826" s="10">
        <v>975330</v>
      </c>
      <c r="G826" s="10">
        <v>14294</v>
      </c>
      <c r="H826" s="10">
        <v>41037</v>
      </c>
      <c r="I826" s="10">
        <v>88322</v>
      </c>
      <c r="J826" s="10">
        <v>28872</v>
      </c>
      <c r="K826">
        <v>824</v>
      </c>
      <c r="L826" s="10">
        <v>1735</v>
      </c>
      <c r="M826" s="10">
        <v>345523</v>
      </c>
      <c r="N826" s="10">
        <v>5156</v>
      </c>
      <c r="O826">
        <v>0.48559202578939514</v>
      </c>
      <c r="P826">
        <v>0.9253013575425999</v>
      </c>
      <c r="Q826">
        <v>-0.45802182650556972</v>
      </c>
      <c r="R826">
        <v>0.45802182650556972</v>
      </c>
      <c r="S826">
        <f t="shared" si="130"/>
        <v>-1.1181169598594416</v>
      </c>
      <c r="T826" s="148">
        <f t="shared" si="125"/>
        <v>-1.1895449653319998</v>
      </c>
      <c r="U826">
        <f t="shared" si="131"/>
        <v>2.1305851124047441</v>
      </c>
      <c r="V826" s="55">
        <f t="shared" si="126"/>
        <v>2.1363321108917375</v>
      </c>
      <c r="W826">
        <f t="shared" si="132"/>
        <v>0.70303239854270028</v>
      </c>
      <c r="X826" s="55">
        <f t="shared" si="127"/>
        <v>0.68151502001878794</v>
      </c>
      <c r="Y826" s="149">
        <v>29.223106399999999</v>
      </c>
      <c r="Z826" s="55">
        <f t="shared" si="123"/>
        <v>5.2864158797535192E-3</v>
      </c>
      <c r="AA826" s="55">
        <f t="shared" si="128"/>
        <v>5.1285605451614679E-3</v>
      </c>
      <c r="AB826" s="55">
        <f t="shared" si="124"/>
        <v>-5.2426147901941826</v>
      </c>
      <c r="AC826" s="55">
        <f t="shared" si="129"/>
        <v>-5.2731725288190816</v>
      </c>
      <c r="AD826" s="55"/>
      <c r="AE826" s="55"/>
      <c r="AF826" s="55"/>
      <c r="AG826" s="55"/>
      <c r="AH826" s="55"/>
    </row>
    <row r="827" spans="1:34" ht="15.75">
      <c r="A827" s="39">
        <v>28.904787200000001</v>
      </c>
      <c r="B827" s="39">
        <v>29.251234</v>
      </c>
      <c r="C827" s="39">
        <v>825</v>
      </c>
      <c r="D827">
        <v>825</v>
      </c>
      <c r="E827" s="10">
        <v>1387440</v>
      </c>
      <c r="F827" s="10">
        <v>1006120</v>
      </c>
      <c r="G827" s="10">
        <v>16275</v>
      </c>
      <c r="H827" s="10">
        <v>44121</v>
      </c>
      <c r="I827" s="10">
        <v>104498</v>
      </c>
      <c r="J827" s="10">
        <v>29746</v>
      </c>
      <c r="K827">
        <v>825</v>
      </c>
      <c r="L827" s="10">
        <v>1794</v>
      </c>
      <c r="M827" s="10">
        <v>368534</v>
      </c>
      <c r="N827" s="10">
        <v>5056</v>
      </c>
      <c r="O827">
        <v>0.5456794049081336</v>
      </c>
      <c r="P827">
        <v>0.92183221379665459</v>
      </c>
      <c r="Q827">
        <v>-0.43312434989964227</v>
      </c>
      <c r="R827">
        <v>0.43312434989964227</v>
      </c>
      <c r="S827">
        <f t="shared" si="130"/>
        <v>-1.2564732632953302</v>
      </c>
      <c r="T827" s="148">
        <f t="shared" si="125"/>
        <v>-1.2358426958079873</v>
      </c>
      <c r="U827">
        <f t="shared" si="131"/>
        <v>2.1225971137298769</v>
      </c>
      <c r="V827" s="55">
        <f t="shared" si="126"/>
        <v>2.151597179760746</v>
      </c>
      <c r="W827">
        <f t="shared" si="132"/>
        <v>0.60306448107577326</v>
      </c>
      <c r="X827" s="55">
        <f t="shared" si="127"/>
        <v>0.62255210677780404</v>
      </c>
      <c r="Y827" s="149">
        <v>29.251234</v>
      </c>
      <c r="Z827" s="55">
        <f t="shared" si="123"/>
        <v>5.0252454975549636E-3</v>
      </c>
      <c r="AA827" s="55">
        <f t="shared" si="128"/>
        <v>5.1956776579745343E-3</v>
      </c>
      <c r="AB827" s="55">
        <f t="shared" si="124"/>
        <v>-5.2932809709955571</v>
      </c>
      <c r="AC827" s="55">
        <f t="shared" si="129"/>
        <v>-5.260200639478307</v>
      </c>
      <c r="AD827" s="55"/>
      <c r="AE827" s="55"/>
      <c r="AF827" s="55"/>
      <c r="AG827" s="55"/>
      <c r="AH827" s="55"/>
    </row>
    <row r="828" spans="1:34" ht="15.75">
      <c r="A828" s="39">
        <v>28.932489400000001</v>
      </c>
      <c r="B828" s="39">
        <v>29.279361699999999</v>
      </c>
      <c r="C828" s="39">
        <v>826</v>
      </c>
      <c r="D828">
        <v>826</v>
      </c>
      <c r="E828" s="10">
        <v>1366530</v>
      </c>
      <c r="F828" s="10">
        <v>999740</v>
      </c>
      <c r="G828" s="10">
        <v>15787</v>
      </c>
      <c r="H828" s="10">
        <v>40911</v>
      </c>
      <c r="I828" s="10">
        <v>104971</v>
      </c>
      <c r="J828" s="10">
        <v>27681</v>
      </c>
      <c r="K828">
        <v>826</v>
      </c>
      <c r="L828" s="10">
        <v>1139</v>
      </c>
      <c r="M828" s="10">
        <v>369817</v>
      </c>
      <c r="N828" s="10">
        <v>5274</v>
      </c>
      <c r="O828">
        <v>0.57888755917201518</v>
      </c>
      <c r="P828">
        <v>0.95614677600681874</v>
      </c>
      <c r="Q828">
        <v>-0.41354048625237022</v>
      </c>
      <c r="R828">
        <v>0.41354048625237022</v>
      </c>
      <c r="S828">
        <f t="shared" si="130"/>
        <v>-1.3329378642691907</v>
      </c>
      <c r="T828" s="148">
        <f t="shared" si="125"/>
        <v>-1.245113923635113</v>
      </c>
      <c r="U828">
        <f t="shared" si="131"/>
        <v>2.2016093131476175</v>
      </c>
      <c r="V828" s="55">
        <f t="shared" si="126"/>
        <v>2.1844499650054696</v>
      </c>
      <c r="W828">
        <f t="shared" si="132"/>
        <v>0.56155944071493868</v>
      </c>
      <c r="X828" s="55">
        <f t="shared" si="127"/>
        <v>0.6629558754908349</v>
      </c>
      <c r="Y828" s="149">
        <v>29.279361699999999</v>
      </c>
      <c r="Z828" s="55">
        <f t="shared" si="123"/>
        <v>5.2753715966151202E-3</v>
      </c>
      <c r="AA828" s="55">
        <f t="shared" si="128"/>
        <v>5.0771983386048063E-3</v>
      </c>
      <c r="AB828" s="55">
        <f t="shared" si="124"/>
        <v>-5.2447061572451821</v>
      </c>
      <c r="AC828" s="55">
        <f t="shared" si="129"/>
        <v>-5.2834016924836646</v>
      </c>
      <c r="AD828" s="55"/>
      <c r="AE828" s="55"/>
      <c r="AF828" s="55"/>
      <c r="AG828" s="55"/>
      <c r="AH828" s="55"/>
    </row>
    <row r="829" spans="1:34" ht="15.75">
      <c r="A829" s="39">
        <v>28.960191500000001</v>
      </c>
      <c r="B829" s="39">
        <v>29.307489400000001</v>
      </c>
      <c r="C829" s="39">
        <v>827</v>
      </c>
      <c r="D829">
        <v>827</v>
      </c>
      <c r="E829" s="10">
        <v>848360</v>
      </c>
      <c r="F829" s="10">
        <v>688910</v>
      </c>
      <c r="G829" s="10">
        <v>6939</v>
      </c>
      <c r="H829" s="10">
        <v>22134</v>
      </c>
      <c r="I829" s="10">
        <v>49766</v>
      </c>
      <c r="J829" s="10">
        <v>15822</v>
      </c>
      <c r="K829">
        <v>827</v>
      </c>
      <c r="L829" s="10">
        <v>928</v>
      </c>
      <c r="M829" s="10">
        <v>205667</v>
      </c>
      <c r="N829" s="10">
        <v>3397</v>
      </c>
      <c r="O829">
        <v>0.49767135504676058</v>
      </c>
      <c r="P829">
        <v>0.96810470758340761</v>
      </c>
      <c r="Q829">
        <v>-0.50376301812016522</v>
      </c>
      <c r="R829">
        <v>0.50376301812016522</v>
      </c>
      <c r="S829">
        <f t="shared" si="130"/>
        <v>-1.1459306433408178</v>
      </c>
      <c r="T829" s="148">
        <f t="shared" si="125"/>
        <v>-1.194294984170347</v>
      </c>
      <c r="U829">
        <f t="shared" si="131"/>
        <v>2.229143468138914</v>
      </c>
      <c r="V829" s="55">
        <f t="shared" si="126"/>
        <v>2.2223172322239462</v>
      </c>
      <c r="W829">
        <f t="shared" si="132"/>
        <v>0.82424370468179275</v>
      </c>
      <c r="X829" s="55">
        <f t="shared" si="127"/>
        <v>0.75997392956548993</v>
      </c>
      <c r="Y829" s="149">
        <v>29.307489400000001</v>
      </c>
      <c r="Z829" s="55">
        <f t="shared" si="123"/>
        <v>4.9309779216443368E-3</v>
      </c>
      <c r="AA829" s="55">
        <f t="shared" si="128"/>
        <v>4.9585559998350454E-3</v>
      </c>
      <c r="AB829" s="55">
        <f t="shared" si="124"/>
        <v>-5.3122179492102539</v>
      </c>
      <c r="AC829" s="55">
        <f t="shared" si="129"/>
        <v>-5.307888753299939</v>
      </c>
      <c r="AD829" s="55"/>
      <c r="AE829" s="55"/>
      <c r="AF829" s="55"/>
      <c r="AG829" s="55"/>
      <c r="AH829" s="55"/>
    </row>
    <row r="830" spans="1:34" ht="15.75">
      <c r="A830" s="39">
        <v>28.9878936</v>
      </c>
      <c r="B830" s="39">
        <v>29.335616999999999</v>
      </c>
      <c r="C830" s="39">
        <v>828</v>
      </c>
      <c r="D830">
        <v>828</v>
      </c>
      <c r="E830" s="10">
        <v>892532.85710000002</v>
      </c>
      <c r="F830" s="10">
        <v>721518.57140000002</v>
      </c>
      <c r="G830" s="10">
        <v>6735</v>
      </c>
      <c r="H830" s="10">
        <v>21635</v>
      </c>
      <c r="I830" s="10">
        <v>49672.571430000004</v>
      </c>
      <c r="J830" s="10">
        <v>16468.28571</v>
      </c>
      <c r="K830">
        <v>828</v>
      </c>
      <c r="L830" s="10">
        <v>904.2857143</v>
      </c>
      <c r="M830" s="10">
        <v>202453.71429999999</v>
      </c>
      <c r="N830" s="10">
        <v>3369</v>
      </c>
      <c r="O830">
        <v>0.47946824995096382</v>
      </c>
      <c r="P830">
        <v>0.97116884938987547</v>
      </c>
      <c r="Q830">
        <v>-0.50681929947573867</v>
      </c>
      <c r="R830">
        <v>0.50681929947573867</v>
      </c>
      <c r="S830">
        <f t="shared" si="130"/>
        <v>-1.1040164449010323</v>
      </c>
      <c r="T830" s="148">
        <f t="shared" si="125"/>
        <v>-1.1045290318730396</v>
      </c>
      <c r="U830">
        <f t="shared" si="131"/>
        <v>2.236198915385307</v>
      </c>
      <c r="V830" s="55">
        <f t="shared" si="126"/>
        <v>2.2362923050404944</v>
      </c>
      <c r="W830">
        <f t="shared" si="132"/>
        <v>0.89411864329973834</v>
      </c>
      <c r="X830" s="55">
        <f t="shared" si="127"/>
        <v>0.89391083604066146</v>
      </c>
      <c r="Y830" s="149">
        <v>29.335616999999999</v>
      </c>
      <c r="Z830" s="55">
        <f t="shared" si="123"/>
        <v>4.6693184812456792E-3</v>
      </c>
      <c r="AA830" s="55">
        <f t="shared" si="128"/>
        <v>4.6768612768292193E-3</v>
      </c>
      <c r="AB830" s="55">
        <f t="shared" si="124"/>
        <v>-5.366742153444382</v>
      </c>
      <c r="AC830" s="55">
        <f t="shared" si="129"/>
        <v>-5.3660836392027536</v>
      </c>
      <c r="AD830" s="55"/>
      <c r="AE830" s="55"/>
      <c r="AF830" s="55"/>
      <c r="AG830" s="55"/>
      <c r="AH830" s="55"/>
    </row>
    <row r="831" spans="1:34" ht="15.75">
      <c r="A831" s="39">
        <v>29.015595699999999</v>
      </c>
      <c r="B831" s="39">
        <v>29.363744700000002</v>
      </c>
      <c r="C831" s="39">
        <v>829</v>
      </c>
      <c r="D831">
        <v>829</v>
      </c>
      <c r="E831" s="10">
        <v>936705.71429999999</v>
      </c>
      <c r="F831" s="10">
        <v>754127.14289999998</v>
      </c>
      <c r="G831" s="10">
        <v>6531</v>
      </c>
      <c r="H831" s="10">
        <v>21136</v>
      </c>
      <c r="I831" s="10">
        <v>49579.14286</v>
      </c>
      <c r="J831" s="10">
        <v>17114.57143</v>
      </c>
      <c r="K831">
        <v>829</v>
      </c>
      <c r="L831" s="10">
        <v>880.57142859999999</v>
      </c>
      <c r="M831" s="10">
        <v>199240.42860000001</v>
      </c>
      <c r="N831" s="10">
        <v>3341</v>
      </c>
      <c r="O831">
        <v>0.46193298593548199</v>
      </c>
      <c r="P831">
        <v>0.97435466703208784</v>
      </c>
      <c r="Q831">
        <v>-0.51004311650969525</v>
      </c>
      <c r="R831">
        <v>0.51004311650969525</v>
      </c>
      <c r="S831">
        <f t="shared" si="130"/>
        <v>-1.0636400073772689</v>
      </c>
      <c r="T831" s="148">
        <f t="shared" si="125"/>
        <v>-1.0641144937370177</v>
      </c>
      <c r="U831">
        <f t="shared" si="131"/>
        <v>2.2435345315972621</v>
      </c>
      <c r="V831" s="55">
        <f t="shared" si="126"/>
        <v>2.2436336665322414</v>
      </c>
      <c r="W831">
        <f t="shared" si="132"/>
        <v>0.96337016014045318</v>
      </c>
      <c r="X831" s="55">
        <f t="shared" si="127"/>
        <v>0.96321987068742132</v>
      </c>
      <c r="Y831" s="149">
        <v>29.363744700000002</v>
      </c>
      <c r="Z831" s="55">
        <f t="shared" si="123"/>
        <v>4.430287427597642E-3</v>
      </c>
      <c r="AA831" s="55">
        <f t="shared" si="128"/>
        <v>4.4368923236438318E-3</v>
      </c>
      <c r="AB831" s="55">
        <f t="shared" si="124"/>
        <v>-5.4192908149536265</v>
      </c>
      <c r="AC831" s="55">
        <f t="shared" si="129"/>
        <v>-5.4186904076650917</v>
      </c>
      <c r="AD831" s="55"/>
      <c r="AE831" s="55"/>
      <c r="AF831" s="55"/>
      <c r="AG831" s="55"/>
      <c r="AH831" s="55"/>
    </row>
    <row r="832" spans="1:34" ht="15.75">
      <c r="A832" s="39">
        <v>29.043297899999999</v>
      </c>
      <c r="B832" s="39">
        <v>29.391872299999999</v>
      </c>
      <c r="C832" s="39">
        <v>830</v>
      </c>
      <c r="D832">
        <v>830</v>
      </c>
      <c r="E832" s="10">
        <v>980878.57140000002</v>
      </c>
      <c r="F832" s="10">
        <v>786735.71429999999</v>
      </c>
      <c r="G832" s="10">
        <v>6327</v>
      </c>
      <c r="H832" s="10">
        <v>20637</v>
      </c>
      <c r="I832" s="10">
        <v>49485.714290000004</v>
      </c>
      <c r="J832" s="10">
        <v>17760.85714</v>
      </c>
      <c r="K832">
        <v>830</v>
      </c>
      <c r="L832" s="10">
        <v>856.85714289999999</v>
      </c>
      <c r="M832" s="10">
        <v>196027.14290000001</v>
      </c>
      <c r="N832" s="10">
        <v>3313</v>
      </c>
      <c r="O832">
        <v>0.44501592234333198</v>
      </c>
      <c r="P832">
        <v>0.97766964593997574</v>
      </c>
      <c r="Q832">
        <v>-0.5134487297101149</v>
      </c>
      <c r="R832">
        <v>0.5134487297101149</v>
      </c>
      <c r="S832">
        <f t="shared" si="130"/>
        <v>-1.0246870289327521</v>
      </c>
      <c r="T832" s="148">
        <f t="shared" si="125"/>
        <v>-1.0251275001316069</v>
      </c>
      <c r="U832">
        <f t="shared" si="131"/>
        <v>2.2511675526141546</v>
      </c>
      <c r="V832" s="55">
        <f t="shared" si="126"/>
        <v>2.2512729197456718</v>
      </c>
      <c r="W832">
        <f t="shared" si="132"/>
        <v>1.0321708086220724</v>
      </c>
      <c r="X832" s="55">
        <f t="shared" si="127"/>
        <v>1.0320758614883294</v>
      </c>
      <c r="Y832" s="149">
        <v>29.391872299999999</v>
      </c>
      <c r="Z832" s="55">
        <f t="shared" si="123"/>
        <v>4.2110710620881751E-3</v>
      </c>
      <c r="AA832" s="55">
        <f t="shared" si="128"/>
        <v>4.2168873655489825E-3</v>
      </c>
      <c r="AB832" s="55">
        <f t="shared" si="124"/>
        <v>-5.4700382545972683</v>
      </c>
      <c r="AC832" s="55">
        <f t="shared" si="129"/>
        <v>-5.4694889287984596</v>
      </c>
      <c r="AD832" s="55"/>
      <c r="AE832" s="55"/>
      <c r="AF832" s="55"/>
      <c r="AG832" s="55"/>
      <c r="AH832" s="55"/>
    </row>
    <row r="833" spans="1:34" ht="15.75">
      <c r="A833" s="39">
        <v>29.071000000000002</v>
      </c>
      <c r="B833" s="39">
        <v>29.42</v>
      </c>
      <c r="C833" s="39">
        <v>831</v>
      </c>
      <c r="D833">
        <v>831</v>
      </c>
      <c r="E833" s="10">
        <v>1025051.429</v>
      </c>
      <c r="F833" s="10">
        <v>819344.28570000001</v>
      </c>
      <c r="G833" s="10">
        <v>6123</v>
      </c>
      <c r="H833" s="10">
        <v>20138</v>
      </c>
      <c r="I833" s="10">
        <v>49392.285709999996</v>
      </c>
      <c r="J833" s="10">
        <v>18407.14286</v>
      </c>
      <c r="K833">
        <v>831</v>
      </c>
      <c r="L833" s="10">
        <v>833.14285710000001</v>
      </c>
      <c r="M833" s="10">
        <v>192813.85709999999</v>
      </c>
      <c r="N833" s="10">
        <v>3285</v>
      </c>
      <c r="O833">
        <v>0.4286727413844818</v>
      </c>
      <c r="P833">
        <v>0.98112190593923909</v>
      </c>
      <c r="Q833">
        <v>-0.5170520770850332</v>
      </c>
      <c r="R833">
        <v>0.5170520770850332</v>
      </c>
      <c r="S833">
        <f t="shared" si="130"/>
        <v>-0.98705546408479949</v>
      </c>
      <c r="T833" s="148">
        <f t="shared" si="125"/>
        <v>-0.98746544308217865</v>
      </c>
      <c r="U833">
        <f t="shared" si="131"/>
        <v>2.2591166750255982</v>
      </c>
      <c r="V833" s="55">
        <f t="shared" si="126"/>
        <v>2.2592288153453759</v>
      </c>
      <c r="W833">
        <f t="shared" si="132"/>
        <v>1.1006866157024626</v>
      </c>
      <c r="X833" s="55">
        <f t="shared" si="127"/>
        <v>1.1006456571408281</v>
      </c>
      <c r="Y833" s="149">
        <v>29.42</v>
      </c>
      <c r="Z833" s="55">
        <f t="shared" si="123"/>
        <v>4.0093036069611294E-3</v>
      </c>
      <c r="AA833" s="55">
        <f t="shared" si="128"/>
        <v>4.0144520518246964E-3</v>
      </c>
      <c r="AB833" s="55">
        <f t="shared" si="124"/>
        <v>-5.519137716844484</v>
      </c>
      <c r="AC833" s="55">
        <f t="shared" si="129"/>
        <v>-5.5186335461346152</v>
      </c>
      <c r="AD833" s="55"/>
      <c r="AE833" s="55"/>
      <c r="AF833" s="55"/>
      <c r="AG833" s="55"/>
      <c r="AH833" s="55"/>
    </row>
    <row r="834" spans="1:34" ht="15.75">
      <c r="A834" s="39">
        <v>29.098702100000001</v>
      </c>
      <c r="B834" s="39">
        <v>29.448127700000001</v>
      </c>
      <c r="C834" s="39">
        <v>832</v>
      </c>
      <c r="D834">
        <v>832</v>
      </c>
      <c r="E834" s="10">
        <v>1069224.2860000001</v>
      </c>
      <c r="F834" s="10">
        <v>851952.85710000002</v>
      </c>
      <c r="G834" s="10">
        <v>5919</v>
      </c>
      <c r="H834" s="10">
        <v>19639</v>
      </c>
      <c r="I834" s="10">
        <v>49298.85714</v>
      </c>
      <c r="J834" s="10">
        <v>19053.42857</v>
      </c>
      <c r="K834">
        <v>832</v>
      </c>
      <c r="L834" s="10">
        <v>809.42857140000001</v>
      </c>
      <c r="M834" s="10">
        <v>189600.57139999999</v>
      </c>
      <c r="N834" s="10">
        <v>3257</v>
      </c>
      <c r="O834">
        <v>0.41286371527440568</v>
      </c>
      <c r="P834">
        <v>0.9847202717047373</v>
      </c>
      <c r="Q834">
        <v>-0.52087103016244507</v>
      </c>
      <c r="R834">
        <v>0.52087103016244507</v>
      </c>
      <c r="S834">
        <f t="shared" si="130"/>
        <v>-0.95065383622898447</v>
      </c>
      <c r="T834" s="148">
        <f t="shared" si="125"/>
        <v>-0.95103637397364038</v>
      </c>
      <c r="U834">
        <f t="shared" si="131"/>
        <v>2.2674022183963745</v>
      </c>
      <c r="V834" s="55">
        <f t="shared" si="126"/>
        <v>2.2675217325194379</v>
      </c>
      <c r="W834">
        <f t="shared" si="132"/>
        <v>1.1690795470979491</v>
      </c>
      <c r="X834" s="55">
        <f t="shared" si="127"/>
        <v>1.1690919993822417</v>
      </c>
      <c r="Y834" s="149">
        <v>29.448127700000001</v>
      </c>
      <c r="Z834" s="55">
        <f t="shared" si="123"/>
        <v>3.8229814864247842E-3</v>
      </c>
      <c r="AA834" s="55">
        <f t="shared" si="128"/>
        <v>3.8275605526095504E-3</v>
      </c>
      <c r="AB834" s="55">
        <f t="shared" si="124"/>
        <v>-5.5667246669620916</v>
      </c>
      <c r="AC834" s="55">
        <f t="shared" si="129"/>
        <v>-5.566260617767842</v>
      </c>
      <c r="AD834" s="55"/>
      <c r="AE834" s="55"/>
      <c r="AF834" s="55"/>
      <c r="AG834" s="55"/>
      <c r="AH834" s="55"/>
    </row>
    <row r="835" spans="1:34" ht="15.75">
      <c r="A835" s="129">
        <v>29.126404300000001</v>
      </c>
      <c r="B835" s="129">
        <v>29.476255299999998</v>
      </c>
      <c r="C835" s="129">
        <v>833</v>
      </c>
      <c r="D835" s="130">
        <v>833</v>
      </c>
      <c r="E835" s="131">
        <v>1113397.1429999999</v>
      </c>
      <c r="F835" s="131">
        <v>884561.42859999998</v>
      </c>
      <c r="G835" s="131">
        <v>5715</v>
      </c>
      <c r="H835" s="131">
        <v>19140</v>
      </c>
      <c r="I835" s="131">
        <v>49205.428569999996</v>
      </c>
      <c r="J835" s="131">
        <v>19699.71429</v>
      </c>
      <c r="K835" s="130">
        <v>833</v>
      </c>
      <c r="L835" s="131">
        <v>785.7142857</v>
      </c>
      <c r="M835" s="131">
        <v>186387.28570000001</v>
      </c>
      <c r="N835" s="131">
        <v>3229</v>
      </c>
      <c r="O835" s="130">
        <v>0.39755309125920074</v>
      </c>
      <c r="P835" s="130">
        <v>0.98847435044270393</v>
      </c>
      <c r="Q835" s="130">
        <v>-0.52492569870952421</v>
      </c>
      <c r="R835" s="130">
        <v>0.52492569870952421</v>
      </c>
      <c r="S835" s="130">
        <f t="shared" si="130"/>
        <v>-0.91539982160713707</v>
      </c>
      <c r="T835" s="148">
        <f t="shared" si="125"/>
        <v>-0.91575757652992007</v>
      </c>
      <c r="U835" s="130">
        <f t="shared" si="131"/>
        <v>2.2760463041363423</v>
      </c>
      <c r="V835" s="132">
        <f t="shared" si="126"/>
        <v>2.2761738624721546</v>
      </c>
      <c r="W835" s="130">
        <f t="shared" si="132"/>
        <v>1.2375098353463134</v>
      </c>
      <c r="X835" s="132">
        <f t="shared" si="127"/>
        <v>1.2375758733049069</v>
      </c>
      <c r="Y835" s="149">
        <v>29.476255299999998</v>
      </c>
      <c r="Z835" s="132">
        <f t="shared" ref="Z835:Z898" si="133">N835/F835</f>
        <v>3.6503965644427375E-3</v>
      </c>
      <c r="AA835" s="132">
        <f t="shared" si="128"/>
        <v>3.6544872258920248E-3</v>
      </c>
      <c r="AB835" s="132">
        <f t="shared" ref="AB835:AB898" si="134">LN(Z835)</f>
        <v>-5.6129194694969504</v>
      </c>
      <c r="AC835" s="132">
        <f t="shared" si="129"/>
        <v>-5.6124912392258883</v>
      </c>
      <c r="AD835" s="55"/>
      <c r="AE835" s="55"/>
      <c r="AF835" s="55"/>
      <c r="AG835" s="55"/>
      <c r="AH835" s="55"/>
    </row>
    <row r="836" spans="1:34" ht="15.75">
      <c r="A836" s="39">
        <v>29.1541064</v>
      </c>
      <c r="B836" s="39">
        <v>29.504383000000001</v>
      </c>
      <c r="C836" s="39">
        <v>834</v>
      </c>
      <c r="D836">
        <v>834</v>
      </c>
      <c r="E836" s="10">
        <v>1157570</v>
      </c>
      <c r="F836" s="10">
        <v>917170</v>
      </c>
      <c r="G836" s="10">
        <v>5511</v>
      </c>
      <c r="H836" s="10">
        <v>18641</v>
      </c>
      <c r="I836" s="10">
        <v>49112</v>
      </c>
      <c r="J836" s="10">
        <v>20346</v>
      </c>
      <c r="K836">
        <v>834</v>
      </c>
      <c r="L836" s="10">
        <v>762</v>
      </c>
      <c r="M836" s="10">
        <v>183174</v>
      </c>
      <c r="N836" s="10">
        <v>3201</v>
      </c>
      <c r="O836">
        <v>0.38270858021051096</v>
      </c>
      <c r="P836">
        <v>0.99239462282476265</v>
      </c>
      <c r="Q836">
        <v>-0.52923879542772723</v>
      </c>
      <c r="R836">
        <v>0.52923879542772734</v>
      </c>
      <c r="S836">
        <f t="shared" si="130"/>
        <v>-0.88121907175363867</v>
      </c>
      <c r="T836" s="148">
        <f t="shared" ref="T836:T899" si="135">AVERAGE(S835:S837)</f>
        <v>-0.92647727056292839</v>
      </c>
      <c r="U836">
        <f t="shared" si="131"/>
        <v>2.285073064883747</v>
      </c>
      <c r="V836" s="55">
        <f t="shared" ref="V836:V899" si="136">AVERAGE(U835:U837)</f>
        <v>2.2631632899864464</v>
      </c>
      <c r="W836">
        <f t="shared" si="132"/>
        <v>1.3061382374704582</v>
      </c>
      <c r="X836" s="55">
        <f t="shared" ref="X836:X899" si="137">AVERAGE(W835:W837)</f>
        <v>1.2242920650355753</v>
      </c>
      <c r="Y836" s="149">
        <v>29.504383000000001</v>
      </c>
      <c r="Z836" s="55">
        <f t="shared" si="133"/>
        <v>3.4900836268085523E-3</v>
      </c>
      <c r="AA836" s="55">
        <f t="shared" ref="AA836:AA899" si="138">AVERAGE(Z835:Z837)</f>
        <v>3.5138264563809658E-3</v>
      </c>
      <c r="AB836" s="55">
        <f t="shared" si="134"/>
        <v>-5.6578295812186203</v>
      </c>
      <c r="AC836" s="55">
        <f t="shared" ref="AC836:AC899" si="139">AVERAGE(AB835:AB837)</f>
        <v>-5.6514783551327232</v>
      </c>
      <c r="AD836" s="55"/>
      <c r="AE836" s="55"/>
      <c r="AF836" s="55"/>
      <c r="AG836" s="55"/>
      <c r="AH836" s="55"/>
    </row>
    <row r="837" spans="1:34" ht="15.75">
      <c r="A837" s="39">
        <v>29.181808499999999</v>
      </c>
      <c r="B837" s="39">
        <v>29.532510599999998</v>
      </c>
      <c r="C837" s="39">
        <v>835</v>
      </c>
      <c r="D837">
        <v>835</v>
      </c>
      <c r="E837" s="10">
        <v>1030370</v>
      </c>
      <c r="F837" s="10">
        <v>790650</v>
      </c>
      <c r="G837" s="10">
        <v>4894.5</v>
      </c>
      <c r="H837" s="10">
        <v>16739</v>
      </c>
      <c r="I837" s="10">
        <v>40453.5</v>
      </c>
      <c r="J837" s="10">
        <v>15140</v>
      </c>
      <c r="K837">
        <v>835</v>
      </c>
      <c r="L837" s="10">
        <v>940.5</v>
      </c>
      <c r="M837" s="10">
        <v>155417</v>
      </c>
      <c r="N837" s="10">
        <v>2689</v>
      </c>
      <c r="O837">
        <v>0.42683022717308583</v>
      </c>
      <c r="P837">
        <v>0.96776901219390166</v>
      </c>
      <c r="Q837">
        <v>-0.53402117652132075</v>
      </c>
      <c r="R837">
        <v>0.53402117652132075</v>
      </c>
      <c r="S837">
        <f t="shared" si="130"/>
        <v>-0.98281291832800943</v>
      </c>
      <c r="T837" s="148">
        <f t="shared" si="135"/>
        <v>-1.0091259393719534</v>
      </c>
      <c r="U837">
        <f t="shared" si="131"/>
        <v>2.2283705009392505</v>
      </c>
      <c r="V837" s="55">
        <f t="shared" si="136"/>
        <v>2.2218966615607507</v>
      </c>
      <c r="W837">
        <f t="shared" si="132"/>
        <v>1.1292281222899547</v>
      </c>
      <c r="X837" s="55">
        <f t="shared" si="137"/>
        <v>1.0926146552617857</v>
      </c>
      <c r="Y837" s="149">
        <v>29.532510599999998</v>
      </c>
      <c r="Z837" s="55">
        <f t="shared" si="133"/>
        <v>3.4009991778916082E-3</v>
      </c>
      <c r="AA837" s="55">
        <f t="shared" si="138"/>
        <v>3.3896851635902194E-3</v>
      </c>
      <c r="AB837" s="55">
        <f t="shared" si="134"/>
        <v>-5.683686014682598</v>
      </c>
      <c r="AC837" s="55">
        <f t="shared" si="139"/>
        <v>-5.6873485756982518</v>
      </c>
      <c r="AD837" s="55"/>
      <c r="AE837" s="55"/>
      <c r="AF837" s="55"/>
      <c r="AG837" s="55"/>
      <c r="AH837" s="55"/>
    </row>
    <row r="838" spans="1:34" ht="15.75">
      <c r="A838" s="39">
        <v>29.209510600000002</v>
      </c>
      <c r="B838" s="39">
        <v>29.560638300000001</v>
      </c>
      <c r="C838" s="39">
        <v>836</v>
      </c>
      <c r="D838">
        <v>836</v>
      </c>
      <c r="E838" s="10">
        <v>903170</v>
      </c>
      <c r="F838" s="10">
        <v>664130</v>
      </c>
      <c r="G838" s="10">
        <v>4278</v>
      </c>
      <c r="H838" s="10">
        <v>14837</v>
      </c>
      <c r="I838" s="10">
        <v>31795</v>
      </c>
      <c r="J838" s="10">
        <v>9934</v>
      </c>
      <c r="K838">
        <v>836</v>
      </c>
      <c r="L838" s="10">
        <v>1119</v>
      </c>
      <c r="M838" s="10">
        <v>127660</v>
      </c>
      <c r="N838" s="10">
        <v>2177</v>
      </c>
      <c r="O838">
        <v>0.50523467366042774</v>
      </c>
      <c r="P838">
        <v>0.93470874340660914</v>
      </c>
      <c r="Q838">
        <v>-0.54010531645166815</v>
      </c>
      <c r="R838">
        <v>0.54010531645166804</v>
      </c>
      <c r="S838">
        <f t="shared" si="130"/>
        <v>-1.1633458280342124</v>
      </c>
      <c r="T838" s="148">
        <f t="shared" si="135"/>
        <v>-1.3139580268550697</v>
      </c>
      <c r="U838">
        <f t="shared" si="131"/>
        <v>2.1522464188592547</v>
      </c>
      <c r="V838" s="55">
        <f t="shared" si="136"/>
        <v>2.1368905034700374</v>
      </c>
      <c r="W838">
        <f t="shared" si="132"/>
        <v>0.84247760602494481</v>
      </c>
      <c r="X838" s="55">
        <f t="shared" si="137"/>
        <v>0.72370657991163989</v>
      </c>
      <c r="Y838" s="149">
        <v>29.560638300000001</v>
      </c>
      <c r="Z838" s="55">
        <f t="shared" si="133"/>
        <v>3.2779726860704982E-3</v>
      </c>
      <c r="AA838" s="55">
        <f t="shared" si="138"/>
        <v>4.0273257307111886E-3</v>
      </c>
      <c r="AB838" s="55">
        <f t="shared" si="134"/>
        <v>-5.720530131193537</v>
      </c>
      <c r="AC838" s="55">
        <f t="shared" si="139"/>
        <v>-5.5416720279487572</v>
      </c>
      <c r="AD838" s="55"/>
      <c r="AE838" s="55"/>
      <c r="AF838" s="55"/>
      <c r="AG838" s="55"/>
      <c r="AH838" s="55"/>
    </row>
    <row r="839" spans="1:34" ht="15.75">
      <c r="A839" s="39">
        <v>29.237212799999998</v>
      </c>
      <c r="B839" s="39">
        <v>29.588766</v>
      </c>
      <c r="C839" s="39">
        <v>837</v>
      </c>
      <c r="D839">
        <v>837</v>
      </c>
      <c r="E839" s="10">
        <v>1577040</v>
      </c>
      <c r="F839" s="10">
        <v>1002220</v>
      </c>
      <c r="G839" s="10">
        <v>25697</v>
      </c>
      <c r="H839" s="10">
        <v>49069</v>
      </c>
      <c r="I839" s="10">
        <v>188954</v>
      </c>
      <c r="J839" s="10">
        <v>31368</v>
      </c>
      <c r="K839">
        <v>837</v>
      </c>
      <c r="L839" s="10">
        <v>1851</v>
      </c>
      <c r="M839" s="10">
        <v>373636</v>
      </c>
      <c r="N839" s="10">
        <v>5415</v>
      </c>
      <c r="O839">
        <v>0.77986926071341101</v>
      </c>
      <c r="P839">
        <v>0.88164150666498553</v>
      </c>
      <c r="Q839">
        <v>-0.28092478286338074</v>
      </c>
      <c r="R839">
        <v>0.28092478286338074</v>
      </c>
      <c r="S839">
        <f t="shared" si="130"/>
        <v>-1.7957153342029872</v>
      </c>
      <c r="T839" s="148">
        <f t="shared" si="135"/>
        <v>-1.5242155400934028</v>
      </c>
      <c r="U839">
        <f t="shared" si="131"/>
        <v>2.0300545906116065</v>
      </c>
      <c r="V839" s="55">
        <f t="shared" si="136"/>
        <v>2.0845734945896193</v>
      </c>
      <c r="W839">
        <f t="shared" si="132"/>
        <v>0.19941401142001991</v>
      </c>
      <c r="X839" s="55">
        <f t="shared" si="137"/>
        <v>0.44869501940230361</v>
      </c>
      <c r="Y839" s="149">
        <v>29.588766</v>
      </c>
      <c r="Z839" s="55">
        <f t="shared" si="133"/>
        <v>5.4030053281714594E-3</v>
      </c>
      <c r="AA839" s="55">
        <f t="shared" si="138"/>
        <v>4.5791540645200189E-3</v>
      </c>
      <c r="AB839" s="55">
        <f t="shared" si="134"/>
        <v>-5.2207999379701375</v>
      </c>
      <c r="AC839" s="55">
        <f t="shared" si="139"/>
        <v>-5.4094713108572572</v>
      </c>
      <c r="AD839" s="55"/>
      <c r="AE839" s="55"/>
      <c r="AF839" s="55"/>
      <c r="AG839" s="55"/>
      <c r="AH839" s="55"/>
    </row>
    <row r="840" spans="1:34" ht="15.75">
      <c r="A840" s="39">
        <v>29.264914900000001</v>
      </c>
      <c r="B840" s="39">
        <v>29.616893600000001</v>
      </c>
      <c r="C840" s="39">
        <v>838</v>
      </c>
      <c r="D840">
        <v>838</v>
      </c>
      <c r="E840" s="10">
        <v>1423920</v>
      </c>
      <c r="F840" s="10">
        <v>978150</v>
      </c>
      <c r="G840" s="10">
        <v>21939</v>
      </c>
      <c r="H840" s="10">
        <v>44196</v>
      </c>
      <c r="I840" s="10">
        <v>149313</v>
      </c>
      <c r="J840" s="10">
        <v>29739</v>
      </c>
      <c r="K840">
        <v>838</v>
      </c>
      <c r="L840" s="10">
        <v>1536</v>
      </c>
      <c r="M840" s="10">
        <v>350743</v>
      </c>
      <c r="N840" s="10">
        <v>4946</v>
      </c>
      <c r="O840">
        <v>0.70077126050740945</v>
      </c>
      <c r="P840">
        <v>0.89960604739455441</v>
      </c>
      <c r="Q840">
        <v>-0.30416613675862786</v>
      </c>
      <c r="R840">
        <v>0.30416613675862786</v>
      </c>
      <c r="S840">
        <f t="shared" si="130"/>
        <v>-1.613585458043008</v>
      </c>
      <c r="T840" s="148">
        <f t="shared" si="135"/>
        <v>-1.7314039741899567</v>
      </c>
      <c r="U840">
        <f t="shared" si="131"/>
        <v>2.0714194742979961</v>
      </c>
      <c r="V840" s="55">
        <f t="shared" si="136"/>
        <v>2.05008677313285</v>
      </c>
      <c r="W840">
        <f t="shared" si="132"/>
        <v>0.30419344076194627</v>
      </c>
      <c r="X840" s="55">
        <f t="shared" si="137"/>
        <v>0.24739735002747396</v>
      </c>
      <c r="Y840" s="149">
        <v>29.616893600000001</v>
      </c>
      <c r="Z840" s="55">
        <f t="shared" si="133"/>
        <v>5.0564841793181003E-3</v>
      </c>
      <c r="AA840" s="55">
        <f t="shared" si="138"/>
        <v>5.1750254283434464E-3</v>
      </c>
      <c r="AB840" s="55">
        <f t="shared" si="134"/>
        <v>-5.287083863408097</v>
      </c>
      <c r="AC840" s="55">
        <f t="shared" si="139"/>
        <v>-5.2643896999682154</v>
      </c>
      <c r="AD840" s="55"/>
      <c r="AE840" s="55"/>
      <c r="AF840" s="55"/>
      <c r="AG840" s="55"/>
      <c r="AH840" s="55"/>
    </row>
    <row r="841" spans="1:34" ht="15.75">
      <c r="A841" s="39">
        <v>29.292617</v>
      </c>
      <c r="B841" s="39">
        <v>29.6450213</v>
      </c>
      <c r="C841" s="39">
        <v>839</v>
      </c>
      <c r="D841">
        <v>839</v>
      </c>
      <c r="E841" s="10">
        <v>1492140</v>
      </c>
      <c r="F841" s="10">
        <v>970470</v>
      </c>
      <c r="G841" s="10">
        <v>23392</v>
      </c>
      <c r="H841" s="10">
        <v>45615</v>
      </c>
      <c r="I841" s="10">
        <v>176954</v>
      </c>
      <c r="J841" s="10">
        <v>29695</v>
      </c>
      <c r="K841">
        <v>839</v>
      </c>
      <c r="L841" s="10">
        <v>1534</v>
      </c>
      <c r="M841" s="10">
        <v>353903</v>
      </c>
      <c r="N841" s="10">
        <v>4916</v>
      </c>
      <c r="O841">
        <v>0.77517705458735531</v>
      </c>
      <c r="P841">
        <v>0.88977656492378088</v>
      </c>
      <c r="Q841">
        <v>-0.29004032392204698</v>
      </c>
      <c r="R841">
        <v>0.29004032392204698</v>
      </c>
      <c r="S841">
        <f t="shared" si="130"/>
        <v>-1.7849111303238758</v>
      </c>
      <c r="T841" s="148">
        <f t="shared" si="135"/>
        <v>-1.7166444185382745</v>
      </c>
      <c r="U841">
        <f t="shared" si="131"/>
        <v>2.0487862544889466</v>
      </c>
      <c r="V841" s="55">
        <f t="shared" si="136"/>
        <v>2.0559053417636939</v>
      </c>
      <c r="W841">
        <f t="shared" si="132"/>
        <v>0.23858459790045558</v>
      </c>
      <c r="X841" s="55">
        <f t="shared" si="137"/>
        <v>0.26544996134411242</v>
      </c>
      <c r="Y841" s="149">
        <v>29.6450213</v>
      </c>
      <c r="Z841" s="55">
        <f t="shared" si="133"/>
        <v>5.0655867775407796E-3</v>
      </c>
      <c r="AA841" s="55">
        <f t="shared" si="138"/>
        <v>5.101908531287544E-3</v>
      </c>
      <c r="AB841" s="55">
        <f t="shared" si="134"/>
        <v>-5.2852852985264116</v>
      </c>
      <c r="AC841" s="55">
        <f t="shared" si="139"/>
        <v>-5.2782047016780984</v>
      </c>
      <c r="AD841" s="55"/>
      <c r="AE841" s="55"/>
      <c r="AF841" s="55"/>
      <c r="AG841" s="55"/>
      <c r="AH841" s="55"/>
    </row>
    <row r="842" spans="1:34" ht="15.75">
      <c r="A842" s="39">
        <v>29.3203192</v>
      </c>
      <c r="B842" s="39">
        <v>29.673148900000001</v>
      </c>
      <c r="C842" s="39">
        <v>840</v>
      </c>
      <c r="D842">
        <v>840</v>
      </c>
      <c r="E842" s="10">
        <v>1514910</v>
      </c>
      <c r="F842" s="10">
        <v>996980</v>
      </c>
      <c r="G842" s="10">
        <v>23550</v>
      </c>
      <c r="H842" s="10">
        <v>46656</v>
      </c>
      <c r="I842" s="10">
        <v>174886</v>
      </c>
      <c r="J842" s="10">
        <v>30347</v>
      </c>
      <c r="K842">
        <v>840</v>
      </c>
      <c r="L842" s="10">
        <v>1824</v>
      </c>
      <c r="M842" s="10">
        <v>361518</v>
      </c>
      <c r="N842" s="10">
        <v>5168</v>
      </c>
      <c r="O842">
        <v>0.7606392799888021</v>
      </c>
      <c r="P842">
        <v>0.88922242341183899</v>
      </c>
      <c r="Q842">
        <v>-0.29691659083694683</v>
      </c>
      <c r="R842">
        <v>0.29691659083694677</v>
      </c>
      <c r="S842">
        <f t="shared" si="130"/>
        <v>-1.7514366672479398</v>
      </c>
      <c r="T842" s="148">
        <f t="shared" si="135"/>
        <v>-1.6860946609056617</v>
      </c>
      <c r="U842">
        <f t="shared" si="131"/>
        <v>2.0475102965041398</v>
      </c>
      <c r="V842" s="55">
        <f t="shared" si="136"/>
        <v>2.0562695776575057</v>
      </c>
      <c r="W842">
        <f t="shared" si="132"/>
        <v>0.25357184536993554</v>
      </c>
      <c r="X842" s="55">
        <f t="shared" si="137"/>
        <v>0.25546735331851278</v>
      </c>
      <c r="Y842" s="149">
        <v>29.673148900000001</v>
      </c>
      <c r="Z842" s="55">
        <f t="shared" si="133"/>
        <v>5.1836546370037512E-3</v>
      </c>
      <c r="AA842" s="55">
        <f t="shared" si="138"/>
        <v>5.2069920151201314E-3</v>
      </c>
      <c r="AB842" s="55">
        <f t="shared" si="134"/>
        <v>-5.2622449430997875</v>
      </c>
      <c r="AC842" s="55">
        <f t="shared" si="139"/>
        <v>-5.2580448805832658</v>
      </c>
      <c r="AD842" s="55"/>
      <c r="AE842" s="55"/>
      <c r="AF842" s="55"/>
      <c r="AG842" s="55"/>
      <c r="AH842" s="55"/>
    </row>
    <row r="843" spans="1:34" ht="15.75">
      <c r="A843" s="39">
        <v>29.348021299999999</v>
      </c>
      <c r="B843" s="39">
        <v>29.7012766</v>
      </c>
      <c r="C843" s="39">
        <v>841</v>
      </c>
      <c r="D843">
        <v>841</v>
      </c>
      <c r="E843" s="10">
        <v>1555680</v>
      </c>
      <c r="F843" s="10">
        <v>1019410</v>
      </c>
      <c r="G843" s="10">
        <v>24894</v>
      </c>
      <c r="H843" s="10">
        <v>49454</v>
      </c>
      <c r="I843" s="10">
        <v>150026</v>
      </c>
      <c r="J843" s="10">
        <v>32749</v>
      </c>
      <c r="K843">
        <v>841</v>
      </c>
      <c r="L843" s="10">
        <v>1869</v>
      </c>
      <c r="M843" s="10">
        <v>392900</v>
      </c>
      <c r="N843" s="10">
        <v>5476</v>
      </c>
      <c r="O843">
        <v>0.66096848701743294</v>
      </c>
      <c r="P843">
        <v>0.90008060431093506</v>
      </c>
      <c r="Q843">
        <v>-0.29810673928825449</v>
      </c>
      <c r="R843">
        <v>0.29810673928825443</v>
      </c>
      <c r="S843">
        <f t="shared" si="130"/>
        <v>-1.5219361851451694</v>
      </c>
      <c r="T843" s="148">
        <f t="shared" si="135"/>
        <v>-1.5023658748401456</v>
      </c>
      <c r="U843">
        <f t="shared" si="131"/>
        <v>2.0725121819794312</v>
      </c>
      <c r="V843" s="55">
        <f t="shared" si="136"/>
        <v>2.067887587725362</v>
      </c>
      <c r="W843">
        <f t="shared" si="132"/>
        <v>0.27424561668514724</v>
      </c>
      <c r="X843" s="55">
        <f t="shared" si="137"/>
        <v>0.2768258160814327</v>
      </c>
      <c r="Y843" s="149">
        <v>29.7012766</v>
      </c>
      <c r="Z843" s="55">
        <f t="shared" si="133"/>
        <v>5.3717346308158644E-3</v>
      </c>
      <c r="AA843" s="55">
        <f t="shared" si="138"/>
        <v>5.374642586230635E-3</v>
      </c>
      <c r="AB843" s="55">
        <f t="shared" si="134"/>
        <v>-5.2266044001236001</v>
      </c>
      <c r="AC843" s="55">
        <f t="shared" si="139"/>
        <v>-5.2264906640423101</v>
      </c>
      <c r="AD843" s="55"/>
      <c r="AE843" s="55"/>
      <c r="AF843" s="55"/>
      <c r="AG843" s="55"/>
      <c r="AH843" s="55"/>
    </row>
    <row r="844" spans="1:34" ht="15.75">
      <c r="A844" s="39">
        <v>29.375723399999998</v>
      </c>
      <c r="B844" s="39">
        <v>29.729404299999999</v>
      </c>
      <c r="C844" s="39">
        <v>842</v>
      </c>
      <c r="D844">
        <v>842</v>
      </c>
      <c r="E844" s="10">
        <v>1492790</v>
      </c>
      <c r="F844" s="10">
        <v>1022710</v>
      </c>
      <c r="G844" s="10">
        <v>24767</v>
      </c>
      <c r="H844" s="10">
        <v>49405</v>
      </c>
      <c r="I844" s="10">
        <v>115111</v>
      </c>
      <c r="J844" s="10">
        <v>33521</v>
      </c>
      <c r="K844">
        <v>842</v>
      </c>
      <c r="L844" s="10">
        <v>1873</v>
      </c>
      <c r="M844" s="10">
        <v>396903</v>
      </c>
      <c r="N844" s="10">
        <v>5695</v>
      </c>
      <c r="O844">
        <v>0.53579986072224528</v>
      </c>
      <c r="P844">
        <v>0.90491347791327992</v>
      </c>
      <c r="Q844">
        <v>-0.29989749948123939</v>
      </c>
      <c r="R844">
        <v>0.29989749948123939</v>
      </c>
      <c r="S844">
        <f t="shared" si="130"/>
        <v>-1.2337247721273279</v>
      </c>
      <c r="T844" s="148">
        <f t="shared" si="135"/>
        <v>-1.3519882805768306</v>
      </c>
      <c r="U844">
        <f t="shared" si="131"/>
        <v>2.0836402846925148</v>
      </c>
      <c r="V844" s="55">
        <f t="shared" si="136"/>
        <v>2.0775972766105535</v>
      </c>
      <c r="W844">
        <f t="shared" si="132"/>
        <v>0.30265998618921519</v>
      </c>
      <c r="X844" s="55">
        <f t="shared" si="137"/>
        <v>0.28887725027047922</v>
      </c>
      <c r="Y844" s="149">
        <v>29.729404299999999</v>
      </c>
      <c r="Z844" s="55">
        <f t="shared" si="133"/>
        <v>5.5685384908722903E-3</v>
      </c>
      <c r="AA844" s="55">
        <f t="shared" si="138"/>
        <v>5.4028612754692786E-3</v>
      </c>
      <c r="AB844" s="55">
        <f t="shared" si="134"/>
        <v>-5.1906226489035427</v>
      </c>
      <c r="AC844" s="55">
        <f t="shared" si="139"/>
        <v>-5.2210908554106679</v>
      </c>
      <c r="AD844" s="55"/>
      <c r="AE844" s="55"/>
      <c r="AF844" s="55"/>
      <c r="AG844" s="55"/>
      <c r="AH844" s="55"/>
    </row>
    <row r="845" spans="1:34" ht="15.75">
      <c r="A845" s="39">
        <v>29.403425500000001</v>
      </c>
      <c r="B845" s="39">
        <v>29.7575319</v>
      </c>
      <c r="C845" s="39">
        <v>843</v>
      </c>
      <c r="D845">
        <v>843</v>
      </c>
      <c r="E845" s="10">
        <v>1591380</v>
      </c>
      <c r="F845" s="10">
        <v>1082700</v>
      </c>
      <c r="G845" s="10">
        <v>26513</v>
      </c>
      <c r="H845" s="10">
        <v>51952</v>
      </c>
      <c r="I845" s="10">
        <v>130017</v>
      </c>
      <c r="J845" s="10">
        <v>35423</v>
      </c>
      <c r="K845">
        <v>843</v>
      </c>
      <c r="L845" s="10">
        <v>2864</v>
      </c>
      <c r="M845" s="10">
        <v>414453</v>
      </c>
      <c r="N845" s="10">
        <v>5704</v>
      </c>
      <c r="O845">
        <v>0.56471480181747047</v>
      </c>
      <c r="P845">
        <v>0.90187301632334704</v>
      </c>
      <c r="Q845">
        <v>-0.29214339946241374</v>
      </c>
      <c r="R845">
        <v>0.29214339946241369</v>
      </c>
      <c r="S845">
        <f t="shared" si="130"/>
        <v>-1.3003038844579944</v>
      </c>
      <c r="T845" s="148">
        <f t="shared" si="135"/>
        <v>-1.2405649443760842</v>
      </c>
      <c r="U845">
        <f t="shared" si="131"/>
        <v>2.0766393631597144</v>
      </c>
      <c r="V845" s="55">
        <f t="shared" si="136"/>
        <v>2.0690806663971291</v>
      </c>
      <c r="W845">
        <f t="shared" si="132"/>
        <v>0.28972614793707518</v>
      </c>
      <c r="X845" s="55">
        <f t="shared" si="137"/>
        <v>0.29540154770347876</v>
      </c>
      <c r="Y845" s="149">
        <v>29.7575319</v>
      </c>
      <c r="Z845" s="55">
        <f t="shared" si="133"/>
        <v>5.2683107047196819E-3</v>
      </c>
      <c r="AA845" s="55">
        <f t="shared" si="138"/>
        <v>5.528616852667474E-3</v>
      </c>
      <c r="AB845" s="55">
        <f t="shared" si="134"/>
        <v>-5.2460455172048581</v>
      </c>
      <c r="AC845" s="55">
        <f t="shared" si="139"/>
        <v>-5.1984657604890829</v>
      </c>
      <c r="AD845" s="55"/>
      <c r="AE845" s="55"/>
      <c r="AF845" s="55"/>
      <c r="AG845" s="55"/>
      <c r="AH845" s="55"/>
    </row>
    <row r="846" spans="1:34" ht="15.75">
      <c r="A846" s="39">
        <v>29.431127700000001</v>
      </c>
      <c r="B846" s="39">
        <v>29.785659599999999</v>
      </c>
      <c r="C846" s="39">
        <v>844</v>
      </c>
      <c r="D846">
        <v>844</v>
      </c>
      <c r="E846" s="10">
        <v>1568010</v>
      </c>
      <c r="F846" s="10">
        <v>1078970</v>
      </c>
      <c r="G846" s="10">
        <v>26928</v>
      </c>
      <c r="H846" s="10">
        <v>53364</v>
      </c>
      <c r="I846" s="10">
        <v>118469</v>
      </c>
      <c r="J846" s="10">
        <v>36125</v>
      </c>
      <c r="K846">
        <v>844</v>
      </c>
      <c r="L846" s="10">
        <v>4286</v>
      </c>
      <c r="M846" s="10">
        <v>413269</v>
      </c>
      <c r="N846" s="10">
        <v>6203</v>
      </c>
      <c r="O846">
        <v>0.51579686681572789</v>
      </c>
      <c r="P846">
        <v>0.88898445385030167</v>
      </c>
      <c r="Q846">
        <v>-0.29704427686481083</v>
      </c>
      <c r="R846">
        <v>0.29704427686481083</v>
      </c>
      <c r="S846">
        <f t="shared" si="130"/>
        <v>-1.1876661765429304</v>
      </c>
      <c r="T846" s="148">
        <f t="shared" si="135"/>
        <v>-1.2368750622246416</v>
      </c>
      <c r="U846">
        <f t="shared" si="131"/>
        <v>2.0469623513391579</v>
      </c>
      <c r="V846" s="55">
        <f t="shared" si="136"/>
        <v>2.0776732562947422</v>
      </c>
      <c r="W846">
        <f t="shared" si="132"/>
        <v>0.29381850898414597</v>
      </c>
      <c r="X846" s="55">
        <f t="shared" si="137"/>
        <v>0.28371130606791106</v>
      </c>
      <c r="Y846" s="149">
        <v>29.785659599999999</v>
      </c>
      <c r="Z846" s="55">
        <f t="shared" si="133"/>
        <v>5.7490013624104472E-3</v>
      </c>
      <c r="AA846" s="55">
        <f t="shared" si="138"/>
        <v>5.4597995394003633E-3</v>
      </c>
      <c r="AB846" s="55">
        <f t="shared" si="134"/>
        <v>-5.1587291153588497</v>
      </c>
      <c r="AC846" s="55">
        <f t="shared" si="139"/>
        <v>-5.211058910099152</v>
      </c>
      <c r="AD846" s="55"/>
      <c r="AE846" s="55"/>
      <c r="AF846" s="55"/>
      <c r="AG846" s="55"/>
      <c r="AH846" s="55"/>
    </row>
    <row r="847" spans="1:34" ht="15.75">
      <c r="A847" s="39">
        <v>29.4588298</v>
      </c>
      <c r="B847" s="39">
        <v>29.8137872</v>
      </c>
      <c r="C847" s="39">
        <v>845</v>
      </c>
      <c r="D847">
        <v>845</v>
      </c>
      <c r="E847" s="10">
        <v>1618010</v>
      </c>
      <c r="F847" s="10">
        <v>1098080</v>
      </c>
      <c r="G847" s="10">
        <v>27297</v>
      </c>
      <c r="H847" s="10">
        <v>54214</v>
      </c>
      <c r="I847" s="10">
        <v>121149</v>
      </c>
      <c r="J847" s="10">
        <v>35672</v>
      </c>
      <c r="K847">
        <v>845</v>
      </c>
      <c r="L847" s="10">
        <v>4501</v>
      </c>
      <c r="M847" s="10">
        <v>446910</v>
      </c>
      <c r="N847" s="10">
        <v>5888</v>
      </c>
      <c r="O847">
        <v>0.53099237435051072</v>
      </c>
      <c r="P847">
        <v>0.91610862104665258</v>
      </c>
      <c r="Q847">
        <v>-0.29799653168924978</v>
      </c>
      <c r="R847">
        <v>0.29799653168924978</v>
      </c>
      <c r="S847">
        <f t="shared" si="130"/>
        <v>-1.2226551256729998</v>
      </c>
      <c r="T847" s="148">
        <f t="shared" si="135"/>
        <v>-1.1813787327619341</v>
      </c>
      <c r="U847">
        <f t="shared" si="131"/>
        <v>2.1094180543853533</v>
      </c>
      <c r="V847" s="55">
        <f t="shared" si="136"/>
        <v>2.0893261008761481</v>
      </c>
      <c r="W847">
        <f t="shared" si="132"/>
        <v>0.26758926128251209</v>
      </c>
      <c r="X847" s="55">
        <f t="shared" si="137"/>
        <v>0.28119653831832264</v>
      </c>
      <c r="Y847" s="149">
        <v>29.8137872</v>
      </c>
      <c r="Z847" s="55">
        <f t="shared" si="133"/>
        <v>5.36208655107096E-3</v>
      </c>
      <c r="AA847" s="55">
        <f t="shared" si="138"/>
        <v>5.4933610818820476E-3</v>
      </c>
      <c r="AB847" s="55">
        <f t="shared" si="134"/>
        <v>-5.2284020977337491</v>
      </c>
      <c r="AC847" s="55">
        <f t="shared" si="139"/>
        <v>-5.2047485633465493</v>
      </c>
      <c r="AD847" s="55"/>
      <c r="AE847" s="55"/>
      <c r="AF847" s="55"/>
      <c r="AG847" s="55"/>
      <c r="AH847" s="55"/>
    </row>
    <row r="848" spans="1:34" ht="15.75">
      <c r="A848" s="39">
        <v>29.486531899999999</v>
      </c>
      <c r="B848" s="39">
        <v>29.841914899999999</v>
      </c>
      <c r="C848" s="39">
        <v>846</v>
      </c>
      <c r="D848">
        <v>846</v>
      </c>
      <c r="E848" s="10">
        <v>1455810</v>
      </c>
      <c r="F848" s="10">
        <v>1015460</v>
      </c>
      <c r="G848" s="10">
        <v>24612</v>
      </c>
      <c r="H848" s="10">
        <v>48112</v>
      </c>
      <c r="I848" s="10">
        <v>101416</v>
      </c>
      <c r="J848" s="10">
        <v>32636</v>
      </c>
      <c r="K848">
        <v>846</v>
      </c>
      <c r="L848" s="10">
        <v>1890</v>
      </c>
      <c r="M848" s="10">
        <v>397474</v>
      </c>
      <c r="N848" s="10">
        <v>5452</v>
      </c>
      <c r="O848">
        <v>0.49240955286285426</v>
      </c>
      <c r="P848">
        <v>0.91705531462388967</v>
      </c>
      <c r="Q848">
        <v>-0.29110650434045121</v>
      </c>
      <c r="R848">
        <v>0.29110650434045121</v>
      </c>
      <c r="S848">
        <f t="shared" si="130"/>
        <v>-1.1338148960698717</v>
      </c>
      <c r="T848" s="148">
        <f t="shared" si="135"/>
        <v>-1.1992802411587022</v>
      </c>
      <c r="U848">
        <f t="shared" si="131"/>
        <v>2.1115978969039326</v>
      </c>
      <c r="V848" s="55">
        <f t="shared" si="136"/>
        <v>2.1129362546827988</v>
      </c>
      <c r="W848">
        <f t="shared" si="132"/>
        <v>0.28218184468830992</v>
      </c>
      <c r="X848" s="55">
        <f t="shared" si="137"/>
        <v>0.3097415366560376</v>
      </c>
      <c r="Y848" s="149">
        <v>29.841914899999999</v>
      </c>
      <c r="Z848" s="55">
        <f t="shared" si="133"/>
        <v>5.3689953321647329E-3</v>
      </c>
      <c r="AA848" s="55">
        <f t="shared" si="138"/>
        <v>5.3110700797278617E-3</v>
      </c>
      <c r="AB848" s="55">
        <f t="shared" si="134"/>
        <v>-5.2271144769470492</v>
      </c>
      <c r="AC848" s="55">
        <f t="shared" si="139"/>
        <v>-5.2380680041982943</v>
      </c>
      <c r="AD848" s="55"/>
      <c r="AE848" s="55"/>
      <c r="AF848" s="55"/>
      <c r="AG848" s="55"/>
      <c r="AH848" s="55"/>
    </row>
    <row r="849" spans="1:34" ht="15.75">
      <c r="A849" s="39">
        <v>29.514233999999998</v>
      </c>
      <c r="B849" s="39">
        <v>29.870042600000001</v>
      </c>
      <c r="C849" s="39">
        <v>847</v>
      </c>
      <c r="D849">
        <v>847</v>
      </c>
      <c r="E849" s="10">
        <v>1528640</v>
      </c>
      <c r="F849" s="10">
        <v>1069370</v>
      </c>
      <c r="G849" s="10">
        <v>23316</v>
      </c>
      <c r="H849" s="10">
        <v>49650</v>
      </c>
      <c r="I849" s="10">
        <v>117915</v>
      </c>
      <c r="J849" s="10">
        <v>34076</v>
      </c>
      <c r="K849">
        <v>847</v>
      </c>
      <c r="L849" s="10">
        <v>1548</v>
      </c>
      <c r="M849" s="10">
        <v>412729</v>
      </c>
      <c r="N849" s="10">
        <v>5563</v>
      </c>
      <c r="O849">
        <v>0.53912044575911167</v>
      </c>
      <c r="P849">
        <v>0.9197457323956485</v>
      </c>
      <c r="Q849">
        <v>-0.32826520618399263</v>
      </c>
      <c r="R849">
        <v>0.32826520618399263</v>
      </c>
      <c r="S849">
        <f t="shared" ref="S849:S912" si="140">LN(J849/I849)</f>
        <v>-1.2413707017332354</v>
      </c>
      <c r="T849" s="148">
        <f t="shared" si="135"/>
        <v>-1.2138723323114078</v>
      </c>
      <c r="U849">
        <f t="shared" ref="U849:U912" si="141">LN(M849/H849)</f>
        <v>2.1177928127591108</v>
      </c>
      <c r="V849" s="55">
        <f t="shared" si="136"/>
        <v>2.0994042387914806</v>
      </c>
      <c r="W849">
        <f t="shared" ref="W849:W912" si="142">LN(J849/G849)</f>
        <v>0.37945350399729066</v>
      </c>
      <c r="X849" s="55">
        <f t="shared" si="137"/>
        <v>0.32889505137341812</v>
      </c>
      <c r="Y849" s="149">
        <v>29.870042600000001</v>
      </c>
      <c r="Z849" s="55">
        <f t="shared" si="133"/>
        <v>5.2021283559478947E-3</v>
      </c>
      <c r="AA849" s="55">
        <f t="shared" si="138"/>
        <v>5.2315173877512493E-3</v>
      </c>
      <c r="AB849" s="55">
        <f t="shared" si="134"/>
        <v>-5.2586874379140838</v>
      </c>
      <c r="AC849" s="55">
        <f t="shared" si="139"/>
        <v>-5.2532444516130008</v>
      </c>
      <c r="AD849" s="55"/>
      <c r="AE849" s="55"/>
      <c r="AF849" s="55"/>
      <c r="AG849" s="55"/>
      <c r="AH849" s="55"/>
    </row>
    <row r="850" spans="1:34" ht="15.75">
      <c r="A850" s="39">
        <v>29.541936199999999</v>
      </c>
      <c r="B850" s="39">
        <v>29.898170199999999</v>
      </c>
      <c r="C850" s="39">
        <v>848</v>
      </c>
      <c r="D850">
        <v>848</v>
      </c>
      <c r="E850" s="10">
        <v>1583140</v>
      </c>
      <c r="F850" s="10">
        <v>1068230</v>
      </c>
      <c r="G850" s="10">
        <v>25949</v>
      </c>
      <c r="H850" s="10">
        <v>52552</v>
      </c>
      <c r="I850" s="10">
        <v>127436</v>
      </c>
      <c r="J850" s="10">
        <v>35916</v>
      </c>
      <c r="K850">
        <v>848</v>
      </c>
      <c r="L850" s="10">
        <v>2191</v>
      </c>
      <c r="M850" s="10">
        <v>415975</v>
      </c>
      <c r="N850" s="10">
        <v>5473</v>
      </c>
      <c r="O850">
        <v>0.55000416835165822</v>
      </c>
      <c r="P850">
        <v>0.89847798155477288</v>
      </c>
      <c r="Q850">
        <v>-0.30646862281588139</v>
      </c>
      <c r="R850">
        <v>0.30646862281588139</v>
      </c>
      <c r="S850">
        <f t="shared" si="140"/>
        <v>-1.2664313991311158</v>
      </c>
      <c r="T850" s="148">
        <f t="shared" si="135"/>
        <v>-1.2844056108892017</v>
      </c>
      <c r="U850">
        <f t="shared" si="141"/>
        <v>2.0688220067113989</v>
      </c>
      <c r="V850" s="55">
        <f t="shared" si="136"/>
        <v>2.068319481041248</v>
      </c>
      <c r="W850">
        <f t="shared" si="142"/>
        <v>0.32504980543465373</v>
      </c>
      <c r="X850" s="55">
        <f t="shared" si="137"/>
        <v>0.35263714412765484</v>
      </c>
      <c r="Y850" s="149">
        <v>29.898170199999999</v>
      </c>
      <c r="Z850" s="55">
        <f t="shared" si="133"/>
        <v>5.1234284751411211E-3</v>
      </c>
      <c r="AA850" s="55">
        <f t="shared" si="138"/>
        <v>5.3900333985219514E-3</v>
      </c>
      <c r="AB850" s="55">
        <f t="shared" si="134"/>
        <v>-5.2739314399778694</v>
      </c>
      <c r="AC850" s="55">
        <f t="shared" si="139"/>
        <v>-5.2249552297096837</v>
      </c>
      <c r="AD850" s="55"/>
      <c r="AE850" s="55"/>
      <c r="AF850" s="55"/>
      <c r="AG850" s="55"/>
      <c r="AH850" s="55"/>
    </row>
    <row r="851" spans="1:34" ht="15.75">
      <c r="A851" s="39">
        <v>29.569638300000001</v>
      </c>
      <c r="B851" s="39">
        <v>29.926297900000002</v>
      </c>
      <c r="C851" s="39">
        <v>849</v>
      </c>
      <c r="D851">
        <v>849</v>
      </c>
      <c r="E851" s="10">
        <v>1524030</v>
      </c>
      <c r="F851" s="10">
        <v>1022150</v>
      </c>
      <c r="G851" s="10">
        <v>24498</v>
      </c>
      <c r="H851" s="10">
        <v>51975</v>
      </c>
      <c r="I851" s="10">
        <v>133943</v>
      </c>
      <c r="J851" s="10">
        <v>34883</v>
      </c>
      <c r="K851">
        <v>849</v>
      </c>
      <c r="L851" s="10">
        <v>1832</v>
      </c>
      <c r="M851" s="10">
        <v>391156</v>
      </c>
      <c r="N851" s="10">
        <v>5974</v>
      </c>
      <c r="O851">
        <v>0.58430619389349636</v>
      </c>
      <c r="P851">
        <v>0.87655549833721313</v>
      </c>
      <c r="Q851">
        <v>-0.32666386769686606</v>
      </c>
      <c r="R851">
        <v>0.32666386769686606</v>
      </c>
      <c r="S851">
        <f t="shared" si="140"/>
        <v>-1.3454147318032532</v>
      </c>
      <c r="T851" s="148">
        <f t="shared" si="135"/>
        <v>-1.3042503064513531</v>
      </c>
      <c r="U851">
        <f t="shared" si="141"/>
        <v>2.0183436236532342</v>
      </c>
      <c r="V851" s="55">
        <f t="shared" si="136"/>
        <v>2.0279624298319479</v>
      </c>
      <c r="W851">
        <f t="shared" si="142"/>
        <v>0.35340812295102014</v>
      </c>
      <c r="X851" s="55">
        <f t="shared" si="137"/>
        <v>0.35341739453888671</v>
      </c>
      <c r="Y851" s="149">
        <v>29.926297900000002</v>
      </c>
      <c r="Z851" s="55">
        <f t="shared" si="133"/>
        <v>5.8445433644768383E-3</v>
      </c>
      <c r="AA851" s="55">
        <f t="shared" si="138"/>
        <v>5.4369755961603712E-3</v>
      </c>
      <c r="AB851" s="55">
        <f t="shared" si="134"/>
        <v>-5.1422468112370989</v>
      </c>
      <c r="AC851" s="55">
        <f t="shared" si="139"/>
        <v>-5.2160515563541772</v>
      </c>
      <c r="AD851" s="55"/>
      <c r="AE851" s="55"/>
      <c r="AF851" s="55"/>
      <c r="AG851" s="55"/>
      <c r="AH851" s="55"/>
    </row>
    <row r="852" spans="1:34" ht="15.75">
      <c r="A852" s="39">
        <v>29.5973404</v>
      </c>
      <c r="B852" s="39">
        <v>29.954425499999999</v>
      </c>
      <c r="C852" s="39">
        <v>850</v>
      </c>
      <c r="D852">
        <v>850</v>
      </c>
      <c r="E852" s="10">
        <v>1385960</v>
      </c>
      <c r="F852" s="10">
        <v>946480</v>
      </c>
      <c r="G852" s="10">
        <v>21602</v>
      </c>
      <c r="H852" s="10">
        <v>47899</v>
      </c>
      <c r="I852" s="10">
        <v>116220</v>
      </c>
      <c r="J852" s="10">
        <v>31645</v>
      </c>
      <c r="K852">
        <v>850</v>
      </c>
      <c r="L852" s="10">
        <v>2017</v>
      </c>
      <c r="M852" s="10">
        <v>352770</v>
      </c>
      <c r="N852" s="10">
        <v>5057</v>
      </c>
      <c r="O852">
        <v>0.56497577109218899</v>
      </c>
      <c r="P852">
        <v>0.8671651984573906</v>
      </c>
      <c r="Q852">
        <v>-0.34583248488788859</v>
      </c>
      <c r="R852">
        <v>0.34583248488788859</v>
      </c>
      <c r="S852">
        <f t="shared" si="140"/>
        <v>-1.3009047884196907</v>
      </c>
      <c r="T852" s="148">
        <f t="shared" si="135"/>
        <v>-1.3203104602551108</v>
      </c>
      <c r="U852">
        <f t="shared" si="141"/>
        <v>1.9967216591312109</v>
      </c>
      <c r="V852" s="55">
        <f t="shared" si="136"/>
        <v>2.010589467447637</v>
      </c>
      <c r="W852">
        <f t="shared" si="142"/>
        <v>0.38179425523098626</v>
      </c>
      <c r="X852" s="55">
        <f t="shared" si="137"/>
        <v>0.39442773964041239</v>
      </c>
      <c r="Y852" s="149">
        <v>29.954425499999999</v>
      </c>
      <c r="Z852" s="55">
        <f t="shared" si="133"/>
        <v>5.342954948863156E-3</v>
      </c>
      <c r="AA852" s="55">
        <f t="shared" si="138"/>
        <v>5.4905988209242472E-3</v>
      </c>
      <c r="AB852" s="55">
        <f t="shared" si="134"/>
        <v>-5.2319764178475614</v>
      </c>
      <c r="AC852" s="55">
        <f t="shared" si="139"/>
        <v>-5.2057462326830413</v>
      </c>
      <c r="AD852" s="55"/>
      <c r="AE852" s="55"/>
      <c r="AF852" s="55"/>
      <c r="AG852" s="55"/>
      <c r="AH852" s="55"/>
    </row>
    <row r="853" spans="1:34" ht="15.75">
      <c r="A853" s="39">
        <v>29.6250426</v>
      </c>
      <c r="B853" s="39">
        <v>29.982553200000002</v>
      </c>
      <c r="C853" s="39">
        <v>851</v>
      </c>
      <c r="D853">
        <v>851</v>
      </c>
      <c r="E853" s="10">
        <v>1284680</v>
      </c>
      <c r="F853" s="10">
        <v>893780</v>
      </c>
      <c r="G853" s="10">
        <v>18314</v>
      </c>
      <c r="H853" s="10">
        <v>44143</v>
      </c>
      <c r="I853" s="10">
        <v>106736</v>
      </c>
      <c r="J853" s="10">
        <v>28667</v>
      </c>
      <c r="K853">
        <v>851</v>
      </c>
      <c r="L853" s="10">
        <v>2183</v>
      </c>
      <c r="M853" s="10">
        <v>331669</v>
      </c>
      <c r="N853" s="10">
        <v>4723</v>
      </c>
      <c r="O853">
        <v>0.57092867687812654</v>
      </c>
      <c r="P853">
        <v>0.87584303646131556</v>
      </c>
      <c r="Q853">
        <v>-0.38207863504129996</v>
      </c>
      <c r="R853">
        <v>0.38207863504129996</v>
      </c>
      <c r="S853">
        <f t="shared" si="140"/>
        <v>-1.3146118605423884</v>
      </c>
      <c r="T853" s="148">
        <f t="shared" si="135"/>
        <v>-1.3402235193433256</v>
      </c>
      <c r="U853">
        <f t="shared" si="141"/>
        <v>2.0167031195584655</v>
      </c>
      <c r="V853" s="55">
        <f t="shared" si="136"/>
        <v>2.0288215256641355</v>
      </c>
      <c r="W853">
        <f t="shared" si="142"/>
        <v>0.44808084073923077</v>
      </c>
      <c r="X853" s="55">
        <f t="shared" si="137"/>
        <v>0.46615284346975905</v>
      </c>
      <c r="Y853" s="149">
        <v>29.982553200000002</v>
      </c>
      <c r="Z853" s="55">
        <f t="shared" si="133"/>
        <v>5.2842981494327463E-3</v>
      </c>
      <c r="AA853" s="55">
        <f t="shared" si="138"/>
        <v>5.3466946803306563E-3</v>
      </c>
      <c r="AB853" s="55">
        <f t="shared" si="134"/>
        <v>-5.2430154689644635</v>
      </c>
      <c r="AC853" s="55">
        <f t="shared" si="139"/>
        <v>-5.2313249767292334</v>
      </c>
      <c r="AD853" s="55"/>
      <c r="AE853" s="55"/>
      <c r="AF853" s="55"/>
      <c r="AG853" s="55"/>
      <c r="AH853" s="55"/>
    </row>
    <row r="854" spans="1:34" ht="15.75">
      <c r="A854" s="39">
        <v>29.6527447</v>
      </c>
      <c r="B854" s="39">
        <v>30.010680900000001</v>
      </c>
      <c r="C854" s="39">
        <v>852</v>
      </c>
      <c r="D854">
        <v>852</v>
      </c>
      <c r="E854" s="10">
        <v>1210790</v>
      </c>
      <c r="F854" s="10">
        <v>840780</v>
      </c>
      <c r="G854" s="10">
        <v>14955</v>
      </c>
      <c r="H854" s="10">
        <v>39510</v>
      </c>
      <c r="I854" s="10">
        <v>107639</v>
      </c>
      <c r="J854" s="10">
        <v>26407</v>
      </c>
      <c r="K854">
        <v>852</v>
      </c>
      <c r="L854" s="10">
        <v>1475</v>
      </c>
      <c r="M854" s="10">
        <v>314063</v>
      </c>
      <c r="N854" s="10">
        <v>4551</v>
      </c>
      <c r="O854">
        <v>0.61025058893297157</v>
      </c>
      <c r="P854">
        <v>0.90030974516870566</v>
      </c>
      <c r="Q854">
        <v>-0.42192061231410932</v>
      </c>
      <c r="R854">
        <v>0.42192061231410932</v>
      </c>
      <c r="S854">
        <f t="shared" si="140"/>
        <v>-1.4051539090678975</v>
      </c>
      <c r="T854" s="148">
        <f t="shared" si="135"/>
        <v>-1.3214919841835362</v>
      </c>
      <c r="U854">
        <f t="shared" si="141"/>
        <v>2.0730397983027298</v>
      </c>
      <c r="V854" s="55">
        <f t="shared" si="136"/>
        <v>2.0299539429777202</v>
      </c>
      <c r="W854">
        <f t="shared" si="142"/>
        <v>0.56858343443906023</v>
      </c>
      <c r="X854" s="55">
        <f t="shared" si="137"/>
        <v>0.55404634096009719</v>
      </c>
      <c r="Y854" s="149">
        <v>30.010680900000001</v>
      </c>
      <c r="Z854" s="55">
        <f t="shared" si="133"/>
        <v>5.4128309426960683E-3</v>
      </c>
      <c r="AA854" s="55">
        <f t="shared" si="138"/>
        <v>5.3381539632931215E-3</v>
      </c>
      <c r="AB854" s="55">
        <f t="shared" si="134"/>
        <v>-5.2189830433756761</v>
      </c>
      <c r="AC854" s="55">
        <f t="shared" si="139"/>
        <v>-5.2329273224982842</v>
      </c>
      <c r="AD854" s="55"/>
      <c r="AE854" s="55"/>
      <c r="AF854" s="55"/>
      <c r="AG854" s="55"/>
      <c r="AH854" s="55"/>
    </row>
    <row r="855" spans="1:34" ht="15.75">
      <c r="A855" s="39">
        <v>29.680446799999999</v>
      </c>
      <c r="B855" s="39">
        <v>30.038808499999998</v>
      </c>
      <c r="C855" s="39">
        <v>853</v>
      </c>
      <c r="D855">
        <v>853</v>
      </c>
      <c r="E855" s="10">
        <v>1127280</v>
      </c>
      <c r="F855" s="10">
        <v>796640</v>
      </c>
      <c r="G855" s="10">
        <v>13189</v>
      </c>
      <c r="H855" s="10">
        <v>38032</v>
      </c>
      <c r="I855" s="10">
        <v>87319</v>
      </c>
      <c r="J855" s="10">
        <v>25150</v>
      </c>
      <c r="K855">
        <v>853</v>
      </c>
      <c r="L855" s="10">
        <v>2251</v>
      </c>
      <c r="M855" s="10">
        <v>281054</v>
      </c>
      <c r="N855" s="10">
        <v>4236</v>
      </c>
      <c r="O855">
        <v>0.54057076401976922</v>
      </c>
      <c r="P855">
        <v>0.86864060622889594</v>
      </c>
      <c r="Q855">
        <v>-0.45993729612703138</v>
      </c>
      <c r="R855">
        <v>0.45993729612703133</v>
      </c>
      <c r="S855">
        <f t="shared" si="140"/>
        <v>-1.2447101829403227</v>
      </c>
      <c r="T855" s="148">
        <f t="shared" si="135"/>
        <v>-1.3020880841036013</v>
      </c>
      <c r="U855">
        <f t="shared" si="141"/>
        <v>2.0001189110719664</v>
      </c>
      <c r="V855" s="55">
        <f t="shared" si="136"/>
        <v>2.0281642736316807</v>
      </c>
      <c r="W855">
        <f t="shared" si="142"/>
        <v>0.64547474770200042</v>
      </c>
      <c r="X855" s="55">
        <f t="shared" si="137"/>
        <v>0.63633751792503335</v>
      </c>
      <c r="Y855" s="149">
        <v>30.038808499999998</v>
      </c>
      <c r="Z855" s="55">
        <f t="shared" si="133"/>
        <v>5.3173327977505524E-3</v>
      </c>
      <c r="AA855" s="55">
        <f t="shared" si="138"/>
        <v>5.0689890413312009E-3</v>
      </c>
      <c r="AB855" s="55">
        <f t="shared" si="134"/>
        <v>-5.236783455154713</v>
      </c>
      <c r="AC855" s="55">
        <f t="shared" si="139"/>
        <v>-5.2882041720759707</v>
      </c>
      <c r="AD855" s="55"/>
      <c r="AE855" s="55"/>
      <c r="AF855" s="55"/>
      <c r="AG855" s="55"/>
      <c r="AH855" s="55"/>
    </row>
    <row r="856" spans="1:34" ht="15.75">
      <c r="A856" s="39">
        <v>29.708148900000001</v>
      </c>
      <c r="B856" s="39">
        <v>30.066936200000001</v>
      </c>
      <c r="C856" s="39">
        <v>854</v>
      </c>
      <c r="D856">
        <v>854</v>
      </c>
      <c r="E856" s="10">
        <v>1053615</v>
      </c>
      <c r="F856" s="10">
        <v>766060</v>
      </c>
      <c r="G856" s="10">
        <v>9813</v>
      </c>
      <c r="H856" s="10">
        <v>29492</v>
      </c>
      <c r="I856" s="10">
        <v>69066</v>
      </c>
      <c r="J856" s="10">
        <v>19661.5</v>
      </c>
      <c r="K856">
        <v>854</v>
      </c>
      <c r="L856" s="10">
        <v>1938.5</v>
      </c>
      <c r="M856" s="10">
        <v>220402</v>
      </c>
      <c r="N856" s="10">
        <v>3429.5</v>
      </c>
      <c r="O856">
        <v>0.54564765668177329</v>
      </c>
      <c r="P856">
        <v>0.87351130589706616</v>
      </c>
      <c r="Q856">
        <v>-0.47790242638641678</v>
      </c>
      <c r="R856">
        <v>0.47790242638641683</v>
      </c>
      <c r="S856">
        <f t="shared" si="140"/>
        <v>-1.2564001603025838</v>
      </c>
      <c r="T856" s="148">
        <f t="shared" si="135"/>
        <v>-1.2593079414720518</v>
      </c>
      <c r="U856">
        <f t="shared" si="141"/>
        <v>2.0113341115203465</v>
      </c>
      <c r="V856" s="55">
        <f t="shared" si="136"/>
        <v>2.014276336214849</v>
      </c>
      <c r="W856">
        <f t="shared" si="142"/>
        <v>0.69495437163403961</v>
      </c>
      <c r="X856" s="55">
        <f t="shared" si="137"/>
        <v>0.70990175748344309</v>
      </c>
      <c r="Y856" s="149">
        <v>30.066936200000001</v>
      </c>
      <c r="Z856" s="55">
        <f t="shared" si="133"/>
        <v>4.4768033835469803E-3</v>
      </c>
      <c r="AA856" s="55">
        <f t="shared" si="138"/>
        <v>4.4535048669443579E-3</v>
      </c>
      <c r="AB856" s="55">
        <f t="shared" si="134"/>
        <v>-5.4088460176975213</v>
      </c>
      <c r="AC856" s="55">
        <f t="shared" si="139"/>
        <v>-5.4272780397510472</v>
      </c>
      <c r="AD856" s="55"/>
      <c r="AE856" s="55"/>
      <c r="AF856" s="55"/>
      <c r="AG856" s="55"/>
      <c r="AH856" s="55"/>
    </row>
    <row r="857" spans="1:34" ht="15.75">
      <c r="A857" s="39">
        <v>29.735851100000001</v>
      </c>
      <c r="B857" s="39">
        <v>30.095063799999998</v>
      </c>
      <c r="C857" s="39">
        <v>855</v>
      </c>
      <c r="D857">
        <v>855</v>
      </c>
      <c r="E857" s="10">
        <v>979950</v>
      </c>
      <c r="F857" s="10">
        <v>735480</v>
      </c>
      <c r="G857" s="10">
        <v>6437</v>
      </c>
      <c r="H857" s="10">
        <v>20952</v>
      </c>
      <c r="I857" s="10">
        <v>50813</v>
      </c>
      <c r="J857" s="10">
        <v>14173</v>
      </c>
      <c r="K857">
        <v>855</v>
      </c>
      <c r="L857" s="10">
        <v>1626</v>
      </c>
      <c r="M857" s="10">
        <v>159750</v>
      </c>
      <c r="N857" s="10">
        <v>2623</v>
      </c>
      <c r="O857">
        <v>0.55451304929322343</v>
      </c>
      <c r="P857">
        <v>0.88221538141326195</v>
      </c>
      <c r="Q857">
        <v>-0.51254197628820652</v>
      </c>
      <c r="R857">
        <v>0.51254197628820652</v>
      </c>
      <c r="S857">
        <f t="shared" si="140"/>
        <v>-1.2768134811732486</v>
      </c>
      <c r="T857" s="148">
        <f t="shared" si="135"/>
        <v>-1.280438791538242</v>
      </c>
      <c r="U857">
        <f t="shared" si="141"/>
        <v>2.0313759860522334</v>
      </c>
      <c r="V857" s="55">
        <f t="shared" si="136"/>
        <v>2.0716997837551081</v>
      </c>
      <c r="W857">
        <f t="shared" si="142"/>
        <v>0.78927615311428956</v>
      </c>
      <c r="X857" s="55">
        <f t="shared" si="137"/>
        <v>0.78118584951250247</v>
      </c>
      <c r="Y857" s="149">
        <v>30.095063799999998</v>
      </c>
      <c r="Z857" s="55">
        <f t="shared" si="133"/>
        <v>3.5663784195355415E-3</v>
      </c>
      <c r="AA857" s="55">
        <f t="shared" si="138"/>
        <v>4.332841746305386E-3</v>
      </c>
      <c r="AB857" s="55">
        <f t="shared" si="134"/>
        <v>-5.6362046464009037</v>
      </c>
      <c r="AC857" s="55">
        <f t="shared" si="139"/>
        <v>-5.4507798222450292</v>
      </c>
      <c r="AD857" s="55"/>
      <c r="AE857" s="55"/>
      <c r="AF857" s="55"/>
      <c r="AG857" s="55"/>
      <c r="AH857" s="55"/>
    </row>
    <row r="858" spans="1:34" ht="15.75">
      <c r="A858" s="39">
        <v>29.7635532</v>
      </c>
      <c r="B858" s="39">
        <v>30.123191500000001</v>
      </c>
      <c r="C858" s="39">
        <v>856</v>
      </c>
      <c r="D858">
        <v>856</v>
      </c>
      <c r="E858" s="10">
        <v>882883.75</v>
      </c>
      <c r="F858" s="10">
        <v>681217.5</v>
      </c>
      <c r="G858" s="10">
        <v>6970.625</v>
      </c>
      <c r="H858" s="10">
        <v>23735.25</v>
      </c>
      <c r="I858" s="10">
        <v>60894</v>
      </c>
      <c r="J858" s="10">
        <v>16461.625</v>
      </c>
      <c r="K858">
        <v>856</v>
      </c>
      <c r="L858" s="10">
        <v>1048.666667</v>
      </c>
      <c r="M858" s="10">
        <v>208377.3333</v>
      </c>
      <c r="N858" s="10">
        <v>3375.666667</v>
      </c>
      <c r="O858">
        <v>0.56810179876478351</v>
      </c>
      <c r="P858">
        <v>0.94345666542468254</v>
      </c>
      <c r="Q858">
        <v>-0.53212209089573248</v>
      </c>
      <c r="R858">
        <v>0.53212209089573248</v>
      </c>
      <c r="S858">
        <f t="shared" si="140"/>
        <v>-1.3081027331388937</v>
      </c>
      <c r="T858" s="148">
        <f t="shared" si="135"/>
        <v>-1.3079324998036184</v>
      </c>
      <c r="U858">
        <f t="shared" si="141"/>
        <v>2.1723892536927449</v>
      </c>
      <c r="V858" s="55">
        <f t="shared" si="136"/>
        <v>2.1221365072067151</v>
      </c>
      <c r="W858">
        <f t="shared" si="142"/>
        <v>0.85932702378917825</v>
      </c>
      <c r="X858" s="55">
        <f t="shared" si="137"/>
        <v>0.86014808782790697</v>
      </c>
      <c r="Y858" s="149">
        <v>30.123191500000001</v>
      </c>
      <c r="Z858" s="55">
        <f t="shared" si="133"/>
        <v>4.9553434358336357E-3</v>
      </c>
      <c r="AA858" s="55">
        <f t="shared" si="138"/>
        <v>3.9047146207799679E-3</v>
      </c>
      <c r="AB858" s="55">
        <f t="shared" si="134"/>
        <v>-5.3072888026366636</v>
      </c>
      <c r="AC858" s="55">
        <f t="shared" si="139"/>
        <v>-5.5634896164910712</v>
      </c>
      <c r="AD858" s="55"/>
      <c r="AE858" s="55"/>
      <c r="AF858" s="55"/>
      <c r="AG858" s="55"/>
      <c r="AH858" s="55"/>
    </row>
    <row r="859" spans="1:34" ht="15.75">
      <c r="A859" s="39">
        <v>29.7912553</v>
      </c>
      <c r="B859" s="39">
        <v>30.1513192</v>
      </c>
      <c r="C859" s="39">
        <v>857</v>
      </c>
      <c r="D859">
        <v>857</v>
      </c>
      <c r="E859" s="10">
        <v>1350180</v>
      </c>
      <c r="F859" s="10">
        <v>935340</v>
      </c>
      <c r="G859" s="10">
        <v>5998</v>
      </c>
      <c r="H859" s="10">
        <v>21582</v>
      </c>
      <c r="I859" s="10">
        <v>58099</v>
      </c>
      <c r="J859" s="10">
        <v>15230</v>
      </c>
      <c r="K859">
        <v>857</v>
      </c>
      <c r="L859" s="10">
        <v>921</v>
      </c>
      <c r="M859" s="10">
        <v>187636</v>
      </c>
      <c r="N859" s="10">
        <v>2986</v>
      </c>
      <c r="O859">
        <v>0.58146875404190568</v>
      </c>
      <c r="P859">
        <v>0.93922447793800568</v>
      </c>
      <c r="Q859">
        <v>-0.55608522677864636</v>
      </c>
      <c r="R859">
        <v>0.55608522677864647</v>
      </c>
      <c r="S859">
        <f t="shared" si="140"/>
        <v>-1.3388812850987133</v>
      </c>
      <c r="T859" s="148">
        <f t="shared" si="135"/>
        <v>-1.3324378983719598</v>
      </c>
      <c r="U859">
        <f t="shared" si="141"/>
        <v>2.162644281875167</v>
      </c>
      <c r="V859" s="55">
        <f t="shared" si="136"/>
        <v>2.1332519423806922</v>
      </c>
      <c r="W859">
        <f t="shared" si="142"/>
        <v>0.93184108658025322</v>
      </c>
      <c r="X859" s="55">
        <f t="shared" si="137"/>
        <v>0.75724450073403726</v>
      </c>
      <c r="Y859" s="149">
        <v>30.1513192</v>
      </c>
      <c r="Z859" s="55">
        <f t="shared" si="133"/>
        <v>3.1924220069707273E-3</v>
      </c>
      <c r="AA859" s="55">
        <f t="shared" si="138"/>
        <v>4.4780612482133242E-3</v>
      </c>
      <c r="AB859" s="55">
        <f t="shared" si="134"/>
        <v>-5.7469754004356455</v>
      </c>
      <c r="AC859" s="55">
        <f t="shared" si="139"/>
        <v>-5.4322928450318884</v>
      </c>
      <c r="AD859" s="55"/>
      <c r="AE859" s="55"/>
      <c r="AF859" s="55"/>
      <c r="AG859" s="55"/>
      <c r="AH859" s="55"/>
    </row>
    <row r="860" spans="1:34" ht="15.75">
      <c r="A860" s="39">
        <v>29.8189575</v>
      </c>
      <c r="B860" s="39">
        <v>30.179446800000001</v>
      </c>
      <c r="C860" s="39">
        <v>858</v>
      </c>
      <c r="D860">
        <v>858</v>
      </c>
      <c r="E860" s="10">
        <v>1256650</v>
      </c>
      <c r="F860" s="10">
        <v>884720</v>
      </c>
      <c r="G860" s="10">
        <v>18754</v>
      </c>
      <c r="H860" s="10">
        <v>45863</v>
      </c>
      <c r="I860" s="10">
        <v>117015</v>
      </c>
      <c r="J860" s="10">
        <v>30325</v>
      </c>
      <c r="K860">
        <v>858</v>
      </c>
      <c r="L860" s="10">
        <v>2053</v>
      </c>
      <c r="M860" s="10">
        <v>361543</v>
      </c>
      <c r="N860" s="10">
        <v>4677</v>
      </c>
      <c r="O860">
        <v>0.58644072741843467</v>
      </c>
      <c r="P860">
        <v>0.89669749789329656</v>
      </c>
      <c r="Q860">
        <v>-0.38836854781115648</v>
      </c>
      <c r="R860">
        <v>0.38836854781115648</v>
      </c>
      <c r="S860">
        <f t="shared" si="140"/>
        <v>-1.3503296768782724</v>
      </c>
      <c r="T860" s="148">
        <f t="shared" si="135"/>
        <v>-1.3619683159666913</v>
      </c>
      <c r="U860">
        <f t="shared" si="141"/>
        <v>2.0647222915741645</v>
      </c>
      <c r="V860" s="55">
        <f t="shared" si="136"/>
        <v>2.1307400389991469</v>
      </c>
      <c r="W860">
        <f t="shared" si="142"/>
        <v>0.48056539183268038</v>
      </c>
      <c r="X860" s="55">
        <f t="shared" si="137"/>
        <v>0.66149101992138837</v>
      </c>
      <c r="Y860" s="149">
        <v>30.179446800000001</v>
      </c>
      <c r="Z860" s="55">
        <f t="shared" si="133"/>
        <v>5.2864183018356088E-3</v>
      </c>
      <c r="AA860" s="55">
        <f t="shared" si="138"/>
        <v>4.5193704860176922E-3</v>
      </c>
      <c r="AB860" s="55">
        <f t="shared" si="134"/>
        <v>-5.2426143320233551</v>
      </c>
      <c r="AC860" s="55">
        <f t="shared" si="139"/>
        <v>-5.4240590782339781</v>
      </c>
      <c r="AD860" s="55"/>
      <c r="AE860" s="55"/>
      <c r="AF860" s="55"/>
      <c r="AG860" s="55"/>
      <c r="AH860" s="55"/>
    </row>
    <row r="861" spans="1:34" ht="15.75">
      <c r="A861" s="39">
        <v>29.846659599999999</v>
      </c>
      <c r="B861" s="39">
        <v>30.2075745</v>
      </c>
      <c r="C861" s="39">
        <v>859</v>
      </c>
      <c r="D861">
        <v>859</v>
      </c>
      <c r="E861" s="10">
        <v>1153010</v>
      </c>
      <c r="F861" s="10">
        <v>811140</v>
      </c>
      <c r="G861" s="10">
        <v>14846</v>
      </c>
      <c r="H861" s="10">
        <v>40178</v>
      </c>
      <c r="I861" s="10">
        <v>106324</v>
      </c>
      <c r="J861" s="10">
        <v>26306</v>
      </c>
      <c r="K861">
        <v>859</v>
      </c>
      <c r="L861" s="10">
        <v>1659</v>
      </c>
      <c r="M861" s="10">
        <v>350084</v>
      </c>
      <c r="N861" s="10">
        <v>4120</v>
      </c>
      <c r="O861">
        <v>0.60657649099385536</v>
      </c>
      <c r="P861">
        <v>0.94018394809164474</v>
      </c>
      <c r="Q861">
        <v>-0.43237885821194139</v>
      </c>
      <c r="R861">
        <v>0.43237885821194139</v>
      </c>
      <c r="S861">
        <f t="shared" si="140"/>
        <v>-1.3966939859230882</v>
      </c>
      <c r="T861" s="148">
        <f t="shared" si="135"/>
        <v>-1.4182725139470236</v>
      </c>
      <c r="U861">
        <f t="shared" si="141"/>
        <v>2.1648535435481087</v>
      </c>
      <c r="V861" s="55">
        <f t="shared" si="136"/>
        <v>2.103424186580011</v>
      </c>
      <c r="W861">
        <f t="shared" si="142"/>
        <v>0.57206658135123167</v>
      </c>
      <c r="X861" s="55">
        <f t="shared" si="137"/>
        <v>0.57592168816994316</v>
      </c>
      <c r="Y861" s="149">
        <v>30.2075745</v>
      </c>
      <c r="Z861" s="55">
        <f t="shared" si="133"/>
        <v>5.0792711492467389E-3</v>
      </c>
      <c r="AA861" s="55">
        <f t="shared" si="138"/>
        <v>5.2370591618214378E-3</v>
      </c>
      <c r="AB861" s="55">
        <f t="shared" si="134"/>
        <v>-5.2825875022429338</v>
      </c>
      <c r="AC861" s="55">
        <f t="shared" si="139"/>
        <v>-5.2522347554088133</v>
      </c>
      <c r="AD861" s="55"/>
      <c r="AE861" s="55"/>
      <c r="AF861" s="55"/>
      <c r="AG861" s="55"/>
      <c r="AH861" s="55"/>
    </row>
    <row r="862" spans="1:34" ht="15.75">
      <c r="A862" s="39">
        <v>29.874361700000001</v>
      </c>
      <c r="B862" s="39">
        <v>30.235702100000001</v>
      </c>
      <c r="C862" s="39">
        <v>860</v>
      </c>
      <c r="D862">
        <v>860</v>
      </c>
      <c r="E862" s="10">
        <v>987780</v>
      </c>
      <c r="F862" s="10">
        <v>749230</v>
      </c>
      <c r="G862" s="10">
        <v>12351</v>
      </c>
      <c r="H862" s="10">
        <v>36426</v>
      </c>
      <c r="I862" s="10">
        <v>109581</v>
      </c>
      <c r="J862" s="10">
        <v>24261</v>
      </c>
      <c r="K862">
        <v>860</v>
      </c>
      <c r="L862" s="10">
        <v>1222</v>
      </c>
      <c r="M862" s="10">
        <v>291774</v>
      </c>
      <c r="N862" s="10">
        <v>4005</v>
      </c>
      <c r="O862">
        <v>0.65482656151444529</v>
      </c>
      <c r="P862">
        <v>0.90363510601566321</v>
      </c>
      <c r="Q862">
        <v>-0.46970936153944404</v>
      </c>
      <c r="R862">
        <v>0.46970936153944409</v>
      </c>
      <c r="S862">
        <f t="shared" si="140"/>
        <v>-1.5077938790397101</v>
      </c>
      <c r="T862" s="148">
        <f t="shared" si="135"/>
        <v>-1.4404782791010291</v>
      </c>
      <c r="U862">
        <f t="shared" si="141"/>
        <v>2.0806967246177601</v>
      </c>
      <c r="V862" s="55">
        <f t="shared" si="136"/>
        <v>2.1230235025618271</v>
      </c>
      <c r="W862">
        <f t="shared" si="142"/>
        <v>0.67513309132591748</v>
      </c>
      <c r="X862" s="55">
        <f t="shared" si="137"/>
        <v>0.68612714319383683</v>
      </c>
      <c r="Y862" s="149">
        <v>30.235702100000001</v>
      </c>
      <c r="Z862" s="55">
        <f t="shared" si="133"/>
        <v>5.3454880343819658E-3</v>
      </c>
      <c r="AA862" s="55">
        <f t="shared" si="138"/>
        <v>5.2414790394068747E-3</v>
      </c>
      <c r="AB862" s="55">
        <f t="shared" si="134"/>
        <v>-5.2315024319601493</v>
      </c>
      <c r="AC862" s="55">
        <f t="shared" si="139"/>
        <v>-5.2513997205105554</v>
      </c>
      <c r="AD862" s="55"/>
      <c r="AE862" s="55"/>
      <c r="AF862" s="55"/>
      <c r="AG862" s="55"/>
      <c r="AH862" s="55"/>
    </row>
    <row r="863" spans="1:34" ht="15.75">
      <c r="A863" s="39">
        <v>29.902063800000001</v>
      </c>
      <c r="B863" s="39">
        <v>30.2638298</v>
      </c>
      <c r="C863" s="39">
        <v>861</v>
      </c>
      <c r="D863">
        <v>861</v>
      </c>
      <c r="E863" s="10">
        <v>1045480</v>
      </c>
      <c r="F863" s="10">
        <v>763820</v>
      </c>
      <c r="G863" s="10">
        <v>9275</v>
      </c>
      <c r="H863" s="10">
        <v>29491</v>
      </c>
      <c r="I863" s="10">
        <v>86095</v>
      </c>
      <c r="J863" s="10">
        <v>20874</v>
      </c>
      <c r="K863">
        <v>861</v>
      </c>
      <c r="L863" s="10">
        <v>1306</v>
      </c>
      <c r="M863" s="10">
        <v>246560</v>
      </c>
      <c r="N863" s="10">
        <v>4048</v>
      </c>
      <c r="O863">
        <v>0.6153722512369072</v>
      </c>
      <c r="P863">
        <v>0.9222331222332395</v>
      </c>
      <c r="Q863">
        <v>-0.50237558085402112</v>
      </c>
      <c r="R863">
        <v>0.50237558085402112</v>
      </c>
      <c r="S863">
        <f t="shared" si="140"/>
        <v>-1.4169469723402892</v>
      </c>
      <c r="T863" s="148">
        <f t="shared" si="135"/>
        <v>-1.4023665091024935</v>
      </c>
      <c r="U863">
        <f t="shared" si="141"/>
        <v>2.1235202395196127</v>
      </c>
      <c r="V863" s="55">
        <f t="shared" si="136"/>
        <v>2.095927082639307</v>
      </c>
      <c r="W863">
        <f t="shared" si="142"/>
        <v>0.81118175690436123</v>
      </c>
      <c r="X863" s="55">
        <f t="shared" si="137"/>
        <v>0.70891945553997304</v>
      </c>
      <c r="Y863" s="149">
        <v>30.2638298</v>
      </c>
      <c r="Z863" s="55">
        <f t="shared" si="133"/>
        <v>5.2996779345919195E-3</v>
      </c>
      <c r="AA863" s="55">
        <f t="shared" si="138"/>
        <v>5.2593896105008952E-3</v>
      </c>
      <c r="AB863" s="55">
        <f t="shared" si="134"/>
        <v>-5.2401092273285821</v>
      </c>
      <c r="AC863" s="55">
        <f t="shared" si="139"/>
        <v>-5.2478920323403884</v>
      </c>
      <c r="AD863" s="55"/>
      <c r="AE863" s="55"/>
      <c r="AF863" s="55"/>
      <c r="AG863" s="55"/>
      <c r="AH863" s="55"/>
    </row>
    <row r="864" spans="1:34" ht="15.75">
      <c r="A864" s="39">
        <v>29.929766000000001</v>
      </c>
      <c r="B864" s="39">
        <v>30.291957499999999</v>
      </c>
      <c r="C864" s="39">
        <v>862</v>
      </c>
      <c r="D864">
        <v>862</v>
      </c>
      <c r="E864" s="10">
        <v>885620</v>
      </c>
      <c r="F864" s="10">
        <v>716150</v>
      </c>
      <c r="G864" s="10">
        <v>11726</v>
      </c>
      <c r="H864" s="10">
        <v>32708</v>
      </c>
      <c r="I864" s="10">
        <v>80207</v>
      </c>
      <c r="J864" s="10">
        <v>22248</v>
      </c>
      <c r="K864">
        <v>862</v>
      </c>
      <c r="L864" s="10">
        <v>1908</v>
      </c>
      <c r="M864" s="10">
        <v>262745</v>
      </c>
      <c r="N864" s="10">
        <v>3676</v>
      </c>
      <c r="O864">
        <v>0.55692129677606583</v>
      </c>
      <c r="P864">
        <v>0.90488047113659309</v>
      </c>
      <c r="Q864">
        <v>-0.44550409923128959</v>
      </c>
      <c r="R864">
        <v>0.44550409923128959</v>
      </c>
      <c r="S864">
        <f t="shared" si="140"/>
        <v>-1.2823586759274819</v>
      </c>
      <c r="T864" s="148">
        <f t="shared" si="135"/>
        <v>-1.3408423420094693</v>
      </c>
      <c r="U864">
        <f t="shared" si="141"/>
        <v>2.0835642837805484</v>
      </c>
      <c r="V864" s="55">
        <f t="shared" si="136"/>
        <v>2.1424178881315861</v>
      </c>
      <c r="W864">
        <f t="shared" si="142"/>
        <v>0.64044351838964042</v>
      </c>
      <c r="X864" s="55">
        <f t="shared" si="137"/>
        <v>0.75648833105883428</v>
      </c>
      <c r="Y864" s="149">
        <v>30.291957499999999</v>
      </c>
      <c r="Z864" s="55">
        <f t="shared" si="133"/>
        <v>5.1330028625287995E-3</v>
      </c>
      <c r="AA864" s="55">
        <f t="shared" si="138"/>
        <v>4.8529179807394011E-3</v>
      </c>
      <c r="AB864" s="55">
        <f t="shared" si="134"/>
        <v>-5.2720644377324337</v>
      </c>
      <c r="AC864" s="55">
        <f t="shared" si="139"/>
        <v>-5.3342009339013492</v>
      </c>
      <c r="AD864" s="55"/>
      <c r="AE864" s="55"/>
      <c r="AF864" s="55"/>
      <c r="AG864" s="55"/>
      <c r="AH864" s="55"/>
    </row>
    <row r="865" spans="1:34" ht="15.75">
      <c r="A865" s="39">
        <v>29.9574681</v>
      </c>
      <c r="B865" s="39">
        <v>30.3200851</v>
      </c>
      <c r="C865" s="39">
        <v>863</v>
      </c>
      <c r="D865">
        <v>863</v>
      </c>
      <c r="E865" s="10">
        <v>1211830</v>
      </c>
      <c r="F865" s="10">
        <v>846810</v>
      </c>
      <c r="G865" s="10">
        <v>7564</v>
      </c>
      <c r="H865" s="10">
        <v>24099</v>
      </c>
      <c r="I865" s="10">
        <v>64358</v>
      </c>
      <c r="J865" s="10">
        <v>17137</v>
      </c>
      <c r="K865">
        <v>863</v>
      </c>
      <c r="L865" s="10">
        <v>869</v>
      </c>
      <c r="M865" s="10">
        <v>221925</v>
      </c>
      <c r="N865" s="10">
        <v>3494</v>
      </c>
      <c r="O865">
        <v>0.57466774269786314</v>
      </c>
      <c r="P865">
        <v>0.96420720686926598</v>
      </c>
      <c r="Q865">
        <v>-0.50324750151006492</v>
      </c>
      <c r="R865">
        <v>0.50324750151006503</v>
      </c>
      <c r="S865">
        <f t="shared" si="140"/>
        <v>-1.3232213777606374</v>
      </c>
      <c r="T865" s="148">
        <f t="shared" si="135"/>
        <v>-1.3788771533699649</v>
      </c>
      <c r="U865">
        <f t="shared" si="141"/>
        <v>2.2201691410945976</v>
      </c>
      <c r="V865" s="55">
        <f t="shared" si="136"/>
        <v>2.1450373695719471</v>
      </c>
      <c r="W865">
        <f t="shared" si="142"/>
        <v>0.81783971788250098</v>
      </c>
      <c r="X865" s="55">
        <f t="shared" si="137"/>
        <v>0.68045630171608174</v>
      </c>
      <c r="Y865" s="149">
        <v>30.3200851</v>
      </c>
      <c r="Z865" s="55">
        <f t="shared" si="133"/>
        <v>4.1260731450974836E-3</v>
      </c>
      <c r="AA865" s="55">
        <f t="shared" si="138"/>
        <v>4.5030435827187231E-3</v>
      </c>
      <c r="AB865" s="55">
        <f t="shared" si="134"/>
        <v>-5.4904291366430291</v>
      </c>
      <c r="AC865" s="55">
        <f t="shared" si="139"/>
        <v>-5.407772330126515</v>
      </c>
      <c r="AD865" s="55"/>
      <c r="AE865" s="55"/>
      <c r="AF865" s="55"/>
      <c r="AG865" s="55"/>
      <c r="AH865" s="55"/>
    </row>
    <row r="866" spans="1:34" ht="15.75">
      <c r="A866" s="39">
        <v>29.985170199999999</v>
      </c>
      <c r="B866" s="39">
        <v>30.348212799999999</v>
      </c>
      <c r="C866" s="39">
        <v>864</v>
      </c>
      <c r="D866">
        <v>864</v>
      </c>
      <c r="E866" s="10">
        <v>1340320</v>
      </c>
      <c r="F866" s="10">
        <v>913400</v>
      </c>
      <c r="G866" s="10">
        <v>13812</v>
      </c>
      <c r="H866" s="10">
        <v>36342</v>
      </c>
      <c r="I866" s="10">
        <v>114397</v>
      </c>
      <c r="J866" s="10">
        <v>24745</v>
      </c>
      <c r="K866">
        <v>864</v>
      </c>
      <c r="L866" s="10">
        <v>1465</v>
      </c>
      <c r="M866" s="10">
        <v>306235</v>
      </c>
      <c r="N866" s="10">
        <v>3882</v>
      </c>
      <c r="O866">
        <v>0.66492717731918993</v>
      </c>
      <c r="P866">
        <v>0.92564600123822971</v>
      </c>
      <c r="Q866">
        <v>-0.42015225436952874</v>
      </c>
      <c r="R866">
        <v>0.42015225436952869</v>
      </c>
      <c r="S866">
        <f t="shared" si="140"/>
        <v>-1.5310514064217753</v>
      </c>
      <c r="T866" s="148">
        <f t="shared" si="135"/>
        <v>-1.4997649197059848</v>
      </c>
      <c r="U866">
        <f t="shared" si="141"/>
        <v>2.1313786838406954</v>
      </c>
      <c r="V866" s="55">
        <f t="shared" si="136"/>
        <v>2.1618326527646139</v>
      </c>
      <c r="W866">
        <f t="shared" si="142"/>
        <v>0.58308566887610358</v>
      </c>
      <c r="X866" s="55">
        <f t="shared" si="137"/>
        <v>0.66103145598776036</v>
      </c>
      <c r="Y866" s="149">
        <v>30.348212799999999</v>
      </c>
      <c r="Z866" s="55">
        <f t="shared" si="133"/>
        <v>4.2500547405298879E-3</v>
      </c>
      <c r="AA866" s="55">
        <f t="shared" si="138"/>
        <v>4.3753234278241732E-3</v>
      </c>
      <c r="AB866" s="55">
        <f t="shared" si="134"/>
        <v>-5.4608234160040805</v>
      </c>
      <c r="AC866" s="55">
        <f t="shared" si="139"/>
        <v>-5.4336321311780553</v>
      </c>
      <c r="AD866" s="55"/>
      <c r="AE866" s="55"/>
      <c r="AF866" s="55"/>
      <c r="AG866" s="55"/>
      <c r="AH866" s="55"/>
    </row>
    <row r="867" spans="1:34" ht="15.75">
      <c r="A867" s="39">
        <v>30.012872300000002</v>
      </c>
      <c r="B867" s="39">
        <v>30.3763404</v>
      </c>
      <c r="C867" s="39">
        <v>865</v>
      </c>
      <c r="D867">
        <v>865</v>
      </c>
      <c r="E867" s="10">
        <v>1137140</v>
      </c>
      <c r="F867" s="10">
        <v>872450</v>
      </c>
      <c r="G867" s="10">
        <v>15213</v>
      </c>
      <c r="H867" s="10">
        <v>40326</v>
      </c>
      <c r="I867" s="10">
        <v>141082</v>
      </c>
      <c r="J867" s="10">
        <v>27230</v>
      </c>
      <c r="K867">
        <v>865</v>
      </c>
      <c r="L867" s="10">
        <v>1683</v>
      </c>
      <c r="M867" s="10">
        <v>340681</v>
      </c>
      <c r="N867" s="10">
        <v>4144</v>
      </c>
      <c r="O867">
        <v>0.71442396632409499</v>
      </c>
      <c r="P867">
        <v>0.92676276757432541</v>
      </c>
      <c r="Q867">
        <v>-0.4233702805168873</v>
      </c>
      <c r="R867">
        <v>0.4233702805168873</v>
      </c>
      <c r="S867">
        <f t="shared" si="140"/>
        <v>-1.6450219749355413</v>
      </c>
      <c r="T867" s="148">
        <f t="shared" si="135"/>
        <v>-1.5863273434543574</v>
      </c>
      <c r="U867">
        <f t="shared" si="141"/>
        <v>2.1339501333585473</v>
      </c>
      <c r="V867" s="55">
        <f t="shared" si="136"/>
        <v>2.160565138678928</v>
      </c>
      <c r="W867">
        <f t="shared" si="142"/>
        <v>0.58216898120467653</v>
      </c>
      <c r="X867" s="55">
        <f t="shared" si="137"/>
        <v>0.61088543799680528</v>
      </c>
      <c r="Y867" s="149">
        <v>30.3763404</v>
      </c>
      <c r="Z867" s="55">
        <f t="shared" si="133"/>
        <v>4.749842397845149E-3</v>
      </c>
      <c r="AA867" s="55">
        <f t="shared" si="138"/>
        <v>4.641156441757382E-3</v>
      </c>
      <c r="AB867" s="55">
        <f t="shared" si="134"/>
        <v>-5.3496438408870572</v>
      </c>
      <c r="AC867" s="55">
        <f t="shared" si="139"/>
        <v>-5.3747294048571836</v>
      </c>
      <c r="AD867" s="55"/>
      <c r="AE867" s="55"/>
      <c r="AF867" s="55"/>
      <c r="AG867" s="55"/>
      <c r="AH867" s="55"/>
    </row>
    <row r="868" spans="1:34" ht="15.75">
      <c r="A868" s="39">
        <v>30.040574500000002</v>
      </c>
      <c r="B868" s="39">
        <v>30.404468099999999</v>
      </c>
      <c r="C868" s="39">
        <v>866</v>
      </c>
      <c r="D868">
        <v>866</v>
      </c>
      <c r="E868" s="10">
        <v>1159110</v>
      </c>
      <c r="F868" s="10">
        <v>875990</v>
      </c>
      <c r="G868" s="10">
        <v>11213</v>
      </c>
      <c r="H868" s="10">
        <v>31816</v>
      </c>
      <c r="I868" s="10">
        <v>106419</v>
      </c>
      <c r="J868" s="10">
        <v>21856</v>
      </c>
      <c r="K868">
        <v>866</v>
      </c>
      <c r="L868" s="10">
        <v>1101</v>
      </c>
      <c r="M868" s="10">
        <v>291878</v>
      </c>
      <c r="N868" s="10">
        <v>4313</v>
      </c>
      <c r="O868">
        <v>0.68744849162013122</v>
      </c>
      <c r="P868">
        <v>0.96255578374982231</v>
      </c>
      <c r="Q868">
        <v>-0.45292375582548894</v>
      </c>
      <c r="R868">
        <v>0.45292375582548888</v>
      </c>
      <c r="S868">
        <f t="shared" si="140"/>
        <v>-1.582908649005756</v>
      </c>
      <c r="T868" s="148">
        <f t="shared" si="135"/>
        <v>-1.5912834379659735</v>
      </c>
      <c r="U868">
        <f t="shared" si="141"/>
        <v>2.2163665988375412</v>
      </c>
      <c r="V868" s="55">
        <f t="shared" si="136"/>
        <v>2.1595212034201139</v>
      </c>
      <c r="W868">
        <f t="shared" si="142"/>
        <v>0.66740166390963596</v>
      </c>
      <c r="X868" s="55">
        <f t="shared" si="137"/>
        <v>0.58240650971752361</v>
      </c>
      <c r="Y868" s="149">
        <v>30.404468099999999</v>
      </c>
      <c r="Z868" s="55">
        <f t="shared" si="133"/>
        <v>4.9235721868971108E-3</v>
      </c>
      <c r="AA868" s="55">
        <f t="shared" si="138"/>
        <v>5.575358219649087E-3</v>
      </c>
      <c r="AB868" s="55">
        <f t="shared" si="134"/>
        <v>-5.3137209576804132</v>
      </c>
      <c r="AC868" s="55">
        <f t="shared" si="139"/>
        <v>-5.2059050721336497</v>
      </c>
      <c r="AD868" s="55"/>
      <c r="AE868" s="55"/>
      <c r="AF868" s="55"/>
      <c r="AG868" s="55"/>
      <c r="AH868" s="55"/>
    </row>
    <row r="869" spans="1:34" ht="15.75">
      <c r="A869" s="39">
        <v>30.068276600000001</v>
      </c>
      <c r="B869" s="39">
        <v>30.4325957</v>
      </c>
      <c r="C869" s="39">
        <v>867</v>
      </c>
      <c r="D869">
        <v>867</v>
      </c>
      <c r="E869" s="10">
        <v>806350</v>
      </c>
      <c r="F869" s="10">
        <v>627990</v>
      </c>
      <c r="G869" s="10">
        <v>14484</v>
      </c>
      <c r="H869" s="10">
        <v>34524</v>
      </c>
      <c r="I869" s="10">
        <v>111789</v>
      </c>
      <c r="J869" s="10">
        <v>23824</v>
      </c>
      <c r="K869">
        <v>867</v>
      </c>
      <c r="L869" s="10">
        <v>1174</v>
      </c>
      <c r="M869" s="10">
        <v>290006</v>
      </c>
      <c r="N869" s="10">
        <v>4429</v>
      </c>
      <c r="O869">
        <v>0.67138439081374723</v>
      </c>
      <c r="P869">
        <v>0.92428587527112793</v>
      </c>
      <c r="Q869">
        <v>-0.37723259179297686</v>
      </c>
      <c r="R869">
        <v>0.3772325917929768</v>
      </c>
      <c r="S869">
        <f t="shared" si="140"/>
        <v>-1.545919689956623</v>
      </c>
      <c r="T869" s="148">
        <f t="shared" si="135"/>
        <v>-1.6234437023779658</v>
      </c>
      <c r="U869">
        <f t="shared" si="141"/>
        <v>2.1282468780642532</v>
      </c>
      <c r="V869" s="55">
        <f t="shared" si="136"/>
        <v>2.165357993097325</v>
      </c>
      <c r="W869">
        <f t="shared" si="142"/>
        <v>0.49764888403825835</v>
      </c>
      <c r="X869" s="55">
        <f t="shared" si="137"/>
        <v>0.63825263911432273</v>
      </c>
      <c r="Y869" s="149">
        <v>30.4325957</v>
      </c>
      <c r="Z869" s="55">
        <f t="shared" si="133"/>
        <v>7.0526600742050029E-3</v>
      </c>
      <c r="AA869" s="55">
        <f t="shared" si="138"/>
        <v>5.5062702024190795E-3</v>
      </c>
      <c r="AB869" s="55">
        <f t="shared" si="134"/>
        <v>-4.954350417833477</v>
      </c>
      <c r="AC869" s="55">
        <f t="shared" si="139"/>
        <v>-5.2207772953305529</v>
      </c>
      <c r="AD869" s="55"/>
      <c r="AE869" s="55"/>
      <c r="AF869" s="55"/>
      <c r="AG869" s="55"/>
      <c r="AH869" s="55"/>
    </row>
    <row r="870" spans="1:34" ht="15.75">
      <c r="A870" s="39">
        <v>30.0959787</v>
      </c>
      <c r="B870" s="39">
        <v>30.460723399999999</v>
      </c>
      <c r="C870" s="39">
        <v>868</v>
      </c>
      <c r="D870">
        <v>868</v>
      </c>
      <c r="E870" s="10">
        <v>714650</v>
      </c>
      <c r="F870" s="10">
        <v>600540</v>
      </c>
      <c r="G870" s="10">
        <v>6642</v>
      </c>
      <c r="H870" s="10">
        <v>20507</v>
      </c>
      <c r="I870" s="10">
        <v>80208</v>
      </c>
      <c r="J870" s="10">
        <v>14057</v>
      </c>
      <c r="K870">
        <v>868</v>
      </c>
      <c r="L870" s="10">
        <v>700</v>
      </c>
      <c r="M870" s="10">
        <v>176307</v>
      </c>
      <c r="N870" s="10">
        <v>2728</v>
      </c>
      <c r="O870">
        <v>0.75632504243612864</v>
      </c>
      <c r="P870">
        <v>0.93436742422085339</v>
      </c>
      <c r="Q870">
        <v>-0.48960326015712341</v>
      </c>
      <c r="R870">
        <v>0.48960326015712335</v>
      </c>
      <c r="S870">
        <f t="shared" si="140"/>
        <v>-1.7415027681715187</v>
      </c>
      <c r="T870" s="148">
        <f t="shared" si="135"/>
        <v>-1.6631291632820375</v>
      </c>
      <c r="U870">
        <f t="shared" si="141"/>
        <v>2.1514605023901807</v>
      </c>
      <c r="V870" s="55">
        <f t="shared" si="136"/>
        <v>2.1422053161329546</v>
      </c>
      <c r="W870">
        <f t="shared" si="142"/>
        <v>0.74970736939507387</v>
      </c>
      <c r="X870" s="55">
        <f t="shared" si="137"/>
        <v>0.67223919644717711</v>
      </c>
      <c r="Y870" s="149">
        <v>30.460723399999999</v>
      </c>
      <c r="Z870" s="55">
        <f t="shared" si="133"/>
        <v>4.5425783461551274E-3</v>
      </c>
      <c r="AA870" s="55">
        <f t="shared" si="138"/>
        <v>5.2965612954200235E-3</v>
      </c>
      <c r="AB870" s="55">
        <f t="shared" si="134"/>
        <v>-5.3942605104777668</v>
      </c>
      <c r="AC870" s="55">
        <f t="shared" si="139"/>
        <v>-5.2663479239136999</v>
      </c>
      <c r="AD870" s="55"/>
      <c r="AE870" s="55"/>
      <c r="AF870" s="55"/>
      <c r="AG870" s="55"/>
      <c r="AH870" s="55"/>
    </row>
    <row r="871" spans="1:34" ht="15.75">
      <c r="A871" s="39">
        <v>30.1236809</v>
      </c>
      <c r="B871" s="39">
        <v>30.488851100000002</v>
      </c>
      <c r="C871" s="39">
        <v>869</v>
      </c>
      <c r="D871">
        <v>869</v>
      </c>
      <c r="E871" s="10">
        <v>764800</v>
      </c>
      <c r="F871" s="10">
        <v>630908</v>
      </c>
      <c r="G871" s="10">
        <v>6389.4</v>
      </c>
      <c r="H871" s="10">
        <v>20222.8</v>
      </c>
      <c r="I871" s="10">
        <v>75638.600000000006</v>
      </c>
      <c r="J871" s="10">
        <v>13790.8</v>
      </c>
      <c r="K871">
        <v>869</v>
      </c>
      <c r="L871" s="10">
        <v>694.4</v>
      </c>
      <c r="M871" s="10">
        <v>173074</v>
      </c>
      <c r="N871" s="10">
        <v>2709.4</v>
      </c>
      <c r="O871">
        <v>0.73915402166740773</v>
      </c>
      <c r="P871">
        <v>0.9323905442090783</v>
      </c>
      <c r="Q871">
        <v>-0.50038120936306929</v>
      </c>
      <c r="R871">
        <v>0.50038120936306929</v>
      </c>
      <c r="S871">
        <f t="shared" si="140"/>
        <v>-1.7019650317179711</v>
      </c>
      <c r="T871" s="148">
        <f t="shared" si="135"/>
        <v>-1.7008705335744791</v>
      </c>
      <c r="U871">
        <f t="shared" si="141"/>
        <v>2.1469085679444295</v>
      </c>
      <c r="V871" s="55">
        <f t="shared" si="136"/>
        <v>2.1468580747232839</v>
      </c>
      <c r="W871">
        <f t="shared" si="142"/>
        <v>0.76936133590819922</v>
      </c>
      <c r="X871" s="55">
        <f t="shared" si="137"/>
        <v>0.76975850702471871</v>
      </c>
      <c r="Y871" s="149">
        <v>30.488851100000002</v>
      </c>
      <c r="Z871" s="55">
        <f t="shared" si="133"/>
        <v>4.2944454658999411E-3</v>
      </c>
      <c r="AA871" s="55">
        <f t="shared" si="138"/>
        <v>4.3020421923375051E-3</v>
      </c>
      <c r="AB871" s="55">
        <f t="shared" si="134"/>
        <v>-5.4504328434298577</v>
      </c>
      <c r="AC871" s="55">
        <f t="shared" si="139"/>
        <v>-5.4496753695361768</v>
      </c>
      <c r="AD871" s="55"/>
      <c r="AE871" s="55"/>
      <c r="AF871" s="55"/>
      <c r="AG871" s="55"/>
      <c r="AH871" s="55"/>
    </row>
    <row r="872" spans="1:34" ht="15.75">
      <c r="A872" s="39">
        <v>30.151382999999999</v>
      </c>
      <c r="B872" s="39">
        <v>30.516978699999999</v>
      </c>
      <c r="C872" s="39">
        <v>870</v>
      </c>
      <c r="D872">
        <v>870</v>
      </c>
      <c r="E872" s="10">
        <v>814950</v>
      </c>
      <c r="F872" s="10">
        <v>661276</v>
      </c>
      <c r="G872" s="10">
        <v>6136.8</v>
      </c>
      <c r="H872" s="10">
        <v>19938.599999999999</v>
      </c>
      <c r="I872" s="10">
        <v>71069.2</v>
      </c>
      <c r="J872" s="10">
        <v>13524.6</v>
      </c>
      <c r="K872">
        <v>870</v>
      </c>
      <c r="L872" s="10">
        <v>688.8</v>
      </c>
      <c r="M872" s="10">
        <v>169841</v>
      </c>
      <c r="N872" s="10">
        <v>2690.8</v>
      </c>
      <c r="O872">
        <v>0.72055699738617129</v>
      </c>
      <c r="P872">
        <v>0.93034787741535196</v>
      </c>
      <c r="Q872">
        <v>-0.51175269107720767</v>
      </c>
      <c r="R872">
        <v>0.51175269107720767</v>
      </c>
      <c r="S872">
        <f t="shared" si="140"/>
        <v>-1.6591438008339476</v>
      </c>
      <c r="T872" s="148">
        <f t="shared" si="135"/>
        <v>-1.6578921529544035</v>
      </c>
      <c r="U872">
        <f t="shared" si="141"/>
        <v>2.1422051538352411</v>
      </c>
      <c r="V872" s="55">
        <f t="shared" si="136"/>
        <v>2.1421520792476332</v>
      </c>
      <c r="W872">
        <f t="shared" si="142"/>
        <v>0.79020681577088314</v>
      </c>
      <c r="X872" s="55">
        <f t="shared" si="137"/>
        <v>0.79064289095402895</v>
      </c>
      <c r="Y872" s="149">
        <v>30.516978699999999</v>
      </c>
      <c r="Z872" s="55">
        <f t="shared" si="133"/>
        <v>4.0691027649574461E-3</v>
      </c>
      <c r="AA872" s="55">
        <f t="shared" si="138"/>
        <v>4.0756988434238455E-3</v>
      </c>
      <c r="AB872" s="55">
        <f t="shared" si="134"/>
        <v>-5.5043327547009051</v>
      </c>
      <c r="AC872" s="55">
        <f t="shared" si="139"/>
        <v>-5.5036449557778253</v>
      </c>
      <c r="AD872" s="55"/>
      <c r="AE872" s="55"/>
      <c r="AF872" s="55"/>
      <c r="AG872" s="55"/>
      <c r="AH872" s="55"/>
    </row>
    <row r="873" spans="1:34" ht="15.75">
      <c r="A873" s="39">
        <v>30.179085100000002</v>
      </c>
      <c r="B873" s="39">
        <v>30.545106400000002</v>
      </c>
      <c r="C873" s="39">
        <v>871</v>
      </c>
      <c r="D873">
        <v>871</v>
      </c>
      <c r="E873" s="10">
        <v>865100</v>
      </c>
      <c r="F873" s="10">
        <v>691644</v>
      </c>
      <c r="G873" s="10">
        <v>5884.2</v>
      </c>
      <c r="H873" s="10">
        <v>19654.400000000001</v>
      </c>
      <c r="I873" s="10">
        <v>66499.8</v>
      </c>
      <c r="J873" s="10">
        <v>13258.4</v>
      </c>
      <c r="K873">
        <v>871</v>
      </c>
      <c r="L873" s="10">
        <v>683.2</v>
      </c>
      <c r="M873" s="10">
        <v>166608</v>
      </c>
      <c r="N873" s="10">
        <v>2672.2</v>
      </c>
      <c r="O873">
        <v>0.70032922180281909</v>
      </c>
      <c r="P873">
        <v>0.92823606062004316</v>
      </c>
      <c r="Q873">
        <v>-0.52377236474328104</v>
      </c>
      <c r="R873">
        <v>0.52377236474328104</v>
      </c>
      <c r="S873">
        <f t="shared" si="140"/>
        <v>-1.6125676263112918</v>
      </c>
      <c r="T873" s="148">
        <f t="shared" si="135"/>
        <v>-1.6111244745300206</v>
      </c>
      <c r="U873">
        <f t="shared" si="141"/>
        <v>2.1373425159632284</v>
      </c>
      <c r="V873" s="55">
        <f t="shared" si="136"/>
        <v>2.1372866797106771</v>
      </c>
      <c r="W873">
        <f t="shared" si="142"/>
        <v>0.81236052118300461</v>
      </c>
      <c r="X873" s="55">
        <f t="shared" si="137"/>
        <v>0.81284097357905216</v>
      </c>
      <c r="Y873" s="149">
        <v>30.545106400000002</v>
      </c>
      <c r="Z873" s="55">
        <f t="shared" si="133"/>
        <v>3.8635482994141494E-3</v>
      </c>
      <c r="AA873" s="55">
        <f t="shared" si="138"/>
        <v>3.8693120798957473E-3</v>
      </c>
      <c r="AB873" s="55">
        <f t="shared" si="134"/>
        <v>-5.5561692692027114</v>
      </c>
      <c r="AC873" s="55">
        <f t="shared" si="139"/>
        <v>-5.5555421915020773</v>
      </c>
      <c r="AD873" s="55"/>
      <c r="AE873" s="55"/>
      <c r="AF873" s="55"/>
      <c r="AG873" s="55"/>
      <c r="AH873" s="55"/>
    </row>
    <row r="874" spans="1:34" ht="15.75">
      <c r="A874" s="39">
        <v>30.206787200000001</v>
      </c>
      <c r="B874" s="39">
        <v>30.573233999999999</v>
      </c>
      <c r="C874" s="39">
        <v>872</v>
      </c>
      <c r="D874">
        <v>872</v>
      </c>
      <c r="E874" s="10">
        <v>915250</v>
      </c>
      <c r="F874" s="10">
        <v>722012</v>
      </c>
      <c r="G874" s="10">
        <v>5631.6</v>
      </c>
      <c r="H874" s="10">
        <v>19370.2</v>
      </c>
      <c r="I874" s="10">
        <v>61930.400000000001</v>
      </c>
      <c r="J874" s="10">
        <v>12992.2</v>
      </c>
      <c r="K874">
        <v>872</v>
      </c>
      <c r="L874" s="10">
        <v>677.6</v>
      </c>
      <c r="M874" s="10">
        <v>163375</v>
      </c>
      <c r="N874" s="10">
        <v>2653.6</v>
      </c>
      <c r="O874">
        <v>0.67822118765400197</v>
      </c>
      <c r="P874">
        <v>0.92605149569561462</v>
      </c>
      <c r="Q874">
        <v>-0.53650230463286652</v>
      </c>
      <c r="R874">
        <v>0.53650230463286652</v>
      </c>
      <c r="S874">
        <f t="shared" si="140"/>
        <v>-1.5616619964448222</v>
      </c>
      <c r="T874" s="148">
        <f t="shared" si="135"/>
        <v>-1.5599823692788852</v>
      </c>
      <c r="U874">
        <f t="shared" si="141"/>
        <v>2.1323123693335617</v>
      </c>
      <c r="V874" s="55">
        <f t="shared" si="136"/>
        <v>2.1322535749800964</v>
      </c>
      <c r="W874">
        <f t="shared" si="142"/>
        <v>0.83595558378326906</v>
      </c>
      <c r="X874" s="55">
        <f t="shared" si="137"/>
        <v>0.836486922161923</v>
      </c>
      <c r="Y874" s="149">
        <v>30.573233999999999</v>
      </c>
      <c r="Z874" s="55">
        <f t="shared" si="133"/>
        <v>3.6752851753156456E-3</v>
      </c>
      <c r="AA874" s="55">
        <f t="shared" si="138"/>
        <v>3.6803510325975363E-3</v>
      </c>
      <c r="AB874" s="55">
        <f t="shared" si="134"/>
        <v>-5.6061245506026163</v>
      </c>
      <c r="AC874" s="55">
        <f t="shared" si="139"/>
        <v>-5.6055507177600177</v>
      </c>
      <c r="AD874" s="55"/>
      <c r="AE874" s="55"/>
      <c r="AF874" s="55"/>
      <c r="AG874" s="55"/>
      <c r="AH874" s="55"/>
    </row>
    <row r="875" spans="1:34" ht="15.75">
      <c r="A875" s="39">
        <v>30.234489400000001</v>
      </c>
      <c r="B875" s="39">
        <v>30.601361699999998</v>
      </c>
      <c r="C875" s="39">
        <v>873</v>
      </c>
      <c r="D875">
        <v>873</v>
      </c>
      <c r="E875" s="10">
        <v>965400</v>
      </c>
      <c r="F875" s="10">
        <v>752380</v>
      </c>
      <c r="G875" s="10">
        <v>5379</v>
      </c>
      <c r="H875" s="10">
        <v>19086</v>
      </c>
      <c r="I875" s="10">
        <v>57361</v>
      </c>
      <c r="J875" s="10">
        <v>12726</v>
      </c>
      <c r="K875">
        <v>873</v>
      </c>
      <c r="L875" s="10">
        <v>672</v>
      </c>
      <c r="M875" s="10">
        <v>160142</v>
      </c>
      <c r="N875" s="10">
        <v>2635</v>
      </c>
      <c r="O875">
        <v>0.65392479507572121</v>
      </c>
      <c r="P875">
        <v>0.92379032858135524</v>
      </c>
      <c r="Q875">
        <v>-0.55001337520916171</v>
      </c>
      <c r="R875">
        <v>0.55001337520916171</v>
      </c>
      <c r="S875">
        <f t="shared" si="140"/>
        <v>-1.5057174850805417</v>
      </c>
      <c r="T875" s="148">
        <f t="shared" si="135"/>
        <v>-1.4962833340667865</v>
      </c>
      <c r="U875">
        <f t="shared" si="141"/>
        <v>2.1271058396434999</v>
      </c>
      <c r="V875" s="55">
        <f t="shared" si="136"/>
        <v>2.1171725206572121</v>
      </c>
      <c r="W875">
        <f t="shared" si="142"/>
        <v>0.86114466151949487</v>
      </c>
      <c r="X875" s="55">
        <f t="shared" si="137"/>
        <v>0.76890506268260594</v>
      </c>
      <c r="Y875" s="149">
        <v>30.601361699999998</v>
      </c>
      <c r="Z875" s="55">
        <f t="shared" si="133"/>
        <v>3.502219623062814E-3</v>
      </c>
      <c r="AA875" s="55">
        <f t="shared" si="138"/>
        <v>3.9665681256052946E-3</v>
      </c>
      <c r="AB875" s="55">
        <f t="shared" si="134"/>
        <v>-5.6543583334747236</v>
      </c>
      <c r="AC875" s="55">
        <f t="shared" si="139"/>
        <v>-5.5386544865437513</v>
      </c>
      <c r="AD875" s="55"/>
      <c r="AE875" s="55"/>
      <c r="AF875" s="55"/>
      <c r="AG875" s="55"/>
      <c r="AH875" s="55"/>
    </row>
    <row r="876" spans="1:34" ht="15.75">
      <c r="A876" s="39">
        <v>30.2621915</v>
      </c>
      <c r="B876" s="39">
        <v>30.629489400000001</v>
      </c>
      <c r="C876" s="39">
        <v>874</v>
      </c>
      <c r="D876">
        <v>874</v>
      </c>
      <c r="E876" s="10">
        <v>1099470</v>
      </c>
      <c r="F876" s="10">
        <v>858710</v>
      </c>
      <c r="G876" s="10">
        <v>10825</v>
      </c>
      <c r="H876" s="10">
        <v>29537</v>
      </c>
      <c r="I876" s="10">
        <v>82512</v>
      </c>
      <c r="J876" s="10">
        <v>19915</v>
      </c>
      <c r="K876">
        <v>874</v>
      </c>
      <c r="L876" s="10">
        <v>1145</v>
      </c>
      <c r="M876" s="10">
        <v>239306</v>
      </c>
      <c r="N876" s="10">
        <v>4055</v>
      </c>
      <c r="O876">
        <v>0.61733680331729279</v>
      </c>
      <c r="P876">
        <v>0.90858720459890741</v>
      </c>
      <c r="Q876">
        <v>-0.43593847797460367</v>
      </c>
      <c r="R876">
        <v>0.43593847797460367</v>
      </c>
      <c r="S876">
        <f t="shared" si="140"/>
        <v>-1.4214705206749956</v>
      </c>
      <c r="T876" s="148">
        <f t="shared" si="135"/>
        <v>-1.4909836954771578</v>
      </c>
      <c r="U876">
        <f t="shared" si="141"/>
        <v>2.0920993529945751</v>
      </c>
      <c r="V876" s="55">
        <f t="shared" si="136"/>
        <v>2.1001901865461847</v>
      </c>
      <c r="W876">
        <f t="shared" si="142"/>
        <v>0.60961494274505401</v>
      </c>
      <c r="X876" s="55">
        <f t="shared" si="137"/>
        <v>0.57955574369021956</v>
      </c>
      <c r="Y876" s="149">
        <v>30.629489400000001</v>
      </c>
      <c r="Z876" s="55">
        <f t="shared" si="133"/>
        <v>4.7221995784374237E-3</v>
      </c>
      <c r="AA876" s="55">
        <f t="shared" si="138"/>
        <v>4.2912888139145242E-3</v>
      </c>
      <c r="AB876" s="55">
        <f t="shared" si="134"/>
        <v>-5.3554805755539103</v>
      </c>
      <c r="AC876" s="55">
        <f t="shared" si="139"/>
        <v>-5.4602819495144734</v>
      </c>
      <c r="AD876" s="55"/>
      <c r="AE876" s="55"/>
      <c r="AF876" s="55"/>
      <c r="AG876" s="55"/>
      <c r="AH876" s="55"/>
    </row>
    <row r="877" spans="1:34" ht="15.75">
      <c r="A877" s="39">
        <v>30.289893599999999</v>
      </c>
      <c r="B877" s="39">
        <v>30.657616999999998</v>
      </c>
      <c r="C877" s="39">
        <v>875</v>
      </c>
      <c r="D877">
        <v>875</v>
      </c>
      <c r="E877" s="10">
        <v>1505950</v>
      </c>
      <c r="F877" s="10">
        <v>989580</v>
      </c>
      <c r="G877" s="10">
        <v>23774</v>
      </c>
      <c r="H877" s="10">
        <v>48814</v>
      </c>
      <c r="I877" s="10">
        <v>145804</v>
      </c>
      <c r="J877" s="10">
        <v>31078</v>
      </c>
      <c r="K877">
        <v>875</v>
      </c>
      <c r="L877" s="10">
        <v>1841</v>
      </c>
      <c r="M877" s="10">
        <v>391264</v>
      </c>
      <c r="N877" s="10">
        <v>4601</v>
      </c>
      <c r="O877">
        <v>0.67131637626733032</v>
      </c>
      <c r="P877">
        <v>0.90392549371284492</v>
      </c>
      <c r="Q877">
        <v>-0.31244213844336199</v>
      </c>
      <c r="R877">
        <v>0.31244213844336205</v>
      </c>
      <c r="S877">
        <f t="shared" si="140"/>
        <v>-1.5457630806759366</v>
      </c>
      <c r="T877" s="148">
        <f t="shared" si="135"/>
        <v>-1.4461255692405572</v>
      </c>
      <c r="U877">
        <f t="shared" si="141"/>
        <v>2.0813653670004797</v>
      </c>
      <c r="V877" s="55">
        <f t="shared" si="136"/>
        <v>2.0889767634644358</v>
      </c>
      <c r="W877">
        <f t="shared" si="142"/>
        <v>0.26790762680610986</v>
      </c>
      <c r="X877" s="55">
        <f t="shared" si="137"/>
        <v>0.37765489366910021</v>
      </c>
      <c r="Y877" s="149">
        <v>30.657616999999998</v>
      </c>
      <c r="Z877" s="55">
        <f t="shared" si="133"/>
        <v>4.6494472402433358E-3</v>
      </c>
      <c r="AA877" s="55">
        <f t="shared" si="138"/>
        <v>4.7769469870971339E-3</v>
      </c>
      <c r="AB877" s="55">
        <f t="shared" si="134"/>
        <v>-5.3710069395147846</v>
      </c>
      <c r="AC877" s="55">
        <f t="shared" si="139"/>
        <v>-5.344333179253911</v>
      </c>
      <c r="AD877" s="55"/>
      <c r="AE877" s="55"/>
      <c r="AF877" s="55"/>
      <c r="AG877" s="55"/>
      <c r="AH877" s="55"/>
    </row>
    <row r="878" spans="1:34" ht="15.75">
      <c r="A878" s="39">
        <v>30.317595699999998</v>
      </c>
      <c r="B878" s="39">
        <v>30.685744700000001</v>
      </c>
      <c r="C878" s="39">
        <v>876</v>
      </c>
      <c r="D878">
        <v>876</v>
      </c>
      <c r="E878" s="10">
        <v>1612140</v>
      </c>
      <c r="F878" s="10">
        <v>1072150</v>
      </c>
      <c r="G878" s="10">
        <v>26863</v>
      </c>
      <c r="H878" s="10">
        <v>53433</v>
      </c>
      <c r="I878" s="10">
        <v>136638</v>
      </c>
      <c r="J878" s="10">
        <v>34681</v>
      </c>
      <c r="K878">
        <v>876</v>
      </c>
      <c r="L878" s="10">
        <v>3823</v>
      </c>
      <c r="M878" s="10">
        <v>433501</v>
      </c>
      <c r="N878" s="10">
        <v>5317</v>
      </c>
      <c r="O878">
        <v>0.59547988499649585</v>
      </c>
      <c r="P878">
        <v>0.90918054527840486</v>
      </c>
      <c r="Q878">
        <v>-0.29865504628393641</v>
      </c>
      <c r="R878">
        <v>0.29865504628393641</v>
      </c>
      <c r="S878">
        <f t="shared" si="140"/>
        <v>-1.37114310637074</v>
      </c>
      <c r="T878" s="148">
        <f t="shared" si="135"/>
        <v>-1.4383753782071906</v>
      </c>
      <c r="U878">
        <f t="shared" si="141"/>
        <v>2.0934655703982532</v>
      </c>
      <c r="V878" s="55">
        <f t="shared" si="136"/>
        <v>2.0803072700654703</v>
      </c>
      <c r="W878">
        <f t="shared" si="142"/>
        <v>0.25544211145613677</v>
      </c>
      <c r="X878" s="55">
        <f t="shared" si="137"/>
        <v>0.26322723531384667</v>
      </c>
      <c r="Y878" s="149">
        <v>30.685744700000001</v>
      </c>
      <c r="Z878" s="55">
        <f t="shared" si="133"/>
        <v>4.9591941426106421E-3</v>
      </c>
      <c r="AA878" s="55">
        <f t="shared" si="138"/>
        <v>4.92215004670525E-3</v>
      </c>
      <c r="AB878" s="55">
        <f t="shared" si="134"/>
        <v>-5.3065120226930382</v>
      </c>
      <c r="AC878" s="55">
        <f t="shared" si="139"/>
        <v>-5.3149208037784135</v>
      </c>
      <c r="AD878" s="55"/>
      <c r="AE878" s="55"/>
      <c r="AF878" s="55"/>
      <c r="AG878" s="55"/>
      <c r="AH878" s="55"/>
    </row>
    <row r="879" spans="1:34" ht="15.75">
      <c r="A879" s="39">
        <v>30.345297899999998</v>
      </c>
      <c r="B879" s="39">
        <v>30.713872299999998</v>
      </c>
      <c r="C879" s="39">
        <v>877</v>
      </c>
      <c r="D879">
        <v>877</v>
      </c>
      <c r="E879" s="10">
        <v>1632160</v>
      </c>
      <c r="F879" s="10">
        <v>1089610</v>
      </c>
      <c r="G879" s="10">
        <v>27398</v>
      </c>
      <c r="H879" s="10">
        <v>54630</v>
      </c>
      <c r="I879" s="10">
        <v>144752</v>
      </c>
      <c r="J879" s="10">
        <v>35759</v>
      </c>
      <c r="K879">
        <v>877</v>
      </c>
      <c r="L879" s="10">
        <v>3358</v>
      </c>
      <c r="M879" s="10">
        <v>431244</v>
      </c>
      <c r="N879" s="10">
        <v>5620</v>
      </c>
      <c r="O879">
        <v>0.60723920771883078</v>
      </c>
      <c r="P879">
        <v>0.89729186516670478</v>
      </c>
      <c r="Q879">
        <v>-0.29971233917834328</v>
      </c>
      <c r="R879">
        <v>0.29971233917834328</v>
      </c>
      <c r="S879">
        <f t="shared" si="140"/>
        <v>-1.3982199475748947</v>
      </c>
      <c r="T879" s="148">
        <f t="shared" si="135"/>
        <v>-1.3916586400630153</v>
      </c>
      <c r="U879">
        <f t="shared" si="141"/>
        <v>2.0660908727976777</v>
      </c>
      <c r="V879" s="55">
        <f t="shared" si="136"/>
        <v>2.0679176473670178</v>
      </c>
      <c r="W879">
        <f t="shared" si="142"/>
        <v>0.26633196767929335</v>
      </c>
      <c r="X879" s="55">
        <f t="shared" si="137"/>
        <v>0.26275576368107306</v>
      </c>
      <c r="Y879" s="149">
        <v>30.713872299999998</v>
      </c>
      <c r="Z879" s="55">
        <f t="shared" si="133"/>
        <v>5.1578087572617722E-3</v>
      </c>
      <c r="AA879" s="55">
        <f t="shared" si="138"/>
        <v>5.1003159527325806E-3</v>
      </c>
      <c r="AB879" s="55">
        <f t="shared" si="134"/>
        <v>-5.2672434491274158</v>
      </c>
      <c r="AC879" s="55">
        <f t="shared" si="139"/>
        <v>-5.2786481364719942</v>
      </c>
      <c r="AD879" s="55"/>
      <c r="AE879" s="55"/>
      <c r="AF879" s="55"/>
      <c r="AG879" s="55"/>
      <c r="AH879" s="55"/>
    </row>
    <row r="880" spans="1:34" ht="15.75">
      <c r="A880" s="39">
        <v>30.373000000000001</v>
      </c>
      <c r="B880" s="39">
        <v>30.742000000000001</v>
      </c>
      <c r="C880" s="39">
        <v>878</v>
      </c>
      <c r="D880">
        <v>878</v>
      </c>
      <c r="E880" s="10">
        <v>1664690</v>
      </c>
      <c r="F880" s="10">
        <v>1092990</v>
      </c>
      <c r="G880" s="10">
        <v>27962</v>
      </c>
      <c r="H880" s="10">
        <v>56286</v>
      </c>
      <c r="I880" s="10">
        <v>148852</v>
      </c>
      <c r="J880" s="10">
        <v>36501</v>
      </c>
      <c r="K880">
        <v>878</v>
      </c>
      <c r="L880" s="10">
        <v>2899</v>
      </c>
      <c r="M880" s="10">
        <v>434694</v>
      </c>
      <c r="N880" s="10">
        <v>5666</v>
      </c>
      <c r="O880">
        <v>0.61044991150172701</v>
      </c>
      <c r="P880">
        <v>0.88778325940044134</v>
      </c>
      <c r="Q880">
        <v>-0.30383215497002486</v>
      </c>
      <c r="R880">
        <v>0.30383215497002491</v>
      </c>
      <c r="S880">
        <f t="shared" si="140"/>
        <v>-1.4056128662434109</v>
      </c>
      <c r="T880" s="148">
        <f t="shared" si="135"/>
        <v>-1.4157042482827809</v>
      </c>
      <c r="U880">
        <f t="shared" si="141"/>
        <v>2.044196498905122</v>
      </c>
      <c r="V880" s="55">
        <f t="shared" si="136"/>
        <v>2.0519231812461398</v>
      </c>
      <c r="W880">
        <f t="shared" si="142"/>
        <v>0.26649321190778891</v>
      </c>
      <c r="X880" s="55">
        <f t="shared" si="137"/>
        <v>0.2643268633026763</v>
      </c>
      <c r="Y880" s="149">
        <v>30.742000000000001</v>
      </c>
      <c r="Z880" s="55">
        <f t="shared" si="133"/>
        <v>5.1839449583253282E-3</v>
      </c>
      <c r="AA880" s="55">
        <f t="shared" si="138"/>
        <v>5.1531203528395993E-3</v>
      </c>
      <c r="AB880" s="55">
        <f t="shared" si="134"/>
        <v>-5.2621889375955275</v>
      </c>
      <c r="AC880" s="55">
        <f t="shared" si="139"/>
        <v>-5.2681668839044633</v>
      </c>
      <c r="AD880" s="55"/>
      <c r="AE880" s="55"/>
      <c r="AF880" s="55"/>
      <c r="AG880" s="55"/>
      <c r="AH880" s="55"/>
    </row>
    <row r="881" spans="1:34" ht="15.75">
      <c r="A881" s="39">
        <v>30.384990500000001</v>
      </c>
      <c r="B881" s="39">
        <v>30.7541619</v>
      </c>
      <c r="C881" s="39">
        <v>879</v>
      </c>
      <c r="D881">
        <v>879</v>
      </c>
      <c r="E881" s="10">
        <v>1664870</v>
      </c>
      <c r="F881" s="10">
        <v>1096020</v>
      </c>
      <c r="G881" s="10">
        <v>28065</v>
      </c>
      <c r="H881" s="10">
        <v>55467</v>
      </c>
      <c r="I881" s="10">
        <v>154155</v>
      </c>
      <c r="J881" s="10">
        <v>36404</v>
      </c>
      <c r="K881">
        <v>879</v>
      </c>
      <c r="L881" s="10">
        <v>2217</v>
      </c>
      <c r="M881" s="10">
        <v>428920</v>
      </c>
      <c r="N881" s="10">
        <v>5609</v>
      </c>
      <c r="O881">
        <v>0.62680850988805092</v>
      </c>
      <c r="P881">
        <v>0.88834162014654761</v>
      </c>
      <c r="Q881">
        <v>-0.2958696306143091</v>
      </c>
      <c r="R881">
        <v>0.2958696306143091</v>
      </c>
      <c r="S881">
        <f t="shared" si="140"/>
        <v>-1.4432799310300368</v>
      </c>
      <c r="T881" s="148">
        <f t="shared" si="135"/>
        <v>-1.4184751687316384</v>
      </c>
      <c r="U881">
        <f t="shared" si="141"/>
        <v>2.0454821720356193</v>
      </c>
      <c r="V881" s="55">
        <f t="shared" si="136"/>
        <v>2.0517121165942367</v>
      </c>
      <c r="W881">
        <f t="shared" si="142"/>
        <v>0.26015541032094669</v>
      </c>
      <c r="X881" s="55">
        <f t="shared" si="137"/>
        <v>0.27987811696572412</v>
      </c>
      <c r="Y881" s="149">
        <v>30.7541619</v>
      </c>
      <c r="Z881" s="55">
        <f t="shared" si="133"/>
        <v>5.1176073429316984E-3</v>
      </c>
      <c r="AA881" s="55">
        <f t="shared" si="138"/>
        <v>5.1162990641197168E-3</v>
      </c>
      <c r="AB881" s="55">
        <f t="shared" si="134"/>
        <v>-5.2750682649904475</v>
      </c>
      <c r="AC881" s="55">
        <f t="shared" si="139"/>
        <v>-5.2753833802271552</v>
      </c>
      <c r="AD881" s="55"/>
      <c r="AE881" s="55"/>
      <c r="AF881" s="55"/>
      <c r="AG881" s="55"/>
      <c r="AH881" s="55"/>
    </row>
    <row r="882" spans="1:34" ht="15.75">
      <c r="A882" s="39">
        <v>30.396981</v>
      </c>
      <c r="B882" s="39">
        <v>30.766323799999999</v>
      </c>
      <c r="C882" s="39">
        <v>880</v>
      </c>
      <c r="D882">
        <v>880</v>
      </c>
      <c r="E882" s="10">
        <v>1611310</v>
      </c>
      <c r="F882" s="10">
        <v>1080370</v>
      </c>
      <c r="G882" s="10">
        <v>26057</v>
      </c>
      <c r="H882" s="10">
        <v>53280</v>
      </c>
      <c r="I882" s="10">
        <v>145446</v>
      </c>
      <c r="J882" s="10">
        <v>35633</v>
      </c>
      <c r="K882">
        <v>880</v>
      </c>
      <c r="L882" s="10">
        <v>2081</v>
      </c>
      <c r="M882" s="10">
        <v>420321</v>
      </c>
      <c r="N882" s="10">
        <v>5453</v>
      </c>
      <c r="O882">
        <v>0.61084939410102612</v>
      </c>
      <c r="P882">
        <v>0.89701687252576601</v>
      </c>
      <c r="Q882">
        <v>-0.31063980319108003</v>
      </c>
      <c r="R882">
        <v>0.31063980319108003</v>
      </c>
      <c r="S882">
        <f t="shared" si="140"/>
        <v>-1.4065327089214676</v>
      </c>
      <c r="T882" s="148">
        <f t="shared" si="135"/>
        <v>-1.4230939410082384</v>
      </c>
      <c r="U882">
        <f t="shared" si="141"/>
        <v>2.0654576788419692</v>
      </c>
      <c r="V882" s="55">
        <f t="shared" si="136"/>
        <v>2.0472446324323847</v>
      </c>
      <c r="W882">
        <f t="shared" si="142"/>
        <v>0.31298572866843677</v>
      </c>
      <c r="X882" s="55">
        <f t="shared" si="137"/>
        <v>0.29351594013433197</v>
      </c>
      <c r="Y882" s="149">
        <v>30.766323799999999</v>
      </c>
      <c r="Z882" s="55">
        <f t="shared" si="133"/>
        <v>5.0473448911021223E-3</v>
      </c>
      <c r="AA882" s="55">
        <f t="shared" si="138"/>
        <v>5.0218075790367288E-3</v>
      </c>
      <c r="AB882" s="55">
        <f t="shared" si="134"/>
        <v>-5.2888929380954908</v>
      </c>
      <c r="AC882" s="55">
        <f t="shared" si="139"/>
        <v>-5.2941284201750749</v>
      </c>
      <c r="AD882" s="55"/>
      <c r="AE882" s="55"/>
      <c r="AF882" s="55"/>
      <c r="AG882" s="55"/>
      <c r="AH882" s="55"/>
    </row>
    <row r="883" spans="1:34" ht="15.75">
      <c r="A883" s="39">
        <v>30.408971399999999</v>
      </c>
      <c r="B883" s="39">
        <v>30.778485700000001</v>
      </c>
      <c r="C883" s="39">
        <v>881</v>
      </c>
      <c r="D883">
        <v>881</v>
      </c>
      <c r="E883" s="10">
        <v>1681550</v>
      </c>
      <c r="F883" s="10">
        <v>1105200</v>
      </c>
      <c r="G883" s="10">
        <v>28275</v>
      </c>
      <c r="H883" s="10">
        <v>57165</v>
      </c>
      <c r="I883" s="10">
        <v>158992</v>
      </c>
      <c r="J883" s="10">
        <v>38451</v>
      </c>
      <c r="K883">
        <v>881</v>
      </c>
      <c r="L883" s="10">
        <v>2916</v>
      </c>
      <c r="M883" s="10">
        <v>435605</v>
      </c>
      <c r="N883" s="10">
        <v>5416</v>
      </c>
      <c r="O883">
        <v>0.61646763344041222</v>
      </c>
      <c r="P883">
        <v>0.88196264824199333</v>
      </c>
      <c r="Q883">
        <v>-0.30572759423035556</v>
      </c>
      <c r="R883">
        <v>0.30572759423035556</v>
      </c>
      <c r="S883">
        <f t="shared" si="140"/>
        <v>-1.4194691830732109</v>
      </c>
      <c r="T883" s="148">
        <f t="shared" si="135"/>
        <v>-1.4308144728406635</v>
      </c>
      <c r="U883">
        <f t="shared" si="141"/>
        <v>2.0307940464195648</v>
      </c>
      <c r="V883" s="55">
        <f t="shared" si="136"/>
        <v>2.0454615682536534</v>
      </c>
      <c r="W883">
        <f t="shared" si="142"/>
        <v>0.30740668141361244</v>
      </c>
      <c r="X883" s="55">
        <f t="shared" si="137"/>
        <v>0.31049202247074731</v>
      </c>
      <c r="Y883" s="149">
        <v>30.778485700000001</v>
      </c>
      <c r="Z883" s="55">
        <f t="shared" si="133"/>
        <v>4.9004705030763667E-3</v>
      </c>
      <c r="AA883" s="55">
        <f t="shared" si="138"/>
        <v>4.9773872362296563E-3</v>
      </c>
      <c r="AB883" s="55">
        <f t="shared" si="134"/>
        <v>-5.3184240574392874</v>
      </c>
      <c r="AC883" s="55">
        <f t="shared" si="139"/>
        <v>-5.3029233367302799</v>
      </c>
      <c r="AD883" s="55"/>
      <c r="AE883" s="55"/>
      <c r="AF883" s="55"/>
      <c r="AG883" s="55"/>
      <c r="AH883" s="55"/>
    </row>
    <row r="884" spans="1:34" ht="15.75">
      <c r="A884" s="39">
        <v>30.420961900000002</v>
      </c>
      <c r="B884" s="39">
        <v>30.7906476</v>
      </c>
      <c r="C884" s="39">
        <v>882</v>
      </c>
      <c r="D884">
        <v>882</v>
      </c>
      <c r="E884" s="10">
        <v>1700140</v>
      </c>
      <c r="F884" s="10">
        <v>1127530</v>
      </c>
      <c r="G884" s="10">
        <v>28054</v>
      </c>
      <c r="H884" s="10">
        <v>57146</v>
      </c>
      <c r="I884" s="10">
        <v>165945</v>
      </c>
      <c r="J884" s="10">
        <v>38291</v>
      </c>
      <c r="K884">
        <v>882</v>
      </c>
      <c r="L884" s="10">
        <v>2827</v>
      </c>
      <c r="M884" s="10">
        <v>439546</v>
      </c>
      <c r="N884" s="10">
        <v>5620</v>
      </c>
      <c r="O884">
        <v>0.6368674630045924</v>
      </c>
      <c r="P884">
        <v>0.88601849534544075</v>
      </c>
      <c r="Q884">
        <v>-0.30899104419963525</v>
      </c>
      <c r="R884">
        <v>0.30899104419963525</v>
      </c>
      <c r="S884">
        <f t="shared" si="140"/>
        <v>-1.4664415265273116</v>
      </c>
      <c r="T884" s="148">
        <f t="shared" si="135"/>
        <v>-1.4301902848478543</v>
      </c>
      <c r="U884">
        <f t="shared" si="141"/>
        <v>2.0401329794994258</v>
      </c>
      <c r="V884" s="55">
        <f t="shared" si="136"/>
        <v>2.0406731866017913</v>
      </c>
      <c r="W884">
        <f t="shared" si="142"/>
        <v>0.31108365733019272</v>
      </c>
      <c r="X884" s="55">
        <f t="shared" si="137"/>
        <v>0.30658966536966631</v>
      </c>
      <c r="Y884" s="149">
        <v>30.7906476</v>
      </c>
      <c r="Z884" s="55">
        <f t="shared" si="133"/>
        <v>4.984346314510479E-3</v>
      </c>
      <c r="AA884" s="55">
        <f t="shared" si="138"/>
        <v>5.021053813595841E-3</v>
      </c>
      <c r="AB884" s="55">
        <f t="shared" si="134"/>
        <v>-5.3014530146560617</v>
      </c>
      <c r="AC884" s="55">
        <f t="shared" si="139"/>
        <v>-5.2943823055634693</v>
      </c>
      <c r="AD884" s="55"/>
      <c r="AE884" s="55"/>
      <c r="AF884" s="55"/>
      <c r="AG884" s="55"/>
      <c r="AH884" s="55"/>
    </row>
    <row r="885" spans="1:34" ht="15.75">
      <c r="A885" s="39">
        <v>30.432952400000001</v>
      </c>
      <c r="B885" s="39">
        <v>30.802809499999999</v>
      </c>
      <c r="C885" s="39">
        <v>883</v>
      </c>
      <c r="D885">
        <v>883</v>
      </c>
      <c r="E885" s="10">
        <v>1707680</v>
      </c>
      <c r="F885" s="10">
        <v>1133760</v>
      </c>
      <c r="G885" s="10">
        <v>28690</v>
      </c>
      <c r="H885" s="10">
        <v>57507</v>
      </c>
      <c r="I885" s="10">
        <v>157983</v>
      </c>
      <c r="J885" s="10">
        <v>38777</v>
      </c>
      <c r="K885">
        <v>883</v>
      </c>
      <c r="L885" s="10">
        <v>2252</v>
      </c>
      <c r="M885" s="10">
        <v>447197</v>
      </c>
      <c r="N885" s="10">
        <v>5871</v>
      </c>
      <c r="O885">
        <v>0.61003614989818433</v>
      </c>
      <c r="P885">
        <v>0.89077816933981502</v>
      </c>
      <c r="Q885">
        <v>-0.30199016385826033</v>
      </c>
      <c r="R885">
        <v>0.30199016385826039</v>
      </c>
      <c r="S885">
        <f t="shared" si="140"/>
        <v>-1.4046601449430405</v>
      </c>
      <c r="T885" s="148">
        <f t="shared" si="135"/>
        <v>-1.4070145199854505</v>
      </c>
      <c r="U885">
        <f t="shared" si="141"/>
        <v>2.0510925338863837</v>
      </c>
      <c r="V885" s="55">
        <f t="shared" si="136"/>
        <v>2.0301099961888593</v>
      </c>
      <c r="W885">
        <f t="shared" si="142"/>
        <v>0.30127865736519371</v>
      </c>
      <c r="X885" s="55">
        <f t="shared" si="137"/>
        <v>0.32609695607718009</v>
      </c>
      <c r="Y885" s="149">
        <v>30.802809499999999</v>
      </c>
      <c r="Z885" s="55">
        <f t="shared" si="133"/>
        <v>5.1783446232006774E-3</v>
      </c>
      <c r="AA885" s="55">
        <f t="shared" si="138"/>
        <v>5.0449316143881314E-3</v>
      </c>
      <c r="AB885" s="55">
        <f t="shared" si="134"/>
        <v>-5.2632698445950581</v>
      </c>
      <c r="AC885" s="55">
        <f t="shared" si="139"/>
        <v>-5.2895450222276779</v>
      </c>
      <c r="AD885" s="55"/>
      <c r="AE885" s="55"/>
      <c r="AF885" s="55"/>
      <c r="AG885" s="55"/>
      <c r="AH885" s="55"/>
    </row>
    <row r="886" spans="1:34" ht="15.75">
      <c r="A886" s="39">
        <v>30.444942900000001</v>
      </c>
      <c r="B886" s="39">
        <v>30.814971400000001</v>
      </c>
      <c r="C886" s="39">
        <v>884</v>
      </c>
      <c r="D886">
        <v>884</v>
      </c>
      <c r="E886" s="10">
        <v>1095880</v>
      </c>
      <c r="F886" s="10">
        <v>833450</v>
      </c>
      <c r="G886" s="10">
        <v>16931</v>
      </c>
      <c r="H886" s="10">
        <v>35676</v>
      </c>
      <c r="I886" s="10">
        <v>94162</v>
      </c>
      <c r="J886" s="10">
        <v>24412</v>
      </c>
      <c r="K886">
        <v>884</v>
      </c>
      <c r="L886" s="10">
        <v>1279</v>
      </c>
      <c r="M886" s="10">
        <v>263376</v>
      </c>
      <c r="N886" s="10">
        <v>4144</v>
      </c>
      <c r="O886">
        <v>0.58627231305952432</v>
      </c>
      <c r="P886">
        <v>0.86820004231910397</v>
      </c>
      <c r="Q886">
        <v>-0.32369354553959739</v>
      </c>
      <c r="R886">
        <v>0.32369354553959734</v>
      </c>
      <c r="S886">
        <f t="shared" si="140"/>
        <v>-1.3499418884859988</v>
      </c>
      <c r="T886" s="148">
        <f t="shared" si="135"/>
        <v>-1.3678328484632811</v>
      </c>
      <c r="U886">
        <f t="shared" si="141"/>
        <v>1.9991044751807683</v>
      </c>
      <c r="V886" s="55">
        <f t="shared" si="136"/>
        <v>2.0114682215810431</v>
      </c>
      <c r="W886">
        <f t="shared" si="142"/>
        <v>0.36592855353615372</v>
      </c>
      <c r="X886" s="55">
        <f t="shared" si="137"/>
        <v>0.33382054879086037</v>
      </c>
      <c r="Y886" s="149">
        <v>30.814971400000001</v>
      </c>
      <c r="Z886" s="55">
        <f t="shared" si="133"/>
        <v>4.972103905453237E-3</v>
      </c>
      <c r="AA886" s="55">
        <f t="shared" si="138"/>
        <v>5.1293847451718737E-3</v>
      </c>
      <c r="AB886" s="55">
        <f t="shared" si="134"/>
        <v>-5.3039122074319147</v>
      </c>
      <c r="AC886" s="55">
        <f t="shared" si="139"/>
        <v>-5.2730179235863357</v>
      </c>
      <c r="AD886" s="55"/>
      <c r="AE886" s="55"/>
      <c r="AF886" s="55"/>
      <c r="AG886" s="55"/>
      <c r="AH886" s="55"/>
    </row>
    <row r="887" spans="1:34" ht="15.75">
      <c r="A887" s="39">
        <v>30.456933299999999</v>
      </c>
      <c r="B887" s="39">
        <v>30.8271333</v>
      </c>
      <c r="C887" s="39">
        <v>885</v>
      </c>
      <c r="D887">
        <v>885</v>
      </c>
      <c r="E887" s="10">
        <v>1149790</v>
      </c>
      <c r="F887" s="10">
        <v>831280</v>
      </c>
      <c r="G887" s="10">
        <v>18668.5</v>
      </c>
      <c r="H887" s="10">
        <v>37518</v>
      </c>
      <c r="I887" s="10">
        <v>100483</v>
      </c>
      <c r="J887" s="10">
        <v>26078</v>
      </c>
      <c r="K887">
        <v>885</v>
      </c>
      <c r="L887" s="10">
        <v>1270.5</v>
      </c>
      <c r="M887" s="10">
        <v>272879</v>
      </c>
      <c r="N887" s="10">
        <v>4354</v>
      </c>
      <c r="O887">
        <v>0.58581831180312094</v>
      </c>
      <c r="P887">
        <v>0.86173043581026443</v>
      </c>
      <c r="Q887">
        <v>-0.30313025494991952</v>
      </c>
      <c r="R887">
        <v>0.30313025494991952</v>
      </c>
      <c r="S887">
        <f t="shared" si="140"/>
        <v>-1.3488965119608041</v>
      </c>
      <c r="T887" s="148">
        <f t="shared" si="135"/>
        <v>-1.3489380596189779</v>
      </c>
      <c r="U887">
        <f t="shared" si="141"/>
        <v>1.9842076556759771</v>
      </c>
      <c r="V887" s="55">
        <f t="shared" si="136"/>
        <v>1.9846076076278563</v>
      </c>
      <c r="W887">
        <f t="shared" si="142"/>
        <v>0.3342544354712339</v>
      </c>
      <c r="X887" s="55">
        <f t="shared" si="137"/>
        <v>0.33579120478413521</v>
      </c>
      <c r="Y887" s="149">
        <v>30.8271333</v>
      </c>
      <c r="Z887" s="55">
        <f t="shared" si="133"/>
        <v>5.2377057068617077E-3</v>
      </c>
      <c r="AA887" s="55">
        <f t="shared" si="138"/>
        <v>5.2381691402694636E-3</v>
      </c>
      <c r="AB887" s="55">
        <f t="shared" si="134"/>
        <v>-5.2518717187320352</v>
      </c>
      <c r="AC887" s="55">
        <f t="shared" si="139"/>
        <v>-5.2526457768282713</v>
      </c>
      <c r="AD887" s="55"/>
      <c r="AE887" s="55"/>
      <c r="AF887" s="55"/>
      <c r="AG887" s="55"/>
      <c r="AH887" s="55"/>
    </row>
    <row r="888" spans="1:34" ht="15.75">
      <c r="A888" s="39">
        <v>30.468923799999999</v>
      </c>
      <c r="B888" s="39">
        <v>30.839295199999999</v>
      </c>
      <c r="C888" s="39">
        <v>886</v>
      </c>
      <c r="D888">
        <v>886</v>
      </c>
      <c r="E888" s="10">
        <v>1203700</v>
      </c>
      <c r="F888" s="10">
        <v>829110</v>
      </c>
      <c r="G888" s="10">
        <v>20406</v>
      </c>
      <c r="H888" s="10">
        <v>39360</v>
      </c>
      <c r="I888" s="10">
        <v>106804</v>
      </c>
      <c r="J888" s="10">
        <v>27744</v>
      </c>
      <c r="K888">
        <v>886</v>
      </c>
      <c r="L888" s="10">
        <v>1262</v>
      </c>
      <c r="M888" s="10">
        <v>282382</v>
      </c>
      <c r="N888" s="10">
        <v>4564</v>
      </c>
      <c r="O888">
        <v>0.5854184423027603</v>
      </c>
      <c r="P888">
        <v>0.85578192007860754</v>
      </c>
      <c r="Q888">
        <v>-0.28529720744293813</v>
      </c>
      <c r="R888">
        <v>0.28529720744293813</v>
      </c>
      <c r="S888">
        <f t="shared" si="140"/>
        <v>-1.3479757784101307</v>
      </c>
      <c r="T888" s="148">
        <f t="shared" si="135"/>
        <v>-1.350582494769718</v>
      </c>
      <c r="U888">
        <f t="shared" si="141"/>
        <v>1.9705106920268234</v>
      </c>
      <c r="V888" s="55">
        <f t="shared" si="136"/>
        <v>2.0001762324036232</v>
      </c>
      <c r="W888">
        <f t="shared" si="142"/>
        <v>0.30719062534501801</v>
      </c>
      <c r="X888" s="55">
        <f t="shared" si="137"/>
        <v>0.30857573447710657</v>
      </c>
      <c r="Y888" s="149">
        <v>30.839295199999999</v>
      </c>
      <c r="Z888" s="55">
        <f t="shared" si="133"/>
        <v>5.5046978084934452E-3</v>
      </c>
      <c r="AA888" s="55">
        <f t="shared" si="138"/>
        <v>5.3292747868051047E-3</v>
      </c>
      <c r="AB888" s="55">
        <f t="shared" si="134"/>
        <v>-5.2021534043208648</v>
      </c>
      <c r="AC888" s="55">
        <f t="shared" si="139"/>
        <v>-5.2348083086750767</v>
      </c>
      <c r="AD888" s="55"/>
      <c r="AE888" s="55"/>
      <c r="AF888" s="55"/>
      <c r="AG888" s="55"/>
      <c r="AH888" s="55"/>
    </row>
    <row r="889" spans="1:34" ht="15.75">
      <c r="A889" s="39">
        <v>30.480914299999998</v>
      </c>
      <c r="B889" s="39">
        <v>30.851457100000001</v>
      </c>
      <c r="C889" s="39">
        <v>887</v>
      </c>
      <c r="D889">
        <v>887</v>
      </c>
      <c r="E889" s="10">
        <v>1586320</v>
      </c>
      <c r="F889" s="10">
        <v>1097910</v>
      </c>
      <c r="G889" s="10">
        <v>27621</v>
      </c>
      <c r="H889" s="10">
        <v>52828</v>
      </c>
      <c r="I889" s="10">
        <v>142271</v>
      </c>
      <c r="J889" s="10">
        <v>36703</v>
      </c>
      <c r="K889">
        <v>887</v>
      </c>
      <c r="L889" s="10">
        <v>1477</v>
      </c>
      <c r="M889" s="10">
        <v>408647</v>
      </c>
      <c r="N889" s="10">
        <v>5759</v>
      </c>
      <c r="O889">
        <v>0.58841482039496684</v>
      </c>
      <c r="P889">
        <v>0.88848414581191737</v>
      </c>
      <c r="Q889">
        <v>-0.28162477129761226</v>
      </c>
      <c r="R889">
        <v>0.28162477129761232</v>
      </c>
      <c r="S889">
        <f t="shared" si="140"/>
        <v>-1.3548751939382193</v>
      </c>
      <c r="T889" s="148">
        <f t="shared" si="135"/>
        <v>-1.3502406341199222</v>
      </c>
      <c r="U889">
        <f t="shared" si="141"/>
        <v>2.0458103495080691</v>
      </c>
      <c r="V889" s="55">
        <f t="shared" si="136"/>
        <v>2.0208369801863664</v>
      </c>
      <c r="W889">
        <f t="shared" si="142"/>
        <v>0.28428214261506796</v>
      </c>
      <c r="X889" s="55">
        <f t="shared" si="137"/>
        <v>0.31991647799900053</v>
      </c>
      <c r="Y889" s="149">
        <v>30.851457100000001</v>
      </c>
      <c r="Z889" s="55">
        <f t="shared" si="133"/>
        <v>5.2454208450601596E-3</v>
      </c>
      <c r="AA889" s="55">
        <f t="shared" si="138"/>
        <v>5.3472290628818189E-3</v>
      </c>
      <c r="AB889" s="55">
        <f t="shared" si="134"/>
        <v>-5.2503998029723302</v>
      </c>
      <c r="AC889" s="55">
        <f t="shared" si="139"/>
        <v>-5.2313979249620708</v>
      </c>
      <c r="AD889" s="55"/>
      <c r="AE889" s="55"/>
      <c r="AF889" s="55"/>
      <c r="AG889" s="55"/>
      <c r="AH889" s="55"/>
    </row>
    <row r="890" spans="1:34" ht="15.75">
      <c r="A890" s="129">
        <v>30.492904800000002</v>
      </c>
      <c r="B890" s="129">
        <v>30.863619100000001</v>
      </c>
      <c r="C890" s="129">
        <v>888</v>
      </c>
      <c r="D890" s="130">
        <v>888</v>
      </c>
      <c r="E890" s="131">
        <v>1603440</v>
      </c>
      <c r="F890" s="131">
        <v>1061500</v>
      </c>
      <c r="G890" s="131">
        <v>26754</v>
      </c>
      <c r="H890" s="131">
        <v>52603</v>
      </c>
      <c r="I890" s="131">
        <v>148834</v>
      </c>
      <c r="J890" s="131">
        <v>38666</v>
      </c>
      <c r="K890" s="130">
        <v>888</v>
      </c>
      <c r="L890" s="131">
        <v>2398</v>
      </c>
      <c r="M890" s="131">
        <v>407061</v>
      </c>
      <c r="N890" s="131">
        <v>5617</v>
      </c>
      <c r="O890" s="130">
        <v>0.58537290722176227</v>
      </c>
      <c r="P890" s="130">
        <v>0.88864898207238519</v>
      </c>
      <c r="Q890" s="130">
        <v>-0.29362179036141312</v>
      </c>
      <c r="R890" s="130">
        <v>0.29362179036141312</v>
      </c>
      <c r="S890" s="130">
        <f t="shared" si="140"/>
        <v>-1.3478709300114164</v>
      </c>
      <c r="T890" s="148">
        <f t="shared" si="135"/>
        <v>-1.3503758633247909</v>
      </c>
      <c r="U890" s="130">
        <f t="shared" si="141"/>
        <v>2.0461898990242071</v>
      </c>
      <c r="V890" s="132">
        <f t="shared" si="136"/>
        <v>2.0234419338529661</v>
      </c>
      <c r="W890" s="130">
        <f t="shared" si="142"/>
        <v>0.36827666603691567</v>
      </c>
      <c r="X890" s="132">
        <f t="shared" si="137"/>
        <v>0.32825986053951123</v>
      </c>
      <c r="Y890" s="149">
        <v>30.863619100000001</v>
      </c>
      <c r="Z890" s="132">
        <f t="shared" si="133"/>
        <v>5.291568535091851E-3</v>
      </c>
      <c r="AA890" s="132">
        <f t="shared" si="138"/>
        <v>5.3351935190735075E-3</v>
      </c>
      <c r="AB890" s="132">
        <f t="shared" si="134"/>
        <v>-5.2416405675930156</v>
      </c>
      <c r="AC890" s="132">
        <f t="shared" si="139"/>
        <v>-5.2335915402509636</v>
      </c>
      <c r="AD890" s="55"/>
      <c r="AE890" s="55"/>
      <c r="AF890" s="55"/>
      <c r="AG890" s="55"/>
      <c r="AH890" s="55"/>
    </row>
    <row r="891" spans="1:34" ht="15.75">
      <c r="A891" s="39">
        <v>30.5048952</v>
      </c>
      <c r="B891" s="39">
        <v>30.875781</v>
      </c>
      <c r="C891" s="39">
        <v>889</v>
      </c>
      <c r="D891">
        <v>889</v>
      </c>
      <c r="E891" s="10">
        <v>1388560</v>
      </c>
      <c r="F891" s="10">
        <v>983800</v>
      </c>
      <c r="G891" s="10">
        <v>23504</v>
      </c>
      <c r="H891" s="10">
        <v>47111</v>
      </c>
      <c r="I891" s="10">
        <v>126188</v>
      </c>
      <c r="J891" s="10">
        <v>32766</v>
      </c>
      <c r="K891">
        <v>889</v>
      </c>
      <c r="L891" s="10">
        <v>1969</v>
      </c>
      <c r="M891" s="10">
        <v>340642</v>
      </c>
      <c r="N891" s="10">
        <v>5380</v>
      </c>
      <c r="O891">
        <v>0.58559463019516045</v>
      </c>
      <c r="P891">
        <v>0.85917587108766125</v>
      </c>
      <c r="Q891">
        <v>-0.30198054442658012</v>
      </c>
      <c r="R891">
        <v>0.30198054442658018</v>
      </c>
      <c r="S891">
        <f t="shared" si="140"/>
        <v>-1.3483814660247373</v>
      </c>
      <c r="T891" s="148">
        <f t="shared" si="135"/>
        <v>-1.3813395309296732</v>
      </c>
      <c r="U891">
        <f t="shared" si="141"/>
        <v>1.9783255530266226</v>
      </c>
      <c r="V891" s="55">
        <f t="shared" si="136"/>
        <v>2.0495026664232721</v>
      </c>
      <c r="W891">
        <f t="shared" si="142"/>
        <v>0.33222077296655006</v>
      </c>
      <c r="X891" s="55">
        <f t="shared" si="137"/>
        <v>0.41988724769058905</v>
      </c>
      <c r="Y891" s="149">
        <v>30.875781</v>
      </c>
      <c r="Z891" s="55">
        <f t="shared" si="133"/>
        <v>5.4685911770685101E-3</v>
      </c>
      <c r="AA891" s="55">
        <f t="shared" si="138"/>
        <v>5.3682666840982815E-3</v>
      </c>
      <c r="AB891" s="55">
        <f t="shared" si="134"/>
        <v>-5.208734250187546</v>
      </c>
      <c r="AC891" s="55">
        <f t="shared" si="139"/>
        <v>-5.2273452811932435</v>
      </c>
      <c r="AD891" s="55"/>
      <c r="AE891" s="55"/>
      <c r="AF891" s="55"/>
      <c r="AG891" s="55"/>
      <c r="AH891" s="55"/>
    </row>
    <row r="892" spans="1:34" ht="15.75">
      <c r="A892" s="39">
        <v>30.5168857</v>
      </c>
      <c r="B892" s="39">
        <v>30.887942899999999</v>
      </c>
      <c r="C892" s="39">
        <v>890</v>
      </c>
      <c r="D892">
        <v>890</v>
      </c>
      <c r="E892" s="10">
        <v>1122840</v>
      </c>
      <c r="F892" s="10">
        <v>865540</v>
      </c>
      <c r="G892" s="10">
        <v>13609</v>
      </c>
      <c r="H892" s="10">
        <v>33951</v>
      </c>
      <c r="I892" s="10">
        <v>101257</v>
      </c>
      <c r="J892" s="10">
        <v>23805</v>
      </c>
      <c r="K892">
        <v>890</v>
      </c>
      <c r="L892" s="10">
        <v>1300</v>
      </c>
      <c r="M892" s="10">
        <v>283982</v>
      </c>
      <c r="N892" s="10">
        <v>4626</v>
      </c>
      <c r="O892">
        <v>0.62875687033582728</v>
      </c>
      <c r="P892">
        <v>0.92243824286083798</v>
      </c>
      <c r="Q892">
        <v>-0.39702635653087576</v>
      </c>
      <c r="R892">
        <v>0.39702635653087576</v>
      </c>
      <c r="S892">
        <f t="shared" si="140"/>
        <v>-1.4477661967528661</v>
      </c>
      <c r="T892" s="148">
        <f t="shared" si="135"/>
        <v>-1.4747360012696538</v>
      </c>
      <c r="U892">
        <f t="shared" si="141"/>
        <v>2.1239925472189869</v>
      </c>
      <c r="V892" s="55">
        <f t="shared" si="136"/>
        <v>2.0660962443663276</v>
      </c>
      <c r="W892">
        <f t="shared" si="142"/>
        <v>0.55916430406830153</v>
      </c>
      <c r="X892" s="55">
        <f t="shared" si="137"/>
        <v>0.42292453295820404</v>
      </c>
      <c r="Y892" s="149">
        <v>30.887942899999999</v>
      </c>
      <c r="Z892" s="55">
        <f t="shared" si="133"/>
        <v>5.3446403401344825E-3</v>
      </c>
      <c r="AA892" s="55">
        <f t="shared" si="138"/>
        <v>5.3385382898587545E-3</v>
      </c>
      <c r="AB892" s="55">
        <f t="shared" si="134"/>
        <v>-5.231661025799168</v>
      </c>
      <c r="AC892" s="55">
        <f t="shared" si="139"/>
        <v>-5.2330112324636415</v>
      </c>
      <c r="AD892" s="55"/>
      <c r="AE892" s="55"/>
      <c r="AF892" s="55"/>
      <c r="AG892" s="55"/>
      <c r="AH892" s="55"/>
    </row>
    <row r="893" spans="1:34" ht="15.75">
      <c r="A893" s="39">
        <v>30.528876199999999</v>
      </c>
      <c r="B893" s="39">
        <v>30.900104800000001</v>
      </c>
      <c r="C893" s="39">
        <v>891</v>
      </c>
      <c r="D893">
        <v>891</v>
      </c>
      <c r="E893" s="10">
        <v>1300290</v>
      </c>
      <c r="F893" s="10">
        <v>892860</v>
      </c>
      <c r="G893" s="10">
        <v>18180</v>
      </c>
      <c r="H893" s="10">
        <v>38888</v>
      </c>
      <c r="I893" s="10">
        <v>135067</v>
      </c>
      <c r="J893" s="10">
        <v>26515</v>
      </c>
      <c r="K893">
        <v>891</v>
      </c>
      <c r="L893" s="10">
        <v>2459</v>
      </c>
      <c r="M893" s="10">
        <v>316289</v>
      </c>
      <c r="N893" s="10">
        <v>4645</v>
      </c>
      <c r="O893">
        <v>0.70705762231544511</v>
      </c>
      <c r="P893">
        <v>0.91026848007948635</v>
      </c>
      <c r="Q893">
        <v>-0.3302217291805371</v>
      </c>
      <c r="R893">
        <v>0.3302217291805371</v>
      </c>
      <c r="S893">
        <f t="shared" si="140"/>
        <v>-1.6280603410313579</v>
      </c>
      <c r="T893" s="148">
        <f t="shared" si="135"/>
        <v>-1.5328762452655018</v>
      </c>
      <c r="U893">
        <f t="shared" si="141"/>
        <v>2.0959706328533727</v>
      </c>
      <c r="V893" s="55">
        <f t="shared" si="136"/>
        <v>2.1034134754085696</v>
      </c>
      <c r="W893">
        <f t="shared" si="142"/>
        <v>0.37738852183976057</v>
      </c>
      <c r="X893" s="55">
        <f t="shared" si="137"/>
        <v>0.44575149721858587</v>
      </c>
      <c r="Y893" s="149">
        <v>30.900104800000001</v>
      </c>
      <c r="Z893" s="55">
        <f t="shared" si="133"/>
        <v>5.2023833523732726E-3</v>
      </c>
      <c r="AA893" s="55">
        <f t="shared" si="138"/>
        <v>5.2508511128374459E-3</v>
      </c>
      <c r="AB893" s="55">
        <f t="shared" si="134"/>
        <v>-5.2586384214042123</v>
      </c>
      <c r="AC893" s="55">
        <f t="shared" si="139"/>
        <v>-5.2494444240460112</v>
      </c>
      <c r="AD893" s="55"/>
      <c r="AE893" s="55"/>
      <c r="AF893" s="55"/>
      <c r="AG893" s="55"/>
      <c r="AH893" s="55"/>
    </row>
    <row r="894" spans="1:34" ht="15.75">
      <c r="A894" s="39">
        <v>30.540866699999999</v>
      </c>
      <c r="B894" s="39">
        <v>30.9122667</v>
      </c>
      <c r="C894" s="39">
        <v>892</v>
      </c>
      <c r="D894">
        <v>892</v>
      </c>
      <c r="E894" s="10">
        <v>1321852.5</v>
      </c>
      <c r="F894" s="10">
        <v>927907.5</v>
      </c>
      <c r="G894" s="10">
        <v>18605.75</v>
      </c>
      <c r="H894" s="10">
        <v>40341</v>
      </c>
      <c r="I894" s="10">
        <v>127354.5</v>
      </c>
      <c r="J894" s="10">
        <v>27776</v>
      </c>
      <c r="K894">
        <v>892</v>
      </c>
      <c r="L894" s="10">
        <v>2209.75</v>
      </c>
      <c r="M894" s="10">
        <v>326244</v>
      </c>
      <c r="N894" s="10">
        <v>4830.25</v>
      </c>
      <c r="O894">
        <v>0.66134459162687687</v>
      </c>
      <c r="P894">
        <v>0.90779587365232506</v>
      </c>
      <c r="Q894">
        <v>-0.33609947842288046</v>
      </c>
      <c r="R894">
        <v>0.33609947842288052</v>
      </c>
      <c r="S894">
        <f t="shared" si="140"/>
        <v>-1.5228021980122814</v>
      </c>
      <c r="T894" s="148">
        <f t="shared" si="135"/>
        <v>-1.5222652035492397</v>
      </c>
      <c r="U894">
        <f t="shared" si="141"/>
        <v>2.0902772461533501</v>
      </c>
      <c r="V894" s="55">
        <f t="shared" si="136"/>
        <v>2.0903994456663066</v>
      </c>
      <c r="W894">
        <f t="shared" si="142"/>
        <v>0.40070166574769561</v>
      </c>
      <c r="X894" s="55">
        <f t="shared" si="137"/>
        <v>0.40018852176987624</v>
      </c>
      <c r="Y894" s="149">
        <v>30.9122667</v>
      </c>
      <c r="Z894" s="55">
        <f t="shared" si="133"/>
        <v>5.2055296460045853E-3</v>
      </c>
      <c r="AA894" s="55">
        <f t="shared" si="138"/>
        <v>5.2054533047937342E-3</v>
      </c>
      <c r="AB894" s="55">
        <f t="shared" si="134"/>
        <v>-5.2580338249346523</v>
      </c>
      <c r="AC894" s="55">
        <f t="shared" si="139"/>
        <v>-5.2580486035772642</v>
      </c>
      <c r="AD894" s="55"/>
      <c r="AE894" s="55"/>
      <c r="AF894" s="55"/>
      <c r="AG894" s="55"/>
      <c r="AH894" s="55"/>
    </row>
    <row r="895" spans="1:34" ht="15.75">
      <c r="A895" s="39">
        <v>30.552857100000001</v>
      </c>
      <c r="B895" s="39">
        <v>30.924428599999999</v>
      </c>
      <c r="C895" s="39">
        <v>893</v>
      </c>
      <c r="D895">
        <v>893</v>
      </c>
      <c r="E895" s="10">
        <v>1343415</v>
      </c>
      <c r="F895" s="10">
        <v>962955</v>
      </c>
      <c r="G895" s="10">
        <v>19031.5</v>
      </c>
      <c r="H895" s="10">
        <v>41794</v>
      </c>
      <c r="I895" s="10">
        <v>119642</v>
      </c>
      <c r="J895" s="10">
        <v>29037</v>
      </c>
      <c r="K895">
        <v>893</v>
      </c>
      <c r="L895" s="10">
        <v>1960.5</v>
      </c>
      <c r="M895" s="10">
        <v>336199</v>
      </c>
      <c r="N895" s="10">
        <v>5015.5</v>
      </c>
      <c r="O895">
        <v>0.6149319197419737</v>
      </c>
      <c r="P895">
        <v>0.90548247894766898</v>
      </c>
      <c r="Q895">
        <v>-0.34164091908635141</v>
      </c>
      <c r="R895">
        <v>0.34164091908635141</v>
      </c>
      <c r="S895">
        <f t="shared" si="140"/>
        <v>-1.4159330716040797</v>
      </c>
      <c r="T895" s="148">
        <f t="shared" si="135"/>
        <v>-1.4151742582312634</v>
      </c>
      <c r="U895">
        <f t="shared" si="141"/>
        <v>2.0849504579921971</v>
      </c>
      <c r="V895" s="55">
        <f t="shared" si="136"/>
        <v>2.0850612000255109</v>
      </c>
      <c r="W895">
        <f t="shared" si="142"/>
        <v>0.42247537772217264</v>
      </c>
      <c r="X895" s="55">
        <f t="shared" si="137"/>
        <v>0.42201299865104441</v>
      </c>
      <c r="Y895" s="149">
        <v>30.924428599999999</v>
      </c>
      <c r="Z895" s="55">
        <f t="shared" si="133"/>
        <v>5.2084469160033437E-3</v>
      </c>
      <c r="AA895" s="55">
        <f t="shared" si="138"/>
        <v>5.2083786175636899E-3</v>
      </c>
      <c r="AB895" s="55">
        <f t="shared" si="134"/>
        <v>-5.257473564392928</v>
      </c>
      <c r="AC895" s="55">
        <f t="shared" si="139"/>
        <v>-5.2574867748965239</v>
      </c>
      <c r="AD895" s="55"/>
      <c r="AE895" s="55"/>
      <c r="AF895" s="55"/>
      <c r="AG895" s="55"/>
      <c r="AH895" s="55"/>
    </row>
    <row r="896" spans="1:34" ht="15.75">
      <c r="A896" s="39">
        <v>30.5648476</v>
      </c>
      <c r="B896" s="39">
        <v>30.936590500000001</v>
      </c>
      <c r="C896" s="39">
        <v>894</v>
      </c>
      <c r="D896">
        <v>894</v>
      </c>
      <c r="E896" s="10">
        <v>1364977.5</v>
      </c>
      <c r="F896" s="10">
        <v>998002.5</v>
      </c>
      <c r="G896" s="10">
        <v>19457.25</v>
      </c>
      <c r="H896" s="10">
        <v>43247</v>
      </c>
      <c r="I896" s="10">
        <v>111929.5</v>
      </c>
      <c r="J896" s="10">
        <v>30298</v>
      </c>
      <c r="K896">
        <v>894</v>
      </c>
      <c r="L896" s="10">
        <v>1711.25</v>
      </c>
      <c r="M896" s="10">
        <v>346154</v>
      </c>
      <c r="N896" s="10">
        <v>5200.75</v>
      </c>
      <c r="O896">
        <v>0.56753060247524512</v>
      </c>
      <c r="P896">
        <v>0.90331336820496155</v>
      </c>
      <c r="Q896">
        <v>-0.34687452723790929</v>
      </c>
      <c r="R896">
        <v>0.34687452723790929</v>
      </c>
      <c r="S896">
        <f t="shared" si="140"/>
        <v>-1.3067875050774289</v>
      </c>
      <c r="T896" s="148">
        <f t="shared" si="135"/>
        <v>-1.3057790102295765</v>
      </c>
      <c r="U896">
        <f t="shared" si="141"/>
        <v>2.0799558959309863</v>
      </c>
      <c r="V896" s="55">
        <f t="shared" si="136"/>
        <v>2.080056572022503</v>
      </c>
      <c r="W896">
        <f t="shared" si="142"/>
        <v>0.44286195248326504</v>
      </c>
      <c r="X896" s="55">
        <f t="shared" si="137"/>
        <v>0.4424436815756973</v>
      </c>
      <c r="Y896" s="149">
        <v>30.936590500000001</v>
      </c>
      <c r="Z896" s="55">
        <f t="shared" si="133"/>
        <v>5.2111592906831398E-3</v>
      </c>
      <c r="AA896" s="55">
        <f t="shared" si="138"/>
        <v>5.2110979435708088E-3</v>
      </c>
      <c r="AB896" s="55">
        <f t="shared" si="134"/>
        <v>-5.2569529353619915</v>
      </c>
      <c r="AC896" s="55">
        <f t="shared" si="139"/>
        <v>-5.2569647920081097</v>
      </c>
      <c r="AD896" s="55"/>
      <c r="AE896" s="55"/>
      <c r="AF896" s="55"/>
      <c r="AG896" s="55"/>
      <c r="AH896" s="55"/>
    </row>
    <row r="897" spans="1:34" ht="15.75">
      <c r="A897" s="39">
        <v>30.5768381</v>
      </c>
      <c r="B897" s="39">
        <v>30.9487524</v>
      </c>
      <c r="C897" s="39">
        <v>895</v>
      </c>
      <c r="D897">
        <v>895</v>
      </c>
      <c r="E897" s="10">
        <v>1386540</v>
      </c>
      <c r="F897" s="10">
        <v>1033050</v>
      </c>
      <c r="G897" s="10">
        <v>19883</v>
      </c>
      <c r="H897" s="10">
        <v>44700</v>
      </c>
      <c r="I897" s="10">
        <v>104217</v>
      </c>
      <c r="J897" s="10">
        <v>31559</v>
      </c>
      <c r="K897">
        <v>895</v>
      </c>
      <c r="L897" s="10">
        <v>1462</v>
      </c>
      <c r="M897" s="10">
        <v>356109</v>
      </c>
      <c r="N897" s="10">
        <v>5386</v>
      </c>
      <c r="O897">
        <v>0.51881533396616586</v>
      </c>
      <c r="P897">
        <v>0.90127542667527072</v>
      </c>
      <c r="Q897">
        <v>-0.35182561061845363</v>
      </c>
      <c r="R897">
        <v>0.35182561061845363</v>
      </c>
      <c r="S897">
        <f t="shared" si="140"/>
        <v>-1.1946164540072208</v>
      </c>
      <c r="T897" s="148">
        <f t="shared" si="135"/>
        <v>-1.2546366735170162</v>
      </c>
      <c r="U897">
        <f t="shared" si="141"/>
        <v>2.0752633621443262</v>
      </c>
      <c r="V897" s="55">
        <f t="shared" si="136"/>
        <v>2.0792346213124051</v>
      </c>
      <c r="W897">
        <f t="shared" si="142"/>
        <v>0.46199371452165416</v>
      </c>
      <c r="X897" s="55">
        <f t="shared" si="137"/>
        <v>0.4466094490243247</v>
      </c>
      <c r="Y897" s="149">
        <v>30.9487524</v>
      </c>
      <c r="Z897" s="55">
        <f t="shared" si="133"/>
        <v>5.2136876240259427E-3</v>
      </c>
      <c r="AA897" s="55">
        <f t="shared" si="138"/>
        <v>5.2312779773192953E-3</v>
      </c>
      <c r="AB897" s="55">
        <f t="shared" si="134"/>
        <v>-5.2564678762694097</v>
      </c>
      <c r="AC897" s="55">
        <f t="shared" si="139"/>
        <v>-5.2531126544590423</v>
      </c>
      <c r="AD897" s="55"/>
      <c r="AE897" s="55"/>
      <c r="AF897" s="55"/>
      <c r="AG897" s="55"/>
      <c r="AH897" s="55"/>
    </row>
    <row r="898" spans="1:34" ht="15.75">
      <c r="A898" s="39">
        <v>30.588828599999999</v>
      </c>
      <c r="B898" s="39">
        <v>30.960914299999999</v>
      </c>
      <c r="C898" s="39">
        <v>896</v>
      </c>
      <c r="D898">
        <v>896</v>
      </c>
      <c r="E898" s="10">
        <v>1320260</v>
      </c>
      <c r="F898" s="10">
        <v>975140</v>
      </c>
      <c r="G898" s="10">
        <v>19078</v>
      </c>
      <c r="H898" s="10">
        <v>42286</v>
      </c>
      <c r="I898" s="10">
        <v>104169</v>
      </c>
      <c r="J898" s="10">
        <v>29474</v>
      </c>
      <c r="K898">
        <v>896</v>
      </c>
      <c r="L898" s="10">
        <v>1172</v>
      </c>
      <c r="M898" s="10">
        <v>339319</v>
      </c>
      <c r="N898" s="10">
        <v>5138</v>
      </c>
      <c r="O898">
        <v>0.54829941586426478</v>
      </c>
      <c r="P898">
        <v>0.90441157297429253</v>
      </c>
      <c r="Q898">
        <v>-0.34566376100556079</v>
      </c>
      <c r="R898">
        <v>0.34566376100556073</v>
      </c>
      <c r="S898">
        <f t="shared" si="140"/>
        <v>-1.262506061466399</v>
      </c>
      <c r="T898" s="148">
        <f t="shared" si="135"/>
        <v>-1.2179152497829955</v>
      </c>
      <c r="U898">
        <f t="shared" si="141"/>
        <v>2.0824846058619024</v>
      </c>
      <c r="V898" s="55">
        <f t="shared" si="136"/>
        <v>2.0774241051711413</v>
      </c>
      <c r="W898">
        <f t="shared" si="142"/>
        <v>0.43497268006805484</v>
      </c>
      <c r="X898" s="55">
        <f t="shared" si="137"/>
        <v>0.46525592499207286</v>
      </c>
      <c r="Y898" s="149">
        <v>30.960914299999999</v>
      </c>
      <c r="Z898" s="55">
        <f t="shared" si="133"/>
        <v>5.268987017248805E-3</v>
      </c>
      <c r="AA898" s="55">
        <f t="shared" si="138"/>
        <v>5.1356980506498395E-3</v>
      </c>
      <c r="AB898" s="55">
        <f t="shared" si="134"/>
        <v>-5.2459171517457248</v>
      </c>
      <c r="AC898" s="55">
        <f t="shared" si="139"/>
        <v>-5.2719779683909271</v>
      </c>
      <c r="AD898" s="55"/>
      <c r="AE898" s="55"/>
      <c r="AF898" s="55"/>
      <c r="AG898" s="55"/>
      <c r="AH898" s="55"/>
    </row>
    <row r="899" spans="1:34" ht="15.75">
      <c r="A899" s="39">
        <v>30.600819099999999</v>
      </c>
      <c r="B899" s="39">
        <v>30.973076200000001</v>
      </c>
      <c r="C899" s="39">
        <v>897</v>
      </c>
      <c r="D899">
        <v>897</v>
      </c>
      <c r="E899" s="10">
        <v>1205680</v>
      </c>
      <c r="F899" s="10">
        <v>898380</v>
      </c>
      <c r="G899" s="10">
        <v>15997</v>
      </c>
      <c r="H899" s="10">
        <v>38735</v>
      </c>
      <c r="I899" s="10">
        <v>87167</v>
      </c>
      <c r="J899" s="10">
        <v>26343</v>
      </c>
      <c r="K899">
        <v>897</v>
      </c>
      <c r="L899" s="10">
        <v>1337</v>
      </c>
      <c r="M899" s="10">
        <v>308360</v>
      </c>
      <c r="N899" s="10">
        <v>4424</v>
      </c>
      <c r="O899">
        <v>0.51968686738929581</v>
      </c>
      <c r="P899">
        <v>0.90095447669631912</v>
      </c>
      <c r="Q899">
        <v>-0.38406501549721189</v>
      </c>
      <c r="R899">
        <v>0.38406501549721189</v>
      </c>
      <c r="S899">
        <f t="shared" si="140"/>
        <v>-1.1966232338753662</v>
      </c>
      <c r="T899" s="148">
        <f t="shared" si="135"/>
        <v>-1.229348029801552</v>
      </c>
      <c r="U899">
        <f t="shared" si="141"/>
        <v>2.0745243475071957</v>
      </c>
      <c r="V899" s="55">
        <f t="shared" si="136"/>
        <v>2.0738194774922403</v>
      </c>
      <c r="W899">
        <f t="shared" si="142"/>
        <v>0.49880138038650951</v>
      </c>
      <c r="X899" s="55">
        <f t="shared" si="137"/>
        <v>0.49008850052882263</v>
      </c>
      <c r="Y899" s="149">
        <v>30.973076200000001</v>
      </c>
      <c r="Z899" s="55">
        <f t="shared" ref="Z899:Z962" si="143">N899/F899</f>
        <v>4.92441951067477E-3</v>
      </c>
      <c r="AA899" s="55">
        <f t="shared" si="138"/>
        <v>5.0784133629611693E-3</v>
      </c>
      <c r="AB899" s="55">
        <f t="shared" ref="AB899:AB962" si="144">LN(Z899)</f>
        <v>-5.3135488771576487</v>
      </c>
      <c r="AC899" s="55">
        <f t="shared" si="139"/>
        <v>-5.2831504967280969</v>
      </c>
      <c r="AD899" s="55"/>
      <c r="AE899" s="55"/>
      <c r="AF899" s="55"/>
      <c r="AG899" s="55"/>
      <c r="AH899" s="55"/>
    </row>
    <row r="900" spans="1:34" ht="15.75">
      <c r="A900" s="39">
        <v>30.612809500000001</v>
      </c>
      <c r="B900" s="39">
        <v>30.9852381</v>
      </c>
      <c r="C900" s="39">
        <v>898</v>
      </c>
      <c r="D900">
        <v>898</v>
      </c>
      <c r="E900" s="10">
        <v>1171720</v>
      </c>
      <c r="F900" s="10">
        <v>871310</v>
      </c>
      <c r="G900" s="10">
        <v>15155</v>
      </c>
      <c r="H900" s="10">
        <v>37659</v>
      </c>
      <c r="I900" s="10">
        <v>88565</v>
      </c>
      <c r="J900" s="10">
        <v>25915</v>
      </c>
      <c r="K900">
        <v>898</v>
      </c>
      <c r="L900" s="10">
        <v>1029</v>
      </c>
      <c r="M900" s="10">
        <v>296789</v>
      </c>
      <c r="N900" s="10">
        <v>4393</v>
      </c>
      <c r="O900">
        <v>0.53371091379078439</v>
      </c>
      <c r="P900">
        <v>0.89657901694448305</v>
      </c>
      <c r="Q900">
        <v>-0.39531284284083928</v>
      </c>
      <c r="R900">
        <v>0.39531284284083934</v>
      </c>
      <c r="S900">
        <f t="shared" si="140"/>
        <v>-1.2289147940628904</v>
      </c>
      <c r="T900" s="148">
        <f t="shared" ref="T900:T963" si="145">AVERAGE(S899:S901)</f>
        <v>-1.2202284240824464</v>
      </c>
      <c r="U900">
        <f t="shared" si="141"/>
        <v>2.0644494791076227</v>
      </c>
      <c r="V900" s="55">
        <f t="shared" ref="V900:V963" si="146">AVERAGE(U899:U901)</f>
        <v>2.0602473972663806</v>
      </c>
      <c r="W900">
        <f t="shared" si="142"/>
        <v>0.53649144113190339</v>
      </c>
      <c r="X900" s="55">
        <f t="shared" ref="X900:X963" si="147">AVERAGE(W899:W901)</f>
        <v>0.53449708452268985</v>
      </c>
      <c r="Y900" s="149">
        <v>30.9852381</v>
      </c>
      <c r="Z900" s="55">
        <f t="shared" si="143"/>
        <v>5.0418335609599338E-3</v>
      </c>
      <c r="AA900" s="55">
        <f t="shared" ref="AA900:AA963" si="148">AVERAGE(Z899:Z901)</f>
        <v>4.9569918413319763E-3</v>
      </c>
      <c r="AB900" s="55">
        <f t="shared" si="144"/>
        <v>-5.2899854612809163</v>
      </c>
      <c r="AC900" s="55">
        <f t="shared" ref="AC900:AC963" si="149">AVERAGE(AB899:AB901)</f>
        <v>-5.3070303702133934</v>
      </c>
      <c r="AD900" s="55"/>
      <c r="AE900" s="55"/>
      <c r="AF900" s="55"/>
      <c r="AG900" s="55"/>
      <c r="AH900" s="55"/>
    </row>
    <row r="901" spans="1:34" ht="15.75">
      <c r="A901" s="39">
        <v>30.6248</v>
      </c>
      <c r="B901" s="39">
        <v>30.997399999999999</v>
      </c>
      <c r="C901" s="39">
        <v>899</v>
      </c>
      <c r="D901">
        <v>899</v>
      </c>
      <c r="E901" s="10">
        <v>1211550</v>
      </c>
      <c r="F901" s="10">
        <v>905250</v>
      </c>
      <c r="G901" s="10">
        <v>15546</v>
      </c>
      <c r="H901" s="10">
        <v>39161</v>
      </c>
      <c r="I901" s="10">
        <v>94363</v>
      </c>
      <c r="J901" s="10">
        <v>27440</v>
      </c>
      <c r="K901">
        <v>899</v>
      </c>
      <c r="L901" s="10">
        <v>1952</v>
      </c>
      <c r="M901" s="10">
        <v>301705</v>
      </c>
      <c r="N901" s="10">
        <v>4440</v>
      </c>
      <c r="O901">
        <v>0.53641763254144204</v>
      </c>
      <c r="P901">
        <v>0.88672873432417565</v>
      </c>
      <c r="Q901">
        <v>-0.4012351098774864</v>
      </c>
      <c r="R901">
        <v>0.40123510987748645</v>
      </c>
      <c r="S901">
        <f t="shared" si="140"/>
        <v>-1.2351472443090823</v>
      </c>
      <c r="T901" s="148">
        <f t="shared" si="145"/>
        <v>-1.2422872766551167</v>
      </c>
      <c r="U901">
        <f t="shared" si="141"/>
        <v>2.0417683651843244</v>
      </c>
      <c r="V901" s="55">
        <f t="shared" si="146"/>
        <v>2.0515433060619643</v>
      </c>
      <c r="W901">
        <f t="shared" si="142"/>
        <v>0.56819843204965648</v>
      </c>
      <c r="X901" s="55">
        <f t="shared" si="147"/>
        <v>0.53142363403982429</v>
      </c>
      <c r="Y901" s="149">
        <v>30.997399999999999</v>
      </c>
      <c r="Z901" s="55">
        <f t="shared" si="143"/>
        <v>4.904722452361226E-3</v>
      </c>
      <c r="AA901" s="55">
        <f t="shared" si="148"/>
        <v>5.0628364334806683E-3</v>
      </c>
      <c r="AB901" s="55">
        <f t="shared" si="144"/>
        <v>-5.317556772201617</v>
      </c>
      <c r="AC901" s="55">
        <f t="shared" si="149"/>
        <v>-5.2862011062911689</v>
      </c>
      <c r="AD901" s="55"/>
      <c r="AE901" s="55"/>
      <c r="AF901" s="55"/>
      <c r="AG901" s="55"/>
      <c r="AH901" s="55"/>
    </row>
    <row r="902" spans="1:34" ht="15.75">
      <c r="A902" s="39">
        <v>30.6367905</v>
      </c>
      <c r="B902" s="39">
        <v>31.009561900000001</v>
      </c>
      <c r="C902" s="39">
        <v>900</v>
      </c>
      <c r="D902">
        <v>900</v>
      </c>
      <c r="E902" s="10">
        <v>1223210</v>
      </c>
      <c r="F902" s="10">
        <v>905960</v>
      </c>
      <c r="G902" s="10">
        <v>16717</v>
      </c>
      <c r="H902" s="10">
        <v>39051</v>
      </c>
      <c r="I902" s="10">
        <v>96429</v>
      </c>
      <c r="J902" s="10">
        <v>27276</v>
      </c>
      <c r="K902">
        <v>900</v>
      </c>
      <c r="L902" s="10">
        <v>2513</v>
      </c>
      <c r="M902" s="10">
        <v>302863</v>
      </c>
      <c r="N902" s="10">
        <v>4749</v>
      </c>
      <c r="O902">
        <v>0.54842698123758049</v>
      </c>
      <c r="P902">
        <v>0.88961406035613655</v>
      </c>
      <c r="Q902">
        <v>-0.36847381710819288</v>
      </c>
      <c r="R902">
        <v>0.36847381710819288</v>
      </c>
      <c r="S902">
        <f t="shared" si="140"/>
        <v>-1.262799791593378</v>
      </c>
      <c r="T902" s="148">
        <f t="shared" si="145"/>
        <v>-1.1911331819472222</v>
      </c>
      <c r="U902">
        <f t="shared" si="141"/>
        <v>2.0484120738939451</v>
      </c>
      <c r="V902" s="55">
        <f t="shared" si="146"/>
        <v>2.0694826164822566</v>
      </c>
      <c r="W902">
        <f t="shared" si="142"/>
        <v>0.48958102893791278</v>
      </c>
      <c r="X902" s="55">
        <f t="shared" si="147"/>
        <v>0.51318232503938555</v>
      </c>
      <c r="Y902" s="149">
        <v>31.009561900000001</v>
      </c>
      <c r="Z902" s="55">
        <f t="shared" si="143"/>
        <v>5.2419532871208442E-3</v>
      </c>
      <c r="AA902" s="55">
        <f t="shared" si="148"/>
        <v>5.024639536978623E-3</v>
      </c>
      <c r="AB902" s="55">
        <f t="shared" si="144"/>
        <v>-5.2510610853909743</v>
      </c>
      <c r="AC902" s="55">
        <f t="shared" si="149"/>
        <v>-5.2938645200816339</v>
      </c>
      <c r="AD902" s="55"/>
      <c r="AE902" s="55"/>
      <c r="AF902" s="55"/>
      <c r="AG902" s="55"/>
      <c r="AH902" s="55"/>
    </row>
    <row r="903" spans="1:34" ht="15.75">
      <c r="A903" s="39">
        <v>30.648781</v>
      </c>
      <c r="B903" s="39">
        <v>31.0217238</v>
      </c>
      <c r="C903" s="39">
        <v>901</v>
      </c>
      <c r="D903">
        <v>901</v>
      </c>
      <c r="E903" s="10">
        <v>1315670</v>
      </c>
      <c r="F903" s="10">
        <v>968290</v>
      </c>
      <c r="G903" s="10">
        <v>18338</v>
      </c>
      <c r="H903" s="10">
        <v>42284</v>
      </c>
      <c r="I903" s="10">
        <v>87025</v>
      </c>
      <c r="J903" s="10">
        <v>29688</v>
      </c>
      <c r="K903">
        <v>901</v>
      </c>
      <c r="L903" s="10">
        <v>1240</v>
      </c>
      <c r="M903" s="10">
        <v>351664</v>
      </c>
      <c r="N903" s="10">
        <v>4771</v>
      </c>
      <c r="O903">
        <v>0.46706309061559931</v>
      </c>
      <c r="P903">
        <v>0.91995184751853121</v>
      </c>
      <c r="Q903">
        <v>-0.36282409576116714</v>
      </c>
      <c r="R903">
        <v>0.36282409576116714</v>
      </c>
      <c r="S903">
        <f t="shared" si="140"/>
        <v>-1.075452509939206</v>
      </c>
      <c r="T903" s="148">
        <f t="shared" si="145"/>
        <v>-1.1469425846222692</v>
      </c>
      <c r="U903">
        <f t="shared" si="141"/>
        <v>2.1182674103685013</v>
      </c>
      <c r="V903" s="55">
        <f t="shared" si="146"/>
        <v>2.0932562015201994</v>
      </c>
      <c r="W903">
        <f t="shared" si="142"/>
        <v>0.48176751413058744</v>
      </c>
      <c r="X903" s="55">
        <f t="shared" si="147"/>
        <v>0.47176714083374122</v>
      </c>
      <c r="Y903" s="149">
        <v>31.0217238</v>
      </c>
      <c r="Z903" s="55">
        <f t="shared" si="143"/>
        <v>4.9272428714537998E-3</v>
      </c>
      <c r="AA903" s="55">
        <f t="shared" si="148"/>
        <v>5.062953573914653E-3</v>
      </c>
      <c r="AB903" s="55">
        <f t="shared" si="144"/>
        <v>-5.3129757026523095</v>
      </c>
      <c r="AC903" s="55">
        <f t="shared" si="149"/>
        <v>-5.2861429852133801</v>
      </c>
      <c r="AD903" s="55"/>
      <c r="AE903" s="55"/>
      <c r="AF903" s="55"/>
      <c r="AG903" s="55"/>
      <c r="AH903" s="55"/>
    </row>
    <row r="904" spans="1:34" ht="15.75">
      <c r="A904" s="39">
        <v>30.660771400000002</v>
      </c>
      <c r="B904" s="39">
        <v>31.033885699999999</v>
      </c>
      <c r="C904" s="39">
        <v>902</v>
      </c>
      <c r="D904">
        <v>902</v>
      </c>
      <c r="E904" s="10">
        <v>1393380</v>
      </c>
      <c r="F904" s="10">
        <v>1009430</v>
      </c>
      <c r="G904" s="10">
        <v>20193</v>
      </c>
      <c r="H904" s="10">
        <v>45401</v>
      </c>
      <c r="I904" s="10">
        <v>94809</v>
      </c>
      <c r="J904" s="10">
        <v>31478</v>
      </c>
      <c r="K904">
        <v>902</v>
      </c>
      <c r="L904" s="10">
        <v>1157</v>
      </c>
      <c r="M904" s="10">
        <v>375637</v>
      </c>
      <c r="N904" s="10">
        <v>5067</v>
      </c>
      <c r="O904">
        <v>0.47884243483073513</v>
      </c>
      <c r="P904">
        <v>0.91770294471528369</v>
      </c>
      <c r="Q904">
        <v>-0.35186457343309635</v>
      </c>
      <c r="R904">
        <v>0.35186457343309629</v>
      </c>
      <c r="S904">
        <f t="shared" si="140"/>
        <v>-1.1025754523342235</v>
      </c>
      <c r="T904" s="148">
        <f t="shared" si="145"/>
        <v>-1.1149405163231936</v>
      </c>
      <c r="U904">
        <f t="shared" si="141"/>
        <v>2.113089120298151</v>
      </c>
      <c r="V904" s="55">
        <f t="shared" si="146"/>
        <v>2.11281205458114</v>
      </c>
      <c r="W904">
        <f t="shared" si="142"/>
        <v>0.44395287943272349</v>
      </c>
      <c r="X904" s="55">
        <f t="shared" si="147"/>
        <v>0.46208472600632006</v>
      </c>
      <c r="Y904" s="149">
        <v>31.033885699999999</v>
      </c>
      <c r="Z904" s="55">
        <f t="shared" si="143"/>
        <v>5.0196645631693133E-3</v>
      </c>
      <c r="AA904" s="55">
        <f t="shared" si="148"/>
        <v>4.9648117181426872E-3</v>
      </c>
      <c r="AB904" s="55">
        <f t="shared" si="144"/>
        <v>-5.2943921675968548</v>
      </c>
      <c r="AC904" s="55">
        <f t="shared" si="149"/>
        <v>-5.3054117159873746</v>
      </c>
      <c r="AD904" s="55"/>
      <c r="AE904" s="55"/>
      <c r="AF904" s="55"/>
      <c r="AG904" s="55"/>
      <c r="AH904" s="55"/>
    </row>
    <row r="905" spans="1:34" ht="15.75">
      <c r="A905" s="39">
        <v>30.672761900000001</v>
      </c>
      <c r="B905" s="39">
        <v>31.046047600000001</v>
      </c>
      <c r="C905" s="39">
        <v>903</v>
      </c>
      <c r="D905">
        <v>903</v>
      </c>
      <c r="E905" s="10">
        <v>1410220</v>
      </c>
      <c r="F905" s="10">
        <v>1011010</v>
      </c>
      <c r="G905" s="10">
        <v>20066</v>
      </c>
      <c r="H905" s="10">
        <v>45658</v>
      </c>
      <c r="I905" s="10">
        <v>102141</v>
      </c>
      <c r="J905" s="10">
        <v>31803</v>
      </c>
      <c r="K905">
        <v>903</v>
      </c>
      <c r="L905" s="10">
        <v>1503</v>
      </c>
      <c r="M905" s="10">
        <v>375500</v>
      </c>
      <c r="N905" s="10">
        <v>5002</v>
      </c>
      <c r="O905">
        <v>0.50673201622224184</v>
      </c>
      <c r="P905">
        <v>0.91509305757596926</v>
      </c>
      <c r="Q905">
        <v>-0.35705607585383842</v>
      </c>
      <c r="R905">
        <v>0.35705607585383836</v>
      </c>
      <c r="S905">
        <f t="shared" si="140"/>
        <v>-1.166793586696151</v>
      </c>
      <c r="T905" s="148">
        <f t="shared" si="145"/>
        <v>-1.1511066616039656</v>
      </c>
      <c r="U905">
        <f t="shared" si="141"/>
        <v>2.1070796330767689</v>
      </c>
      <c r="V905" s="55">
        <f t="shared" si="146"/>
        <v>2.1077895629450318</v>
      </c>
      <c r="W905">
        <f t="shared" si="142"/>
        <v>0.46053378445564924</v>
      </c>
      <c r="X905" s="55">
        <f t="shared" si="147"/>
        <v>0.46789040332245113</v>
      </c>
      <c r="Y905" s="149">
        <v>31.046047600000001</v>
      </c>
      <c r="Z905" s="55">
        <f t="shared" si="143"/>
        <v>4.9475277198049476E-3</v>
      </c>
      <c r="AA905" s="55">
        <f t="shared" si="148"/>
        <v>4.9541227821597493E-3</v>
      </c>
      <c r="AB905" s="55">
        <f t="shared" si="144"/>
        <v>-5.3088672777129613</v>
      </c>
      <c r="AC905" s="55">
        <f t="shared" si="149"/>
        <v>-5.3075881603088986</v>
      </c>
      <c r="AD905" s="55"/>
      <c r="AE905" s="55"/>
      <c r="AF905" s="55"/>
      <c r="AG905" s="55"/>
      <c r="AH905" s="55"/>
    </row>
    <row r="906" spans="1:34" ht="15.75">
      <c r="A906" s="39">
        <v>30.684752400000001</v>
      </c>
      <c r="B906" s="39">
        <v>31.0582095</v>
      </c>
      <c r="C906" s="39">
        <v>904</v>
      </c>
      <c r="D906">
        <v>904</v>
      </c>
      <c r="E906" s="10">
        <v>1376490</v>
      </c>
      <c r="F906" s="10">
        <v>982600</v>
      </c>
      <c r="G906" s="10">
        <v>18836</v>
      </c>
      <c r="H906" s="10">
        <v>43594</v>
      </c>
      <c r="I906" s="10">
        <v>101383</v>
      </c>
      <c r="J906" s="10">
        <v>31030</v>
      </c>
      <c r="K906">
        <v>904</v>
      </c>
      <c r="L906" s="10">
        <v>1376</v>
      </c>
      <c r="M906" s="10">
        <v>357137</v>
      </c>
      <c r="N906" s="10">
        <v>4810</v>
      </c>
      <c r="O906">
        <v>0.514183362597051</v>
      </c>
      <c r="P906">
        <v>0.91340812630962998</v>
      </c>
      <c r="Q906">
        <v>-0.3644380380895581</v>
      </c>
      <c r="R906">
        <v>0.3644380380895581</v>
      </c>
      <c r="S906">
        <f t="shared" si="140"/>
        <v>-1.1839509457815218</v>
      </c>
      <c r="T906" s="148">
        <f t="shared" si="145"/>
        <v>-1.1172703861220634</v>
      </c>
      <c r="U906">
        <f t="shared" si="141"/>
        <v>2.1031999354601765</v>
      </c>
      <c r="V906" s="55">
        <f t="shared" si="146"/>
        <v>2.10306381149051</v>
      </c>
      <c r="W906">
        <f t="shared" si="142"/>
        <v>0.49918454607898072</v>
      </c>
      <c r="X906" s="55">
        <f t="shared" si="147"/>
        <v>0.48073445549901345</v>
      </c>
      <c r="Y906" s="149">
        <v>31.0582095</v>
      </c>
      <c r="Z906" s="55">
        <f t="shared" si="143"/>
        <v>4.8951760635049871E-3</v>
      </c>
      <c r="AA906" s="55">
        <f t="shared" si="148"/>
        <v>5.0121702853431005E-3</v>
      </c>
      <c r="AB906" s="55">
        <f t="shared" si="144"/>
        <v>-5.3195050356168778</v>
      </c>
      <c r="AC906" s="55">
        <f t="shared" si="149"/>
        <v>-5.296220208006722</v>
      </c>
      <c r="AD906" s="55"/>
      <c r="AE906" s="55"/>
      <c r="AF906" s="55"/>
      <c r="AG906" s="55"/>
      <c r="AH906" s="55"/>
    </row>
    <row r="907" spans="1:34" ht="15.75">
      <c r="A907" s="39">
        <v>30.6967429</v>
      </c>
      <c r="B907" s="39">
        <v>31.070371399999999</v>
      </c>
      <c r="C907" s="39">
        <v>905</v>
      </c>
      <c r="D907">
        <v>905</v>
      </c>
      <c r="E907" s="10">
        <v>1361980</v>
      </c>
      <c r="F907" s="10">
        <v>988870</v>
      </c>
      <c r="G907" s="10">
        <v>19497</v>
      </c>
      <c r="H907" s="10">
        <v>44129</v>
      </c>
      <c r="I907" s="10">
        <v>85954</v>
      </c>
      <c r="J907" s="10">
        <v>31587</v>
      </c>
      <c r="K907">
        <v>905</v>
      </c>
      <c r="L907" s="10">
        <v>1620</v>
      </c>
      <c r="M907" s="10">
        <v>359973</v>
      </c>
      <c r="N907" s="10">
        <v>5136</v>
      </c>
      <c r="O907">
        <v>0.43475771164089011</v>
      </c>
      <c r="P907">
        <v>0.91154584137664796</v>
      </c>
      <c r="Q907">
        <v>-0.35475629439624845</v>
      </c>
      <c r="R907">
        <v>0.35475629439624845</v>
      </c>
      <c r="S907">
        <f t="shared" si="140"/>
        <v>-1.0010666258885175</v>
      </c>
      <c r="T907" s="148">
        <f t="shared" si="145"/>
        <v>-1.0364552728505598</v>
      </c>
      <c r="U907">
        <f t="shared" si="141"/>
        <v>2.0989118659345847</v>
      </c>
      <c r="V907" s="55">
        <f t="shared" si="146"/>
        <v>2.1099425628066792</v>
      </c>
      <c r="W907">
        <f t="shared" si="142"/>
        <v>0.48248503596241038</v>
      </c>
      <c r="X907" s="55">
        <f t="shared" si="147"/>
        <v>0.48642280579211378</v>
      </c>
      <c r="Y907" s="149">
        <v>31.070371399999999</v>
      </c>
      <c r="Z907" s="55">
        <f t="shared" si="143"/>
        <v>5.1938070727193669E-3</v>
      </c>
      <c r="AA907" s="55">
        <f t="shared" si="148"/>
        <v>5.1230689564552801E-3</v>
      </c>
      <c r="AB907" s="55">
        <f t="shared" si="144"/>
        <v>-5.2602883106903278</v>
      </c>
      <c r="AC907" s="55">
        <f t="shared" si="149"/>
        <v>-5.2745267182559585</v>
      </c>
      <c r="AD907" s="55"/>
      <c r="AE907" s="55"/>
      <c r="AF907" s="55"/>
      <c r="AG907" s="55"/>
      <c r="AH907" s="55"/>
    </row>
    <row r="908" spans="1:34" ht="15.75">
      <c r="A908" s="39">
        <v>30.708733299999999</v>
      </c>
      <c r="B908" s="39">
        <v>31.082533300000001</v>
      </c>
      <c r="C908" s="39">
        <v>906</v>
      </c>
      <c r="D908">
        <v>906</v>
      </c>
      <c r="E908" s="10">
        <v>1344090</v>
      </c>
      <c r="F908" s="10">
        <v>986890</v>
      </c>
      <c r="G908" s="10">
        <v>18953</v>
      </c>
      <c r="H908" s="10">
        <v>43031</v>
      </c>
      <c r="I908" s="10">
        <v>77008</v>
      </c>
      <c r="J908" s="10">
        <v>30556</v>
      </c>
      <c r="K908">
        <v>906</v>
      </c>
      <c r="L908" s="10">
        <v>1737</v>
      </c>
      <c r="M908" s="10">
        <v>361274</v>
      </c>
      <c r="N908" s="10">
        <v>5211</v>
      </c>
      <c r="O908">
        <v>0.40143934297764106</v>
      </c>
      <c r="P908">
        <v>0.92405526879296052</v>
      </c>
      <c r="Q908">
        <v>-0.35610347618918986</v>
      </c>
      <c r="R908">
        <v>0.35610347618918986</v>
      </c>
      <c r="S908">
        <f t="shared" si="140"/>
        <v>-0.92434824688164019</v>
      </c>
      <c r="T908" s="148">
        <f t="shared" si="145"/>
        <v>-1.0199316714236775</v>
      </c>
      <c r="U908">
        <f t="shared" si="141"/>
        <v>2.127715887025277</v>
      </c>
      <c r="V908" s="55">
        <f t="shared" si="146"/>
        <v>2.1123569105804934</v>
      </c>
      <c r="W908">
        <f t="shared" si="142"/>
        <v>0.47759883533495018</v>
      </c>
      <c r="X908" s="55">
        <f t="shared" si="147"/>
        <v>0.4667457584284766</v>
      </c>
      <c r="Y908" s="149">
        <v>31.082533300000001</v>
      </c>
      <c r="Z908" s="55">
        <f t="shared" si="143"/>
        <v>5.2802237331414847E-3</v>
      </c>
      <c r="AA908" s="55">
        <f t="shared" si="148"/>
        <v>5.1342653215658007E-3</v>
      </c>
      <c r="AB908" s="55">
        <f t="shared" si="144"/>
        <v>-5.2437868084606682</v>
      </c>
      <c r="AC908" s="55">
        <f t="shared" si="149"/>
        <v>-5.2722473054445436</v>
      </c>
      <c r="AD908" s="55"/>
      <c r="AE908" s="55"/>
      <c r="AF908" s="55"/>
      <c r="AG908" s="55"/>
      <c r="AH908" s="55"/>
    </row>
    <row r="909" spans="1:34" ht="15.75">
      <c r="A909" s="39">
        <v>30.720723799999998</v>
      </c>
      <c r="B909" s="39">
        <v>31.0946952</v>
      </c>
      <c r="C909" s="39">
        <v>907</v>
      </c>
      <c r="D909">
        <v>907</v>
      </c>
      <c r="E909" s="10">
        <v>1359310</v>
      </c>
      <c r="F909" s="10">
        <v>962310</v>
      </c>
      <c r="G909" s="10">
        <v>19369</v>
      </c>
      <c r="H909" s="10">
        <v>42724</v>
      </c>
      <c r="I909" s="10">
        <v>93523</v>
      </c>
      <c r="J909" s="10">
        <v>30079</v>
      </c>
      <c r="K909">
        <v>907</v>
      </c>
      <c r="L909" s="10">
        <v>1718</v>
      </c>
      <c r="M909" s="10">
        <v>352554</v>
      </c>
      <c r="N909" s="10">
        <v>4743</v>
      </c>
      <c r="O909">
        <v>0.4926550358344598</v>
      </c>
      <c r="P909">
        <v>0.91655374005631829</v>
      </c>
      <c r="Q909">
        <v>-0.34356470723898352</v>
      </c>
      <c r="R909">
        <v>0.34356470723898347</v>
      </c>
      <c r="S909">
        <f t="shared" si="140"/>
        <v>-1.1343801415008745</v>
      </c>
      <c r="T909" s="148">
        <f t="shared" si="145"/>
        <v>-1.041384668199302</v>
      </c>
      <c r="U909">
        <f t="shared" si="141"/>
        <v>2.1104429787816179</v>
      </c>
      <c r="V909" s="55">
        <f t="shared" si="146"/>
        <v>2.0998442563423967</v>
      </c>
      <c r="W909">
        <f t="shared" si="142"/>
        <v>0.44015340398806924</v>
      </c>
      <c r="X909" s="55">
        <f t="shared" si="147"/>
        <v>0.45142947247296261</v>
      </c>
      <c r="Y909" s="149">
        <v>31.0946952</v>
      </c>
      <c r="Z909" s="55">
        <f t="shared" si="143"/>
        <v>4.9287651588365497E-3</v>
      </c>
      <c r="AA909" s="55">
        <f t="shared" si="148"/>
        <v>5.0750353353681129E-3</v>
      </c>
      <c r="AB909" s="55">
        <f t="shared" si="144"/>
        <v>-5.3126667971826347</v>
      </c>
      <c r="AC909" s="55">
        <f t="shared" si="149"/>
        <v>-5.283850911152026</v>
      </c>
      <c r="AD909" s="55"/>
      <c r="AE909" s="55"/>
      <c r="AF909" s="55"/>
      <c r="AG909" s="55"/>
      <c r="AH909" s="55"/>
    </row>
    <row r="910" spans="1:34" ht="15.75">
      <c r="A910" s="39">
        <v>30.732714300000001</v>
      </c>
      <c r="B910" s="39">
        <v>31.106857099999999</v>
      </c>
      <c r="C910" s="39">
        <v>908</v>
      </c>
      <c r="D910">
        <v>908</v>
      </c>
      <c r="E910" s="10">
        <v>1294550</v>
      </c>
      <c r="F910" s="10">
        <v>933790</v>
      </c>
      <c r="G910" s="10">
        <v>18822</v>
      </c>
      <c r="H910" s="10">
        <v>41447</v>
      </c>
      <c r="I910" s="10">
        <v>84520</v>
      </c>
      <c r="J910" s="10">
        <v>29124</v>
      </c>
      <c r="K910">
        <v>908</v>
      </c>
      <c r="L910" s="10">
        <v>1814</v>
      </c>
      <c r="M910" s="10">
        <v>325639</v>
      </c>
      <c r="N910" s="10">
        <v>4684</v>
      </c>
      <c r="O910">
        <v>0.46270846600071619</v>
      </c>
      <c r="P910">
        <v>0.89524331130794232</v>
      </c>
      <c r="Q910">
        <v>-0.34282733201486837</v>
      </c>
      <c r="R910">
        <v>0.34282733201486831</v>
      </c>
      <c r="S910">
        <f t="shared" si="140"/>
        <v>-1.0654256162153912</v>
      </c>
      <c r="T910" s="148">
        <f t="shared" si="145"/>
        <v>-0.77420522430894445</v>
      </c>
      <c r="U910">
        <f t="shared" si="141"/>
        <v>2.0613739032202956</v>
      </c>
      <c r="V910" s="55">
        <f t="shared" si="146"/>
        <v>2.066423034123066</v>
      </c>
      <c r="W910">
        <f t="shared" si="142"/>
        <v>0.43653617809586853</v>
      </c>
      <c r="X910" s="55">
        <f t="shared" si="147"/>
        <v>0.45877826911321806</v>
      </c>
      <c r="Y910" s="149">
        <v>31.106857099999999</v>
      </c>
      <c r="Z910" s="55">
        <f t="shared" si="143"/>
        <v>5.0161171141263027E-3</v>
      </c>
      <c r="AA910" s="55">
        <f t="shared" si="148"/>
        <v>5.233418765669324E-3</v>
      </c>
      <c r="AB910" s="55">
        <f t="shared" si="144"/>
        <v>-5.2950991278127759</v>
      </c>
      <c r="AC910" s="55">
        <f t="shared" si="149"/>
        <v>-5.2551290575898513</v>
      </c>
      <c r="AD910" s="55"/>
      <c r="AE910" s="55"/>
      <c r="AF910" s="55"/>
      <c r="AG910" s="55"/>
      <c r="AH910" s="55"/>
    </row>
    <row r="911" spans="1:34" ht="15.75">
      <c r="A911" s="39">
        <v>30.744704800000001</v>
      </c>
      <c r="B911" s="39">
        <v>31.119019099999999</v>
      </c>
      <c r="C911" s="39">
        <v>909</v>
      </c>
      <c r="D911">
        <v>909</v>
      </c>
      <c r="E911" s="10">
        <v>1245290</v>
      </c>
      <c r="F911" s="10">
        <v>996460</v>
      </c>
      <c r="G911" s="10">
        <v>18996</v>
      </c>
      <c r="H911" s="10">
        <v>43495</v>
      </c>
      <c r="I911" s="10">
        <v>35399</v>
      </c>
      <c r="J911" s="10">
        <v>31308</v>
      </c>
      <c r="K911">
        <v>909</v>
      </c>
      <c r="L911" s="10">
        <v>2299</v>
      </c>
      <c r="M911" s="10">
        <v>330332</v>
      </c>
      <c r="N911" s="10">
        <v>5735</v>
      </c>
      <c r="O911">
        <v>5.3335668498955761E-2</v>
      </c>
      <c r="P911">
        <v>0.88051131162800789</v>
      </c>
      <c r="Q911">
        <v>-0.35977717426956823</v>
      </c>
      <c r="R911">
        <v>0.35977717426956818</v>
      </c>
      <c r="S911">
        <f t="shared" si="140"/>
        <v>-0.12280991521056753</v>
      </c>
      <c r="T911" s="148">
        <f t="shared" si="145"/>
        <v>-0.62562065393643451</v>
      </c>
      <c r="U911">
        <f t="shared" si="141"/>
        <v>2.0274522203672856</v>
      </c>
      <c r="V911" s="55">
        <f t="shared" si="146"/>
        <v>2.0674715178797842</v>
      </c>
      <c r="W911">
        <f t="shared" si="142"/>
        <v>0.49964522525571631</v>
      </c>
      <c r="X911" s="55">
        <f t="shared" si="147"/>
        <v>0.50873692121669623</v>
      </c>
      <c r="Y911" s="149">
        <v>31.119019099999999</v>
      </c>
      <c r="Z911" s="55">
        <f t="shared" si="143"/>
        <v>5.7553740240451198E-3</v>
      </c>
      <c r="AA911" s="55">
        <f t="shared" si="148"/>
        <v>5.4462812500132296E-3</v>
      </c>
      <c r="AB911" s="55">
        <f t="shared" si="144"/>
        <v>-5.1576212477741432</v>
      </c>
      <c r="AC911" s="55">
        <f t="shared" si="149"/>
        <v>-5.2145186692389869</v>
      </c>
      <c r="AD911" s="55"/>
      <c r="AE911" s="55"/>
      <c r="AF911" s="55"/>
      <c r="AG911" s="55"/>
      <c r="AH911" s="55"/>
    </row>
    <row r="912" spans="1:34" ht="15.75">
      <c r="A912" s="39">
        <v>30.756695199999999</v>
      </c>
      <c r="B912" s="39">
        <v>31.131181000000002</v>
      </c>
      <c r="C912" s="39">
        <v>910</v>
      </c>
      <c r="D912">
        <v>910</v>
      </c>
      <c r="E912" s="10">
        <v>1251770</v>
      </c>
      <c r="F912" s="10">
        <v>1036040</v>
      </c>
      <c r="G912" s="10">
        <v>16529</v>
      </c>
      <c r="H912" s="10">
        <v>40127</v>
      </c>
      <c r="I912" s="10">
        <v>59369</v>
      </c>
      <c r="J912" s="10">
        <v>29819</v>
      </c>
      <c r="K912">
        <v>910</v>
      </c>
      <c r="L912" s="10">
        <v>1781</v>
      </c>
      <c r="M912" s="10">
        <v>332167</v>
      </c>
      <c r="N912" s="10">
        <v>5768</v>
      </c>
      <c r="O912">
        <v>0.29906665880822048</v>
      </c>
      <c r="P912">
        <v>0.91791979218604169</v>
      </c>
      <c r="Q912">
        <v>-0.38519011228213251</v>
      </c>
      <c r="R912">
        <v>0.38519011228213257</v>
      </c>
      <c r="S912">
        <f t="shared" si="140"/>
        <v>-0.68862643038334481</v>
      </c>
      <c r="T912" s="148">
        <f t="shared" si="145"/>
        <v>-0.67780513999707892</v>
      </c>
      <c r="U912">
        <f t="shared" si="141"/>
        <v>2.113588430051772</v>
      </c>
      <c r="V912" s="55">
        <f t="shared" si="146"/>
        <v>2.1128623477264621</v>
      </c>
      <c r="W912">
        <f t="shared" si="142"/>
        <v>0.59002936029850406</v>
      </c>
      <c r="X912" s="55">
        <f t="shared" si="147"/>
        <v>0.54402273429090975</v>
      </c>
      <c r="Y912" s="149">
        <v>31.131181000000002</v>
      </c>
      <c r="Z912" s="55">
        <f t="shared" si="143"/>
        <v>5.5673526118682672E-3</v>
      </c>
      <c r="AA912" s="55">
        <f t="shared" si="148"/>
        <v>5.4155628526156366E-3</v>
      </c>
      <c r="AB912" s="55">
        <f t="shared" si="144"/>
        <v>-5.1908356321300424</v>
      </c>
      <c r="AC912" s="55">
        <f t="shared" si="149"/>
        <v>-5.2206995612504343</v>
      </c>
      <c r="AD912" s="55"/>
      <c r="AE912" s="55"/>
      <c r="AF912" s="55"/>
      <c r="AG912" s="55"/>
      <c r="AH912" s="55"/>
    </row>
    <row r="913" spans="1:34" ht="15.75">
      <c r="A913" s="39">
        <v>30.768685699999999</v>
      </c>
      <c r="B913" s="39">
        <v>31.1433429</v>
      </c>
      <c r="C913" s="39">
        <v>911</v>
      </c>
      <c r="D913">
        <v>911</v>
      </c>
      <c r="E913" s="10">
        <v>1206560</v>
      </c>
      <c r="F913" s="10">
        <v>931770</v>
      </c>
      <c r="G913" s="10">
        <v>14424</v>
      </c>
      <c r="H913" s="10">
        <v>34866</v>
      </c>
      <c r="I913" s="10">
        <v>84206</v>
      </c>
      <c r="J913" s="10">
        <v>24811</v>
      </c>
      <c r="K913">
        <v>911</v>
      </c>
      <c r="L913" s="10">
        <v>812</v>
      </c>
      <c r="M913" s="10">
        <v>313895</v>
      </c>
      <c r="N913" s="10">
        <v>4588</v>
      </c>
      <c r="O913">
        <v>0.53069876901200108</v>
      </c>
      <c r="P913">
        <v>0.95438227210220661</v>
      </c>
      <c r="Q913">
        <v>-0.38331641210807132</v>
      </c>
      <c r="R913">
        <v>0.38331641210807132</v>
      </c>
      <c r="S913">
        <f t="shared" ref="S913:S976" si="150">LN(J913/I913)</f>
        <v>-1.2219790743973242</v>
      </c>
      <c r="T913" s="148">
        <f t="shared" si="145"/>
        <v>-0.98553487660467842</v>
      </c>
      <c r="U913">
        <f t="shared" ref="U913:U976" si="151">LN(M913/H913)</f>
        <v>2.1975463927603278</v>
      </c>
      <c r="V913" s="55">
        <f t="shared" si="146"/>
        <v>2.1541640052261233</v>
      </c>
      <c r="W913">
        <f t="shared" ref="W913:W976" si="152">LN(J913/G913)</f>
        <v>0.54239361731850877</v>
      </c>
      <c r="X913" s="55">
        <f t="shared" si="147"/>
        <v>0.53549992932573687</v>
      </c>
      <c r="Y913" s="149">
        <v>31.1433429</v>
      </c>
      <c r="Z913" s="55">
        <f t="shared" si="143"/>
        <v>4.9239619219335245E-3</v>
      </c>
      <c r="AA913" s="55">
        <f t="shared" si="148"/>
        <v>5.0613413516579428E-3</v>
      </c>
      <c r="AB913" s="55">
        <f t="shared" si="144"/>
        <v>-5.3136418038471165</v>
      </c>
      <c r="AC913" s="55">
        <f t="shared" si="149"/>
        <v>-5.2887408587514768</v>
      </c>
      <c r="AD913" s="55"/>
      <c r="AE913" s="55"/>
      <c r="AF913" s="55"/>
      <c r="AG913" s="55"/>
      <c r="AH913" s="55"/>
    </row>
    <row r="914" spans="1:34" ht="15.75">
      <c r="A914" s="39">
        <v>30.780676199999998</v>
      </c>
      <c r="B914" s="39">
        <v>31.155504799999999</v>
      </c>
      <c r="C914" s="39">
        <v>912</v>
      </c>
      <c r="D914">
        <v>912</v>
      </c>
      <c r="E914" s="10">
        <v>1284420</v>
      </c>
      <c r="F914" s="10">
        <v>920790</v>
      </c>
      <c r="G914" s="10">
        <v>17610</v>
      </c>
      <c r="H914" s="10">
        <v>39226</v>
      </c>
      <c r="I914" s="10">
        <v>80523</v>
      </c>
      <c r="J914" s="10">
        <v>28291</v>
      </c>
      <c r="K914">
        <v>912</v>
      </c>
      <c r="L914" s="10">
        <v>1272</v>
      </c>
      <c r="M914" s="10">
        <v>337207</v>
      </c>
      <c r="N914" s="10">
        <v>4321</v>
      </c>
      <c r="O914">
        <v>0.45427164807762038</v>
      </c>
      <c r="P914">
        <v>0.93432255746469062</v>
      </c>
      <c r="Q914">
        <v>-0.34781466803028394</v>
      </c>
      <c r="R914">
        <v>0.34781466803028388</v>
      </c>
      <c r="S914">
        <f t="shared" si="150"/>
        <v>-1.0459991250333658</v>
      </c>
      <c r="T914" s="148">
        <f t="shared" si="145"/>
        <v>-1.0811528674935045</v>
      </c>
      <c r="U914">
        <f t="shared" si="151"/>
        <v>2.1513571928662691</v>
      </c>
      <c r="V914" s="55">
        <f t="shared" si="146"/>
        <v>2.1565745749947043</v>
      </c>
      <c r="W914">
        <f t="shared" si="152"/>
        <v>0.47407681036019766</v>
      </c>
      <c r="X914" s="55">
        <f t="shared" si="147"/>
        <v>0.50486066043864775</v>
      </c>
      <c r="Y914" s="149">
        <v>31.155504799999999</v>
      </c>
      <c r="Z914" s="55">
        <f t="shared" si="143"/>
        <v>4.6927095211720367E-3</v>
      </c>
      <c r="AA914" s="55">
        <f t="shared" si="148"/>
        <v>4.8075506042947165E-3</v>
      </c>
      <c r="AB914" s="55">
        <f t="shared" si="144"/>
        <v>-5.3617451402772716</v>
      </c>
      <c r="AC914" s="55">
        <f t="shared" si="149"/>
        <v>-5.337760390108131</v>
      </c>
      <c r="AD914" s="55"/>
      <c r="AE914" s="55"/>
      <c r="AF914" s="55"/>
      <c r="AG914" s="55"/>
      <c r="AH914" s="55"/>
    </row>
    <row r="915" spans="1:34" ht="15.75">
      <c r="A915" s="39">
        <v>30.792666700000002</v>
      </c>
      <c r="B915" s="39">
        <v>31.167666700000002</v>
      </c>
      <c r="C915" s="39">
        <v>913</v>
      </c>
      <c r="D915">
        <v>913</v>
      </c>
      <c r="E915" s="10">
        <v>1175400</v>
      </c>
      <c r="F915" s="10">
        <v>876200</v>
      </c>
      <c r="G915" s="10">
        <v>15720</v>
      </c>
      <c r="H915" s="10">
        <v>36497</v>
      </c>
      <c r="I915" s="10">
        <v>68616</v>
      </c>
      <c r="J915" s="10">
        <v>25869</v>
      </c>
      <c r="K915">
        <v>913</v>
      </c>
      <c r="L915" s="10">
        <v>852</v>
      </c>
      <c r="M915" s="10">
        <v>304311</v>
      </c>
      <c r="N915" s="10">
        <v>4211</v>
      </c>
      <c r="O915">
        <v>0.42364575624929829</v>
      </c>
      <c r="P915">
        <v>0.92106048363225457</v>
      </c>
      <c r="Q915">
        <v>-0.36580462584920076</v>
      </c>
      <c r="R915">
        <v>0.36580462584920076</v>
      </c>
      <c r="S915">
        <f t="shared" si="150"/>
        <v>-0.97548040304982331</v>
      </c>
      <c r="T915" s="148">
        <f t="shared" si="145"/>
        <v>-0.97005450292801554</v>
      </c>
      <c r="U915">
        <f t="shared" si="151"/>
        <v>2.1208201393575159</v>
      </c>
      <c r="V915" s="55">
        <f t="shared" si="146"/>
        <v>2.1268139113382092</v>
      </c>
      <c r="W915">
        <f t="shared" si="152"/>
        <v>0.49811155363723664</v>
      </c>
      <c r="X915" s="55">
        <f t="shared" si="147"/>
        <v>0.48971077649396028</v>
      </c>
      <c r="Y915" s="149">
        <v>31.167666700000002</v>
      </c>
      <c r="Z915" s="55">
        <f t="shared" si="143"/>
        <v>4.8059803697785893E-3</v>
      </c>
      <c r="AA915" s="55">
        <f t="shared" si="148"/>
        <v>4.7193854996137674E-3</v>
      </c>
      <c r="AB915" s="55">
        <f t="shared" si="144"/>
        <v>-5.3378942262000075</v>
      </c>
      <c r="AC915" s="55">
        <f t="shared" si="149"/>
        <v>-5.3561645552330504</v>
      </c>
      <c r="AD915" s="55"/>
      <c r="AE915" s="55"/>
      <c r="AF915" s="55"/>
      <c r="AG915" s="55"/>
      <c r="AH915" s="55"/>
    </row>
    <row r="916" spans="1:34" ht="15.75">
      <c r="A916" s="39">
        <v>30.8046571</v>
      </c>
      <c r="B916" s="39">
        <v>31.1798286</v>
      </c>
      <c r="C916" s="39">
        <v>914</v>
      </c>
      <c r="D916">
        <v>914</v>
      </c>
      <c r="E916" s="10">
        <v>1237110</v>
      </c>
      <c r="F916" s="10">
        <v>907400</v>
      </c>
      <c r="G916" s="10">
        <v>16887</v>
      </c>
      <c r="H916" s="10">
        <v>39301</v>
      </c>
      <c r="I916" s="10">
        <v>67503</v>
      </c>
      <c r="J916" s="10">
        <v>27757</v>
      </c>
      <c r="K916">
        <v>914</v>
      </c>
      <c r="L916" s="10">
        <v>1266</v>
      </c>
      <c r="M916" s="10">
        <v>323602</v>
      </c>
      <c r="N916" s="10">
        <v>4228</v>
      </c>
      <c r="O916">
        <v>0.38595054897419845</v>
      </c>
      <c r="P916">
        <v>0.91560759609082321</v>
      </c>
      <c r="Q916">
        <v>-0.36685109760514534</v>
      </c>
      <c r="R916">
        <v>0.36685109760514528</v>
      </c>
      <c r="S916">
        <f t="shared" si="150"/>
        <v>-0.88868398070085786</v>
      </c>
      <c r="T916" s="148">
        <f t="shared" si="145"/>
        <v>-0.87041237014725292</v>
      </c>
      <c r="U916">
        <f t="shared" si="151"/>
        <v>2.108264401790843</v>
      </c>
      <c r="V916" s="55">
        <f t="shared" si="146"/>
        <v>2.1209949409191942</v>
      </c>
      <c r="W916">
        <f t="shared" si="152"/>
        <v>0.49694396548444653</v>
      </c>
      <c r="X916" s="55">
        <f t="shared" si="147"/>
        <v>0.50462048131066395</v>
      </c>
      <c r="Y916" s="149">
        <v>31.1798286</v>
      </c>
      <c r="Z916" s="55">
        <f t="shared" si="143"/>
        <v>4.6594666078906763E-3</v>
      </c>
      <c r="AA916" s="55">
        <f t="shared" si="148"/>
        <v>4.7556047663786629E-3</v>
      </c>
      <c r="AB916" s="55">
        <f t="shared" si="144"/>
        <v>-5.368854299221872</v>
      </c>
      <c r="AC916" s="55">
        <f t="shared" si="149"/>
        <v>-5.3485343561385967</v>
      </c>
      <c r="AD916" s="55"/>
      <c r="AE916" s="55"/>
      <c r="AF916" s="55"/>
      <c r="AG916" s="55"/>
      <c r="AH916" s="55"/>
    </row>
    <row r="917" spans="1:34" ht="15.75">
      <c r="A917" s="39">
        <v>30.8166476</v>
      </c>
      <c r="B917" s="39">
        <v>31.191990499999999</v>
      </c>
      <c r="C917" s="39">
        <v>915</v>
      </c>
      <c r="D917">
        <v>915</v>
      </c>
      <c r="E917" s="10">
        <v>1160540</v>
      </c>
      <c r="F917" s="10">
        <v>889330</v>
      </c>
      <c r="G917" s="10">
        <v>15701</v>
      </c>
      <c r="H917" s="10">
        <v>36020</v>
      </c>
      <c r="I917" s="10">
        <v>55679</v>
      </c>
      <c r="J917" s="10">
        <v>26378</v>
      </c>
      <c r="K917">
        <v>915</v>
      </c>
      <c r="L917" s="10">
        <v>1122</v>
      </c>
      <c r="M917" s="10">
        <v>304288</v>
      </c>
      <c r="N917" s="10">
        <v>4270</v>
      </c>
      <c r="O917">
        <v>0.32444956278235126</v>
      </c>
      <c r="P917">
        <v>0.926741117234681</v>
      </c>
      <c r="Q917">
        <v>-0.36061639488628999</v>
      </c>
      <c r="R917">
        <v>0.36061639488628994</v>
      </c>
      <c r="S917">
        <f t="shared" si="150"/>
        <v>-0.7470727266910776</v>
      </c>
      <c r="T917" s="148">
        <f t="shared" si="145"/>
        <v>-0.93029692076691495</v>
      </c>
      <c r="U917">
        <f t="shared" si="151"/>
        <v>2.1339002816092236</v>
      </c>
      <c r="V917" s="55">
        <f t="shared" si="146"/>
        <v>2.1165073474558915</v>
      </c>
      <c r="W917">
        <f t="shared" si="152"/>
        <v>0.51880592481030852</v>
      </c>
      <c r="X917" s="55">
        <f t="shared" si="147"/>
        <v>0.47184697673021564</v>
      </c>
      <c r="Y917" s="149">
        <v>31.191990499999999</v>
      </c>
      <c r="Z917" s="55">
        <f t="shared" si="143"/>
        <v>4.8013673214667221E-3</v>
      </c>
      <c r="AA917" s="55">
        <f t="shared" si="148"/>
        <v>4.7676079126999808E-3</v>
      </c>
      <c r="AB917" s="55">
        <f t="shared" si="144"/>
        <v>-5.3388545429939098</v>
      </c>
      <c r="AC917" s="55">
        <f t="shared" si="149"/>
        <v>-5.346046122482079</v>
      </c>
      <c r="AD917" s="55"/>
      <c r="AE917" s="55"/>
      <c r="AF917" s="55"/>
      <c r="AG917" s="55"/>
      <c r="AH917" s="55"/>
    </row>
    <row r="918" spans="1:34" ht="15.75">
      <c r="A918" s="39">
        <v>30.828638099999999</v>
      </c>
      <c r="B918" s="39">
        <v>31.204152400000002</v>
      </c>
      <c r="C918" s="39">
        <v>916</v>
      </c>
      <c r="D918">
        <v>916</v>
      </c>
      <c r="E918" s="10">
        <v>1247810</v>
      </c>
      <c r="F918" s="10">
        <v>875260</v>
      </c>
      <c r="G918" s="10">
        <v>17733</v>
      </c>
      <c r="H918" s="10">
        <v>37850</v>
      </c>
      <c r="I918" s="10">
        <v>83961</v>
      </c>
      <c r="J918" s="10">
        <v>26449</v>
      </c>
      <c r="K918">
        <v>916</v>
      </c>
      <c r="L918" s="10">
        <v>959</v>
      </c>
      <c r="M918" s="10">
        <v>311372</v>
      </c>
      <c r="N918" s="10">
        <v>4238</v>
      </c>
      <c r="O918">
        <v>0.50166834590542386</v>
      </c>
      <c r="P918">
        <v>0.91521367239784213</v>
      </c>
      <c r="Q918">
        <v>-0.3292836697675417</v>
      </c>
      <c r="R918">
        <v>0.32928366976754175</v>
      </c>
      <c r="S918">
        <f t="shared" si="150"/>
        <v>-1.1551340549088094</v>
      </c>
      <c r="T918" s="148">
        <f t="shared" si="145"/>
        <v>-0.96091700854090245</v>
      </c>
      <c r="U918">
        <f t="shared" si="151"/>
        <v>2.1073573589676076</v>
      </c>
      <c r="V918" s="55">
        <f t="shared" si="146"/>
        <v>2.1163555983082394</v>
      </c>
      <c r="W918">
        <f t="shared" si="152"/>
        <v>0.39979103989589188</v>
      </c>
      <c r="X918" s="55">
        <f t="shared" si="147"/>
        <v>0.45376541091569972</v>
      </c>
      <c r="Y918" s="149">
        <v>31.204152400000002</v>
      </c>
      <c r="Z918" s="55">
        <f t="shared" si="143"/>
        <v>4.8419898087425448E-3</v>
      </c>
      <c r="AA918" s="55">
        <f t="shared" si="148"/>
        <v>4.7674221333210811E-3</v>
      </c>
      <c r="AB918" s="55">
        <f t="shared" si="144"/>
        <v>-5.3304295252304543</v>
      </c>
      <c r="AC918" s="55">
        <f t="shared" si="149"/>
        <v>-5.3460859962501175</v>
      </c>
      <c r="AD918" s="55"/>
      <c r="AE918" s="55"/>
      <c r="AF918" s="55"/>
      <c r="AG918" s="55"/>
      <c r="AH918" s="55"/>
    </row>
    <row r="919" spans="1:34" ht="15.75">
      <c r="A919" s="39">
        <v>30.840628599999999</v>
      </c>
      <c r="B919" s="39">
        <v>31.216314300000001</v>
      </c>
      <c r="C919" s="39">
        <v>917</v>
      </c>
      <c r="D919">
        <v>917</v>
      </c>
      <c r="E919" s="10">
        <v>1237430</v>
      </c>
      <c r="F919" s="10">
        <v>894630</v>
      </c>
      <c r="G919" s="10">
        <v>17468</v>
      </c>
      <c r="H919" s="10">
        <v>38542</v>
      </c>
      <c r="I919" s="10">
        <v>72502</v>
      </c>
      <c r="J919" s="10">
        <v>27196</v>
      </c>
      <c r="K919">
        <v>917</v>
      </c>
      <c r="L919" s="10">
        <v>1063</v>
      </c>
      <c r="M919" s="10">
        <v>317208</v>
      </c>
      <c r="N919" s="10">
        <v>4168</v>
      </c>
      <c r="O919">
        <v>0.42584495444110632</v>
      </c>
      <c r="P919">
        <v>0.91540988463844664</v>
      </c>
      <c r="Q919">
        <v>-0.34369106382226583</v>
      </c>
      <c r="R919">
        <v>0.34369106382226577</v>
      </c>
      <c r="S919">
        <f t="shared" si="150"/>
        <v>-0.98054424402282003</v>
      </c>
      <c r="T919" s="148">
        <f t="shared" si="145"/>
        <v>-0.97154631932509083</v>
      </c>
      <c r="U919">
        <f t="shared" si="151"/>
        <v>2.1078091543478865</v>
      </c>
      <c r="V919" s="55">
        <f t="shared" si="146"/>
        <v>2.1109709467334956</v>
      </c>
      <c r="W919">
        <f t="shared" si="152"/>
        <v>0.44269926804089871</v>
      </c>
      <c r="X919" s="55">
        <f t="shared" si="147"/>
        <v>0.45134218819220479</v>
      </c>
      <c r="Y919" s="149">
        <v>31.216314300000001</v>
      </c>
      <c r="Z919" s="55">
        <f t="shared" si="143"/>
        <v>4.6589092697539762E-3</v>
      </c>
      <c r="AA919" s="55">
        <f t="shared" si="148"/>
        <v>4.8773621960941536E-3</v>
      </c>
      <c r="AB919" s="55">
        <f t="shared" si="144"/>
        <v>-5.3689739205259883</v>
      </c>
      <c r="AC919" s="55">
        <f t="shared" si="149"/>
        <v>-5.3239405363183252</v>
      </c>
      <c r="AD919" s="55"/>
      <c r="AE919" s="55"/>
      <c r="AF919" s="55"/>
      <c r="AG919" s="55"/>
      <c r="AH919" s="55"/>
    </row>
    <row r="920" spans="1:34" ht="15.75">
      <c r="A920" s="39">
        <v>30.852619099999998</v>
      </c>
      <c r="B920" s="39">
        <v>31.228476199999999</v>
      </c>
      <c r="C920" s="39">
        <v>918</v>
      </c>
      <c r="D920">
        <v>918</v>
      </c>
      <c r="E920" s="10">
        <v>1175870</v>
      </c>
      <c r="F920" s="10">
        <v>894140</v>
      </c>
      <c r="G920" s="10">
        <v>15755</v>
      </c>
      <c r="H920" s="10">
        <v>36849</v>
      </c>
      <c r="I920" s="10">
        <v>57263</v>
      </c>
      <c r="J920" s="10">
        <v>26277</v>
      </c>
      <c r="K920">
        <v>918</v>
      </c>
      <c r="L920" s="10">
        <v>1440</v>
      </c>
      <c r="M920" s="10">
        <v>306303</v>
      </c>
      <c r="N920" s="10">
        <v>4588</v>
      </c>
      <c r="O920">
        <v>0.33829831584237458</v>
      </c>
      <c r="P920">
        <v>0.91972554383703276</v>
      </c>
      <c r="Q920">
        <v>-0.36900729905751473</v>
      </c>
      <c r="R920">
        <v>0.36900729905751467</v>
      </c>
      <c r="S920">
        <f t="shared" si="150"/>
        <v>-0.7789606590436432</v>
      </c>
      <c r="T920" s="148">
        <f t="shared" si="145"/>
        <v>-0.88420058291701242</v>
      </c>
      <c r="U920">
        <f t="shared" si="151"/>
        <v>2.1177463268849932</v>
      </c>
      <c r="V920" s="55">
        <f t="shared" si="146"/>
        <v>2.1113911279093598</v>
      </c>
      <c r="W920">
        <f t="shared" si="152"/>
        <v>0.51153625663982372</v>
      </c>
      <c r="X920" s="55">
        <f t="shared" si="147"/>
        <v>0.47005126163149669</v>
      </c>
      <c r="Y920" s="149">
        <v>31.228476199999999</v>
      </c>
      <c r="Z920" s="55">
        <f t="shared" si="143"/>
        <v>5.1311875097859398E-3</v>
      </c>
      <c r="AA920" s="55">
        <f t="shared" si="148"/>
        <v>4.9160662940577271E-3</v>
      </c>
      <c r="AB920" s="55">
        <f t="shared" si="144"/>
        <v>-5.272418163198533</v>
      </c>
      <c r="AC920" s="55">
        <f t="shared" si="149"/>
        <v>-5.3160414452645162</v>
      </c>
      <c r="AD920" s="55"/>
      <c r="AE920" s="55"/>
      <c r="AF920" s="55"/>
      <c r="AG920" s="55"/>
      <c r="AH920" s="55"/>
    </row>
    <row r="921" spans="1:34" ht="15.75">
      <c r="A921" s="39">
        <v>30.8646095</v>
      </c>
      <c r="B921" s="39">
        <v>31.240638100000002</v>
      </c>
      <c r="C921" s="39">
        <v>919</v>
      </c>
      <c r="D921">
        <v>919</v>
      </c>
      <c r="E921" s="10">
        <v>1187680</v>
      </c>
      <c r="F921" s="10">
        <v>904580</v>
      </c>
      <c r="G921" s="10">
        <v>16909</v>
      </c>
      <c r="H921" s="10">
        <v>36652</v>
      </c>
      <c r="I921" s="10">
        <v>65161</v>
      </c>
      <c r="J921" s="10">
        <v>26676</v>
      </c>
      <c r="K921">
        <v>919</v>
      </c>
      <c r="L921" s="10">
        <v>1242</v>
      </c>
      <c r="M921" s="10">
        <v>301897</v>
      </c>
      <c r="N921" s="10">
        <v>4485</v>
      </c>
      <c r="O921">
        <v>0.38786703188601063</v>
      </c>
      <c r="P921">
        <v>0.91576111949607453</v>
      </c>
      <c r="Q921">
        <v>-0.33597975375612982</v>
      </c>
      <c r="R921">
        <v>0.33597975375612982</v>
      </c>
      <c r="S921">
        <f t="shared" si="150"/>
        <v>-0.89309684568457426</v>
      </c>
      <c r="T921" s="148">
        <f t="shared" si="145"/>
        <v>-0.62428004547406057</v>
      </c>
      <c r="U921">
        <f t="shared" si="151"/>
        <v>2.1086179024952001</v>
      </c>
      <c r="V921" s="55">
        <f t="shared" si="146"/>
        <v>2.1144596038679611</v>
      </c>
      <c r="W921">
        <f t="shared" si="152"/>
        <v>0.45591826021376775</v>
      </c>
      <c r="X921" s="55">
        <f t="shared" si="147"/>
        <v>0.46145837952841601</v>
      </c>
      <c r="Y921" s="149">
        <v>31.240638100000002</v>
      </c>
      <c r="Z921" s="55">
        <f t="shared" si="143"/>
        <v>4.9581021026332663E-3</v>
      </c>
      <c r="AA921" s="55">
        <f t="shared" si="148"/>
        <v>5.0265771700946866E-3</v>
      </c>
      <c r="AB921" s="55">
        <f t="shared" si="144"/>
        <v>-5.3067322520690263</v>
      </c>
      <c r="AC921" s="55">
        <f t="shared" si="149"/>
        <v>-5.2931270772402792</v>
      </c>
      <c r="AD921" s="55"/>
      <c r="AE921" s="55"/>
      <c r="AF921" s="55"/>
      <c r="AG921" s="55"/>
      <c r="AH921" s="55"/>
    </row>
    <row r="922" spans="1:34" ht="15.75">
      <c r="A922" s="39">
        <v>30.8766</v>
      </c>
      <c r="B922" s="39">
        <v>31.252800000000001</v>
      </c>
      <c r="C922" s="39">
        <v>920</v>
      </c>
      <c r="D922">
        <v>920</v>
      </c>
      <c r="E922" s="10">
        <v>1274930</v>
      </c>
      <c r="F922" s="10">
        <v>988690</v>
      </c>
      <c r="G922" s="10">
        <v>20339</v>
      </c>
      <c r="H922" s="10">
        <v>41903</v>
      </c>
      <c r="I922" s="10">
        <v>37722</v>
      </c>
      <c r="J922" s="10">
        <v>30860</v>
      </c>
      <c r="K922">
        <v>920</v>
      </c>
      <c r="L922" s="10">
        <v>1136</v>
      </c>
      <c r="M922" s="10">
        <v>348059</v>
      </c>
      <c r="N922" s="10">
        <v>4934</v>
      </c>
      <c r="O922">
        <v>8.7198789006701638E-2</v>
      </c>
      <c r="P922">
        <v>0.91940775116846651</v>
      </c>
      <c r="Q922">
        <v>-0.31391552060606498</v>
      </c>
      <c r="R922">
        <v>0.31391552060606498</v>
      </c>
      <c r="S922">
        <f t="shared" si="150"/>
        <v>-0.20078263169396421</v>
      </c>
      <c r="T922" s="148">
        <f t="shared" si="145"/>
        <v>-0.45011015990843828</v>
      </c>
      <c r="U922">
        <f t="shared" si="151"/>
        <v>2.1170145822236899</v>
      </c>
      <c r="V922" s="55">
        <f t="shared" si="146"/>
        <v>2.1092667072376514</v>
      </c>
      <c r="W922">
        <f t="shared" si="152"/>
        <v>0.4169206217316565</v>
      </c>
      <c r="X922" s="55">
        <f t="shared" si="147"/>
        <v>0.43121541677527836</v>
      </c>
      <c r="Y922" s="149">
        <v>31.252800000000001</v>
      </c>
      <c r="Z922" s="55">
        <f t="shared" si="143"/>
        <v>4.9904418978648519E-3</v>
      </c>
      <c r="AA922" s="55">
        <f t="shared" si="148"/>
        <v>4.983550591528621E-3</v>
      </c>
      <c r="AB922" s="55">
        <f t="shared" si="144"/>
        <v>-5.3002308164532783</v>
      </c>
      <c r="AC922" s="55">
        <f t="shared" si="149"/>
        <v>-5.3016196563606863</v>
      </c>
      <c r="AD922" s="55"/>
      <c r="AE922" s="55"/>
      <c r="AF922" s="55"/>
      <c r="AG922" s="55"/>
      <c r="AH922" s="55"/>
    </row>
    <row r="923" spans="1:34" ht="15.75">
      <c r="A923" s="39">
        <v>30.888590499999999</v>
      </c>
      <c r="B923" s="39">
        <v>31.264961899999999</v>
      </c>
      <c r="C923" s="39">
        <v>921</v>
      </c>
      <c r="D923">
        <v>921</v>
      </c>
      <c r="E923" s="10">
        <v>1321220</v>
      </c>
      <c r="F923" s="10">
        <v>972590</v>
      </c>
      <c r="G923" s="10">
        <v>21474</v>
      </c>
      <c r="H923" s="10">
        <v>43651</v>
      </c>
      <c r="I923" s="10">
        <v>42271</v>
      </c>
      <c r="J923" s="10">
        <v>32709</v>
      </c>
      <c r="K923">
        <v>921</v>
      </c>
      <c r="L923" s="10">
        <v>913</v>
      </c>
      <c r="M923" s="10">
        <v>357235</v>
      </c>
      <c r="N923" s="10">
        <v>4865</v>
      </c>
      <c r="O923">
        <v>0.11137525519776284</v>
      </c>
      <c r="P923">
        <v>0.91295980478212024</v>
      </c>
      <c r="Q923">
        <v>-0.30808124862664032</v>
      </c>
      <c r="R923">
        <v>0.30808124862664032</v>
      </c>
      <c r="S923">
        <f t="shared" si="150"/>
        <v>-0.25645100234677631</v>
      </c>
      <c r="T923" s="148">
        <f t="shared" si="145"/>
        <v>-0.1867232441387979</v>
      </c>
      <c r="U923">
        <f t="shared" si="151"/>
        <v>2.1021676369940643</v>
      </c>
      <c r="V923" s="55">
        <f t="shared" si="146"/>
        <v>2.141262031009687</v>
      </c>
      <c r="W923">
        <f t="shared" si="152"/>
        <v>0.42080736838041066</v>
      </c>
      <c r="X923" s="55">
        <f t="shared" si="147"/>
        <v>0.46186583030300515</v>
      </c>
      <c r="Y923" s="149">
        <v>31.264961899999999</v>
      </c>
      <c r="Z923" s="55">
        <f t="shared" si="143"/>
        <v>5.0021077740877449E-3</v>
      </c>
      <c r="AA923" s="55">
        <f t="shared" si="148"/>
        <v>4.9759215225101119E-3</v>
      </c>
      <c r="AB923" s="55">
        <f t="shared" si="144"/>
        <v>-5.2978959005597561</v>
      </c>
      <c r="AC923" s="55">
        <f t="shared" si="149"/>
        <v>-5.3031619262848677</v>
      </c>
      <c r="AD923" s="55"/>
      <c r="AE923" s="55"/>
      <c r="AF923" s="55"/>
      <c r="AG923" s="55"/>
      <c r="AH923" s="55"/>
    </row>
    <row r="924" spans="1:34" ht="15.75">
      <c r="A924" s="39">
        <v>30.900580999999999</v>
      </c>
      <c r="B924" s="39">
        <v>31.277123799999998</v>
      </c>
      <c r="C924" s="39">
        <v>922</v>
      </c>
      <c r="D924">
        <v>922</v>
      </c>
      <c r="E924" s="10">
        <v>1143340</v>
      </c>
      <c r="F924" s="10">
        <v>900670</v>
      </c>
      <c r="G924" s="10">
        <v>15353</v>
      </c>
      <c r="H924" s="10">
        <v>36274</v>
      </c>
      <c r="I924" s="10">
        <v>29433</v>
      </c>
      <c r="J924" s="10">
        <v>26554</v>
      </c>
      <c r="K924">
        <v>922</v>
      </c>
      <c r="L924" s="10">
        <v>1121</v>
      </c>
      <c r="M924" s="10">
        <v>328884</v>
      </c>
      <c r="N924" s="10">
        <v>4445</v>
      </c>
      <c r="O924">
        <v>4.4704579513196466E-2</v>
      </c>
      <c r="P924">
        <v>0.95744729717878363</v>
      </c>
      <c r="Q924">
        <v>-0.37340219874371128</v>
      </c>
      <c r="R924">
        <v>0.37340219874371128</v>
      </c>
      <c r="S924">
        <f t="shared" si="150"/>
        <v>-0.10293609837565317</v>
      </c>
      <c r="T924" s="148">
        <f t="shared" si="145"/>
        <v>-0.35881597660650538</v>
      </c>
      <c r="U924">
        <f t="shared" si="151"/>
        <v>2.204603873811307</v>
      </c>
      <c r="V924" s="55">
        <f t="shared" si="146"/>
        <v>2.1498487578136332</v>
      </c>
      <c r="W924">
        <f t="shared" si="152"/>
        <v>0.54786950079694829</v>
      </c>
      <c r="X924" s="55">
        <f t="shared" si="147"/>
        <v>0.47417249872601458</v>
      </c>
      <c r="Y924" s="149">
        <v>31.277123799999998</v>
      </c>
      <c r="Z924" s="55">
        <f t="shared" si="143"/>
        <v>4.9352148955777364E-3</v>
      </c>
      <c r="AA924" s="55">
        <f t="shared" si="148"/>
        <v>5.0458137094619689E-3</v>
      </c>
      <c r="AB924" s="55">
        <f t="shared" si="144"/>
        <v>-5.3113590618415687</v>
      </c>
      <c r="AC924" s="55">
        <f t="shared" si="149"/>
        <v>-5.2894429451774645</v>
      </c>
      <c r="AD924" s="55"/>
      <c r="AE924" s="55"/>
      <c r="AF924" s="55"/>
      <c r="AG924" s="55"/>
      <c r="AH924" s="55"/>
    </row>
    <row r="925" spans="1:34" ht="15.75">
      <c r="A925" s="39">
        <v>30.912571400000001</v>
      </c>
      <c r="B925" s="39">
        <v>31.289285700000001</v>
      </c>
      <c r="C925" s="39">
        <v>923</v>
      </c>
      <c r="D925">
        <v>923</v>
      </c>
      <c r="E925" s="10">
        <v>1195030</v>
      </c>
      <c r="F925" s="10">
        <v>911710</v>
      </c>
      <c r="G925" s="10">
        <v>17230</v>
      </c>
      <c r="H925" s="10">
        <v>38084</v>
      </c>
      <c r="I925" s="10">
        <v>55565</v>
      </c>
      <c r="J925" s="10">
        <v>27126</v>
      </c>
      <c r="K925">
        <v>923</v>
      </c>
      <c r="L925" s="10">
        <v>1141</v>
      </c>
      <c r="M925" s="10">
        <v>324592</v>
      </c>
      <c r="N925" s="10">
        <v>4741</v>
      </c>
      <c r="O925">
        <v>0.31141556126583553</v>
      </c>
      <c r="P925">
        <v>0.93059525537416032</v>
      </c>
      <c r="Q925">
        <v>-0.34445727903687845</v>
      </c>
      <c r="R925">
        <v>0.34445727903687845</v>
      </c>
      <c r="S925">
        <f t="shared" si="150"/>
        <v>-0.71706082909708668</v>
      </c>
      <c r="T925" s="148">
        <f t="shared" si="145"/>
        <v>-0.5137038469798586</v>
      </c>
      <c r="U925">
        <f t="shared" si="151"/>
        <v>2.1427747626355287</v>
      </c>
      <c r="V925" s="55">
        <f t="shared" si="146"/>
        <v>2.1773739302934558</v>
      </c>
      <c r="W925">
        <f t="shared" si="152"/>
        <v>0.45384062700068478</v>
      </c>
      <c r="X925" s="55">
        <f t="shared" si="147"/>
        <v>0.48392010561836218</v>
      </c>
      <c r="Y925" s="149">
        <v>31.289285700000001</v>
      </c>
      <c r="Z925" s="55">
        <f t="shared" si="143"/>
        <v>5.2001184587204263E-3</v>
      </c>
      <c r="AA925" s="55">
        <f t="shared" si="148"/>
        <v>4.9892667020136651E-3</v>
      </c>
      <c r="AB925" s="55">
        <f t="shared" si="144"/>
        <v>-5.2590738731310687</v>
      </c>
      <c r="AC925" s="55">
        <f t="shared" si="149"/>
        <v>-5.3009437206713601</v>
      </c>
      <c r="AD925" s="55"/>
      <c r="AE925" s="55"/>
      <c r="AF925" s="55"/>
      <c r="AG925" s="55"/>
      <c r="AH925" s="55"/>
    </row>
    <row r="926" spans="1:34" ht="15.75">
      <c r="A926" s="39">
        <v>30.9245619</v>
      </c>
      <c r="B926" s="39">
        <v>31.301447599999999</v>
      </c>
      <c r="C926" s="39">
        <v>924</v>
      </c>
      <c r="D926">
        <v>924</v>
      </c>
      <c r="E926" s="10">
        <v>1283870</v>
      </c>
      <c r="F926" s="10">
        <v>948170</v>
      </c>
      <c r="G926" s="10">
        <v>18153</v>
      </c>
      <c r="H926" s="10">
        <v>40534</v>
      </c>
      <c r="I926" s="10">
        <v>58557</v>
      </c>
      <c r="J926" s="10">
        <v>28471</v>
      </c>
      <c r="K926">
        <v>924</v>
      </c>
      <c r="L926" s="10">
        <v>1202</v>
      </c>
      <c r="M926" s="10">
        <v>360281</v>
      </c>
      <c r="N926" s="10">
        <v>4582</v>
      </c>
      <c r="O926">
        <v>0.31317609744844316</v>
      </c>
      <c r="P926">
        <v>0.9488218963463867</v>
      </c>
      <c r="Q926">
        <v>-0.34887105550756931</v>
      </c>
      <c r="R926">
        <v>0.34887105550756931</v>
      </c>
      <c r="S926">
        <f t="shared" si="150"/>
        <v>-0.7211146134668357</v>
      </c>
      <c r="T926" s="148">
        <f t="shared" si="145"/>
        <v>-0.75418502110113383</v>
      </c>
      <c r="U926">
        <f t="shared" si="151"/>
        <v>2.1847431544335314</v>
      </c>
      <c r="V926" s="55">
        <f t="shared" si="146"/>
        <v>2.1884659045962844</v>
      </c>
      <c r="W926">
        <f t="shared" si="152"/>
        <v>0.45005018905745353</v>
      </c>
      <c r="X926" s="55">
        <f t="shared" si="147"/>
        <v>0.44940917287680221</v>
      </c>
      <c r="Y926" s="149">
        <v>31.301447599999999</v>
      </c>
      <c r="Z926" s="55">
        <f t="shared" si="143"/>
        <v>4.8324667517428309E-3</v>
      </c>
      <c r="AA926" s="55">
        <f t="shared" si="148"/>
        <v>4.927870235012408E-3</v>
      </c>
      <c r="AB926" s="55">
        <f t="shared" si="144"/>
        <v>-5.3323982270414456</v>
      </c>
      <c r="AC926" s="55">
        <f t="shared" si="149"/>
        <v>-5.3136222969384166</v>
      </c>
      <c r="AD926" s="55"/>
      <c r="AE926" s="55"/>
      <c r="AF926" s="55"/>
      <c r="AG926" s="55"/>
      <c r="AH926" s="55"/>
    </row>
    <row r="927" spans="1:34" ht="15.75">
      <c r="A927" s="39">
        <v>30.9365524</v>
      </c>
      <c r="B927" s="39">
        <v>31.313609499999998</v>
      </c>
      <c r="C927" s="39">
        <v>925</v>
      </c>
      <c r="D927">
        <v>925</v>
      </c>
      <c r="E927" s="10">
        <v>1323120</v>
      </c>
      <c r="F927" s="10">
        <v>962950</v>
      </c>
      <c r="G927" s="10">
        <v>18291</v>
      </c>
      <c r="H927" s="10">
        <v>40537</v>
      </c>
      <c r="I927" s="10">
        <v>65048</v>
      </c>
      <c r="J927" s="10">
        <v>28524</v>
      </c>
      <c r="K927">
        <v>925</v>
      </c>
      <c r="L927" s="10">
        <v>1490</v>
      </c>
      <c r="M927" s="10">
        <v>379971</v>
      </c>
      <c r="N927" s="10">
        <v>4575</v>
      </c>
      <c r="O927">
        <v>0.35802352028065132</v>
      </c>
      <c r="P927">
        <v>0.97189884687817729</v>
      </c>
      <c r="Q927">
        <v>-0.34561415520604832</v>
      </c>
      <c r="R927">
        <v>0.34561415520604832</v>
      </c>
      <c r="S927">
        <f t="shared" si="150"/>
        <v>-0.82437962073947924</v>
      </c>
      <c r="T927" s="148">
        <f t="shared" si="145"/>
        <v>-0.82882961557036083</v>
      </c>
      <c r="U927">
        <f t="shared" si="151"/>
        <v>2.2378797967197936</v>
      </c>
      <c r="V927" s="55">
        <f t="shared" si="146"/>
        <v>2.1989398718166004</v>
      </c>
      <c r="W927">
        <f t="shared" si="152"/>
        <v>0.44433670257226837</v>
      </c>
      <c r="X927" s="55">
        <f t="shared" si="147"/>
        <v>0.44740925374410784</v>
      </c>
      <c r="Y927" s="149">
        <v>31.313609499999998</v>
      </c>
      <c r="Z927" s="55">
        <f t="shared" si="143"/>
        <v>4.7510254945739658E-3</v>
      </c>
      <c r="AA927" s="55">
        <f t="shared" si="148"/>
        <v>4.8217547768836426E-3</v>
      </c>
      <c r="AB927" s="55">
        <f t="shared" si="144"/>
        <v>-5.3493947906427364</v>
      </c>
      <c r="AC927" s="55">
        <f t="shared" si="149"/>
        <v>-5.3346800035606874</v>
      </c>
      <c r="AD927" s="55"/>
      <c r="AE927" s="55"/>
      <c r="AF927" s="55"/>
      <c r="AG927" s="55"/>
      <c r="AH927" s="55"/>
    </row>
    <row r="928" spans="1:34" ht="15.75">
      <c r="A928" s="39">
        <v>30.9485429</v>
      </c>
      <c r="B928" s="39">
        <v>31.325771400000001</v>
      </c>
      <c r="C928" s="39">
        <v>926</v>
      </c>
      <c r="D928">
        <v>926</v>
      </c>
      <c r="E928" s="10">
        <v>1282420</v>
      </c>
      <c r="F928" s="10">
        <v>936750</v>
      </c>
      <c r="G928" s="10">
        <v>17981</v>
      </c>
      <c r="H928" s="10">
        <v>40179</v>
      </c>
      <c r="I928" s="10">
        <v>72107</v>
      </c>
      <c r="J928" s="10">
        <v>28139</v>
      </c>
      <c r="K928">
        <v>926</v>
      </c>
      <c r="L928" s="10">
        <v>1256</v>
      </c>
      <c r="M928" s="10">
        <v>353379</v>
      </c>
      <c r="N928" s="10">
        <v>4573</v>
      </c>
      <c r="O928">
        <v>0.40866876771150917</v>
      </c>
      <c r="P928">
        <v>0.94424161387641603</v>
      </c>
      <c r="Q928">
        <v>-0.34918528252005548</v>
      </c>
      <c r="R928">
        <v>0.34918528252005548</v>
      </c>
      <c r="S928">
        <f t="shared" si="150"/>
        <v>-0.94099461250476757</v>
      </c>
      <c r="T928" s="148">
        <f t="shared" si="145"/>
        <v>-0.9335126828327075</v>
      </c>
      <c r="U928">
        <f t="shared" si="151"/>
        <v>2.1741966642964754</v>
      </c>
      <c r="V928" s="55">
        <f t="shared" si="146"/>
        <v>2.174287624321352</v>
      </c>
      <c r="W928">
        <f t="shared" si="152"/>
        <v>0.44784086960260155</v>
      </c>
      <c r="X928" s="55">
        <f t="shared" si="147"/>
        <v>0.45086013704004563</v>
      </c>
      <c r="Y928" s="149">
        <v>31.325771400000001</v>
      </c>
      <c r="Z928" s="55">
        <f t="shared" si="143"/>
        <v>4.8817720843341338E-3</v>
      </c>
      <c r="AA928" s="55">
        <f t="shared" si="148"/>
        <v>4.9329655993620115E-3</v>
      </c>
      <c r="AB928" s="55">
        <f t="shared" si="144"/>
        <v>-5.3222469929978784</v>
      </c>
      <c r="AC928" s="55">
        <f t="shared" si="149"/>
        <v>-5.3124263873144875</v>
      </c>
      <c r="AD928" s="55"/>
      <c r="AE928" s="55"/>
      <c r="AF928" s="55"/>
      <c r="AG928" s="55"/>
      <c r="AH928" s="55"/>
    </row>
    <row r="929" spans="1:34" ht="15.75">
      <c r="A929" s="39">
        <v>30.960533300000002</v>
      </c>
      <c r="B929" s="39">
        <v>31.3379333</v>
      </c>
      <c r="C929" s="39">
        <v>927</v>
      </c>
      <c r="D929">
        <v>927</v>
      </c>
      <c r="E929" s="10">
        <v>1266900</v>
      </c>
      <c r="F929" s="10">
        <v>931070</v>
      </c>
      <c r="G929" s="10">
        <v>17949</v>
      </c>
      <c r="H929" s="10">
        <v>40219</v>
      </c>
      <c r="I929" s="10">
        <v>80086</v>
      </c>
      <c r="J929" s="10">
        <v>28444</v>
      </c>
      <c r="K929">
        <v>927</v>
      </c>
      <c r="L929" s="10">
        <v>1492</v>
      </c>
      <c r="M929" s="10">
        <v>331997</v>
      </c>
      <c r="N929" s="10">
        <v>4810</v>
      </c>
      <c r="O929">
        <v>0.44956593283067531</v>
      </c>
      <c r="P929">
        <v>0.91670289118528814</v>
      </c>
      <c r="Q929">
        <v>-0.35039101059158068</v>
      </c>
      <c r="R929">
        <v>0.35039101059158068</v>
      </c>
      <c r="S929">
        <f t="shared" si="150"/>
        <v>-1.0351638152538756</v>
      </c>
      <c r="T929" s="148">
        <f t="shared" si="145"/>
        <v>-1.0416553398115025</v>
      </c>
      <c r="U929">
        <f t="shared" si="151"/>
        <v>2.1107864119477875</v>
      </c>
      <c r="V929" s="55">
        <f t="shared" si="146"/>
        <v>2.1221513676481263</v>
      </c>
      <c r="W929">
        <f t="shared" si="152"/>
        <v>0.46040283894526707</v>
      </c>
      <c r="X929" s="55">
        <f t="shared" si="147"/>
        <v>0.45464061753754431</v>
      </c>
      <c r="Y929" s="149">
        <v>31.3379333</v>
      </c>
      <c r="Z929" s="55">
        <f t="shared" si="143"/>
        <v>5.1660992191779349E-3</v>
      </c>
      <c r="AA929" s="55">
        <f t="shared" si="148"/>
        <v>5.1873862859964691E-3</v>
      </c>
      <c r="AB929" s="55">
        <f t="shared" si="144"/>
        <v>-5.2656373783028485</v>
      </c>
      <c r="AC929" s="55">
        <f t="shared" si="149"/>
        <v>-5.2627657297179802</v>
      </c>
      <c r="AD929" s="55"/>
      <c r="AE929" s="55"/>
      <c r="AF929" s="55"/>
      <c r="AG929" s="55"/>
      <c r="AH929" s="55"/>
    </row>
    <row r="930" spans="1:34" ht="15.75">
      <c r="A930" s="39">
        <v>30.972523800000001</v>
      </c>
      <c r="B930" s="39">
        <v>31.350095199999998</v>
      </c>
      <c r="C930" s="39">
        <v>928</v>
      </c>
      <c r="D930">
        <v>928</v>
      </c>
      <c r="E930" s="10">
        <v>1280340</v>
      </c>
      <c r="F930" s="10">
        <v>931580</v>
      </c>
      <c r="G930" s="10">
        <v>17814</v>
      </c>
      <c r="H930" s="10">
        <v>40671</v>
      </c>
      <c r="I930" s="10">
        <v>88630</v>
      </c>
      <c r="J930" s="10">
        <v>28097</v>
      </c>
      <c r="K930">
        <v>928</v>
      </c>
      <c r="L930" s="10">
        <v>1579</v>
      </c>
      <c r="M930" s="10">
        <v>326029</v>
      </c>
      <c r="N930" s="10">
        <v>5137</v>
      </c>
      <c r="O930">
        <v>0.49892079783339199</v>
      </c>
      <c r="P930">
        <v>0.90397138113735664</v>
      </c>
      <c r="Q930">
        <v>-0.35852340279083839</v>
      </c>
      <c r="R930">
        <v>0.35852340279083833</v>
      </c>
      <c r="S930">
        <f t="shared" si="150"/>
        <v>-1.1488075916758644</v>
      </c>
      <c r="T930" s="148">
        <f t="shared" si="145"/>
        <v>-1.1200515263170312</v>
      </c>
      <c r="U930">
        <f t="shared" si="151"/>
        <v>2.0814710267001164</v>
      </c>
      <c r="V930" s="55">
        <f t="shared" si="146"/>
        <v>2.107549391951185</v>
      </c>
      <c r="W930">
        <f t="shared" si="152"/>
        <v>0.45567814406476437</v>
      </c>
      <c r="X930" s="55">
        <f t="shared" si="147"/>
        <v>0.46096623761873357</v>
      </c>
      <c r="Y930" s="149">
        <v>31.350095199999998</v>
      </c>
      <c r="Z930" s="55">
        <f t="shared" si="143"/>
        <v>5.5142875544773396E-3</v>
      </c>
      <c r="AA930" s="55">
        <f t="shared" si="148"/>
        <v>5.2555576505458083E-3</v>
      </c>
      <c r="AB930" s="55">
        <f t="shared" si="144"/>
        <v>-5.2004128178532136</v>
      </c>
      <c r="AC930" s="55">
        <f t="shared" si="149"/>
        <v>-5.2490858473102699</v>
      </c>
      <c r="AD930" s="55"/>
      <c r="AE930" s="55"/>
      <c r="AF930" s="55"/>
      <c r="AG930" s="55"/>
      <c r="AH930" s="55"/>
    </row>
    <row r="931" spans="1:34" ht="15.75">
      <c r="A931" s="39">
        <v>30.984514300000001</v>
      </c>
      <c r="B931" s="39">
        <v>31.362257100000001</v>
      </c>
      <c r="C931" s="39">
        <v>929</v>
      </c>
      <c r="D931">
        <v>929</v>
      </c>
      <c r="E931" s="10">
        <v>1260120</v>
      </c>
      <c r="F931" s="10">
        <v>924250</v>
      </c>
      <c r="G931" s="10">
        <v>17016</v>
      </c>
      <c r="H931" s="10">
        <v>38622</v>
      </c>
      <c r="I931" s="10">
        <v>87984</v>
      </c>
      <c r="J931" s="10">
        <v>27139</v>
      </c>
      <c r="K931">
        <v>929</v>
      </c>
      <c r="L931" s="10">
        <v>1524</v>
      </c>
      <c r="M931" s="10">
        <v>325126</v>
      </c>
      <c r="N931" s="10">
        <v>4701</v>
      </c>
      <c r="O931">
        <v>0.51080986131633699</v>
      </c>
      <c r="P931">
        <v>0.92521694146621525</v>
      </c>
      <c r="Q931">
        <v>-0.35597728261794032</v>
      </c>
      <c r="R931">
        <v>0.35597728261794032</v>
      </c>
      <c r="S931">
        <f t="shared" si="150"/>
        <v>-1.1761831720213534</v>
      </c>
      <c r="T931" s="148">
        <f t="shared" si="145"/>
        <v>-1.1775772662413866</v>
      </c>
      <c r="U931">
        <f t="shared" si="151"/>
        <v>2.1303907372056519</v>
      </c>
      <c r="V931" s="55">
        <f t="shared" si="146"/>
        <v>2.0909535037228171</v>
      </c>
      <c r="W931">
        <f t="shared" si="152"/>
        <v>0.46681772984616932</v>
      </c>
      <c r="X931" s="55">
        <f t="shared" si="147"/>
        <v>0.4473609726849197</v>
      </c>
      <c r="Y931" s="149">
        <v>31.362257100000001</v>
      </c>
      <c r="Z931" s="55">
        <f t="shared" si="143"/>
        <v>5.0862861779821479E-3</v>
      </c>
      <c r="AA931" s="55">
        <f t="shared" si="148"/>
        <v>5.1155261517995647E-3</v>
      </c>
      <c r="AB931" s="55">
        <f t="shared" si="144"/>
        <v>-5.2812073457747477</v>
      </c>
      <c r="AC931" s="55">
        <f t="shared" si="149"/>
        <v>-5.2773574298186725</v>
      </c>
      <c r="AD931" s="55"/>
      <c r="AE931" s="55"/>
      <c r="AF931" s="55"/>
      <c r="AG931" s="55"/>
      <c r="AH931" s="55"/>
    </row>
    <row r="932" spans="1:34" ht="15.75">
      <c r="A932" s="39">
        <v>30.9965048</v>
      </c>
      <c r="B932" s="39">
        <v>31.374419100000001</v>
      </c>
      <c r="C932" s="39">
        <v>930</v>
      </c>
      <c r="D932">
        <v>930</v>
      </c>
      <c r="E932" s="10">
        <v>1237460</v>
      </c>
      <c r="F932" s="10">
        <v>910450</v>
      </c>
      <c r="G932" s="10">
        <v>17672</v>
      </c>
      <c r="H932" s="10">
        <v>39004</v>
      </c>
      <c r="I932" s="10">
        <v>89955</v>
      </c>
      <c r="J932" s="10">
        <v>26885</v>
      </c>
      <c r="K932">
        <v>930</v>
      </c>
      <c r="L932" s="10">
        <v>1490</v>
      </c>
      <c r="M932" s="10">
        <v>306330</v>
      </c>
      <c r="N932" s="10">
        <v>4321</v>
      </c>
      <c r="O932">
        <v>0.52451526708032259</v>
      </c>
      <c r="P932">
        <v>0.89508038314569827</v>
      </c>
      <c r="Q932">
        <v>-0.3438234449028042</v>
      </c>
      <c r="R932">
        <v>0.3438234449028042</v>
      </c>
      <c r="S932">
        <f t="shared" si="150"/>
        <v>-1.2077410350269415</v>
      </c>
      <c r="T932" s="148">
        <f t="shared" si="145"/>
        <v>-1.1431206234006499</v>
      </c>
      <c r="U932">
        <f t="shared" si="151"/>
        <v>2.0609987472626838</v>
      </c>
      <c r="V932" s="55">
        <f t="shared" si="146"/>
        <v>2.1013325510517968</v>
      </c>
      <c r="W932">
        <f t="shared" si="152"/>
        <v>0.41958704414382536</v>
      </c>
      <c r="X932" s="55">
        <f t="shared" si="147"/>
        <v>0.43695625799973437</v>
      </c>
      <c r="Y932" s="149">
        <v>31.374419100000001</v>
      </c>
      <c r="Z932" s="55">
        <f t="shared" si="143"/>
        <v>4.7460047229392057E-3</v>
      </c>
      <c r="AA932" s="55">
        <f t="shared" si="148"/>
        <v>4.951819441866844E-3</v>
      </c>
      <c r="AB932" s="55">
        <f t="shared" si="144"/>
        <v>-5.3504521258280562</v>
      </c>
      <c r="AC932" s="55">
        <f t="shared" si="149"/>
        <v>-5.3084513515873644</v>
      </c>
      <c r="AD932" s="55"/>
      <c r="AE932" s="55"/>
      <c r="AF932" s="55"/>
      <c r="AG932" s="55"/>
      <c r="AH932" s="55"/>
    </row>
    <row r="933" spans="1:34" ht="15.75">
      <c r="A933" s="39">
        <v>31.008495199999999</v>
      </c>
      <c r="B933" s="39">
        <v>31.386581</v>
      </c>
      <c r="C933" s="39">
        <v>931</v>
      </c>
      <c r="D933">
        <v>931</v>
      </c>
      <c r="E933" s="10">
        <v>1264700</v>
      </c>
      <c r="F933" s="10">
        <v>936660</v>
      </c>
      <c r="G933" s="10">
        <v>17987</v>
      </c>
      <c r="H933" s="10">
        <v>39480</v>
      </c>
      <c r="I933" s="10">
        <v>78222</v>
      </c>
      <c r="J933" s="10">
        <v>27498</v>
      </c>
      <c r="K933">
        <v>931</v>
      </c>
      <c r="L933" s="10">
        <v>1445</v>
      </c>
      <c r="M933" s="10">
        <v>326491</v>
      </c>
      <c r="N933" s="10">
        <v>4705</v>
      </c>
      <c r="O933">
        <v>0.45402780828146277</v>
      </c>
      <c r="P933">
        <v>0.917494070084522</v>
      </c>
      <c r="Q933">
        <v>-0.34141840933974987</v>
      </c>
      <c r="R933">
        <v>0.34141840933974987</v>
      </c>
      <c r="S933">
        <f t="shared" si="150"/>
        <v>-1.0454376631536548</v>
      </c>
      <c r="T933" s="148">
        <f t="shared" si="145"/>
        <v>-1.2299644885698806</v>
      </c>
      <c r="U933">
        <f t="shared" si="151"/>
        <v>2.1126081686870544</v>
      </c>
      <c r="V933" s="55">
        <f t="shared" si="146"/>
        <v>2.0886257635127881</v>
      </c>
      <c r="W933">
        <f t="shared" si="152"/>
        <v>0.42446400000920836</v>
      </c>
      <c r="X933" s="55">
        <f t="shared" si="147"/>
        <v>0.42055978118005882</v>
      </c>
      <c r="Y933" s="149">
        <v>31.386581</v>
      </c>
      <c r="Z933" s="55">
        <f t="shared" si="143"/>
        <v>5.0231674246791792E-3</v>
      </c>
      <c r="AA933" s="55">
        <f t="shared" si="148"/>
        <v>4.8032963317131087E-3</v>
      </c>
      <c r="AB933" s="55">
        <f t="shared" si="144"/>
        <v>-5.2936945831592874</v>
      </c>
      <c r="AC933" s="55">
        <f t="shared" si="149"/>
        <v>-5.3390110468879755</v>
      </c>
      <c r="AD933" s="55"/>
      <c r="AE933" s="55"/>
      <c r="AF933" s="55"/>
      <c r="AG933" s="55"/>
      <c r="AH933" s="55"/>
    </row>
    <row r="934" spans="1:34" ht="15.75">
      <c r="A934" s="39">
        <v>31.020485699999998</v>
      </c>
      <c r="B934" s="39">
        <v>31.398742899999998</v>
      </c>
      <c r="C934" s="39">
        <v>932</v>
      </c>
      <c r="D934">
        <v>932</v>
      </c>
      <c r="E934" s="10">
        <v>1287900</v>
      </c>
      <c r="F934" s="10">
        <v>872710</v>
      </c>
      <c r="G934" s="10">
        <v>17569</v>
      </c>
      <c r="H934" s="10">
        <v>38125</v>
      </c>
      <c r="I934" s="10">
        <v>112222</v>
      </c>
      <c r="J934" s="10">
        <v>26676</v>
      </c>
      <c r="K934">
        <v>932</v>
      </c>
      <c r="L934" s="10">
        <v>1360</v>
      </c>
      <c r="M934" s="10">
        <v>308938</v>
      </c>
      <c r="N934" s="10">
        <v>4050</v>
      </c>
      <c r="O934">
        <v>0.62395729560677771</v>
      </c>
      <c r="P934">
        <v>0.9086614783334902</v>
      </c>
      <c r="Q934">
        <v>-0.33646280951870206</v>
      </c>
      <c r="R934">
        <v>0.33646280951870211</v>
      </c>
      <c r="S934">
        <f t="shared" si="150"/>
        <v>-1.4367147675290455</v>
      </c>
      <c r="T934" s="148">
        <f t="shared" si="145"/>
        <v>-1.1115521240984361</v>
      </c>
      <c r="U934">
        <f t="shared" si="151"/>
        <v>2.0922703745886264</v>
      </c>
      <c r="V934" s="55">
        <f t="shared" si="146"/>
        <v>2.0841491911217975</v>
      </c>
      <c r="W934">
        <f t="shared" si="152"/>
        <v>0.41762829938714269</v>
      </c>
      <c r="X934" s="55">
        <f t="shared" si="147"/>
        <v>0.42043074435458627</v>
      </c>
      <c r="Y934" s="149">
        <v>31.398742899999998</v>
      </c>
      <c r="Z934" s="55">
        <f t="shared" si="143"/>
        <v>4.6407168475209402E-3</v>
      </c>
      <c r="AA934" s="55">
        <f t="shared" si="148"/>
        <v>4.9530167558257468E-3</v>
      </c>
      <c r="AB934" s="55">
        <f t="shared" si="144"/>
        <v>-5.3728864316765854</v>
      </c>
      <c r="AC934" s="55">
        <f t="shared" si="149"/>
        <v>-5.308869238961563</v>
      </c>
      <c r="AD934" s="55"/>
      <c r="AE934" s="55"/>
      <c r="AF934" s="55"/>
      <c r="AG934" s="55"/>
      <c r="AH934" s="55"/>
    </row>
    <row r="935" spans="1:34" ht="15.75">
      <c r="A935" s="39">
        <v>31.032476200000001</v>
      </c>
      <c r="B935" s="39">
        <v>31.410904800000001</v>
      </c>
      <c r="C935" s="39">
        <v>933</v>
      </c>
      <c r="D935">
        <v>933</v>
      </c>
      <c r="E935" s="10">
        <v>1264590</v>
      </c>
      <c r="F935" s="10">
        <v>935870</v>
      </c>
      <c r="G935" s="10">
        <v>18969</v>
      </c>
      <c r="H935" s="10">
        <v>40907</v>
      </c>
      <c r="I935" s="10">
        <v>67661</v>
      </c>
      <c r="J935" s="10">
        <v>28847</v>
      </c>
      <c r="K935">
        <v>933</v>
      </c>
      <c r="L935" s="10">
        <v>1281</v>
      </c>
      <c r="M935" s="10">
        <v>316990</v>
      </c>
      <c r="N935" s="10">
        <v>4862</v>
      </c>
      <c r="O935">
        <v>0.37023775764312772</v>
      </c>
      <c r="P935">
        <v>0.88924793108395528</v>
      </c>
      <c r="Q935">
        <v>-0.33375319424343541</v>
      </c>
      <c r="R935">
        <v>0.33375319424343547</v>
      </c>
      <c r="S935">
        <f t="shared" si="150"/>
        <v>-0.85250394161260812</v>
      </c>
      <c r="T935" s="148">
        <f t="shared" si="145"/>
        <v>-0.88447807014018609</v>
      </c>
      <c r="U935">
        <f t="shared" si="151"/>
        <v>2.0475690300897118</v>
      </c>
      <c r="V935" s="55">
        <f t="shared" si="146"/>
        <v>2.0927826513746446</v>
      </c>
      <c r="W935">
        <f t="shared" si="152"/>
        <v>0.41919993366740771</v>
      </c>
      <c r="X935" s="55">
        <f t="shared" si="147"/>
        <v>0.4515678856520578</v>
      </c>
      <c r="Y935" s="149">
        <v>31.410904800000001</v>
      </c>
      <c r="Z935" s="55">
        <f t="shared" si="143"/>
        <v>5.1951659952771219E-3</v>
      </c>
      <c r="AA935" s="55">
        <f t="shared" si="148"/>
        <v>4.863635624705211E-3</v>
      </c>
      <c r="AB935" s="55">
        <f t="shared" si="144"/>
        <v>-5.2600267020488163</v>
      </c>
      <c r="AC935" s="55">
        <f t="shared" si="149"/>
        <v>-5.3271555542727009</v>
      </c>
      <c r="AD935" s="55"/>
      <c r="AE935" s="55"/>
      <c r="AF935" s="55"/>
      <c r="AG935" s="55"/>
      <c r="AH935" s="55"/>
    </row>
    <row r="936" spans="1:34" ht="15.75">
      <c r="A936" s="39">
        <v>31.044466700000001</v>
      </c>
      <c r="B936" s="39">
        <v>31.4230667</v>
      </c>
      <c r="C936" s="39">
        <v>934</v>
      </c>
      <c r="D936">
        <v>934</v>
      </c>
      <c r="E936" s="10">
        <v>1291500</v>
      </c>
      <c r="F936" s="10">
        <v>975810</v>
      </c>
      <c r="G936" s="10">
        <v>17923</v>
      </c>
      <c r="H936" s="10">
        <v>41763</v>
      </c>
      <c r="I936" s="10">
        <v>43301</v>
      </c>
      <c r="J936" s="10">
        <v>30083</v>
      </c>
      <c r="K936">
        <v>934</v>
      </c>
      <c r="L936" s="10">
        <v>1298</v>
      </c>
      <c r="M936" s="10">
        <v>354433</v>
      </c>
      <c r="N936" s="10">
        <v>4640</v>
      </c>
      <c r="O936">
        <v>0.15817678242905489</v>
      </c>
      <c r="P936">
        <v>0.92874246252714943</v>
      </c>
      <c r="Q936">
        <v>-0.36738098339945569</v>
      </c>
      <c r="R936">
        <v>0.36738098339945569</v>
      </c>
      <c r="S936">
        <f t="shared" si="150"/>
        <v>-0.3642155012789044</v>
      </c>
      <c r="T936" s="148">
        <f t="shared" si="145"/>
        <v>-0.53353561307969122</v>
      </c>
      <c r="U936">
        <f t="shared" si="151"/>
        <v>2.1385085494455955</v>
      </c>
      <c r="V936" s="55">
        <f t="shared" si="146"/>
        <v>2.1030215158984098</v>
      </c>
      <c r="W936">
        <f t="shared" si="152"/>
        <v>0.517875423901623</v>
      </c>
      <c r="X936" s="55">
        <f t="shared" si="147"/>
        <v>0.47616627170519638</v>
      </c>
      <c r="Y936" s="149">
        <v>31.4230667</v>
      </c>
      <c r="Z936" s="55">
        <f t="shared" si="143"/>
        <v>4.7550240313175719E-3</v>
      </c>
      <c r="AA936" s="55">
        <f t="shared" si="148"/>
        <v>4.9509510543925932E-3</v>
      </c>
      <c r="AB936" s="55">
        <f t="shared" si="144"/>
        <v>-5.348553529092702</v>
      </c>
      <c r="AC936" s="55">
        <f t="shared" si="149"/>
        <v>-5.3088523184621215</v>
      </c>
      <c r="AD936" s="55"/>
      <c r="AE936" s="55"/>
      <c r="AF936" s="55"/>
      <c r="AG936" s="55"/>
      <c r="AH936" s="55"/>
    </row>
    <row r="937" spans="1:34" ht="15.75">
      <c r="A937" s="39">
        <v>31.056457099999999</v>
      </c>
      <c r="B937" s="39">
        <v>31.435228599999999</v>
      </c>
      <c r="C937" s="39">
        <v>935</v>
      </c>
      <c r="D937">
        <v>935</v>
      </c>
      <c r="E937" s="10">
        <v>1297120</v>
      </c>
      <c r="F937" s="10">
        <v>963150</v>
      </c>
      <c r="G937" s="10">
        <v>18475</v>
      </c>
      <c r="H937" s="10">
        <v>42330</v>
      </c>
      <c r="I937" s="10">
        <v>44333</v>
      </c>
      <c r="J937" s="10">
        <v>30200</v>
      </c>
      <c r="K937">
        <v>935</v>
      </c>
      <c r="L937" s="10">
        <v>1356</v>
      </c>
      <c r="M937" s="10">
        <v>353712</v>
      </c>
      <c r="N937" s="10">
        <v>4722</v>
      </c>
      <c r="O937">
        <v>0.16672017790595248</v>
      </c>
      <c r="P937">
        <v>0.92200152542436831</v>
      </c>
      <c r="Q937">
        <v>-0.36006382140714693</v>
      </c>
      <c r="R937">
        <v>0.36006382140714688</v>
      </c>
      <c r="S937">
        <f t="shared" si="150"/>
        <v>-0.38388739634756142</v>
      </c>
      <c r="T937" s="148">
        <f t="shared" si="145"/>
        <v>-0.41965188080895155</v>
      </c>
      <c r="U937">
        <f t="shared" si="151"/>
        <v>2.1229869681599212</v>
      </c>
      <c r="V937" s="55">
        <f t="shared" si="146"/>
        <v>2.1245487561645682</v>
      </c>
      <c r="W937">
        <f t="shared" si="152"/>
        <v>0.49142345754655842</v>
      </c>
      <c r="X937" s="55">
        <f t="shared" si="147"/>
        <v>0.48960475336464193</v>
      </c>
      <c r="Y937" s="149">
        <v>31.435228599999999</v>
      </c>
      <c r="Z937" s="55">
        <f t="shared" si="143"/>
        <v>4.9026631365830867E-3</v>
      </c>
      <c r="AA937" s="55">
        <f t="shared" si="148"/>
        <v>4.7673566367728093E-3</v>
      </c>
      <c r="AB937" s="55">
        <f t="shared" si="144"/>
        <v>-5.3179767242448461</v>
      </c>
      <c r="AC937" s="55">
        <f t="shared" si="149"/>
        <v>-5.3462090184462676</v>
      </c>
      <c r="AD937" s="55"/>
      <c r="AE937" s="55"/>
      <c r="AF937" s="55"/>
      <c r="AG937" s="55"/>
      <c r="AH937" s="55"/>
    </row>
    <row r="938" spans="1:34" ht="15.75">
      <c r="A938" s="39">
        <v>31.068447599999999</v>
      </c>
      <c r="B938" s="39">
        <v>31.447390500000001</v>
      </c>
      <c r="C938" s="39">
        <v>936</v>
      </c>
      <c r="D938">
        <v>936</v>
      </c>
      <c r="E938" s="10">
        <v>1280060</v>
      </c>
      <c r="F938" s="10">
        <v>936400</v>
      </c>
      <c r="G938" s="10">
        <v>18630</v>
      </c>
      <c r="H938" s="10">
        <v>41718</v>
      </c>
      <c r="I938" s="10">
        <v>49163</v>
      </c>
      <c r="J938" s="10">
        <v>29497</v>
      </c>
      <c r="K938">
        <v>936</v>
      </c>
      <c r="L938" s="10">
        <v>1456</v>
      </c>
      <c r="M938" s="10">
        <v>344841</v>
      </c>
      <c r="N938" s="10">
        <v>4349</v>
      </c>
      <c r="O938">
        <v>0.22186052813193891</v>
      </c>
      <c r="P938">
        <v>0.91729541605854981</v>
      </c>
      <c r="Q938">
        <v>-0.35011062487301675</v>
      </c>
      <c r="R938">
        <v>0.3501106248730167</v>
      </c>
      <c r="S938">
        <f t="shared" si="150"/>
        <v>-0.51085274480038867</v>
      </c>
      <c r="T938" s="148">
        <f t="shared" si="145"/>
        <v>-0.5327514797946129</v>
      </c>
      <c r="U938">
        <f t="shared" si="151"/>
        <v>2.1121507508881878</v>
      </c>
      <c r="V938" s="55">
        <f t="shared" si="146"/>
        <v>2.1257114227619702</v>
      </c>
      <c r="W938">
        <f t="shared" si="152"/>
        <v>0.45951537864574438</v>
      </c>
      <c r="X938" s="55">
        <f t="shared" si="147"/>
        <v>0.48891410250778772</v>
      </c>
      <c r="Y938" s="149">
        <v>31.447390500000001</v>
      </c>
      <c r="Z938" s="55">
        <f t="shared" si="143"/>
        <v>4.6443827424177703E-3</v>
      </c>
      <c r="AA938" s="55">
        <f t="shared" si="148"/>
        <v>4.6806878796786877E-3</v>
      </c>
      <c r="AB938" s="55">
        <f t="shared" si="144"/>
        <v>-5.3720968020012547</v>
      </c>
      <c r="AC938" s="55">
        <f t="shared" si="149"/>
        <v>-5.3649530620826331</v>
      </c>
      <c r="AD938" s="55"/>
      <c r="AE938" s="55"/>
      <c r="AF938" s="55"/>
      <c r="AG938" s="55"/>
      <c r="AH938" s="55"/>
    </row>
    <row r="939" spans="1:34" ht="15.75">
      <c r="A939" s="39">
        <v>31.080438099999999</v>
      </c>
      <c r="B939" s="39">
        <v>31.4595524</v>
      </c>
      <c r="C939" s="39">
        <v>937</v>
      </c>
      <c r="D939">
        <v>937</v>
      </c>
      <c r="E939" s="10">
        <v>1345550</v>
      </c>
      <c r="F939" s="10">
        <v>954390</v>
      </c>
      <c r="G939" s="10">
        <v>18476</v>
      </c>
      <c r="H939" s="10">
        <v>42742</v>
      </c>
      <c r="I939" s="10">
        <v>62539</v>
      </c>
      <c r="J939" s="10">
        <v>30947</v>
      </c>
      <c r="K939">
        <v>937</v>
      </c>
      <c r="L939" s="10">
        <v>1251</v>
      </c>
      <c r="M939" s="10">
        <v>364009</v>
      </c>
      <c r="N939" s="10">
        <v>4290</v>
      </c>
      <c r="O939">
        <v>0.30553237766388508</v>
      </c>
      <c r="P939">
        <v>0.93025728158978449</v>
      </c>
      <c r="Q939">
        <v>-0.36424688640239072</v>
      </c>
      <c r="R939">
        <v>0.36424688640239072</v>
      </c>
      <c r="S939">
        <f t="shared" si="150"/>
        <v>-0.70351429823588862</v>
      </c>
      <c r="T939" s="148">
        <f t="shared" si="145"/>
        <v>-0.57432971559979273</v>
      </c>
      <c r="U939">
        <f t="shared" si="151"/>
        <v>2.1419965492378021</v>
      </c>
      <c r="V939" s="55">
        <f t="shared" si="146"/>
        <v>2.1292384300242317</v>
      </c>
      <c r="W939">
        <f t="shared" si="152"/>
        <v>0.51580347133106053</v>
      </c>
      <c r="X939" s="55">
        <f t="shared" si="147"/>
        <v>0.48470442820567922</v>
      </c>
      <c r="Y939" s="149">
        <v>31.4595524</v>
      </c>
      <c r="Z939" s="55">
        <f t="shared" si="143"/>
        <v>4.4950177600352054E-3</v>
      </c>
      <c r="AA939" s="55">
        <f t="shared" si="148"/>
        <v>4.5682231401648491E-3</v>
      </c>
      <c r="AB939" s="55">
        <f t="shared" si="144"/>
        <v>-5.4047856600017967</v>
      </c>
      <c r="AC939" s="55">
        <f t="shared" si="149"/>
        <v>-5.3887201066704682</v>
      </c>
      <c r="AD939" s="55"/>
      <c r="AE939" s="55"/>
      <c r="AF939" s="55"/>
      <c r="AG939" s="55"/>
      <c r="AH939" s="55"/>
    </row>
    <row r="940" spans="1:34" ht="15.75">
      <c r="A940" s="39">
        <v>31.092428600000002</v>
      </c>
      <c r="B940" s="39">
        <v>31.471714299999999</v>
      </c>
      <c r="C940" s="39">
        <v>938</v>
      </c>
      <c r="D940">
        <v>938</v>
      </c>
      <c r="E940" s="10">
        <v>1322770</v>
      </c>
      <c r="F940" s="10">
        <v>970370</v>
      </c>
      <c r="G940" s="10">
        <v>19027</v>
      </c>
      <c r="H940" s="10">
        <v>43320</v>
      </c>
      <c r="I940" s="10">
        <v>51074</v>
      </c>
      <c r="J940" s="10">
        <v>30712</v>
      </c>
      <c r="K940">
        <v>938</v>
      </c>
      <c r="L940" s="10">
        <v>1369</v>
      </c>
      <c r="M940" s="10">
        <v>365835</v>
      </c>
      <c r="N940" s="10">
        <v>4430</v>
      </c>
      <c r="O940">
        <v>0.22089177303833796</v>
      </c>
      <c r="P940">
        <v>0.92659680479926676</v>
      </c>
      <c r="Q940">
        <v>-0.3573181297741746</v>
      </c>
      <c r="R940">
        <v>0.35731812977417454</v>
      </c>
      <c r="S940">
        <f t="shared" si="150"/>
        <v>-0.50862210376310091</v>
      </c>
      <c r="T940" s="148">
        <f t="shared" si="145"/>
        <v>-0.72060809812264826</v>
      </c>
      <c r="U940">
        <f t="shared" si="151"/>
        <v>2.1335679899467053</v>
      </c>
      <c r="V940" s="55">
        <f t="shared" si="146"/>
        <v>2.1383709034947072</v>
      </c>
      <c r="W940">
        <f t="shared" si="152"/>
        <v>0.47879443464023286</v>
      </c>
      <c r="X940" s="55">
        <f t="shared" si="147"/>
        <v>0.50214043467202885</v>
      </c>
      <c r="Y940" s="149">
        <v>31.471714299999999</v>
      </c>
      <c r="Z940" s="55">
        <f t="shared" si="143"/>
        <v>4.5652689180415715E-3</v>
      </c>
      <c r="AA940" s="55">
        <f t="shared" si="148"/>
        <v>4.5392387145832313E-3</v>
      </c>
      <c r="AB940" s="55">
        <f t="shared" si="144"/>
        <v>-5.3892778580083531</v>
      </c>
      <c r="AC940" s="55">
        <f t="shared" si="149"/>
        <v>-5.3950200153601662</v>
      </c>
      <c r="AD940" s="55"/>
      <c r="AE940" s="55"/>
      <c r="AF940" s="55"/>
      <c r="AG940" s="55"/>
      <c r="AH940" s="55"/>
    </row>
    <row r="941" spans="1:34" ht="15.75">
      <c r="A941" s="39">
        <v>31.104419100000001</v>
      </c>
      <c r="B941" s="39">
        <v>31.483876200000001</v>
      </c>
      <c r="C941" s="39">
        <v>939</v>
      </c>
      <c r="D941">
        <v>939</v>
      </c>
      <c r="E941" s="10">
        <v>1190990</v>
      </c>
      <c r="F941" s="10">
        <v>888220</v>
      </c>
      <c r="G941" s="10">
        <v>15627</v>
      </c>
      <c r="H941" s="10">
        <v>36576</v>
      </c>
      <c r="I941" s="10">
        <v>67391</v>
      </c>
      <c r="J941" s="10">
        <v>26071</v>
      </c>
      <c r="K941">
        <v>939</v>
      </c>
      <c r="L941" s="10">
        <v>1279</v>
      </c>
      <c r="M941" s="10">
        <v>310735</v>
      </c>
      <c r="N941" s="10">
        <v>4048</v>
      </c>
      <c r="O941">
        <v>0.4124442111861667</v>
      </c>
      <c r="P941">
        <v>0.92919396456161585</v>
      </c>
      <c r="Q941">
        <v>-0.36932059656282812</v>
      </c>
      <c r="R941">
        <v>0.36932059656282812</v>
      </c>
      <c r="S941">
        <f t="shared" si="150"/>
        <v>-0.94968789236895546</v>
      </c>
      <c r="T941" s="148">
        <f t="shared" si="145"/>
        <v>-0.92141130971025031</v>
      </c>
      <c r="U941">
        <f t="shared" si="151"/>
        <v>2.1395481712996141</v>
      </c>
      <c r="V941" s="55">
        <f t="shared" si="146"/>
        <v>2.1471002137587525</v>
      </c>
      <c r="W941">
        <f t="shared" si="152"/>
        <v>0.51182339804479304</v>
      </c>
      <c r="X941" s="55">
        <f t="shared" si="147"/>
        <v>0.57325133195166134</v>
      </c>
      <c r="Y941" s="149">
        <v>31.483876200000001</v>
      </c>
      <c r="Z941" s="55">
        <f t="shared" si="143"/>
        <v>4.5574294656729186E-3</v>
      </c>
      <c r="AA941" s="55">
        <f t="shared" si="148"/>
        <v>4.5474340385872917E-3</v>
      </c>
      <c r="AB941" s="55">
        <f t="shared" si="144"/>
        <v>-5.3909965280703478</v>
      </c>
      <c r="AC941" s="55">
        <f t="shared" si="149"/>
        <v>-5.3932017816536506</v>
      </c>
      <c r="AD941" s="55"/>
      <c r="AE941" s="55"/>
      <c r="AF941" s="55"/>
      <c r="AG941" s="55"/>
      <c r="AH941" s="55"/>
    </row>
    <row r="942" spans="1:34" ht="15.75">
      <c r="A942" s="129">
        <v>31.1164095</v>
      </c>
      <c r="B942" s="129">
        <v>31.4960381</v>
      </c>
      <c r="C942" s="129">
        <v>940</v>
      </c>
      <c r="D942" s="130">
        <v>940</v>
      </c>
      <c r="E942" s="131">
        <v>954230</v>
      </c>
      <c r="F942" s="131">
        <v>763120</v>
      </c>
      <c r="G942" s="131">
        <v>9292</v>
      </c>
      <c r="H942" s="131">
        <v>25617</v>
      </c>
      <c r="I942" s="131">
        <v>71109</v>
      </c>
      <c r="J942" s="131">
        <v>19265</v>
      </c>
      <c r="K942" s="130">
        <v>940</v>
      </c>
      <c r="L942" s="131">
        <v>720</v>
      </c>
      <c r="M942" s="131">
        <v>223954</v>
      </c>
      <c r="N942" s="131">
        <v>3449</v>
      </c>
      <c r="O942" s="130">
        <v>0.567155557886725</v>
      </c>
      <c r="P942" s="130">
        <v>0.94163055542527363</v>
      </c>
      <c r="Q942" s="130">
        <v>-0.44041906714803808</v>
      </c>
      <c r="R942" s="130">
        <v>0.44041906714803808</v>
      </c>
      <c r="S942" s="130">
        <f t="shared" si="150"/>
        <v>-1.3059239329986947</v>
      </c>
      <c r="T942" s="148">
        <f t="shared" si="145"/>
        <v>-0.86393926418257905</v>
      </c>
      <c r="U942" s="130">
        <f t="shared" si="151"/>
        <v>2.1681844800299386</v>
      </c>
      <c r="V942" s="132">
        <f t="shared" si="146"/>
        <v>2.1527765124955844</v>
      </c>
      <c r="W942" s="130">
        <f t="shared" si="152"/>
        <v>0.72913616316995811</v>
      </c>
      <c r="X942" s="132">
        <f t="shared" si="147"/>
        <v>0.55288262634662122</v>
      </c>
      <c r="Y942" s="149">
        <v>31.4960381</v>
      </c>
      <c r="Z942" s="132">
        <f t="shared" si="143"/>
        <v>4.5196037320473842E-3</v>
      </c>
      <c r="AA942" s="132">
        <f t="shared" si="148"/>
        <v>4.5606862178200541E-3</v>
      </c>
      <c r="AB942" s="132">
        <f t="shared" si="144"/>
        <v>-5.3993309588822491</v>
      </c>
      <c r="AC942" s="132">
        <f t="shared" si="149"/>
        <v>-5.3903115227982603</v>
      </c>
      <c r="AD942" s="55"/>
      <c r="AE942" s="55"/>
      <c r="AF942" s="55"/>
      <c r="AG942" s="55"/>
      <c r="AH942" s="55"/>
    </row>
    <row r="943" spans="1:34" ht="15.75">
      <c r="A943" s="39">
        <v>31.128399999999999</v>
      </c>
      <c r="B943" s="39">
        <v>31.508199999999999</v>
      </c>
      <c r="C943" s="39">
        <v>941</v>
      </c>
      <c r="D943">
        <v>941</v>
      </c>
      <c r="E943" s="10">
        <v>1212500</v>
      </c>
      <c r="F943" s="10">
        <v>913350</v>
      </c>
      <c r="G943" s="10">
        <v>18729</v>
      </c>
      <c r="H943" s="10">
        <v>39018</v>
      </c>
      <c r="I943" s="10">
        <v>39804</v>
      </c>
      <c r="J943" s="10">
        <v>28439</v>
      </c>
      <c r="K943">
        <v>941</v>
      </c>
      <c r="L943" s="10">
        <v>1028</v>
      </c>
      <c r="M943" s="10">
        <v>335164</v>
      </c>
      <c r="N943" s="10">
        <v>4206</v>
      </c>
      <c r="O943">
        <v>0.14601239632925744</v>
      </c>
      <c r="P943">
        <v>0.93399236045638778</v>
      </c>
      <c r="Q943">
        <v>-0.3187504147405904</v>
      </c>
      <c r="R943">
        <v>0.31875041474059046</v>
      </c>
      <c r="S943">
        <f t="shared" si="150"/>
        <v>-0.33620596718008672</v>
      </c>
      <c r="T943" s="148">
        <f t="shared" si="145"/>
        <v>-0.54095139782587076</v>
      </c>
      <c r="U943">
        <f t="shared" si="151"/>
        <v>2.1505968861571998</v>
      </c>
      <c r="V943" s="55">
        <f t="shared" si="146"/>
        <v>2.1541123156989297</v>
      </c>
      <c r="W943">
        <f t="shared" si="152"/>
        <v>0.41768831782511229</v>
      </c>
      <c r="X943" s="55">
        <f t="shared" si="147"/>
        <v>0.5156220489748512</v>
      </c>
      <c r="Y943" s="149">
        <v>31.508199999999999</v>
      </c>
      <c r="Z943" s="55">
        <f t="shared" si="143"/>
        <v>4.6050254557398586E-3</v>
      </c>
      <c r="AA943" s="55">
        <f t="shared" si="148"/>
        <v>4.6143209340749171E-3</v>
      </c>
      <c r="AB943" s="55">
        <f t="shared" si="144"/>
        <v>-5.3806070814421849</v>
      </c>
      <c r="AC943" s="55">
        <f t="shared" si="149"/>
        <v>-5.3787458766112719</v>
      </c>
      <c r="AD943" s="55"/>
      <c r="AE943" s="55"/>
      <c r="AF943" s="55"/>
      <c r="AG943" s="55"/>
      <c r="AH943" s="55"/>
    </row>
    <row r="944" spans="1:34" ht="15.75">
      <c r="A944" s="39">
        <v>31.140390499999999</v>
      </c>
      <c r="B944" s="39">
        <v>31.520361900000001</v>
      </c>
      <c r="C944" s="39">
        <v>942</v>
      </c>
      <c r="D944">
        <v>942</v>
      </c>
      <c r="E944" s="10">
        <v>1272230</v>
      </c>
      <c r="F944" s="10">
        <v>948640</v>
      </c>
      <c r="G944" s="10">
        <v>20399</v>
      </c>
      <c r="H944" s="10">
        <v>42340</v>
      </c>
      <c r="I944" s="10">
        <v>29852</v>
      </c>
      <c r="J944" s="10">
        <v>30433</v>
      </c>
      <c r="K944">
        <v>942</v>
      </c>
      <c r="L944" s="10">
        <v>1055</v>
      </c>
      <c r="M944" s="10">
        <v>361148</v>
      </c>
      <c r="N944" s="10">
        <v>4476</v>
      </c>
      <c r="O944">
        <v>-8.3713330551034096E-3</v>
      </c>
      <c r="P944">
        <v>0.9309343604419803</v>
      </c>
      <c r="Q944">
        <v>-0.31714197572449065</v>
      </c>
      <c r="R944">
        <v>0.31714197572449065</v>
      </c>
      <c r="S944">
        <f t="shared" si="150"/>
        <v>1.9275706701169362E-2</v>
      </c>
      <c r="T944" s="148">
        <f t="shared" si="145"/>
        <v>-0.26110009759047653</v>
      </c>
      <c r="U944">
        <f t="shared" si="151"/>
        <v>2.1435555809096498</v>
      </c>
      <c r="V944" s="55">
        <f t="shared" si="146"/>
        <v>2.0922106883516234</v>
      </c>
      <c r="W944">
        <f t="shared" si="152"/>
        <v>0.40004166592948315</v>
      </c>
      <c r="X944" s="55">
        <f t="shared" si="147"/>
        <v>0.41085988039828036</v>
      </c>
      <c r="Y944" s="149">
        <v>31.520361900000001</v>
      </c>
      <c r="Z944" s="55">
        <f t="shared" si="143"/>
        <v>4.7183336144375103E-3</v>
      </c>
      <c r="AA944" s="55">
        <f t="shared" si="148"/>
        <v>4.6693837534627324E-3</v>
      </c>
      <c r="AB944" s="55">
        <f t="shared" si="144"/>
        <v>-5.356299589509379</v>
      </c>
      <c r="AC944" s="55">
        <f t="shared" si="149"/>
        <v>-5.3667801305462888</v>
      </c>
      <c r="AD944" s="55"/>
      <c r="AE944" s="55"/>
      <c r="AF944" s="55"/>
      <c r="AG944" s="55"/>
      <c r="AH944" s="55"/>
    </row>
    <row r="945" spans="1:34" ht="15.75">
      <c r="A945" s="39">
        <v>31.152380999999998</v>
      </c>
      <c r="B945" s="39">
        <v>31.5325238</v>
      </c>
      <c r="C945" s="39">
        <v>943</v>
      </c>
      <c r="D945">
        <v>943</v>
      </c>
      <c r="E945" s="10">
        <v>1164968.75</v>
      </c>
      <c r="F945" s="10">
        <v>863147.5</v>
      </c>
      <c r="G945" s="10">
        <v>18228.875</v>
      </c>
      <c r="H945" s="10">
        <v>38526</v>
      </c>
      <c r="I945" s="10">
        <v>44001.625</v>
      </c>
      <c r="J945" s="10">
        <v>27601.125</v>
      </c>
      <c r="K945">
        <v>943</v>
      </c>
      <c r="L945" s="10">
        <v>1164.666667</v>
      </c>
      <c r="M945" s="10">
        <v>279726.6667</v>
      </c>
      <c r="N945" s="10">
        <v>4043.666667</v>
      </c>
      <c r="O945">
        <v>0.20254193154967948</v>
      </c>
      <c r="P945">
        <v>0.86097994989197435</v>
      </c>
      <c r="Q945">
        <v>-0.32499405342071291</v>
      </c>
      <c r="R945">
        <v>0.32499405342071297</v>
      </c>
      <c r="S945">
        <f t="shared" si="150"/>
        <v>-0.46637003229251228</v>
      </c>
      <c r="T945" s="148">
        <f t="shared" si="145"/>
        <v>-0.36358083841404448</v>
      </c>
      <c r="U945">
        <f t="shared" si="151"/>
        <v>1.9824795979880205</v>
      </c>
      <c r="V945" s="55">
        <f t="shared" si="146"/>
        <v>2.0678158844225405</v>
      </c>
      <c r="W945">
        <f t="shared" si="152"/>
        <v>0.41484965744024571</v>
      </c>
      <c r="X945" s="55">
        <f t="shared" si="147"/>
        <v>0.41604923124964738</v>
      </c>
      <c r="Y945" s="149">
        <v>31.5325238</v>
      </c>
      <c r="Z945" s="55">
        <f t="shared" si="143"/>
        <v>4.6847921902108272E-3</v>
      </c>
      <c r="AA945" s="55">
        <f t="shared" si="148"/>
        <v>4.6480344677518985E-3</v>
      </c>
      <c r="AB945" s="55">
        <f t="shared" si="144"/>
        <v>-5.3634337206873024</v>
      </c>
      <c r="AC945" s="55">
        <f t="shared" si="149"/>
        <v>-5.3714487567386771</v>
      </c>
      <c r="AD945" s="55"/>
      <c r="AE945" s="55"/>
      <c r="AF945" s="55"/>
      <c r="AG945" s="55"/>
      <c r="AH945" s="55"/>
    </row>
    <row r="946" spans="1:34" ht="15.75">
      <c r="A946" s="39">
        <v>31.1643714</v>
      </c>
      <c r="B946" s="39">
        <v>31.544685699999999</v>
      </c>
      <c r="C946" s="39">
        <v>944</v>
      </c>
      <c r="D946">
        <v>944</v>
      </c>
      <c r="E946" s="10">
        <v>1238420</v>
      </c>
      <c r="F946" s="10">
        <v>873160</v>
      </c>
      <c r="G946" s="10">
        <v>18736</v>
      </c>
      <c r="H946" s="10">
        <v>40022</v>
      </c>
      <c r="I946" s="10">
        <v>55001</v>
      </c>
      <c r="J946" s="10">
        <v>28896</v>
      </c>
      <c r="K946">
        <v>944</v>
      </c>
      <c r="L946" s="10">
        <v>1275</v>
      </c>
      <c r="M946" s="10">
        <v>319527</v>
      </c>
      <c r="N946" s="10">
        <v>3965</v>
      </c>
      <c r="O946">
        <v>0.27953285705235609</v>
      </c>
      <c r="P946">
        <v>0.90220877425585089</v>
      </c>
      <c r="Q946">
        <v>-0.32962190990175622</v>
      </c>
      <c r="R946">
        <v>0.32962190990175622</v>
      </c>
      <c r="S946">
        <f t="shared" si="150"/>
        <v>-0.64364818965079063</v>
      </c>
      <c r="T946" s="148">
        <f t="shared" si="145"/>
        <v>-0.50221556078512808</v>
      </c>
      <c r="U946">
        <f t="shared" si="151"/>
        <v>2.0774124743699525</v>
      </c>
      <c r="V946" s="55">
        <f t="shared" si="146"/>
        <v>2.0504800145632838</v>
      </c>
      <c r="W946">
        <f t="shared" si="152"/>
        <v>0.43325637037921338</v>
      </c>
      <c r="X946" s="55">
        <f t="shared" si="147"/>
        <v>0.43460215015524312</v>
      </c>
      <c r="Y946" s="149">
        <v>31.544685699999999</v>
      </c>
      <c r="Z946" s="55">
        <f t="shared" si="143"/>
        <v>4.5409775986073571E-3</v>
      </c>
      <c r="AA946" s="55">
        <f t="shared" si="148"/>
        <v>4.807240172172652E-3</v>
      </c>
      <c r="AB946" s="55">
        <f t="shared" si="144"/>
        <v>-5.3946129600193506</v>
      </c>
      <c r="AC946" s="55">
        <f t="shared" si="149"/>
        <v>-5.3393074478873883</v>
      </c>
      <c r="AD946" s="55"/>
      <c r="AE946" s="55"/>
      <c r="AF946" s="55"/>
      <c r="AG946" s="55"/>
      <c r="AH946" s="55"/>
    </row>
    <row r="947" spans="1:34" ht="15.75">
      <c r="A947" s="39">
        <v>31.1763619</v>
      </c>
      <c r="B947" s="39">
        <v>31.556847600000001</v>
      </c>
      <c r="C947" s="39">
        <v>945</v>
      </c>
      <c r="D947">
        <v>945</v>
      </c>
      <c r="E947" s="10">
        <v>1273820</v>
      </c>
      <c r="F947" s="10">
        <v>974990</v>
      </c>
      <c r="G947" s="10">
        <v>18977</v>
      </c>
      <c r="H947" s="10">
        <v>41759</v>
      </c>
      <c r="I947" s="10">
        <v>44503</v>
      </c>
      <c r="J947" s="10">
        <v>29932</v>
      </c>
      <c r="K947">
        <v>945</v>
      </c>
      <c r="L947" s="10">
        <v>1378</v>
      </c>
      <c r="M947" s="10">
        <v>338141</v>
      </c>
      <c r="N947" s="10">
        <v>5066</v>
      </c>
      <c r="O947">
        <v>0.17225355172274925</v>
      </c>
      <c r="P947">
        <v>0.90834774258537521</v>
      </c>
      <c r="Q947">
        <v>-0.34252253250286679</v>
      </c>
      <c r="R947">
        <v>0.34252253250286679</v>
      </c>
      <c r="S947">
        <f t="shared" si="150"/>
        <v>-0.39662846041208133</v>
      </c>
      <c r="T947" s="148">
        <f t="shared" si="145"/>
        <v>-0.5976953974027821</v>
      </c>
      <c r="U947">
        <f t="shared" si="151"/>
        <v>2.0915479713318779</v>
      </c>
      <c r="V947" s="55">
        <f t="shared" si="146"/>
        <v>2.0895275275254561</v>
      </c>
      <c r="W947">
        <f t="shared" si="152"/>
        <v>0.45570042264627031</v>
      </c>
      <c r="X947" s="55">
        <f t="shared" si="147"/>
        <v>0.46119200284751044</v>
      </c>
      <c r="Y947" s="149">
        <v>31.556847600000001</v>
      </c>
      <c r="Z947" s="55">
        <f t="shared" si="143"/>
        <v>5.1959507276997715E-3</v>
      </c>
      <c r="AA947" s="55">
        <f t="shared" si="148"/>
        <v>4.7960134688504507E-3</v>
      </c>
      <c r="AB947" s="55">
        <f t="shared" si="144"/>
        <v>-5.2598756629555101</v>
      </c>
      <c r="AC947" s="55">
        <f t="shared" si="149"/>
        <v>-5.3417125179698175</v>
      </c>
      <c r="AD947" s="55"/>
      <c r="AE947" s="55"/>
      <c r="AF947" s="55"/>
      <c r="AG947" s="55"/>
      <c r="AH947" s="55"/>
    </row>
    <row r="948" spans="1:34" ht="15.75">
      <c r="A948" s="39">
        <v>31.188352399999999</v>
      </c>
      <c r="B948" s="39">
        <v>31.5690095</v>
      </c>
      <c r="C948" s="39">
        <v>946</v>
      </c>
      <c r="D948">
        <v>946</v>
      </c>
      <c r="E948" s="10">
        <v>1215830</v>
      </c>
      <c r="F948" s="10">
        <v>917200</v>
      </c>
      <c r="G948" s="10">
        <v>16783</v>
      </c>
      <c r="H948" s="10">
        <v>38667</v>
      </c>
      <c r="I948" s="10">
        <v>58428</v>
      </c>
      <c r="J948" s="10">
        <v>27522</v>
      </c>
      <c r="K948">
        <v>946</v>
      </c>
      <c r="L948" s="10">
        <v>1320</v>
      </c>
      <c r="M948" s="10">
        <v>315642</v>
      </c>
      <c r="N948" s="10">
        <v>4266</v>
      </c>
      <c r="O948">
        <v>0.32694103007789294</v>
      </c>
      <c r="P948">
        <v>0.91185430812652613</v>
      </c>
      <c r="Q948">
        <v>-0.36247088383580894</v>
      </c>
      <c r="R948">
        <v>0.36247088383580889</v>
      </c>
      <c r="S948">
        <f t="shared" si="150"/>
        <v>-0.75280954214547424</v>
      </c>
      <c r="T948" s="148">
        <f t="shared" si="145"/>
        <v>-0.74082859407676771</v>
      </c>
      <c r="U948">
        <f t="shared" si="151"/>
        <v>2.0996221368745385</v>
      </c>
      <c r="V948" s="55">
        <f t="shared" si="146"/>
        <v>2.0827542132271728</v>
      </c>
      <c r="W948">
        <f t="shared" si="152"/>
        <v>0.49461921551704768</v>
      </c>
      <c r="X948" s="55">
        <f t="shared" si="147"/>
        <v>0.49241806126912241</v>
      </c>
      <c r="Y948" s="149">
        <v>31.5690095</v>
      </c>
      <c r="Z948" s="55">
        <f t="shared" si="143"/>
        <v>4.6511120802442216E-3</v>
      </c>
      <c r="AA948" s="55">
        <f t="shared" si="148"/>
        <v>4.8375665777524862E-3</v>
      </c>
      <c r="AB948" s="55">
        <f t="shared" si="144"/>
        <v>-5.3706489309345908</v>
      </c>
      <c r="AC948" s="55">
        <f t="shared" si="149"/>
        <v>-5.3326851717117458</v>
      </c>
      <c r="AD948" s="55"/>
      <c r="AE948" s="55"/>
      <c r="AF948" s="55"/>
      <c r="AG948" s="55"/>
      <c r="AH948" s="55"/>
    </row>
    <row r="949" spans="1:34" ht="15.75">
      <c r="A949" s="39">
        <v>31.200342899999999</v>
      </c>
      <c r="B949" s="39">
        <v>31.581171399999999</v>
      </c>
      <c r="C949" s="39">
        <v>947</v>
      </c>
      <c r="D949">
        <v>947</v>
      </c>
      <c r="E949" s="10">
        <v>1209150</v>
      </c>
      <c r="F949" s="10">
        <v>880480</v>
      </c>
      <c r="G949" s="10">
        <v>15875</v>
      </c>
      <c r="H949" s="10">
        <v>37549</v>
      </c>
      <c r="I949" s="10">
        <v>78628</v>
      </c>
      <c r="J949" s="10">
        <v>26888</v>
      </c>
      <c r="K949">
        <v>947</v>
      </c>
      <c r="L949" s="10">
        <v>1418</v>
      </c>
      <c r="M949" s="10">
        <v>293753</v>
      </c>
      <c r="N949" s="10">
        <v>4108</v>
      </c>
      <c r="O949">
        <v>0.46601872953041062</v>
      </c>
      <c r="P949">
        <v>0.89338393518402881</v>
      </c>
      <c r="Q949">
        <v>-0.37388464145700245</v>
      </c>
      <c r="R949">
        <v>0.37388464145700245</v>
      </c>
      <c r="S949">
        <f t="shared" si="150"/>
        <v>-1.0730477796727476</v>
      </c>
      <c r="T949" s="148">
        <f t="shared" si="145"/>
        <v>-0.7615193701494819</v>
      </c>
      <c r="U949">
        <f t="shared" si="151"/>
        <v>2.0570925314751034</v>
      </c>
      <c r="V949" s="55">
        <f t="shared" si="146"/>
        <v>2.1122351021171037</v>
      </c>
      <c r="W949">
        <f t="shared" si="152"/>
        <v>0.52693454564404918</v>
      </c>
      <c r="X949" s="55">
        <f t="shared" si="147"/>
        <v>0.5353812110400632</v>
      </c>
      <c r="Y949" s="149">
        <v>31.581171399999999</v>
      </c>
      <c r="Z949" s="55">
        <f t="shared" si="143"/>
        <v>4.6656369253134655E-3</v>
      </c>
      <c r="AA949" s="55">
        <f t="shared" si="148"/>
        <v>4.5817150318354675E-3</v>
      </c>
      <c r="AB949" s="55">
        <f t="shared" si="144"/>
        <v>-5.3675309212451365</v>
      </c>
      <c r="AC949" s="55">
        <f t="shared" si="149"/>
        <v>-5.3859658897026881</v>
      </c>
      <c r="AD949" s="55"/>
      <c r="AE949" s="55"/>
      <c r="AF949" s="55"/>
      <c r="AG949" s="55"/>
      <c r="AH949" s="55"/>
    </row>
    <row r="950" spans="1:34" ht="15.75">
      <c r="A950" s="39">
        <v>31.212333300000001</v>
      </c>
      <c r="B950" s="39">
        <v>31.593333300000001</v>
      </c>
      <c r="C950" s="39">
        <v>948</v>
      </c>
      <c r="D950">
        <v>948</v>
      </c>
      <c r="E950" s="10">
        <v>1223530</v>
      </c>
      <c r="F950" s="10">
        <v>912520</v>
      </c>
      <c r="G950" s="10">
        <v>15422</v>
      </c>
      <c r="H950" s="10">
        <v>38686</v>
      </c>
      <c r="I950" s="10">
        <v>43776</v>
      </c>
      <c r="J950" s="10">
        <v>27671</v>
      </c>
      <c r="K950">
        <v>948</v>
      </c>
      <c r="L950" s="10">
        <v>1369</v>
      </c>
      <c r="M950" s="10">
        <v>342225</v>
      </c>
      <c r="N950" s="10">
        <v>4041</v>
      </c>
      <c r="O950">
        <v>0.19921122134677596</v>
      </c>
      <c r="P950">
        <v>0.94675790468487464</v>
      </c>
      <c r="Q950">
        <v>-0.39941312869062134</v>
      </c>
      <c r="R950">
        <v>0.39941312869062134</v>
      </c>
      <c r="S950">
        <f t="shared" si="150"/>
        <v>-0.45870078863022351</v>
      </c>
      <c r="T950" s="148">
        <f t="shared" si="145"/>
        <v>-0.62954288578298512</v>
      </c>
      <c r="U950">
        <f t="shared" si="151"/>
        <v>2.1799906380016698</v>
      </c>
      <c r="V950" s="55">
        <f t="shared" si="146"/>
        <v>2.1289463584245549</v>
      </c>
      <c r="W950">
        <f t="shared" si="152"/>
        <v>0.58458987195909284</v>
      </c>
      <c r="X950" s="55">
        <f t="shared" si="147"/>
        <v>0.56080965454603726</v>
      </c>
      <c r="Y950" s="149">
        <v>31.593333300000001</v>
      </c>
      <c r="Z950" s="55">
        <f t="shared" si="143"/>
        <v>4.4283960899487137E-3</v>
      </c>
      <c r="AA950" s="55">
        <f t="shared" si="148"/>
        <v>4.641763239870241E-3</v>
      </c>
      <c r="AB950" s="55">
        <f t="shared" si="144"/>
        <v>-5.4197178169283378</v>
      </c>
      <c r="AC950" s="55">
        <f t="shared" si="149"/>
        <v>-5.373299132032745</v>
      </c>
      <c r="AD950" s="55"/>
      <c r="AE950" s="55"/>
      <c r="AF950" s="55"/>
      <c r="AG950" s="55"/>
      <c r="AH950" s="55"/>
    </row>
    <row r="951" spans="1:34" ht="15.75">
      <c r="A951" s="39">
        <v>31.224323800000001</v>
      </c>
      <c r="B951" s="39">
        <v>31.6054952</v>
      </c>
      <c r="C951" s="39">
        <v>949</v>
      </c>
      <c r="D951">
        <v>949</v>
      </c>
      <c r="E951" s="10">
        <v>1269460</v>
      </c>
      <c r="F951" s="10">
        <v>969520</v>
      </c>
      <c r="G951" s="10">
        <v>16799</v>
      </c>
      <c r="H951" s="10">
        <v>41214</v>
      </c>
      <c r="I951" s="10">
        <v>42483</v>
      </c>
      <c r="J951" s="10">
        <v>29732</v>
      </c>
      <c r="K951">
        <v>949</v>
      </c>
      <c r="L951" s="10">
        <v>1370</v>
      </c>
      <c r="M951" s="10">
        <v>353730</v>
      </c>
      <c r="N951" s="10">
        <v>4684</v>
      </c>
      <c r="O951">
        <v>0.15499105337381214</v>
      </c>
      <c r="P951">
        <v>0.93362712732651709</v>
      </c>
      <c r="Q951">
        <v>-0.38976133666563401</v>
      </c>
      <c r="R951">
        <v>0.38976133666563395</v>
      </c>
      <c r="S951">
        <f t="shared" si="150"/>
        <v>-0.35688008904598439</v>
      </c>
      <c r="T951" s="148">
        <f t="shared" si="145"/>
        <v>-0.40177021739335211</v>
      </c>
      <c r="U951">
        <f t="shared" si="151"/>
        <v>2.149755905796892</v>
      </c>
      <c r="V951" s="55">
        <f t="shared" si="146"/>
        <v>2.1550023357822994</v>
      </c>
      <c r="W951">
        <f t="shared" si="152"/>
        <v>0.57090454603496987</v>
      </c>
      <c r="X951" s="55">
        <f t="shared" si="147"/>
        <v>0.60566997058839878</v>
      </c>
      <c r="Y951" s="149">
        <v>31.6054952</v>
      </c>
      <c r="Z951" s="55">
        <f t="shared" si="143"/>
        <v>4.8312567043485438E-3</v>
      </c>
      <c r="AA951" s="55">
        <f t="shared" si="148"/>
        <v>4.6922406814520661E-3</v>
      </c>
      <c r="AB951" s="55">
        <f t="shared" si="144"/>
        <v>-5.3326486579247607</v>
      </c>
      <c r="AC951" s="55">
        <f t="shared" si="149"/>
        <v>-5.3626520167035041</v>
      </c>
      <c r="AD951" s="55"/>
      <c r="AE951" s="55"/>
      <c r="AF951" s="55"/>
      <c r="AG951" s="55"/>
      <c r="AH951" s="55"/>
    </row>
    <row r="952" spans="1:34" ht="15.75">
      <c r="A952" s="39">
        <v>31.2363143</v>
      </c>
      <c r="B952" s="39">
        <v>31.617657099999999</v>
      </c>
      <c r="C952" s="39">
        <v>950</v>
      </c>
      <c r="D952">
        <v>950</v>
      </c>
      <c r="E952" s="10">
        <v>1209520</v>
      </c>
      <c r="F952" s="10">
        <v>933140</v>
      </c>
      <c r="G952" s="10">
        <v>14886</v>
      </c>
      <c r="H952" s="10">
        <v>39656</v>
      </c>
      <c r="I952" s="10">
        <v>42592</v>
      </c>
      <c r="J952" s="10">
        <v>28845</v>
      </c>
      <c r="K952">
        <v>950</v>
      </c>
      <c r="L952" s="10">
        <v>1373</v>
      </c>
      <c r="M952" s="10">
        <v>335460</v>
      </c>
      <c r="N952" s="10">
        <v>4495</v>
      </c>
      <c r="O952">
        <v>0.16925749050041999</v>
      </c>
      <c r="P952">
        <v>0.92733183674522202</v>
      </c>
      <c r="Q952">
        <v>-0.42553089124124177</v>
      </c>
      <c r="R952">
        <v>0.42553089124124177</v>
      </c>
      <c r="S952">
        <f t="shared" si="150"/>
        <v>-0.38972977450384833</v>
      </c>
      <c r="T952" s="148">
        <f t="shared" si="145"/>
        <v>-0.35680664309244498</v>
      </c>
      <c r="U952">
        <f t="shared" si="151"/>
        <v>2.1352604635483363</v>
      </c>
      <c r="V952" s="55">
        <f t="shared" si="146"/>
        <v>2.1460409752655036</v>
      </c>
      <c r="W952">
        <f t="shared" si="152"/>
        <v>0.66151549377113372</v>
      </c>
      <c r="X952" s="55">
        <f t="shared" si="147"/>
        <v>0.63837692508053878</v>
      </c>
      <c r="Y952" s="149">
        <v>31.617657099999999</v>
      </c>
      <c r="Z952" s="55">
        <f t="shared" si="143"/>
        <v>4.8170692500589408E-3</v>
      </c>
      <c r="AA952" s="55">
        <f t="shared" si="148"/>
        <v>4.79041209611433E-3</v>
      </c>
      <c r="AB952" s="55">
        <f t="shared" si="144"/>
        <v>-5.3355895752574147</v>
      </c>
      <c r="AC952" s="55">
        <f t="shared" si="149"/>
        <v>-5.3411894354704623</v>
      </c>
      <c r="AD952" s="55"/>
      <c r="AE952" s="55"/>
      <c r="AF952" s="55"/>
      <c r="AG952" s="55"/>
      <c r="AH952" s="55"/>
    </row>
    <row r="953" spans="1:34" ht="15.75">
      <c r="A953" s="39">
        <v>31.2483048</v>
      </c>
      <c r="B953" s="39">
        <v>31.629819099999999</v>
      </c>
      <c r="C953" s="39">
        <v>951</v>
      </c>
      <c r="D953">
        <v>951</v>
      </c>
      <c r="E953" s="10">
        <v>1214280</v>
      </c>
      <c r="F953" s="10">
        <v>924430</v>
      </c>
      <c r="G953" s="10">
        <v>14496</v>
      </c>
      <c r="H953" s="10">
        <v>39899</v>
      </c>
      <c r="I953" s="10">
        <v>39662</v>
      </c>
      <c r="J953" s="10">
        <v>28691</v>
      </c>
      <c r="K953">
        <v>951</v>
      </c>
      <c r="L953" s="10">
        <v>1679</v>
      </c>
      <c r="M953" s="10">
        <v>343593</v>
      </c>
      <c r="N953" s="10">
        <v>4366</v>
      </c>
      <c r="O953">
        <v>0.14062892473018337</v>
      </c>
      <c r="P953">
        <v>0.93508229641650398</v>
      </c>
      <c r="Q953">
        <v>-0.43971383064412861</v>
      </c>
      <c r="R953">
        <v>0.43971383064412861</v>
      </c>
      <c r="S953">
        <f t="shared" si="150"/>
        <v>-0.32381006572750209</v>
      </c>
      <c r="T953" s="148">
        <f t="shared" si="145"/>
        <v>-0.50920582266104386</v>
      </c>
      <c r="U953">
        <f t="shared" si="151"/>
        <v>2.1531065564512817</v>
      </c>
      <c r="V953" s="55">
        <f t="shared" si="146"/>
        <v>2.1495182891445004</v>
      </c>
      <c r="W953">
        <f t="shared" si="152"/>
        <v>0.68271073543551253</v>
      </c>
      <c r="X953" s="55">
        <f t="shared" si="147"/>
        <v>0.65647164110996981</v>
      </c>
      <c r="Y953" s="149">
        <v>31.629819099999999</v>
      </c>
      <c r="Z953" s="55">
        <f t="shared" si="143"/>
        <v>4.7229103339355063E-3</v>
      </c>
      <c r="AA953" s="55">
        <f t="shared" si="148"/>
        <v>4.7526734103549018E-3</v>
      </c>
      <c r="AB953" s="55">
        <f t="shared" si="144"/>
        <v>-5.3553300732292115</v>
      </c>
      <c r="AC953" s="55">
        <f t="shared" si="149"/>
        <v>-5.3490937770674689</v>
      </c>
      <c r="AD953" s="55"/>
      <c r="AE953" s="55"/>
      <c r="AF953" s="55"/>
      <c r="AG953" s="55"/>
      <c r="AH953" s="55"/>
    </row>
    <row r="954" spans="1:34" ht="15.75">
      <c r="A954" s="39">
        <v>31.260295200000002</v>
      </c>
      <c r="B954" s="39">
        <v>31.641981000000001</v>
      </c>
      <c r="C954" s="39">
        <v>952</v>
      </c>
      <c r="D954">
        <v>952</v>
      </c>
      <c r="E954" s="10">
        <v>1248580</v>
      </c>
      <c r="F954" s="10">
        <v>926020</v>
      </c>
      <c r="G954" s="10">
        <v>14977</v>
      </c>
      <c r="H954" s="10">
        <v>39235</v>
      </c>
      <c r="I954" s="10">
        <v>63167</v>
      </c>
      <c r="J954" s="10">
        <v>27986</v>
      </c>
      <c r="K954">
        <v>952</v>
      </c>
      <c r="L954" s="10">
        <v>1914</v>
      </c>
      <c r="M954" s="10">
        <v>340276</v>
      </c>
      <c r="N954" s="10">
        <v>4369</v>
      </c>
      <c r="O954">
        <v>0.35354942157348807</v>
      </c>
      <c r="P954">
        <v>0.93815766201499895</v>
      </c>
      <c r="Q954">
        <v>-0.41824882715492695</v>
      </c>
      <c r="R954">
        <v>0.41824882715492695</v>
      </c>
      <c r="S954">
        <f t="shared" si="150"/>
        <v>-0.81407762775178105</v>
      </c>
      <c r="T954" s="148">
        <f t="shared" si="145"/>
        <v>-0.54211798149842227</v>
      </c>
      <c r="U954">
        <f t="shared" si="151"/>
        <v>2.1601878474338831</v>
      </c>
      <c r="V954" s="55">
        <f t="shared" si="146"/>
        <v>2.1669188684938825</v>
      </c>
      <c r="W954">
        <f t="shared" si="152"/>
        <v>0.62518869412326317</v>
      </c>
      <c r="X954" s="55">
        <f t="shared" si="147"/>
        <v>0.61857654961491215</v>
      </c>
      <c r="Y954" s="149">
        <v>31.641981000000001</v>
      </c>
      <c r="Z954" s="55">
        <f t="shared" si="143"/>
        <v>4.7180406470702574E-3</v>
      </c>
      <c r="AA954" s="55">
        <f t="shared" si="148"/>
        <v>4.7139874861305484E-3</v>
      </c>
      <c r="AB954" s="55">
        <f t="shared" si="144"/>
        <v>-5.3563616827157796</v>
      </c>
      <c r="AC954" s="55">
        <f t="shared" si="149"/>
        <v>-5.3572231138035278</v>
      </c>
      <c r="AD954" s="55"/>
      <c r="AE954" s="55"/>
      <c r="AF954" s="55"/>
      <c r="AG954" s="55"/>
      <c r="AH954" s="55"/>
    </row>
    <row r="955" spans="1:34" ht="15.75">
      <c r="A955" s="39">
        <v>31.272285700000001</v>
      </c>
      <c r="B955" s="39">
        <v>31.6541429</v>
      </c>
      <c r="C955" s="39">
        <v>953</v>
      </c>
      <c r="D955">
        <v>953</v>
      </c>
      <c r="E955" s="10">
        <v>1240420</v>
      </c>
      <c r="F955" s="10">
        <v>954050</v>
      </c>
      <c r="G955" s="10">
        <v>16558</v>
      </c>
      <c r="H955" s="10">
        <v>39527</v>
      </c>
      <c r="I955" s="10">
        <v>46673</v>
      </c>
      <c r="J955" s="10">
        <v>28637</v>
      </c>
      <c r="K955">
        <v>953</v>
      </c>
      <c r="L955" s="10">
        <v>1309</v>
      </c>
      <c r="M955" s="10">
        <v>352287</v>
      </c>
      <c r="N955" s="10">
        <v>4485</v>
      </c>
      <c r="O955">
        <v>0.21213819741221029</v>
      </c>
      <c r="P955">
        <v>0.95000276352529134</v>
      </c>
      <c r="Q955">
        <v>-0.37788597547674019</v>
      </c>
      <c r="R955">
        <v>0.37788597547674019</v>
      </c>
      <c r="S955">
        <f t="shared" si="150"/>
        <v>-0.48846625101598357</v>
      </c>
      <c r="T955" s="148">
        <f t="shared" si="145"/>
        <v>-0.46336689960040073</v>
      </c>
      <c r="U955">
        <f t="shared" si="151"/>
        <v>2.1874622015964835</v>
      </c>
      <c r="V955" s="55">
        <f t="shared" si="146"/>
        <v>2.1677832243961888</v>
      </c>
      <c r="W955">
        <f t="shared" si="152"/>
        <v>0.54783021928596065</v>
      </c>
      <c r="X955" s="55">
        <f t="shared" si="147"/>
        <v>0.54969094354487036</v>
      </c>
      <c r="Y955" s="149">
        <v>31.6541429</v>
      </c>
      <c r="Z955" s="55">
        <f t="shared" si="143"/>
        <v>4.7010114773858814E-3</v>
      </c>
      <c r="AA955" s="55">
        <f t="shared" si="148"/>
        <v>4.749749669697604E-3</v>
      </c>
      <c r="AB955" s="55">
        <f t="shared" si="144"/>
        <v>-5.3599775854655913</v>
      </c>
      <c r="AC955" s="55">
        <f t="shared" si="149"/>
        <v>-5.3497357724883585</v>
      </c>
      <c r="AD955" s="55"/>
      <c r="AE955" s="55"/>
      <c r="AF955" s="55"/>
      <c r="AG955" s="55"/>
      <c r="AH955" s="55"/>
    </row>
    <row r="956" spans="1:34" ht="15.75">
      <c r="A956" s="39">
        <v>31.284276200000001</v>
      </c>
      <c r="B956" s="39">
        <v>31.666304799999999</v>
      </c>
      <c r="C956" s="39">
        <v>954</v>
      </c>
      <c r="D956">
        <v>954</v>
      </c>
      <c r="E956" s="10">
        <v>1326170</v>
      </c>
      <c r="F956" s="10">
        <v>1011760</v>
      </c>
      <c r="G956" s="10">
        <v>20021</v>
      </c>
      <c r="H956" s="10">
        <v>43792</v>
      </c>
      <c r="I956" s="10">
        <v>35177</v>
      </c>
      <c r="J956" s="10">
        <v>32228</v>
      </c>
      <c r="K956">
        <v>954</v>
      </c>
      <c r="L956" s="10">
        <v>1618</v>
      </c>
      <c r="M956" s="10">
        <v>378097</v>
      </c>
      <c r="N956" s="10">
        <v>4887</v>
      </c>
      <c r="O956">
        <v>3.8025443793518021E-2</v>
      </c>
      <c r="P956">
        <v>0.93620845141282005</v>
      </c>
      <c r="Q956">
        <v>-0.33990901443345045</v>
      </c>
      <c r="R956">
        <v>0.3399090144334504</v>
      </c>
      <c r="S956">
        <f t="shared" si="150"/>
        <v>-8.7556820033437649E-2</v>
      </c>
      <c r="T956" s="148">
        <f t="shared" si="145"/>
        <v>-0.20307460015088208</v>
      </c>
      <c r="U956">
        <f t="shared" si="151"/>
        <v>2.1556996241581996</v>
      </c>
      <c r="V956" s="55">
        <f t="shared" si="146"/>
        <v>2.1587421121675106</v>
      </c>
      <c r="W956">
        <f t="shared" si="152"/>
        <v>0.4760539172253872</v>
      </c>
      <c r="X956" s="55">
        <f t="shared" si="147"/>
        <v>0.48651134567018062</v>
      </c>
      <c r="Y956" s="149">
        <v>31.666304799999999</v>
      </c>
      <c r="Z956" s="55">
        <f t="shared" si="143"/>
        <v>4.8301968846366731E-3</v>
      </c>
      <c r="AA956" s="55">
        <f t="shared" si="148"/>
        <v>4.8898601714361233E-3</v>
      </c>
      <c r="AB956" s="55">
        <f t="shared" si="144"/>
        <v>-5.3328680492837028</v>
      </c>
      <c r="AC956" s="55">
        <f t="shared" si="149"/>
        <v>-5.3212881954383038</v>
      </c>
      <c r="AD956" s="55"/>
      <c r="AE956" s="55"/>
      <c r="AF956" s="55"/>
      <c r="AG956" s="55"/>
      <c r="AH956" s="55"/>
    </row>
    <row r="957" spans="1:34" ht="15.75">
      <c r="A957" s="39">
        <v>31.2962667</v>
      </c>
      <c r="B957" s="39">
        <v>31.678466700000001</v>
      </c>
      <c r="C957" s="39">
        <v>955</v>
      </c>
      <c r="D957">
        <v>955</v>
      </c>
      <c r="E957" s="10">
        <v>1276790</v>
      </c>
      <c r="F957" s="10">
        <v>981050</v>
      </c>
      <c r="G957" s="10">
        <v>19851</v>
      </c>
      <c r="H957" s="10">
        <v>42778</v>
      </c>
      <c r="I957" s="10">
        <v>31725</v>
      </c>
      <c r="J957" s="10">
        <v>30689</v>
      </c>
      <c r="K957">
        <v>955</v>
      </c>
      <c r="L957" s="10">
        <v>1631</v>
      </c>
      <c r="M957" s="10">
        <v>361076</v>
      </c>
      <c r="N957" s="10">
        <v>5041</v>
      </c>
      <c r="O957">
        <v>1.4418893574983736E-2</v>
      </c>
      <c r="P957">
        <v>0.92637814656145034</v>
      </c>
      <c r="Q957">
        <v>-0.33343808677528858</v>
      </c>
      <c r="R957">
        <v>0.33343808677528858</v>
      </c>
      <c r="S957">
        <f t="shared" si="150"/>
        <v>-3.320072940322507E-2</v>
      </c>
      <c r="T957" s="148">
        <f t="shared" si="145"/>
        <v>-0.20219833213552837</v>
      </c>
      <c r="U957">
        <f t="shared" si="151"/>
        <v>2.1330645107478485</v>
      </c>
      <c r="V957" s="55">
        <f t="shared" si="146"/>
        <v>2.1239233460061464</v>
      </c>
      <c r="W957">
        <f t="shared" si="152"/>
        <v>0.43564990049919411</v>
      </c>
      <c r="X957" s="55">
        <f t="shared" si="147"/>
        <v>0.45571049665889668</v>
      </c>
      <c r="Y957" s="149">
        <v>31.678466700000001</v>
      </c>
      <c r="Z957" s="55">
        <f t="shared" si="143"/>
        <v>5.1383721522858163E-3</v>
      </c>
      <c r="AA957" s="55">
        <f t="shared" si="148"/>
        <v>4.9934376105850728E-3</v>
      </c>
      <c r="AB957" s="55">
        <f t="shared" si="144"/>
        <v>-5.2710189515656172</v>
      </c>
      <c r="AC957" s="55">
        <f t="shared" si="149"/>
        <v>-5.2999527874845453</v>
      </c>
      <c r="AD957" s="55"/>
      <c r="AE957" s="55"/>
      <c r="AF957" s="55"/>
      <c r="AG957" s="55"/>
      <c r="AH957" s="55"/>
    </row>
    <row r="958" spans="1:34" ht="15.75">
      <c r="A958" s="39">
        <v>31.308257099999999</v>
      </c>
      <c r="B958" s="39">
        <v>31.6906286</v>
      </c>
      <c r="C958" s="39">
        <v>956</v>
      </c>
      <c r="D958">
        <v>956</v>
      </c>
      <c r="E958" s="10">
        <v>1214820</v>
      </c>
      <c r="F958" s="10">
        <v>945180</v>
      </c>
      <c r="G958" s="10">
        <v>18348</v>
      </c>
      <c r="H958" s="10">
        <v>40398</v>
      </c>
      <c r="I958" s="10">
        <v>47030</v>
      </c>
      <c r="J958" s="10">
        <v>28932</v>
      </c>
      <c r="K958">
        <v>956</v>
      </c>
      <c r="L958" s="10">
        <v>1270</v>
      </c>
      <c r="M958" s="10">
        <v>324338</v>
      </c>
      <c r="N958" s="10">
        <v>4737</v>
      </c>
      <c r="O958">
        <v>0.210996522321001</v>
      </c>
      <c r="P958">
        <v>0.90463796949361142</v>
      </c>
      <c r="Q958">
        <v>-0.34277113339164411</v>
      </c>
      <c r="R958">
        <v>0.34277113339164406</v>
      </c>
      <c r="S958">
        <f t="shared" si="150"/>
        <v>-0.48583744696992237</v>
      </c>
      <c r="T958" s="148">
        <f t="shared" si="145"/>
        <v>-0.4313540716696232</v>
      </c>
      <c r="U958">
        <f t="shared" si="151"/>
        <v>2.083005903112392</v>
      </c>
      <c r="V958" s="55">
        <f t="shared" si="146"/>
        <v>2.0886064698555429</v>
      </c>
      <c r="W958">
        <f t="shared" si="152"/>
        <v>0.45542767225210873</v>
      </c>
      <c r="X958" s="55">
        <f t="shared" si="147"/>
        <v>0.44448133486809205</v>
      </c>
      <c r="Y958" s="149">
        <v>31.6906286</v>
      </c>
      <c r="Z958" s="55">
        <f t="shared" si="143"/>
        <v>5.0117437948327299E-3</v>
      </c>
      <c r="AA958" s="55">
        <f t="shared" si="148"/>
        <v>5.0782685705537262E-3</v>
      </c>
      <c r="AB958" s="55">
        <f t="shared" si="144"/>
        <v>-5.2959713616043178</v>
      </c>
      <c r="AC958" s="55">
        <f t="shared" si="149"/>
        <v>-5.2828371914785057</v>
      </c>
      <c r="AD958" s="55"/>
      <c r="AE958" s="55"/>
      <c r="AF958" s="55"/>
      <c r="AG958" s="55"/>
      <c r="AH958" s="55"/>
    </row>
    <row r="959" spans="1:34" ht="15.75">
      <c r="A959" s="39">
        <v>31.320247599999998</v>
      </c>
      <c r="B959" s="39">
        <v>31.702790499999999</v>
      </c>
      <c r="C959" s="39">
        <v>957</v>
      </c>
      <c r="D959">
        <v>957</v>
      </c>
      <c r="E959" s="10">
        <v>1191640</v>
      </c>
      <c r="F959" s="10">
        <v>908020</v>
      </c>
      <c r="G959" s="10">
        <v>17930</v>
      </c>
      <c r="H959" s="10">
        <v>39855</v>
      </c>
      <c r="I959" s="10">
        <v>60574</v>
      </c>
      <c r="J959" s="10">
        <v>27906</v>
      </c>
      <c r="K959">
        <v>957</v>
      </c>
      <c r="L959" s="10">
        <v>1206</v>
      </c>
      <c r="M959" s="10">
        <v>309512</v>
      </c>
      <c r="N959" s="10">
        <v>4617</v>
      </c>
      <c r="O959">
        <v>0.33658866332186682</v>
      </c>
      <c r="P959">
        <v>0.8901946781220168</v>
      </c>
      <c r="Q959">
        <v>-0.34690252390377591</v>
      </c>
      <c r="R959">
        <v>0.34690252390377585</v>
      </c>
      <c r="S959">
        <f t="shared" si="150"/>
        <v>-0.77502403863572222</v>
      </c>
      <c r="T959" s="148">
        <f t="shared" si="145"/>
        <v>-0.7032306757895791</v>
      </c>
      <c r="U959">
        <f t="shared" si="151"/>
        <v>2.0497489957063886</v>
      </c>
      <c r="V959" s="55">
        <f t="shared" si="146"/>
        <v>2.0741587915189079</v>
      </c>
      <c r="W959">
        <f t="shared" si="152"/>
        <v>0.44236643185297336</v>
      </c>
      <c r="X959" s="55">
        <f t="shared" si="147"/>
        <v>0.4330154235701264</v>
      </c>
      <c r="Y959" s="149">
        <v>31.702790499999999</v>
      </c>
      <c r="Z959" s="55">
        <f t="shared" si="143"/>
        <v>5.0846897645426313E-3</v>
      </c>
      <c r="AA959" s="55">
        <f t="shared" si="148"/>
        <v>5.0889882023153138E-3</v>
      </c>
      <c r="AB959" s="55">
        <f t="shared" si="144"/>
        <v>-5.2815212612655813</v>
      </c>
      <c r="AC959" s="55">
        <f t="shared" si="149"/>
        <v>-5.2807575004917</v>
      </c>
      <c r="AD959" s="55"/>
      <c r="AE959" s="55"/>
      <c r="AF959" s="55"/>
      <c r="AG959" s="55"/>
      <c r="AH959" s="55"/>
    </row>
    <row r="960" spans="1:34" ht="15.75">
      <c r="A960" s="39">
        <v>31.332238100000001</v>
      </c>
      <c r="B960" s="39">
        <v>31.714952400000001</v>
      </c>
      <c r="C960" s="39">
        <v>958</v>
      </c>
      <c r="D960">
        <v>958</v>
      </c>
      <c r="E960" s="10">
        <v>1265890</v>
      </c>
      <c r="F960" s="10">
        <v>943230</v>
      </c>
      <c r="G960" s="10">
        <v>19267</v>
      </c>
      <c r="H960" s="10">
        <v>41312</v>
      </c>
      <c r="I960" s="10">
        <v>67254</v>
      </c>
      <c r="J960" s="10">
        <v>28779</v>
      </c>
      <c r="K960">
        <v>958</v>
      </c>
      <c r="L960" s="10">
        <v>1138</v>
      </c>
      <c r="M960" s="10">
        <v>333911</v>
      </c>
      <c r="N960" s="10">
        <v>4877</v>
      </c>
      <c r="O960">
        <v>0.36864242035865907</v>
      </c>
      <c r="P960">
        <v>0.90755450562770901</v>
      </c>
      <c r="Q960">
        <v>-0.33126212320509507</v>
      </c>
      <c r="R960">
        <v>0.33126212320509507</v>
      </c>
      <c r="S960">
        <f t="shared" si="150"/>
        <v>-0.84883054176309303</v>
      </c>
      <c r="T960" s="148">
        <f t="shared" si="145"/>
        <v>-0.83315663212130031</v>
      </c>
      <c r="U960">
        <f t="shared" si="151"/>
        <v>2.0897214757379436</v>
      </c>
      <c r="V960" s="55">
        <f t="shared" si="146"/>
        <v>2.0763330059493561</v>
      </c>
      <c r="W960">
        <f t="shared" si="152"/>
        <v>0.401252166605297</v>
      </c>
      <c r="X960" s="55">
        <f t="shared" si="147"/>
        <v>0.41521222026021581</v>
      </c>
      <c r="Y960" s="149">
        <v>31.714952400000001</v>
      </c>
      <c r="Z960" s="55">
        <f t="shared" si="143"/>
        <v>5.1705310475705819E-3</v>
      </c>
      <c r="AA960" s="55">
        <f t="shared" si="148"/>
        <v>5.1978952625465827E-3</v>
      </c>
      <c r="AB960" s="55">
        <f t="shared" si="144"/>
        <v>-5.2647798786052018</v>
      </c>
      <c r="AC960" s="55">
        <f t="shared" si="149"/>
        <v>-5.2597060883237621</v>
      </c>
      <c r="AD960" s="55"/>
      <c r="AE960" s="55"/>
      <c r="AF960" s="55"/>
      <c r="AG960" s="55"/>
      <c r="AH960" s="55"/>
    </row>
    <row r="961" spans="1:34" ht="15.75">
      <c r="A961" s="39">
        <v>31.344228600000001</v>
      </c>
      <c r="B961" s="39">
        <v>31.7271143</v>
      </c>
      <c r="C961" s="39">
        <v>959</v>
      </c>
      <c r="D961">
        <v>959</v>
      </c>
      <c r="E961" s="10">
        <v>1330730</v>
      </c>
      <c r="F961" s="10">
        <v>984740</v>
      </c>
      <c r="G961" s="10">
        <v>20536</v>
      </c>
      <c r="H961" s="10">
        <v>42883</v>
      </c>
      <c r="I961" s="10">
        <v>73686</v>
      </c>
      <c r="J961" s="10">
        <v>30698</v>
      </c>
      <c r="K961">
        <v>959</v>
      </c>
      <c r="L961" s="10">
        <v>1769</v>
      </c>
      <c r="M961" s="10">
        <v>346542</v>
      </c>
      <c r="N961" s="10">
        <v>5257</v>
      </c>
      <c r="O961">
        <v>0.38027489999360908</v>
      </c>
      <c r="P961">
        <v>0.90747071748246522</v>
      </c>
      <c r="Q961">
        <v>-0.31976930436720408</v>
      </c>
      <c r="R961">
        <v>0.31976930436720402</v>
      </c>
      <c r="S961">
        <f t="shared" si="150"/>
        <v>-0.87561531596508568</v>
      </c>
      <c r="T961" s="148">
        <f t="shared" si="145"/>
        <v>-0.89966491511762425</v>
      </c>
      <c r="U961">
        <f t="shared" si="151"/>
        <v>2.0895285464037356</v>
      </c>
      <c r="V961" s="55">
        <f t="shared" si="146"/>
        <v>2.1146746460295098</v>
      </c>
      <c r="W961">
        <f t="shared" si="152"/>
        <v>0.40201806232237708</v>
      </c>
      <c r="X961" s="55">
        <f t="shared" si="147"/>
        <v>0.40326549877768425</v>
      </c>
      <c r="Y961" s="149">
        <v>31.7271143</v>
      </c>
      <c r="Z961" s="55">
        <f t="shared" si="143"/>
        <v>5.3384649755265348E-3</v>
      </c>
      <c r="AA961" s="55">
        <f t="shared" si="148"/>
        <v>5.0708689322034239E-3</v>
      </c>
      <c r="AB961" s="55">
        <f t="shared" si="144"/>
        <v>-5.2328171251005031</v>
      </c>
      <c r="AC961" s="55">
        <f t="shared" si="149"/>
        <v>-5.285673939746971</v>
      </c>
      <c r="AD961" s="55"/>
      <c r="AE961" s="55"/>
      <c r="AF961" s="55"/>
      <c r="AG961" s="55"/>
      <c r="AH961" s="55"/>
    </row>
    <row r="962" spans="1:34" ht="15.75">
      <c r="A962" s="39">
        <v>31.356219100000001</v>
      </c>
      <c r="B962" s="39">
        <v>31.739276199999999</v>
      </c>
      <c r="C962" s="39">
        <v>960</v>
      </c>
      <c r="D962">
        <v>960</v>
      </c>
      <c r="E962" s="10">
        <v>1421050</v>
      </c>
      <c r="F962" s="10">
        <v>1020280</v>
      </c>
      <c r="G962" s="10">
        <v>21035</v>
      </c>
      <c r="H962" s="10">
        <v>44918</v>
      </c>
      <c r="I962" s="10">
        <v>83702</v>
      </c>
      <c r="J962" s="10">
        <v>31586</v>
      </c>
      <c r="K962">
        <v>960</v>
      </c>
      <c r="L962" s="10">
        <v>1166</v>
      </c>
      <c r="M962" s="10">
        <v>391354</v>
      </c>
      <c r="N962" s="10">
        <v>4799</v>
      </c>
      <c r="O962">
        <v>0.42324120424035672</v>
      </c>
      <c r="P962">
        <v>0.94014936626381107</v>
      </c>
      <c r="Q962">
        <v>-0.32947789445321862</v>
      </c>
      <c r="R962">
        <v>0.32947789445321862</v>
      </c>
      <c r="S962">
        <f t="shared" si="150"/>
        <v>-0.97454888762469372</v>
      </c>
      <c r="T962" s="148">
        <f t="shared" si="145"/>
        <v>-0.94439832266098411</v>
      </c>
      <c r="U962">
        <f t="shared" si="151"/>
        <v>2.1647739159468506</v>
      </c>
      <c r="V962" s="55">
        <f t="shared" si="146"/>
        <v>2.1292589659677135</v>
      </c>
      <c r="W962">
        <f t="shared" si="152"/>
        <v>0.40652626740537867</v>
      </c>
      <c r="X962" s="55">
        <f t="shared" si="147"/>
        <v>0.42764577780274626</v>
      </c>
      <c r="Y962" s="149">
        <v>31.739276199999999</v>
      </c>
      <c r="Z962" s="55">
        <f t="shared" si="143"/>
        <v>4.7036107735131533E-3</v>
      </c>
      <c r="AA962" s="55">
        <f t="shared" si="148"/>
        <v>5.0220130727602766E-3</v>
      </c>
      <c r="AB962" s="55">
        <f t="shared" si="144"/>
        <v>-5.3594248155352071</v>
      </c>
      <c r="AC962" s="55">
        <f t="shared" si="149"/>
        <v>-5.295259353909386</v>
      </c>
      <c r="AD962" s="55"/>
      <c r="AE962" s="55"/>
      <c r="AF962" s="55"/>
      <c r="AG962" s="55"/>
      <c r="AH962" s="55"/>
    </row>
    <row r="963" spans="1:34" ht="15.75">
      <c r="A963" s="39">
        <v>31.368209499999999</v>
      </c>
      <c r="B963" s="39">
        <v>31.751438100000001</v>
      </c>
      <c r="C963" s="39">
        <v>961</v>
      </c>
      <c r="D963">
        <v>961</v>
      </c>
      <c r="E963" s="10">
        <v>1344880</v>
      </c>
      <c r="F963" s="10">
        <v>1016130</v>
      </c>
      <c r="G963" s="10">
        <v>18811</v>
      </c>
      <c r="H963" s="10">
        <v>42931</v>
      </c>
      <c r="I963" s="10">
        <v>80791</v>
      </c>
      <c r="J963" s="10">
        <v>30230</v>
      </c>
      <c r="K963">
        <v>961</v>
      </c>
      <c r="L963" s="10">
        <v>1428</v>
      </c>
      <c r="M963" s="10">
        <v>362516</v>
      </c>
      <c r="N963" s="10">
        <v>5105</v>
      </c>
      <c r="O963">
        <v>0.42692483651709046</v>
      </c>
      <c r="P963">
        <v>0.92655617464212914</v>
      </c>
      <c r="Q963">
        <v>-0.35835912127587555</v>
      </c>
      <c r="R963">
        <v>0.35835912127587555</v>
      </c>
      <c r="S963">
        <f t="shared" si="150"/>
        <v>-0.98303076439317261</v>
      </c>
      <c r="T963" s="148">
        <f t="shared" si="145"/>
        <v>-1.0129720232700199</v>
      </c>
      <c r="U963">
        <f t="shared" si="151"/>
        <v>2.1334744355525541</v>
      </c>
      <c r="V963" s="55">
        <f t="shared" si="146"/>
        <v>2.1222278571894746</v>
      </c>
      <c r="W963">
        <f t="shared" si="152"/>
        <v>0.47439300368048315</v>
      </c>
      <c r="X963" s="55">
        <f t="shared" si="147"/>
        <v>0.44378421743415708</v>
      </c>
      <c r="Y963" s="149">
        <v>31.751438100000001</v>
      </c>
      <c r="Z963" s="55">
        <f t="shared" ref="Z963:Z1026" si="153">N963/F963</f>
        <v>5.0239634692411401E-3</v>
      </c>
      <c r="AA963" s="55">
        <f t="shared" si="148"/>
        <v>5.0185247475847648E-3</v>
      </c>
      <c r="AB963" s="55">
        <f t="shared" ref="AB963:AB1026" si="154">LN(Z963)</f>
        <v>-5.2935361210924485</v>
      </c>
      <c r="AC963" s="55">
        <f t="shared" si="149"/>
        <v>-5.2959134274572355</v>
      </c>
      <c r="AD963" s="55"/>
      <c r="AE963" s="55"/>
      <c r="AF963" s="55"/>
      <c r="AG963" s="55"/>
      <c r="AH963" s="55"/>
    </row>
    <row r="964" spans="1:34" ht="15.75">
      <c r="A964" s="39">
        <v>31.380199999999999</v>
      </c>
      <c r="B964" s="39">
        <v>31.7636</v>
      </c>
      <c r="C964" s="39">
        <v>962</v>
      </c>
      <c r="D964">
        <v>962</v>
      </c>
      <c r="E964" s="10">
        <v>1357830</v>
      </c>
      <c r="F964" s="10">
        <v>1000000</v>
      </c>
      <c r="G964" s="10">
        <v>19524</v>
      </c>
      <c r="H964" s="10">
        <v>43886</v>
      </c>
      <c r="I964" s="10">
        <v>90325</v>
      </c>
      <c r="J964" s="10">
        <v>30633</v>
      </c>
      <c r="K964">
        <v>962</v>
      </c>
      <c r="L964" s="10">
        <v>1291</v>
      </c>
      <c r="M964" s="10">
        <v>347245</v>
      </c>
      <c r="N964" s="10">
        <v>5328</v>
      </c>
      <c r="O964">
        <v>0.46961843932817887</v>
      </c>
      <c r="P964">
        <v>0.89831000225031321</v>
      </c>
      <c r="Q964">
        <v>-0.35175719978956332</v>
      </c>
      <c r="R964">
        <v>0.35175719978956327</v>
      </c>
      <c r="S964">
        <f t="shared" si="150"/>
        <v>-1.0813364177921934</v>
      </c>
      <c r="T964" s="148">
        <f t="shared" ref="T964:T1027" si="155">AVERAGE(S963:S965)</f>
        <v>-1.0416809048005782</v>
      </c>
      <c r="U964">
        <f t="shared" si="151"/>
        <v>2.068435220069019</v>
      </c>
      <c r="V964" s="55">
        <f t="shared" ref="V964:V1027" si="156">AVERAGE(U963:U965)</f>
        <v>2.0835585539291768</v>
      </c>
      <c r="W964">
        <f t="shared" si="152"/>
        <v>0.45043338121660953</v>
      </c>
      <c r="X964" s="55">
        <f t="shared" ref="X964:X1027" si="157">AVERAGE(W963:W965)</f>
        <v>0.44522095234675785</v>
      </c>
      <c r="Y964" s="149">
        <v>31.7636</v>
      </c>
      <c r="Z964" s="55">
        <f t="shared" si="153"/>
        <v>5.3280000000000003E-3</v>
      </c>
      <c r="AA964" s="55">
        <f t="shared" ref="AA964:AA1027" si="158">AVERAGE(Z963:Z965)</f>
        <v>5.2454607031936001E-3</v>
      </c>
      <c r="AB964" s="55">
        <f t="shared" si="154"/>
        <v>-5.234779345744049</v>
      </c>
      <c r="AC964" s="55">
        <f t="shared" ref="AC964:AC1027" si="159">AVERAGE(AB963:AB965)</f>
        <v>-5.2508538000403284</v>
      </c>
      <c r="AD964" s="55"/>
      <c r="AE964" s="55"/>
      <c r="AF964" s="55"/>
      <c r="AG964" s="55"/>
      <c r="AH964" s="55"/>
    </row>
    <row r="965" spans="1:34" ht="15.75">
      <c r="A965" s="39">
        <v>31.392190500000002</v>
      </c>
      <c r="B965" s="39">
        <v>31.775761899999999</v>
      </c>
      <c r="C965" s="39">
        <v>963</v>
      </c>
      <c r="D965">
        <v>963</v>
      </c>
      <c r="E965" s="10">
        <v>1320380</v>
      </c>
      <c r="F965" s="10">
        <v>977450</v>
      </c>
      <c r="G965" s="10">
        <v>19867</v>
      </c>
      <c r="H965" s="10">
        <v>42871</v>
      </c>
      <c r="I965" s="10">
        <v>86537</v>
      </c>
      <c r="J965" s="10">
        <v>29961</v>
      </c>
      <c r="K965">
        <v>963</v>
      </c>
      <c r="L965" s="10">
        <v>1167</v>
      </c>
      <c r="M965" s="10">
        <v>332607</v>
      </c>
      <c r="N965" s="10">
        <v>5263</v>
      </c>
      <c r="O965">
        <v>0.46064553073136372</v>
      </c>
      <c r="P965">
        <v>0.88976777118883887</v>
      </c>
      <c r="Q965">
        <v>-0.3340313221116325</v>
      </c>
      <c r="R965">
        <v>0.33403132211163244</v>
      </c>
      <c r="S965">
        <f t="shared" si="150"/>
        <v>-1.0606755322163688</v>
      </c>
      <c r="T965" s="148">
        <f t="shared" si="155"/>
        <v>-1.0777376945714019</v>
      </c>
      <c r="U965">
        <f t="shared" si="151"/>
        <v>2.0487660061659572</v>
      </c>
      <c r="V965" s="55">
        <f t="shared" si="156"/>
        <v>2.059661164982296</v>
      </c>
      <c r="W965">
        <f t="shared" si="152"/>
        <v>0.41083647214318075</v>
      </c>
      <c r="X965" s="55">
        <f t="shared" si="157"/>
        <v>0.42887996026323766</v>
      </c>
      <c r="Y965" s="149">
        <v>31.775761899999999</v>
      </c>
      <c r="Z965" s="55">
        <f t="shared" si="153"/>
        <v>5.3844186403396591E-3</v>
      </c>
      <c r="AA965" s="55">
        <f t="shared" si="158"/>
        <v>5.3290568551069882E-3</v>
      </c>
      <c r="AB965" s="55">
        <f t="shared" si="154"/>
        <v>-5.2242459332844868</v>
      </c>
      <c r="AC965" s="55">
        <f t="shared" si="159"/>
        <v>-5.2346163027313262</v>
      </c>
      <c r="AD965" s="55"/>
      <c r="AE965" s="55"/>
      <c r="AF965" s="55"/>
      <c r="AG965" s="55"/>
      <c r="AH965" s="55"/>
    </row>
    <row r="966" spans="1:34" ht="15.75">
      <c r="A966" s="39">
        <v>31.404181000000001</v>
      </c>
      <c r="B966" s="39">
        <v>31.787923800000002</v>
      </c>
      <c r="C966" s="39">
        <v>964</v>
      </c>
      <c r="D966">
        <v>964</v>
      </c>
      <c r="E966" s="10">
        <v>1363790</v>
      </c>
      <c r="F966" s="10">
        <v>989620</v>
      </c>
      <c r="G966" s="10">
        <v>20062</v>
      </c>
      <c r="H966" s="10">
        <v>44582</v>
      </c>
      <c r="I966" s="10">
        <v>91414</v>
      </c>
      <c r="J966" s="10">
        <v>30698</v>
      </c>
      <c r="K966">
        <v>964</v>
      </c>
      <c r="L966" s="10">
        <v>1105</v>
      </c>
      <c r="M966" s="10">
        <v>350413</v>
      </c>
      <c r="N966" s="10">
        <v>5220</v>
      </c>
      <c r="O966">
        <v>0.4739026310149333</v>
      </c>
      <c r="P966">
        <v>0.8954206621875509</v>
      </c>
      <c r="Q966">
        <v>-0.34678532145761276</v>
      </c>
      <c r="R966">
        <v>0.34678532145761271</v>
      </c>
      <c r="S966">
        <f t="shared" si="150"/>
        <v>-1.0912011337056431</v>
      </c>
      <c r="T966" s="148">
        <f t="shared" si="155"/>
        <v>-1.0953059082149792</v>
      </c>
      <c r="U966">
        <f t="shared" si="151"/>
        <v>2.0617822687119118</v>
      </c>
      <c r="V966" s="55">
        <f t="shared" si="156"/>
        <v>2.0528249917858314</v>
      </c>
      <c r="W966">
        <f t="shared" si="152"/>
        <v>0.42537002742992286</v>
      </c>
      <c r="X966" s="55">
        <f t="shared" si="157"/>
        <v>0.43589128110339742</v>
      </c>
      <c r="Y966" s="149">
        <v>31.787923800000002</v>
      </c>
      <c r="Z966" s="55">
        <f t="shared" si="153"/>
        <v>5.2747519249813062E-3</v>
      </c>
      <c r="AA966" s="55">
        <f t="shared" si="158"/>
        <v>5.2889269233703231E-3</v>
      </c>
      <c r="AB966" s="55">
        <f t="shared" si="154"/>
        <v>-5.2448236291654418</v>
      </c>
      <c r="AC966" s="55">
        <f t="shared" si="159"/>
        <v>-5.2422345949324294</v>
      </c>
      <c r="AD966" s="55"/>
      <c r="AE966" s="55"/>
      <c r="AF966" s="55"/>
      <c r="AG966" s="55"/>
      <c r="AH966" s="55"/>
    </row>
    <row r="967" spans="1:34" ht="15.75">
      <c r="A967" s="39">
        <v>31.4161714</v>
      </c>
      <c r="B967" s="39">
        <v>31.8000857</v>
      </c>
      <c r="C967" s="39">
        <v>965</v>
      </c>
      <c r="D967">
        <v>965</v>
      </c>
      <c r="E967" s="10">
        <v>1226090</v>
      </c>
      <c r="F967" s="10">
        <v>921920</v>
      </c>
      <c r="G967" s="10">
        <v>16982</v>
      </c>
      <c r="H967" s="10">
        <v>39446</v>
      </c>
      <c r="I967" s="10">
        <v>84577</v>
      </c>
      <c r="J967" s="10">
        <v>27211</v>
      </c>
      <c r="K967">
        <v>965</v>
      </c>
      <c r="L967" s="10">
        <v>928</v>
      </c>
      <c r="M967" s="10">
        <v>305778</v>
      </c>
      <c r="N967" s="10">
        <v>4801</v>
      </c>
      <c r="O967">
        <v>0.49250777405508817</v>
      </c>
      <c r="P967">
        <v>0.88940326536063485</v>
      </c>
      <c r="Q967">
        <v>-0.36601413383957804</v>
      </c>
      <c r="R967">
        <v>0.36601413383957809</v>
      </c>
      <c r="S967">
        <f t="shared" si="150"/>
        <v>-1.1340410587229255</v>
      </c>
      <c r="T967" s="148">
        <f t="shared" si="155"/>
        <v>-1.0577089783981422</v>
      </c>
      <c r="U967">
        <f t="shared" si="151"/>
        <v>2.0479267004796253</v>
      </c>
      <c r="V967" s="55">
        <f t="shared" si="156"/>
        <v>2.0561662539331724</v>
      </c>
      <c r="W967">
        <f t="shared" si="152"/>
        <v>0.47146734373708854</v>
      </c>
      <c r="X967" s="55">
        <f t="shared" si="157"/>
        <v>0.50965881584576522</v>
      </c>
      <c r="Y967" s="149">
        <v>31.8000857</v>
      </c>
      <c r="Z967" s="55">
        <f t="shared" si="153"/>
        <v>5.2076102047900032E-3</v>
      </c>
      <c r="AA967" s="55">
        <f t="shared" si="158"/>
        <v>5.281011701862081E-3</v>
      </c>
      <c r="AB967" s="55">
        <f t="shared" si="154"/>
        <v>-5.2576342223473604</v>
      </c>
      <c r="AC967" s="55">
        <f t="shared" si="159"/>
        <v>-5.2437078693680892</v>
      </c>
      <c r="AD967" s="55"/>
      <c r="AE967" s="55"/>
      <c r="AF967" s="55"/>
      <c r="AG967" s="55"/>
      <c r="AH967" s="55"/>
    </row>
    <row r="968" spans="1:34" ht="15.75">
      <c r="A968" s="39">
        <v>31.428161899999999</v>
      </c>
      <c r="B968" s="39">
        <v>31.812247599999999</v>
      </c>
      <c r="C968" s="39">
        <v>966</v>
      </c>
      <c r="D968">
        <v>966</v>
      </c>
      <c r="E968" s="10">
        <v>1179430</v>
      </c>
      <c r="F968" s="10">
        <v>951000</v>
      </c>
      <c r="G968" s="10">
        <v>14345</v>
      </c>
      <c r="H968" s="10">
        <v>38026</v>
      </c>
      <c r="I968" s="10">
        <v>69646</v>
      </c>
      <c r="J968" s="10">
        <v>26992</v>
      </c>
      <c r="K968">
        <v>966</v>
      </c>
      <c r="L968" s="10">
        <v>1786</v>
      </c>
      <c r="M968" s="10">
        <v>297990</v>
      </c>
      <c r="N968" s="10">
        <v>5098</v>
      </c>
      <c r="O968">
        <v>0.41166111326349525</v>
      </c>
      <c r="P968">
        <v>0.89412104632838596</v>
      </c>
      <c r="Q968">
        <v>-0.42338009128099013</v>
      </c>
      <c r="R968">
        <v>0.42338009128099008</v>
      </c>
      <c r="S968">
        <f t="shared" si="150"/>
        <v>-0.94788474276585744</v>
      </c>
      <c r="T968" s="148">
        <f t="shared" si="155"/>
        <v>-0.85991249192231389</v>
      </c>
      <c r="U968">
        <f t="shared" si="151"/>
        <v>2.0587897926079801</v>
      </c>
      <c r="V968" s="55">
        <f t="shared" si="156"/>
        <v>2.0748733437889069</v>
      </c>
      <c r="W968">
        <f t="shared" si="152"/>
        <v>0.63213907637028433</v>
      </c>
      <c r="X968" s="55">
        <f t="shared" si="157"/>
        <v>0.56823442896884724</v>
      </c>
      <c r="Y968" s="149">
        <v>31.812247599999999</v>
      </c>
      <c r="Z968" s="55">
        <f t="shared" si="153"/>
        <v>5.3606729758149318E-3</v>
      </c>
      <c r="AA968" s="55">
        <f t="shared" si="158"/>
        <v>5.3536191854105658E-3</v>
      </c>
      <c r="AB968" s="55">
        <f t="shared" si="154"/>
        <v>-5.2286657565914663</v>
      </c>
      <c r="AC968" s="55">
        <f t="shared" si="159"/>
        <v>-5.2302193971431237</v>
      </c>
      <c r="AD968" s="55"/>
      <c r="AE968" s="55"/>
      <c r="AF968" s="55"/>
      <c r="AG968" s="55"/>
      <c r="AH968" s="55"/>
    </row>
    <row r="969" spans="1:34" ht="15.75">
      <c r="A969" s="39">
        <v>31.440152399999999</v>
      </c>
      <c r="B969" s="39">
        <v>31.824409500000002</v>
      </c>
      <c r="C969" s="39">
        <v>967</v>
      </c>
      <c r="D969">
        <v>967</v>
      </c>
      <c r="E969" s="10">
        <v>1292570</v>
      </c>
      <c r="F969" s="10">
        <v>1047050</v>
      </c>
      <c r="G969" s="10">
        <v>16875</v>
      </c>
      <c r="H969" s="10">
        <v>42389</v>
      </c>
      <c r="I969" s="10">
        <v>50640</v>
      </c>
      <c r="J969" s="10">
        <v>30782</v>
      </c>
      <c r="K969">
        <v>967</v>
      </c>
      <c r="L969" s="10">
        <v>2231</v>
      </c>
      <c r="M969" s="10">
        <v>352409</v>
      </c>
      <c r="N969" s="10">
        <v>5751</v>
      </c>
      <c r="O969">
        <v>0.21619686316602321</v>
      </c>
      <c r="P969">
        <v>0.91979381987799214</v>
      </c>
      <c r="Q969">
        <v>-0.40000938973360417</v>
      </c>
      <c r="R969">
        <v>0.40000938973360417</v>
      </c>
      <c r="S969">
        <f t="shared" si="150"/>
        <v>-0.49781167427815848</v>
      </c>
      <c r="T969" s="148">
        <f t="shared" si="155"/>
        <v>-0.64648828163453032</v>
      </c>
      <c r="U969">
        <f t="shared" si="151"/>
        <v>2.1179035382791151</v>
      </c>
      <c r="V969" s="55">
        <f t="shared" si="156"/>
        <v>2.0968963587795124</v>
      </c>
      <c r="W969">
        <f t="shared" si="152"/>
        <v>0.60109686679916874</v>
      </c>
      <c r="X969" s="55">
        <f t="shared" si="157"/>
        <v>0.60176262408250947</v>
      </c>
      <c r="Y969" s="149">
        <v>31.824409500000002</v>
      </c>
      <c r="Z969" s="55">
        <f t="shared" si="153"/>
        <v>5.4925743756267607E-3</v>
      </c>
      <c r="AA969" s="55">
        <f t="shared" si="158"/>
        <v>5.4514363375885539E-3</v>
      </c>
      <c r="AB969" s="55">
        <f t="shared" si="154"/>
        <v>-5.2043582124905443</v>
      </c>
      <c r="AC969" s="55">
        <f t="shared" si="159"/>
        <v>-5.2119460483739521</v>
      </c>
      <c r="AD969" s="55"/>
      <c r="AE969" s="55"/>
      <c r="AF969" s="55"/>
      <c r="AG969" s="55"/>
      <c r="AH969" s="55"/>
    </row>
    <row r="970" spans="1:34" ht="15.75">
      <c r="A970" s="39">
        <v>31.452142899999998</v>
      </c>
      <c r="B970" s="39">
        <v>31.8365714</v>
      </c>
      <c r="C970" s="39">
        <v>968</v>
      </c>
      <c r="D970">
        <v>968</v>
      </c>
      <c r="E970">
        <v>1283320</v>
      </c>
      <c r="F970" s="90">
        <v>1029385.714</v>
      </c>
      <c r="G970" s="90">
        <v>17313.14286</v>
      </c>
      <c r="H970" s="90">
        <v>42305.285709999996</v>
      </c>
      <c r="I970" s="90">
        <v>50263.85714</v>
      </c>
      <c r="J970" s="90">
        <v>30677.14286</v>
      </c>
      <c r="K970">
        <v>968</v>
      </c>
      <c r="L970" s="10">
        <v>2115.5714290000001</v>
      </c>
      <c r="M970" s="10">
        <v>350341.28570000001</v>
      </c>
      <c r="N970" s="10">
        <v>5662.7142860000004</v>
      </c>
      <c r="O970">
        <v>0.21444090355745735</v>
      </c>
      <c r="P970">
        <v>0.9180966870165127</v>
      </c>
      <c r="Q970">
        <v>-0.38801871977786673</v>
      </c>
      <c r="R970">
        <v>0.38801871977786678</v>
      </c>
      <c r="S970">
        <f t="shared" si="150"/>
        <v>-0.49376842785957503</v>
      </c>
      <c r="T970" s="148">
        <f t="shared" si="155"/>
        <v>-0.49375365505055452</v>
      </c>
      <c r="U970">
        <f t="shared" si="151"/>
        <v>2.113995745451442</v>
      </c>
      <c r="V970" s="55">
        <f t="shared" si="156"/>
        <v>2.1139854392060218</v>
      </c>
      <c r="W970">
        <f t="shared" si="152"/>
        <v>0.57205192907807545</v>
      </c>
      <c r="X970" s="55">
        <f t="shared" si="157"/>
        <v>0.5722615836764523</v>
      </c>
      <c r="Y970" s="149">
        <v>31.8365714</v>
      </c>
      <c r="Z970" s="55">
        <f t="shared" si="153"/>
        <v>5.5010616613239693E-3</v>
      </c>
      <c r="AA970" s="55">
        <f t="shared" si="158"/>
        <v>5.5011604491146575E-3</v>
      </c>
      <c r="AB970" s="55">
        <f t="shared" si="154"/>
        <v>-5.202814176039845</v>
      </c>
      <c r="AC970" s="55">
        <f t="shared" si="159"/>
        <v>-5.2027970396935297</v>
      </c>
      <c r="AD970" s="55"/>
      <c r="AE970" s="55"/>
      <c r="AF970" s="55"/>
      <c r="AG970" s="55"/>
      <c r="AH970" s="55"/>
    </row>
    <row r="971" spans="1:34" ht="15.75">
      <c r="A971" s="39">
        <v>31.4641333</v>
      </c>
      <c r="B971" s="39">
        <v>31.848733299999999</v>
      </c>
      <c r="C971" s="39">
        <v>969</v>
      </c>
      <c r="D971">
        <v>969</v>
      </c>
      <c r="E971">
        <v>1274070</v>
      </c>
      <c r="F971" s="90">
        <v>1011721.429</v>
      </c>
      <c r="G971" s="90">
        <v>17751.28571</v>
      </c>
      <c r="H971" s="90">
        <v>42221.571430000004</v>
      </c>
      <c r="I971" s="90">
        <v>49887.714290000004</v>
      </c>
      <c r="J971" s="90">
        <v>30572.28571</v>
      </c>
      <c r="K971">
        <v>969</v>
      </c>
      <c r="L971" s="10">
        <v>2000.142857</v>
      </c>
      <c r="M971" s="10">
        <v>348273.57140000002</v>
      </c>
      <c r="N971" s="10">
        <v>5574.4285710000004</v>
      </c>
      <c r="O971">
        <v>0.21266569670057192</v>
      </c>
      <c r="P971">
        <v>0.91638612631848737</v>
      </c>
      <c r="Q971">
        <v>-0.37630457903050601</v>
      </c>
      <c r="R971">
        <v>0.37630457903050607</v>
      </c>
      <c r="S971">
        <f t="shared" si="150"/>
        <v>-0.48968086301392993</v>
      </c>
      <c r="T971" s="148">
        <f t="shared" si="155"/>
        <v>-0.48966583404811415</v>
      </c>
      <c r="U971">
        <f t="shared" si="151"/>
        <v>2.1100570338875073</v>
      </c>
      <c r="V971" s="55">
        <f t="shared" si="156"/>
        <v>2.1100465946943832</v>
      </c>
      <c r="W971">
        <f t="shared" si="152"/>
        <v>0.54363595515211283</v>
      </c>
      <c r="X971" s="55">
        <f t="shared" si="157"/>
        <v>0.54383516798481024</v>
      </c>
      <c r="Y971" s="149">
        <v>31.848733299999999</v>
      </c>
      <c r="Z971" s="55">
        <f t="shared" si="153"/>
        <v>5.5098453103932434E-3</v>
      </c>
      <c r="AA971" s="55">
        <f t="shared" si="158"/>
        <v>5.5099493690762905E-3</v>
      </c>
      <c r="AB971" s="55">
        <f t="shared" si="154"/>
        <v>-5.2012187305501998</v>
      </c>
      <c r="AC971" s="55">
        <f t="shared" si="159"/>
        <v>-5.2012007223201628</v>
      </c>
      <c r="AD971" s="55"/>
      <c r="AE971" s="55"/>
      <c r="AF971" s="55"/>
      <c r="AG971" s="55"/>
      <c r="AH971" s="55"/>
    </row>
    <row r="972" spans="1:34" ht="15.75">
      <c r="A972" s="39">
        <v>31.4761238</v>
      </c>
      <c r="B972" s="39">
        <v>31.860895200000002</v>
      </c>
      <c r="C972" s="39">
        <v>970</v>
      </c>
      <c r="D972">
        <v>970</v>
      </c>
      <c r="E972" s="10">
        <v>1264820</v>
      </c>
      <c r="F972" s="10">
        <v>994057.14289999998</v>
      </c>
      <c r="G972" s="10">
        <v>18189.42857</v>
      </c>
      <c r="H972" s="10">
        <v>42137.85714</v>
      </c>
      <c r="I972" s="10">
        <v>49511.571430000004</v>
      </c>
      <c r="J972" s="10">
        <v>30467.42857</v>
      </c>
      <c r="K972">
        <v>970</v>
      </c>
      <c r="L972" s="10">
        <v>1884.7142859999999</v>
      </c>
      <c r="M972" s="10">
        <v>346205.85710000002</v>
      </c>
      <c r="N972" s="10">
        <v>5486.1428569999998</v>
      </c>
      <c r="O972">
        <v>0.21087090885291901</v>
      </c>
      <c r="P972">
        <v>0.91466196456855364</v>
      </c>
      <c r="Q972">
        <v>-0.36485339071427653</v>
      </c>
      <c r="R972">
        <v>0.36485339071427647</v>
      </c>
      <c r="S972">
        <f t="shared" si="150"/>
        <v>-0.48554821127083747</v>
      </c>
      <c r="T972" s="148">
        <f t="shared" si="155"/>
        <v>-0.48553292048607849</v>
      </c>
      <c r="U972">
        <f t="shared" si="151"/>
        <v>2.1060870047441997</v>
      </c>
      <c r="V972" s="55">
        <f t="shared" si="156"/>
        <v>2.1060764299301473</v>
      </c>
      <c r="W972">
        <f t="shared" si="152"/>
        <v>0.51581761972424234</v>
      </c>
      <c r="X972" s="55">
        <f t="shared" si="157"/>
        <v>0.51600713456116465</v>
      </c>
      <c r="Y972" s="149">
        <v>31.860895200000002</v>
      </c>
      <c r="Z972" s="55">
        <f t="shared" si="153"/>
        <v>5.5189411355116577E-3</v>
      </c>
      <c r="AA972" s="55">
        <f t="shared" si="158"/>
        <v>5.5190508389142273E-3</v>
      </c>
      <c r="AB972" s="55">
        <f t="shared" si="154"/>
        <v>-5.1995692603704446</v>
      </c>
      <c r="AC972" s="55">
        <f t="shared" si="159"/>
        <v>-5.1995503214739829</v>
      </c>
      <c r="AD972" s="55"/>
      <c r="AE972" s="55"/>
      <c r="AF972" s="55"/>
      <c r="AG972" s="55"/>
      <c r="AH972" s="55"/>
    </row>
    <row r="973" spans="1:34" ht="15.75">
      <c r="A973" s="39">
        <v>31.488114299999999</v>
      </c>
      <c r="B973" s="39">
        <v>31.8730571</v>
      </c>
      <c r="C973" s="39">
        <v>971</v>
      </c>
      <c r="D973">
        <v>971</v>
      </c>
      <c r="E973" s="10">
        <v>1255570</v>
      </c>
      <c r="F973" s="10">
        <v>976392.85710000002</v>
      </c>
      <c r="G973" s="10">
        <v>18627.57143</v>
      </c>
      <c r="H973" s="10">
        <v>42054.14286</v>
      </c>
      <c r="I973" s="10">
        <v>49135.428569999996</v>
      </c>
      <c r="J973" s="10">
        <v>30362.57143</v>
      </c>
      <c r="K973">
        <v>971</v>
      </c>
      <c r="L973" s="10">
        <v>1769.2857140000001</v>
      </c>
      <c r="M973" s="10">
        <v>344138.14289999998</v>
      </c>
      <c r="N973" s="10">
        <v>5397.8571430000002</v>
      </c>
      <c r="O973">
        <v>0.20905619889493168</v>
      </c>
      <c r="P973">
        <v>0.9129240250684495</v>
      </c>
      <c r="Q973">
        <v>-0.35365254825439807</v>
      </c>
      <c r="R973">
        <v>0.35365254825439812</v>
      </c>
      <c r="S973">
        <f t="shared" si="150"/>
        <v>-0.48136968717346812</v>
      </c>
      <c r="T973" s="148">
        <f t="shared" si="155"/>
        <v>-0.4813541280119637</v>
      </c>
      <c r="U973">
        <f t="shared" si="151"/>
        <v>2.1020852511587345</v>
      </c>
      <c r="V973" s="55">
        <f t="shared" si="156"/>
        <v>2.1020745382362303</v>
      </c>
      <c r="W973">
        <f t="shared" si="152"/>
        <v>0.48856782880713895</v>
      </c>
      <c r="X973" s="55">
        <f t="shared" si="157"/>
        <v>0.48874831990100426</v>
      </c>
      <c r="Y973" s="149">
        <v>31.8730571</v>
      </c>
      <c r="Z973" s="55">
        <f t="shared" si="153"/>
        <v>5.5283660708377791E-3</v>
      </c>
      <c r="AA973" s="55">
        <f t="shared" si="158"/>
        <v>5.5284818383791691E-3</v>
      </c>
      <c r="AB973" s="55">
        <f t="shared" si="154"/>
        <v>-5.1978629735013042</v>
      </c>
      <c r="AC973" s="55">
        <f t="shared" si="159"/>
        <v>-5.1978430379718992</v>
      </c>
      <c r="AD973" s="55"/>
      <c r="AE973" s="55"/>
      <c r="AF973" s="55"/>
      <c r="AG973" s="55"/>
      <c r="AH973" s="55"/>
    </row>
    <row r="974" spans="1:34" ht="15.75">
      <c r="A974" s="39">
        <v>31.500104799999999</v>
      </c>
      <c r="B974" s="39">
        <v>31.8852191</v>
      </c>
      <c r="C974" s="39">
        <v>972</v>
      </c>
      <c r="D974">
        <v>972</v>
      </c>
      <c r="E974" s="10">
        <v>1246320</v>
      </c>
      <c r="F974" s="10">
        <v>958728.57140000002</v>
      </c>
      <c r="G974" s="10">
        <v>19065.71429</v>
      </c>
      <c r="H974" s="10">
        <v>41970.428569999996</v>
      </c>
      <c r="I974" s="10">
        <v>48759.285709999996</v>
      </c>
      <c r="J974" s="10">
        <v>30257.71429</v>
      </c>
      <c r="K974">
        <v>972</v>
      </c>
      <c r="L974" s="10">
        <v>1653.857143</v>
      </c>
      <c r="M974" s="10">
        <v>342070.42859999998</v>
      </c>
      <c r="N974" s="10">
        <v>5309.5714289999996</v>
      </c>
      <c r="O974">
        <v>0.20722121716299124</v>
      </c>
      <c r="P974">
        <v>0.91117212787895974</v>
      </c>
      <c r="Q974">
        <v>-0.34269032331996657</v>
      </c>
      <c r="R974">
        <v>0.34269032331996652</v>
      </c>
      <c r="S974">
        <f t="shared" si="150"/>
        <v>-0.47714448559158545</v>
      </c>
      <c r="T974" s="148">
        <f t="shared" si="155"/>
        <v>-0.47712865164743173</v>
      </c>
      <c r="U974">
        <f t="shared" si="151"/>
        <v>2.098051358805757</v>
      </c>
      <c r="V974" s="55">
        <f t="shared" si="156"/>
        <v>2.0980405051717383</v>
      </c>
      <c r="W974">
        <f t="shared" si="152"/>
        <v>0.46185951117163149</v>
      </c>
      <c r="X974" s="55">
        <f t="shared" si="157"/>
        <v>0.4620315915934971</v>
      </c>
      <c r="Y974" s="149">
        <v>31.8852191</v>
      </c>
      <c r="Z974" s="55">
        <f t="shared" si="153"/>
        <v>5.5381383087880712E-3</v>
      </c>
      <c r="AA974" s="55">
        <f t="shared" si="158"/>
        <v>5.5382605952288633E-3</v>
      </c>
      <c r="AB974" s="55">
        <f t="shared" si="154"/>
        <v>-5.1960968800439478</v>
      </c>
      <c r="AC974" s="55">
        <f t="shared" si="159"/>
        <v>-5.196075876744132</v>
      </c>
      <c r="AD974" s="55"/>
      <c r="AE974" s="55"/>
      <c r="AF974" s="55"/>
      <c r="AG974" s="55"/>
      <c r="AH974" s="55"/>
    </row>
    <row r="975" spans="1:34" ht="15.75">
      <c r="A975" s="39">
        <v>31.512095200000001</v>
      </c>
      <c r="B975" s="39">
        <v>31.897380999999999</v>
      </c>
      <c r="C975" s="39">
        <v>973</v>
      </c>
      <c r="D975">
        <v>973</v>
      </c>
      <c r="E975" s="10">
        <v>1237070</v>
      </c>
      <c r="F975" s="10">
        <v>941064.28570000001</v>
      </c>
      <c r="G975" s="10">
        <v>19503.85714</v>
      </c>
      <c r="H975" s="10">
        <v>41886.714290000004</v>
      </c>
      <c r="I975" s="10">
        <v>48383.14286</v>
      </c>
      <c r="J975" s="10">
        <v>30152.85714</v>
      </c>
      <c r="K975">
        <v>973</v>
      </c>
      <c r="L975" s="10">
        <v>1538.4285709999999</v>
      </c>
      <c r="M975" s="10">
        <v>340002.71429999999</v>
      </c>
      <c r="N975" s="10">
        <v>5221.2857139999996</v>
      </c>
      <c r="O975">
        <v>0.20536560564733244</v>
      </c>
      <c r="P975">
        <v>0.90940608966938075</v>
      </c>
      <c r="Q975">
        <v>-0.3319557872270793</v>
      </c>
      <c r="R975">
        <v>0.3319557872270793</v>
      </c>
      <c r="S975">
        <f t="shared" si="150"/>
        <v>-0.47287178217724152</v>
      </c>
      <c r="T975" s="148">
        <f t="shared" si="155"/>
        <v>-0.47285566611718394</v>
      </c>
      <c r="U975">
        <f t="shared" si="151"/>
        <v>2.0939849055507227</v>
      </c>
      <c r="V975" s="55">
        <f t="shared" si="156"/>
        <v>2.0939739087878078</v>
      </c>
      <c r="W975">
        <f t="shared" si="152"/>
        <v>0.43566743480172099</v>
      </c>
      <c r="X975" s="55">
        <f t="shared" si="157"/>
        <v>0.43583166286420122</v>
      </c>
      <c r="Y975" s="149">
        <v>31.897380999999999</v>
      </c>
      <c r="Z975" s="55">
        <f t="shared" si="153"/>
        <v>5.5482774060607405E-3</v>
      </c>
      <c r="AA975" s="55">
        <f t="shared" si="158"/>
        <v>5.5484067111007838E-3</v>
      </c>
      <c r="AB975" s="55">
        <f t="shared" si="154"/>
        <v>-5.1942677766871457</v>
      </c>
      <c r="AC975" s="55">
        <f t="shared" si="159"/>
        <v>-5.1942456277419389</v>
      </c>
      <c r="AD975" s="55"/>
      <c r="AE975" s="55"/>
      <c r="AF975" s="55"/>
      <c r="AG975" s="55"/>
      <c r="AH975" s="55"/>
    </row>
    <row r="976" spans="1:34" ht="15.75">
      <c r="A976" s="39">
        <v>31.524085700000001</v>
      </c>
      <c r="B976" s="39">
        <v>31.909542900000002</v>
      </c>
      <c r="C976" s="39">
        <v>974</v>
      </c>
      <c r="D976">
        <v>974</v>
      </c>
      <c r="E976" s="10">
        <v>1227820</v>
      </c>
      <c r="F976" s="10">
        <v>923400</v>
      </c>
      <c r="G976" s="10">
        <v>19942</v>
      </c>
      <c r="H976" s="10">
        <v>41803</v>
      </c>
      <c r="I976" s="10">
        <v>48007</v>
      </c>
      <c r="J976" s="10">
        <v>30048</v>
      </c>
      <c r="K976">
        <v>974</v>
      </c>
      <c r="L976" s="10">
        <v>1423</v>
      </c>
      <c r="M976" s="10">
        <v>337935</v>
      </c>
      <c r="N976" s="10">
        <v>5133</v>
      </c>
      <c r="O976">
        <v>0.20348899678381471</v>
      </c>
      <c r="P976">
        <v>0.90762572395944385</v>
      </c>
      <c r="Q976">
        <v>-0.32143873819719215</v>
      </c>
      <c r="R976">
        <v>0.32143873819719215</v>
      </c>
      <c r="S976">
        <f t="shared" si="150"/>
        <v>-0.46855073058272495</v>
      </c>
      <c r="T976" s="148">
        <f t="shared" si="155"/>
        <v>-0.5857525769421591</v>
      </c>
      <c r="U976">
        <f t="shared" si="151"/>
        <v>2.089885462006944</v>
      </c>
      <c r="V976" s="55">
        <f t="shared" si="156"/>
        <v>2.0634447783483281</v>
      </c>
      <c r="W976">
        <f t="shared" si="152"/>
        <v>0.40996804261925118</v>
      </c>
      <c r="X976" s="55">
        <f t="shared" si="157"/>
        <v>0.39159572012645877</v>
      </c>
      <c r="Y976" s="149">
        <v>31.909542900000002</v>
      </c>
      <c r="Z976" s="55">
        <f t="shared" si="153"/>
        <v>5.5588044184535414E-3</v>
      </c>
      <c r="AA976" s="55">
        <f t="shared" si="158"/>
        <v>5.5790914423490693E-3</v>
      </c>
      <c r="AB976" s="55">
        <f t="shared" si="154"/>
        <v>-5.1923722264947223</v>
      </c>
      <c r="AC976" s="55">
        <f t="shared" si="159"/>
        <v>-5.1887505494391881</v>
      </c>
      <c r="AD976" s="55"/>
      <c r="AE976" s="55"/>
      <c r="AF976" s="55"/>
      <c r="AG976" s="55"/>
      <c r="AH976" s="55"/>
    </row>
    <row r="977" spans="1:34" ht="15.75">
      <c r="A977" s="39">
        <v>31.5360762</v>
      </c>
      <c r="B977" s="39">
        <v>31.921704800000001</v>
      </c>
      <c r="C977" s="39">
        <v>975</v>
      </c>
      <c r="D977">
        <v>975</v>
      </c>
      <c r="E977" s="10">
        <v>1398250</v>
      </c>
      <c r="F977" s="10">
        <v>987000</v>
      </c>
      <c r="G977" s="10">
        <v>24698</v>
      </c>
      <c r="H977" s="10">
        <v>49019</v>
      </c>
      <c r="I977" s="10">
        <v>77611</v>
      </c>
      <c r="J977" s="10">
        <v>34325</v>
      </c>
      <c r="K977">
        <v>975</v>
      </c>
      <c r="L977" s="10">
        <v>1882</v>
      </c>
      <c r="M977" s="10">
        <v>364553</v>
      </c>
      <c r="N977" s="10">
        <v>5557</v>
      </c>
      <c r="O977">
        <v>0.35431273334862168</v>
      </c>
      <c r="P977">
        <v>0.87139622921744742</v>
      </c>
      <c r="Q977">
        <v>-0.29770266099834752</v>
      </c>
      <c r="R977">
        <v>0.29770266099834758</v>
      </c>
      <c r="S977">
        <f t="shared" ref="S977:S1040" si="160">LN(J977/I977)</f>
        <v>-0.81583521806651071</v>
      </c>
      <c r="T977" s="148">
        <f t="shared" si="155"/>
        <v>-0.67145173719621687</v>
      </c>
      <c r="U977">
        <f t="shared" ref="U977:U1040" si="161">LN(M977/H977)</f>
        <v>2.0064639674873166</v>
      </c>
      <c r="V977" s="55">
        <f t="shared" si="156"/>
        <v>2.061968016284855</v>
      </c>
      <c r="W977">
        <f t="shared" ref="W977:W1040" si="162">LN(J977/G977)</f>
        <v>0.32915168295840402</v>
      </c>
      <c r="X977" s="55">
        <f t="shared" si="157"/>
        <v>0.35817595085211024</v>
      </c>
      <c r="Y977" s="149">
        <v>31.921704800000001</v>
      </c>
      <c r="Z977" s="55">
        <f t="shared" si="153"/>
        <v>5.6301925025329285E-3</v>
      </c>
      <c r="AA977" s="55">
        <f t="shared" si="158"/>
        <v>5.3917059380736406E-3</v>
      </c>
      <c r="AB977" s="55">
        <f t="shared" si="154"/>
        <v>-5.1796116451356973</v>
      </c>
      <c r="AC977" s="55">
        <f t="shared" si="159"/>
        <v>-5.2243603064226463</v>
      </c>
      <c r="AD977" s="55"/>
      <c r="AE977" s="55"/>
      <c r="AF977" s="55"/>
      <c r="AG977" s="55"/>
      <c r="AH977" s="55"/>
    </row>
    <row r="978" spans="1:34" ht="15.75">
      <c r="A978" s="39">
        <v>31.5480667</v>
      </c>
      <c r="B978" s="39">
        <v>31.933866699999999</v>
      </c>
      <c r="C978" s="39">
        <v>976</v>
      </c>
      <c r="D978">
        <v>976</v>
      </c>
      <c r="E978" s="10">
        <v>1363880</v>
      </c>
      <c r="F978" s="10">
        <v>965480</v>
      </c>
      <c r="G978" s="10">
        <v>23372</v>
      </c>
      <c r="H978" s="10">
        <v>46658</v>
      </c>
      <c r="I978" s="10">
        <v>67824</v>
      </c>
      <c r="J978" s="10">
        <v>32686</v>
      </c>
      <c r="K978">
        <v>976</v>
      </c>
      <c r="L978" s="10">
        <v>1586</v>
      </c>
      <c r="M978" s="10">
        <v>377058</v>
      </c>
      <c r="N978" s="10">
        <v>4814</v>
      </c>
      <c r="O978">
        <v>0.31702162285357188</v>
      </c>
      <c r="P978">
        <v>0.90748204082362982</v>
      </c>
      <c r="Q978">
        <v>-0.30023024114055796</v>
      </c>
      <c r="R978">
        <v>0.30023024114055796</v>
      </c>
      <c r="S978">
        <f t="shared" si="160"/>
        <v>-0.72996926293941511</v>
      </c>
      <c r="T978" s="148">
        <f t="shared" si="155"/>
        <v>-0.70807108841724153</v>
      </c>
      <c r="U978">
        <f t="shared" si="161"/>
        <v>2.0895546193603041</v>
      </c>
      <c r="V978" s="55">
        <f t="shared" si="156"/>
        <v>2.0465654444351533</v>
      </c>
      <c r="W978">
        <f t="shared" si="162"/>
        <v>0.33540812697867556</v>
      </c>
      <c r="X978" s="55">
        <f t="shared" si="157"/>
        <v>0.35469163227452277</v>
      </c>
      <c r="Y978" s="149">
        <v>31.933866699999999</v>
      </c>
      <c r="Z978" s="55">
        <f t="shared" si="153"/>
        <v>4.9861208932344536E-3</v>
      </c>
      <c r="AA978" s="55">
        <f t="shared" si="158"/>
        <v>5.421368823725836E-3</v>
      </c>
      <c r="AB978" s="55">
        <f t="shared" si="154"/>
        <v>-5.3010970476375183</v>
      </c>
      <c r="AC978" s="55">
        <f t="shared" si="159"/>
        <v>-5.2190663696751827</v>
      </c>
      <c r="AD978" s="55"/>
      <c r="AE978" s="55"/>
      <c r="AF978" s="55"/>
      <c r="AG978" s="55"/>
      <c r="AH978" s="55"/>
    </row>
    <row r="979" spans="1:34" ht="15.75">
      <c r="A979" s="39">
        <v>31.560057100000002</v>
      </c>
      <c r="B979" s="39">
        <v>31.946028600000002</v>
      </c>
      <c r="C979" s="39">
        <v>977</v>
      </c>
      <c r="D979">
        <v>977</v>
      </c>
      <c r="E979" s="10">
        <v>1243070</v>
      </c>
      <c r="F979" s="10">
        <v>910090</v>
      </c>
      <c r="G979" s="10">
        <v>20509</v>
      </c>
      <c r="H979" s="10">
        <v>43504</v>
      </c>
      <c r="I979" s="10">
        <v>54532</v>
      </c>
      <c r="J979" s="10">
        <v>30581</v>
      </c>
      <c r="K979">
        <v>977</v>
      </c>
      <c r="L979" s="10">
        <v>1886</v>
      </c>
      <c r="M979" s="10">
        <v>335805</v>
      </c>
      <c r="N979" s="10">
        <v>5140</v>
      </c>
      <c r="O979">
        <v>0.25119974328231898</v>
      </c>
      <c r="P979">
        <v>0.88755796807511267</v>
      </c>
      <c r="Q979">
        <v>-0.32658470515880467</v>
      </c>
      <c r="R979">
        <v>0.32658470515880467</v>
      </c>
      <c r="S979">
        <f t="shared" si="160"/>
        <v>-0.57840878424579889</v>
      </c>
      <c r="T979" s="148">
        <f t="shared" si="155"/>
        <v>-0.64891927591894671</v>
      </c>
      <c r="U979">
        <f t="shared" si="161"/>
        <v>2.0436777464578397</v>
      </c>
      <c r="V979" s="55">
        <f t="shared" si="156"/>
        <v>2.0635394478094491</v>
      </c>
      <c r="W979">
        <f t="shared" si="162"/>
        <v>0.39951508688648874</v>
      </c>
      <c r="X979" s="55">
        <f t="shared" si="157"/>
        <v>0.37485571925895189</v>
      </c>
      <c r="Y979" s="149">
        <v>31.946028600000002</v>
      </c>
      <c r="Z979" s="55">
        <f t="shared" si="153"/>
        <v>5.6477930754101242E-3</v>
      </c>
      <c r="AA979" s="55">
        <f t="shared" si="158"/>
        <v>5.3794367740517685E-3</v>
      </c>
      <c r="AB979" s="55">
        <f t="shared" si="154"/>
        <v>-5.1764904162523315</v>
      </c>
      <c r="AC979" s="55">
        <f t="shared" si="159"/>
        <v>-5.2265985443104306</v>
      </c>
      <c r="AD979" s="55"/>
      <c r="AE979" s="55"/>
      <c r="AF979" s="55"/>
      <c r="AG979" s="55"/>
      <c r="AH979" s="55"/>
    </row>
    <row r="980" spans="1:34" ht="15.75">
      <c r="A980" s="39">
        <v>31.572047600000001</v>
      </c>
      <c r="B980" s="39">
        <v>31.958190500000001</v>
      </c>
      <c r="C980" s="39">
        <v>978</v>
      </c>
      <c r="D980">
        <v>978</v>
      </c>
      <c r="E980" s="10">
        <v>1204580</v>
      </c>
      <c r="F980" s="10">
        <v>865490</v>
      </c>
      <c r="G980" s="10">
        <v>19622</v>
      </c>
      <c r="H980" s="10">
        <v>41166</v>
      </c>
      <c r="I980" s="10">
        <v>54854</v>
      </c>
      <c r="J980" s="10">
        <v>28971</v>
      </c>
      <c r="K980">
        <v>978</v>
      </c>
      <c r="L980" s="10">
        <v>1775</v>
      </c>
      <c r="M980" s="10">
        <v>322144</v>
      </c>
      <c r="N980" s="10">
        <v>4764</v>
      </c>
      <c r="O980">
        <v>0.27724481606086598</v>
      </c>
      <c r="P980">
        <v>0.89351137722123886</v>
      </c>
      <c r="Q980">
        <v>-0.32179539833298387</v>
      </c>
      <c r="R980">
        <v>0.32179539833298387</v>
      </c>
      <c r="S980">
        <f t="shared" si="160"/>
        <v>-0.63837978057162625</v>
      </c>
      <c r="T980" s="148">
        <f t="shared" si="155"/>
        <v>-0.48920401022431131</v>
      </c>
      <c r="U980">
        <f t="shared" si="161"/>
        <v>2.0573859776102039</v>
      </c>
      <c r="V980" s="55">
        <f t="shared" si="156"/>
        <v>2.0590195091804588</v>
      </c>
      <c r="W980">
        <f t="shared" si="162"/>
        <v>0.38964394391169144</v>
      </c>
      <c r="X980" s="55">
        <f t="shared" si="157"/>
        <v>0.46862845507815115</v>
      </c>
      <c r="Y980" s="149">
        <v>31.958190500000001</v>
      </c>
      <c r="Z980" s="55">
        <f t="shared" si="153"/>
        <v>5.5043963535107284E-3</v>
      </c>
      <c r="AA980" s="55">
        <f t="shared" si="158"/>
        <v>5.5147748530877047E-3</v>
      </c>
      <c r="AB980" s="55">
        <f t="shared" si="154"/>
        <v>-5.2022081690414419</v>
      </c>
      <c r="AC980" s="55">
        <f t="shared" si="159"/>
        <v>-5.2005041432382253</v>
      </c>
      <c r="AD980" s="55"/>
      <c r="AE980" s="55"/>
      <c r="AF980" s="55"/>
      <c r="AG980" s="55"/>
      <c r="AH980" s="55"/>
    </row>
    <row r="981" spans="1:34" ht="15.75">
      <c r="A981" s="39">
        <v>31.584038100000001</v>
      </c>
      <c r="B981" s="39">
        <v>31.970352399999999</v>
      </c>
      <c r="C981" s="39">
        <v>979</v>
      </c>
      <c r="D981">
        <v>979</v>
      </c>
      <c r="E981" s="10">
        <v>1195570</v>
      </c>
      <c r="F981" s="10">
        <v>902240</v>
      </c>
      <c r="G981" s="10">
        <v>16249</v>
      </c>
      <c r="H981" s="10">
        <v>41887</v>
      </c>
      <c r="I981" s="10">
        <v>38690</v>
      </c>
      <c r="J981" s="10">
        <v>30107</v>
      </c>
      <c r="K981">
        <v>979</v>
      </c>
      <c r="L981" s="10">
        <v>1367</v>
      </c>
      <c r="M981" s="10">
        <v>333943</v>
      </c>
      <c r="N981" s="10">
        <v>4865</v>
      </c>
      <c r="O981">
        <v>0.10893124715289625</v>
      </c>
      <c r="P981">
        <v>0.90159308760829437</v>
      </c>
      <c r="Q981">
        <v>-0.41125261807585756</v>
      </c>
      <c r="R981">
        <v>0.41125261807585756</v>
      </c>
      <c r="S981">
        <f t="shared" si="160"/>
        <v>-0.25082346585550896</v>
      </c>
      <c r="T981" s="148">
        <f t="shared" si="155"/>
        <v>-0.31922025602788479</v>
      </c>
      <c r="U981">
        <f t="shared" si="161"/>
        <v>2.0759948034733333</v>
      </c>
      <c r="V981" s="55">
        <f t="shared" si="156"/>
        <v>2.089719723357419</v>
      </c>
      <c r="W981">
        <f t="shared" si="162"/>
        <v>0.61672633443627334</v>
      </c>
      <c r="X981" s="55">
        <f t="shared" si="157"/>
        <v>0.54499447258198919</v>
      </c>
      <c r="Y981" s="149">
        <v>31.970352399999999</v>
      </c>
      <c r="Z981" s="55">
        <f t="shared" si="153"/>
        <v>5.3921351303422588E-3</v>
      </c>
      <c r="AA981" s="55">
        <f t="shared" si="158"/>
        <v>5.3621823083458741E-3</v>
      </c>
      <c r="AB981" s="55">
        <f t="shared" si="154"/>
        <v>-5.2228138444209034</v>
      </c>
      <c r="AC981" s="55">
        <f t="shared" si="159"/>
        <v>-5.2286802066970095</v>
      </c>
      <c r="AD981" s="55"/>
      <c r="AE981" s="55"/>
      <c r="AF981" s="55"/>
      <c r="AG981" s="55"/>
      <c r="AH981" s="55"/>
    </row>
    <row r="982" spans="1:34" ht="15.75">
      <c r="A982" s="39">
        <v>31.5960286</v>
      </c>
      <c r="B982" s="39">
        <v>31.982514299999998</v>
      </c>
      <c r="C982" s="39">
        <v>980</v>
      </c>
      <c r="D982">
        <v>980</v>
      </c>
      <c r="E982" s="10">
        <v>1143320</v>
      </c>
      <c r="F982" s="10">
        <v>900190</v>
      </c>
      <c r="G982" s="10">
        <v>14881</v>
      </c>
      <c r="H982" s="10">
        <v>39059</v>
      </c>
      <c r="I982" s="10">
        <v>29879</v>
      </c>
      <c r="J982" s="10">
        <v>27902</v>
      </c>
      <c r="K982">
        <v>980</v>
      </c>
      <c r="L982" s="10">
        <v>1127</v>
      </c>
      <c r="M982" s="10">
        <v>330581</v>
      </c>
      <c r="N982" s="10">
        <v>4672</v>
      </c>
      <c r="O982">
        <v>2.9730723900198618E-2</v>
      </c>
      <c r="P982">
        <v>0.92755676890601757</v>
      </c>
      <c r="Q982">
        <v>-0.41908900347288169</v>
      </c>
      <c r="R982">
        <v>0.41908900347288175</v>
      </c>
      <c r="S982">
        <f t="shared" si="160"/>
        <v>-6.8457521656519041E-2</v>
      </c>
      <c r="T982" s="148">
        <f t="shared" si="155"/>
        <v>-0.23484029712262644</v>
      </c>
      <c r="U982">
        <f t="shared" si="161"/>
        <v>2.1357783889887192</v>
      </c>
      <c r="V982" s="55">
        <f t="shared" si="156"/>
        <v>2.1149051459540478</v>
      </c>
      <c r="W982">
        <f t="shared" si="162"/>
        <v>0.62861313939800312</v>
      </c>
      <c r="X982" s="55">
        <f t="shared" si="157"/>
        <v>0.58861722988072607</v>
      </c>
      <c r="Y982" s="149">
        <v>31.982514299999998</v>
      </c>
      <c r="Z982" s="55">
        <f t="shared" si="153"/>
        <v>5.1900154411846384E-3</v>
      </c>
      <c r="AA982" s="55">
        <f t="shared" si="158"/>
        <v>5.2237234584814008E-3</v>
      </c>
      <c r="AB982" s="55">
        <f t="shared" si="154"/>
        <v>-5.2610186066286815</v>
      </c>
      <c r="AC982" s="55">
        <f t="shared" si="159"/>
        <v>-5.254834163639365</v>
      </c>
      <c r="AD982" s="55"/>
      <c r="AE982" s="55"/>
      <c r="AF982" s="55"/>
      <c r="AG982" s="55"/>
      <c r="AH982" s="55"/>
    </row>
    <row r="983" spans="1:34" ht="15.75">
      <c r="A983" s="39">
        <v>31.6080191</v>
      </c>
      <c r="B983" s="39">
        <v>31.994676200000001</v>
      </c>
      <c r="C983" s="39">
        <v>981</v>
      </c>
      <c r="D983">
        <v>981</v>
      </c>
      <c r="E983" s="10">
        <v>1219890</v>
      </c>
      <c r="F983" s="10">
        <v>920020</v>
      </c>
      <c r="G983" s="10">
        <v>17609</v>
      </c>
      <c r="H983" s="10">
        <v>41168</v>
      </c>
      <c r="I983" s="10">
        <v>43561</v>
      </c>
      <c r="J983" s="10">
        <v>29634</v>
      </c>
      <c r="K983">
        <v>981</v>
      </c>
      <c r="L983" s="10">
        <v>2091</v>
      </c>
      <c r="M983" s="10">
        <v>347444</v>
      </c>
      <c r="N983" s="10">
        <v>4682</v>
      </c>
      <c r="O983">
        <v>0.16730756445353551</v>
      </c>
      <c r="P983">
        <v>0.92632504739559129</v>
      </c>
      <c r="Q983">
        <v>-0.36882507540968584</v>
      </c>
      <c r="R983">
        <v>0.36882507540968579</v>
      </c>
      <c r="S983">
        <f t="shared" si="160"/>
        <v>-0.38523990385585127</v>
      </c>
      <c r="T983" s="148">
        <f t="shared" si="155"/>
        <v>-0.37859853198039045</v>
      </c>
      <c r="U983">
        <f t="shared" si="161"/>
        <v>2.1329422454000913</v>
      </c>
      <c r="V983" s="55">
        <f t="shared" si="156"/>
        <v>2.1081824968468696</v>
      </c>
      <c r="W983">
        <f t="shared" si="162"/>
        <v>0.52051221580790186</v>
      </c>
      <c r="X983" s="55">
        <f t="shared" si="157"/>
        <v>0.49327969424329537</v>
      </c>
      <c r="Y983" s="149">
        <v>31.994676200000001</v>
      </c>
      <c r="Z983" s="55">
        <f t="shared" si="153"/>
        <v>5.0890198039173062E-3</v>
      </c>
      <c r="AA983" s="55">
        <f t="shared" si="158"/>
        <v>5.2501824025370653E-3</v>
      </c>
      <c r="AB983" s="55">
        <f t="shared" si="154"/>
        <v>-5.28067003986851</v>
      </c>
      <c r="AC983" s="55">
        <f t="shared" si="159"/>
        <v>-5.249962979091503</v>
      </c>
      <c r="AD983" s="55"/>
      <c r="AE983" s="55"/>
      <c r="AF983" s="55"/>
      <c r="AG983" s="55"/>
      <c r="AH983" s="55"/>
    </row>
    <row r="984" spans="1:34" ht="15.75">
      <c r="A984" s="39">
        <v>31.620009499999998</v>
      </c>
      <c r="B984" s="39">
        <v>32.006838100000003</v>
      </c>
      <c r="C984" s="39">
        <v>982</v>
      </c>
      <c r="D984">
        <v>982</v>
      </c>
      <c r="E984" s="10">
        <v>1388250</v>
      </c>
      <c r="F984" s="10">
        <v>973040</v>
      </c>
      <c r="G984" s="10">
        <v>24158</v>
      </c>
      <c r="H984" s="10">
        <v>48151</v>
      </c>
      <c r="I984" s="10">
        <v>66515</v>
      </c>
      <c r="J984" s="10">
        <v>33627</v>
      </c>
      <c r="K984">
        <v>982</v>
      </c>
      <c r="L984" s="10">
        <v>1831</v>
      </c>
      <c r="M984" s="10">
        <v>376218</v>
      </c>
      <c r="N984" s="10">
        <v>5324</v>
      </c>
      <c r="O984">
        <v>0.29623147153353213</v>
      </c>
      <c r="P984">
        <v>0.89283425937523664</v>
      </c>
      <c r="Q984">
        <v>-0.29954433405130798</v>
      </c>
      <c r="R984">
        <v>0.29954433405130793</v>
      </c>
      <c r="S984">
        <f t="shared" si="160"/>
        <v>-0.68209817042880105</v>
      </c>
      <c r="T984" s="148">
        <f t="shared" si="155"/>
        <v>-0.5916587186417599</v>
      </c>
      <c r="U984">
        <f t="shared" si="161"/>
        <v>2.0558268561517989</v>
      </c>
      <c r="V984" s="55">
        <f t="shared" si="156"/>
        <v>2.0785789078328603</v>
      </c>
      <c r="W984">
        <f t="shared" si="162"/>
        <v>0.33071372752398137</v>
      </c>
      <c r="X984" s="55">
        <f t="shared" si="157"/>
        <v>0.40445092582607106</v>
      </c>
      <c r="Y984" s="149">
        <v>32.006838100000003</v>
      </c>
      <c r="Z984" s="55">
        <f t="shared" si="153"/>
        <v>5.4715119625092495E-3</v>
      </c>
      <c r="AA984" s="55">
        <f t="shared" si="158"/>
        <v>5.288895716243319E-3</v>
      </c>
      <c r="AB984" s="55">
        <f t="shared" si="154"/>
        <v>-5.2082002907773157</v>
      </c>
      <c r="AC984" s="55">
        <f t="shared" si="159"/>
        <v>-5.2425860233591504</v>
      </c>
      <c r="AD984" s="55"/>
      <c r="AE984" s="55"/>
      <c r="AF984" s="55"/>
      <c r="AG984" s="55"/>
      <c r="AH984" s="55"/>
    </row>
    <row r="985" spans="1:34" ht="15.75">
      <c r="A985" s="39">
        <v>31.632000000000001</v>
      </c>
      <c r="B985" s="39">
        <v>32.018999999999998</v>
      </c>
      <c r="C985" s="39">
        <v>983</v>
      </c>
      <c r="D985">
        <v>983</v>
      </c>
      <c r="E985" s="10">
        <v>1424890</v>
      </c>
      <c r="F985" s="10">
        <v>991490</v>
      </c>
      <c r="G985" s="10">
        <v>24969</v>
      </c>
      <c r="H985" s="10">
        <v>49836</v>
      </c>
      <c r="I985" s="10">
        <v>72777</v>
      </c>
      <c r="J985" s="10">
        <v>35865</v>
      </c>
      <c r="K985">
        <v>983</v>
      </c>
      <c r="L985" s="10">
        <v>1891</v>
      </c>
      <c r="M985" s="10">
        <v>385949</v>
      </c>
      <c r="N985" s="10">
        <v>5261</v>
      </c>
      <c r="O985">
        <v>0.30732331404112728</v>
      </c>
      <c r="P985">
        <v>0.88898674284606971</v>
      </c>
      <c r="Q985">
        <v>-0.30014202780489213</v>
      </c>
      <c r="R985">
        <v>0.30014202780489219</v>
      </c>
      <c r="S985">
        <f t="shared" si="160"/>
        <v>-0.70763808164062736</v>
      </c>
      <c r="T985" s="148">
        <f t="shared" si="155"/>
        <v>-0.71342713526558599</v>
      </c>
      <c r="U985">
        <f t="shared" si="161"/>
        <v>2.0469676219466915</v>
      </c>
      <c r="V985" s="55">
        <f t="shared" si="156"/>
        <v>2.0630417766660005</v>
      </c>
      <c r="W985">
        <f t="shared" si="162"/>
        <v>0.36212683414632996</v>
      </c>
      <c r="X985" s="55">
        <f t="shared" si="157"/>
        <v>0.43521643751108829</v>
      </c>
      <c r="Y985" s="149">
        <v>32.018999999999998</v>
      </c>
      <c r="Z985" s="55">
        <f t="shared" si="153"/>
        <v>5.3061553823034024E-3</v>
      </c>
      <c r="AA985" s="55">
        <f t="shared" si="158"/>
        <v>5.4375187696175942E-3</v>
      </c>
      <c r="AB985" s="55">
        <f t="shared" si="154"/>
        <v>-5.2388877394316253</v>
      </c>
      <c r="AC985" s="55">
        <f t="shared" si="159"/>
        <v>-5.214590601309685</v>
      </c>
      <c r="AD985" s="55"/>
      <c r="AE985" s="55"/>
      <c r="AF985" s="55"/>
      <c r="AG985" s="55"/>
      <c r="AH985" s="55"/>
    </row>
    <row r="986" spans="1:34" ht="15.75">
      <c r="A986" s="39">
        <v>31.660309099999999</v>
      </c>
      <c r="B986" s="39">
        <v>32.048000000000002</v>
      </c>
      <c r="C986" s="39">
        <v>984</v>
      </c>
      <c r="D986">
        <v>984</v>
      </c>
      <c r="E986" s="10">
        <v>1179770</v>
      </c>
      <c r="F986" s="10">
        <v>887100</v>
      </c>
      <c r="G986" s="10">
        <v>15642</v>
      </c>
      <c r="H986" s="10">
        <v>39653</v>
      </c>
      <c r="I986" s="10">
        <v>61149</v>
      </c>
      <c r="J986" s="10">
        <v>28869</v>
      </c>
      <c r="K986">
        <v>984</v>
      </c>
      <c r="L986" s="10">
        <v>1443</v>
      </c>
      <c r="M986" s="10">
        <v>319417</v>
      </c>
      <c r="N986" s="10">
        <v>4910</v>
      </c>
      <c r="O986">
        <v>0.3259576186830071</v>
      </c>
      <c r="P986">
        <v>0.90608197640446864</v>
      </c>
      <c r="Q986">
        <v>-0.40398376846631046</v>
      </c>
      <c r="R986">
        <v>0.40398376846631046</v>
      </c>
      <c r="S986">
        <f t="shared" si="160"/>
        <v>-0.75054515372732955</v>
      </c>
      <c r="T986" s="148">
        <f t="shared" si="155"/>
        <v>-0.75650374899504758</v>
      </c>
      <c r="U986">
        <f t="shared" si="161"/>
        <v>2.0863308518995121</v>
      </c>
      <c r="V986" s="55">
        <f t="shared" si="156"/>
        <v>2.0644798581525357</v>
      </c>
      <c r="W986">
        <f t="shared" si="162"/>
        <v>0.61280875086295372</v>
      </c>
      <c r="X986" s="55">
        <f t="shared" si="157"/>
        <v>0.48911200457395987</v>
      </c>
      <c r="Y986" s="149">
        <v>32.048000000000002</v>
      </c>
      <c r="Z986" s="55">
        <f t="shared" si="153"/>
        <v>5.5348889640401307E-3</v>
      </c>
      <c r="AA986" s="55">
        <f t="shared" si="158"/>
        <v>5.3913985018090652E-3</v>
      </c>
      <c r="AB986" s="55">
        <f t="shared" si="154"/>
        <v>-5.1966837737201121</v>
      </c>
      <c r="AC986" s="55">
        <f t="shared" si="159"/>
        <v>-5.2231281722724674</v>
      </c>
      <c r="AD986" s="55"/>
      <c r="AE986" s="55"/>
      <c r="AF986" s="55"/>
      <c r="AG986" s="55"/>
      <c r="AH986" s="55"/>
    </row>
    <row r="987" spans="1:34" ht="15.75">
      <c r="A987" s="39">
        <v>31.688618200000001</v>
      </c>
      <c r="B987" s="39">
        <v>32.076999999999998</v>
      </c>
      <c r="C987" s="39">
        <v>985</v>
      </c>
      <c r="D987">
        <v>985</v>
      </c>
      <c r="E987" s="10">
        <v>1242780</v>
      </c>
      <c r="F987" s="10">
        <v>878280</v>
      </c>
      <c r="G987" s="10">
        <v>18262</v>
      </c>
      <c r="H987" s="10">
        <v>42165</v>
      </c>
      <c r="I987" s="10">
        <v>67259</v>
      </c>
      <c r="J987" s="10">
        <v>29881</v>
      </c>
      <c r="K987">
        <v>985</v>
      </c>
      <c r="L987" s="10">
        <v>1292</v>
      </c>
      <c r="M987" s="10">
        <v>330872</v>
      </c>
      <c r="N987" s="10">
        <v>4684</v>
      </c>
      <c r="O987">
        <v>0.35235527845888115</v>
      </c>
      <c r="P987">
        <v>0.89470791193762444</v>
      </c>
      <c r="Q987">
        <v>-0.36340376621843279</v>
      </c>
      <c r="R987">
        <v>0.36340376621843284</v>
      </c>
      <c r="S987">
        <f t="shared" si="160"/>
        <v>-0.8113280116171856</v>
      </c>
      <c r="T987" s="148">
        <f t="shared" si="155"/>
        <v>-0.76774947029137885</v>
      </c>
      <c r="U987">
        <f t="shared" si="161"/>
        <v>2.0601411006114034</v>
      </c>
      <c r="V987" s="55">
        <f t="shared" si="156"/>
        <v>2.0751180258204411</v>
      </c>
      <c r="W987">
        <f t="shared" si="162"/>
        <v>0.49240042871259582</v>
      </c>
      <c r="X987" s="55">
        <f t="shared" si="157"/>
        <v>0.46891642821329721</v>
      </c>
      <c r="Y987" s="149">
        <v>32.076999999999998</v>
      </c>
      <c r="Z987" s="55">
        <f t="shared" si="153"/>
        <v>5.3331511590836633E-3</v>
      </c>
      <c r="AA987" s="55">
        <f t="shared" si="158"/>
        <v>5.3103414546289947E-3</v>
      </c>
      <c r="AB987" s="55">
        <f t="shared" si="154"/>
        <v>-5.2338130036656656</v>
      </c>
      <c r="AC987" s="55">
        <f t="shared" si="159"/>
        <v>-5.2387653253377442</v>
      </c>
      <c r="AD987" s="55"/>
      <c r="AE987" s="55"/>
      <c r="AF987" s="55"/>
      <c r="AG987" s="55"/>
      <c r="AH987" s="55"/>
    </row>
    <row r="988" spans="1:34" ht="15.75">
      <c r="A988" s="39">
        <v>31.716927299999998</v>
      </c>
      <c r="B988" s="39">
        <v>32.106000000000002</v>
      </c>
      <c r="C988" s="39">
        <v>986</v>
      </c>
      <c r="D988">
        <v>986</v>
      </c>
      <c r="E988" s="10">
        <v>1368180</v>
      </c>
      <c r="F988" s="10">
        <v>948650</v>
      </c>
      <c r="G988" s="10">
        <v>24132</v>
      </c>
      <c r="H988" s="10">
        <v>46937</v>
      </c>
      <c r="I988" s="10">
        <v>68474</v>
      </c>
      <c r="J988" s="10">
        <v>32625</v>
      </c>
      <c r="K988">
        <v>986</v>
      </c>
      <c r="L988" s="10">
        <v>1406</v>
      </c>
      <c r="M988" s="10">
        <v>375286</v>
      </c>
      <c r="N988" s="10">
        <v>4803</v>
      </c>
      <c r="O988">
        <v>0.32197517815318294</v>
      </c>
      <c r="P988">
        <v>0.90284703539326883</v>
      </c>
      <c r="Q988">
        <v>-0.28892201137317031</v>
      </c>
      <c r="R988">
        <v>0.28892201137317031</v>
      </c>
      <c r="S988">
        <f t="shared" si="160"/>
        <v>-0.7413752455296212</v>
      </c>
      <c r="T988" s="148">
        <f t="shared" si="155"/>
        <v>-0.78736753214111266</v>
      </c>
      <c r="U988">
        <f t="shared" si="161"/>
        <v>2.0788821249504084</v>
      </c>
      <c r="V988" s="55">
        <f t="shared" si="156"/>
        <v>2.0532312310464857</v>
      </c>
      <c r="W988">
        <f t="shared" si="162"/>
        <v>0.30154010506434215</v>
      </c>
      <c r="X988" s="55">
        <f t="shared" si="157"/>
        <v>0.35953209417075122</v>
      </c>
      <c r="Y988" s="149">
        <v>32.106000000000002</v>
      </c>
      <c r="Z988" s="55">
        <f t="shared" si="153"/>
        <v>5.0629842407631902E-3</v>
      </c>
      <c r="AA988" s="55">
        <f t="shared" si="158"/>
        <v>5.2137258414263416E-3</v>
      </c>
      <c r="AB988" s="55">
        <f t="shared" si="154"/>
        <v>-5.2857991986274548</v>
      </c>
      <c r="AC988" s="55">
        <f t="shared" si="159"/>
        <v>-5.2566947360363256</v>
      </c>
      <c r="AD988" s="55"/>
      <c r="AE988" s="55"/>
      <c r="AF988" s="55"/>
      <c r="AG988" s="55"/>
      <c r="AH988" s="55"/>
    </row>
    <row r="989" spans="1:34" ht="15.75">
      <c r="A989" s="39">
        <v>31.7452364</v>
      </c>
      <c r="B989" s="39">
        <v>32.134999999999998</v>
      </c>
      <c r="C989" s="39">
        <v>987</v>
      </c>
      <c r="D989">
        <v>987</v>
      </c>
      <c r="E989" s="10">
        <v>1424550</v>
      </c>
      <c r="F989" s="10">
        <v>999420</v>
      </c>
      <c r="G989" s="10">
        <v>26392</v>
      </c>
      <c r="H989" s="10">
        <v>49757</v>
      </c>
      <c r="I989" s="10">
        <v>78816</v>
      </c>
      <c r="J989" s="10">
        <v>35083</v>
      </c>
      <c r="K989">
        <v>987</v>
      </c>
      <c r="L989" s="10">
        <v>2104</v>
      </c>
      <c r="M989" s="10">
        <v>375336</v>
      </c>
      <c r="N989" s="10">
        <v>5242</v>
      </c>
      <c r="O989">
        <v>0.35151766670393547</v>
      </c>
      <c r="P989">
        <v>0.87756603381383536</v>
      </c>
      <c r="Q989">
        <v>-0.27538188500716471</v>
      </c>
      <c r="R989">
        <v>0.27538188500716471</v>
      </c>
      <c r="S989">
        <f t="shared" si="160"/>
        <v>-0.8093993392765314</v>
      </c>
      <c r="T989" s="148">
        <f t="shared" si="155"/>
        <v>-0.76587248219955362</v>
      </c>
      <c r="U989">
        <f t="shared" si="161"/>
        <v>2.0206704675776459</v>
      </c>
      <c r="V989" s="55">
        <f t="shared" si="156"/>
        <v>2.0596881027595333</v>
      </c>
      <c r="W989">
        <f t="shared" si="162"/>
        <v>0.28465574873531579</v>
      </c>
      <c r="X989" s="55">
        <f t="shared" si="157"/>
        <v>0.33119243380961721</v>
      </c>
      <c r="Y989" s="149">
        <v>32.134999999999998</v>
      </c>
      <c r="Z989" s="55">
        <f t="shared" si="153"/>
        <v>5.2450421244321704E-3</v>
      </c>
      <c r="AA989" s="55">
        <f t="shared" si="158"/>
        <v>5.1540433222579543E-3</v>
      </c>
      <c r="AB989" s="55">
        <f t="shared" si="154"/>
        <v>-5.2504720058158565</v>
      </c>
      <c r="AC989" s="55">
        <f t="shared" si="159"/>
        <v>-5.2680777567328407</v>
      </c>
      <c r="AD989" s="55"/>
      <c r="AE989" s="55"/>
      <c r="AF989" s="55"/>
      <c r="AG989" s="55"/>
      <c r="AH989" s="55"/>
    </row>
    <row r="990" spans="1:34" ht="15.75">
      <c r="A990" s="39">
        <v>31.773545500000001</v>
      </c>
      <c r="B990" s="39">
        <v>32.164000000000001</v>
      </c>
      <c r="C990" s="39">
        <v>988</v>
      </c>
      <c r="D990">
        <v>988</v>
      </c>
      <c r="E990" s="10">
        <v>1407560</v>
      </c>
      <c r="F990" s="10">
        <v>1000950</v>
      </c>
      <c r="G990" s="10">
        <v>23286</v>
      </c>
      <c r="H990" s="10">
        <v>48093</v>
      </c>
      <c r="I990" s="10">
        <v>73853</v>
      </c>
      <c r="J990" s="10">
        <v>34996</v>
      </c>
      <c r="K990">
        <v>988</v>
      </c>
      <c r="L990" s="10">
        <v>1517</v>
      </c>
      <c r="M990" s="10">
        <v>384771</v>
      </c>
      <c r="N990" s="10">
        <v>5159</v>
      </c>
      <c r="O990">
        <v>0.32434973372531939</v>
      </c>
      <c r="P990">
        <v>0.90312046320362549</v>
      </c>
      <c r="Q990">
        <v>-0.31498697571160622</v>
      </c>
      <c r="R990">
        <v>0.31498697571160617</v>
      </c>
      <c r="S990">
        <f t="shared" si="160"/>
        <v>-0.74684286179250847</v>
      </c>
      <c r="T990" s="148">
        <f t="shared" si="155"/>
        <v>-0.81277219796587608</v>
      </c>
      <c r="U990">
        <f t="shared" si="161"/>
        <v>2.0795117157505456</v>
      </c>
      <c r="V990" s="55">
        <f t="shared" si="156"/>
        <v>2.0679399759706265</v>
      </c>
      <c r="W990">
        <f t="shared" si="162"/>
        <v>0.40738144762919382</v>
      </c>
      <c r="X990" s="55">
        <f t="shared" si="157"/>
        <v>0.37504803692608785</v>
      </c>
      <c r="Y990" s="149">
        <v>32.164000000000001</v>
      </c>
      <c r="Z990" s="55">
        <f t="shared" si="153"/>
        <v>5.1541036015785007E-3</v>
      </c>
      <c r="AA990" s="55">
        <f t="shared" si="158"/>
        <v>5.1253858959759433E-3</v>
      </c>
      <c r="AB990" s="55">
        <f t="shared" si="154"/>
        <v>-5.2679620657552126</v>
      </c>
      <c r="AC990" s="55">
        <f t="shared" si="159"/>
        <v>-5.2737865490801417</v>
      </c>
      <c r="AD990" s="55"/>
      <c r="AE990" s="55"/>
      <c r="AF990" s="55"/>
      <c r="AG990" s="55"/>
      <c r="AH990" s="55"/>
    </row>
    <row r="991" spans="1:34" ht="15.75">
      <c r="A991" s="39">
        <v>31.801854599999999</v>
      </c>
      <c r="B991" s="39">
        <v>32.192999999999998</v>
      </c>
      <c r="C991" s="39">
        <v>989</v>
      </c>
      <c r="D991">
        <v>989</v>
      </c>
      <c r="E991" s="10">
        <v>1421580</v>
      </c>
      <c r="F991" s="10">
        <v>983120</v>
      </c>
      <c r="G991" s="10">
        <v>21812</v>
      </c>
      <c r="H991" s="10">
        <v>47966</v>
      </c>
      <c r="I991" s="10">
        <v>81259</v>
      </c>
      <c r="J991" s="10">
        <v>33635</v>
      </c>
      <c r="K991">
        <v>989</v>
      </c>
      <c r="L991" s="10">
        <v>1793</v>
      </c>
      <c r="M991" s="10">
        <v>393126</v>
      </c>
      <c r="N991" s="10">
        <v>4893</v>
      </c>
      <c r="O991">
        <v>0.38308004143361735</v>
      </c>
      <c r="P991">
        <v>0.91359826439609748</v>
      </c>
      <c r="Q991">
        <v>-0.34223801410070026</v>
      </c>
      <c r="R991">
        <v>0.34223801410070026</v>
      </c>
      <c r="S991">
        <f t="shared" si="160"/>
        <v>-0.88207439282858879</v>
      </c>
      <c r="T991" s="148">
        <f t="shared" si="155"/>
        <v>-0.84442474754324748</v>
      </c>
      <c r="U991">
        <f t="shared" si="161"/>
        <v>2.1036377445836871</v>
      </c>
      <c r="V991" s="55">
        <f t="shared" si="156"/>
        <v>2.0883086012769225</v>
      </c>
      <c r="W991">
        <f t="shared" si="162"/>
        <v>0.43310691441375393</v>
      </c>
      <c r="X991" s="55">
        <f t="shared" si="157"/>
        <v>0.41984048544665464</v>
      </c>
      <c r="Y991" s="149">
        <v>32.192999999999998</v>
      </c>
      <c r="Z991" s="55">
        <f t="shared" si="153"/>
        <v>4.9770119619171613E-3</v>
      </c>
      <c r="AA991" s="55">
        <f t="shared" si="158"/>
        <v>5.0448619597820666E-3</v>
      </c>
      <c r="AB991" s="55">
        <f t="shared" si="154"/>
        <v>-5.302925575669355</v>
      </c>
      <c r="AC991" s="55">
        <f t="shared" si="159"/>
        <v>-5.2895037285176487</v>
      </c>
      <c r="AD991" s="55"/>
      <c r="AE991" s="55"/>
      <c r="AF991" s="55"/>
      <c r="AG991" s="55"/>
      <c r="AH991" s="55"/>
    </row>
    <row r="992" spans="1:34" ht="15.75">
      <c r="A992" s="39">
        <v>31.830163599999999</v>
      </c>
      <c r="B992" s="39">
        <v>32.222000000000001</v>
      </c>
      <c r="C992" s="39">
        <v>990</v>
      </c>
      <c r="D992">
        <v>990</v>
      </c>
      <c r="E992" s="10">
        <v>1377340</v>
      </c>
      <c r="F992" s="10">
        <v>965330</v>
      </c>
      <c r="G992" s="10">
        <v>21766</v>
      </c>
      <c r="H992" s="10">
        <v>46470</v>
      </c>
      <c r="I992" s="10">
        <v>81756</v>
      </c>
      <c r="J992" s="10">
        <v>33095</v>
      </c>
      <c r="K992">
        <v>990</v>
      </c>
      <c r="L992" s="10">
        <v>2094</v>
      </c>
      <c r="M992" s="10">
        <v>372629</v>
      </c>
      <c r="N992" s="10">
        <v>4830</v>
      </c>
      <c r="O992">
        <v>0.39275724956279995</v>
      </c>
      <c r="P992">
        <v>0.90410397853727309</v>
      </c>
      <c r="Q992">
        <v>-0.32939404764268498</v>
      </c>
      <c r="R992">
        <v>0.32939404764268504</v>
      </c>
      <c r="S992">
        <f t="shared" si="160"/>
        <v>-0.90435698800864539</v>
      </c>
      <c r="T992" s="148">
        <f t="shared" si="155"/>
        <v>-0.80517813344822475</v>
      </c>
      <c r="U992">
        <f t="shared" si="161"/>
        <v>2.0817763434965335</v>
      </c>
      <c r="V992" s="55">
        <f t="shared" si="156"/>
        <v>2.0934295249604009</v>
      </c>
      <c r="W992">
        <f t="shared" si="162"/>
        <v>0.41903309429701613</v>
      </c>
      <c r="X992" s="55">
        <f t="shared" si="157"/>
        <v>0.415538417938911</v>
      </c>
      <c r="Y992" s="149">
        <v>32.222000000000001</v>
      </c>
      <c r="Z992" s="55">
        <f t="shared" si="153"/>
        <v>5.0034703158505379E-3</v>
      </c>
      <c r="AA992" s="55">
        <f t="shared" si="158"/>
        <v>4.9581967574098412E-3</v>
      </c>
      <c r="AB992" s="55">
        <f t="shared" si="154"/>
        <v>-5.2976235441283803</v>
      </c>
      <c r="AC992" s="55">
        <f t="shared" si="159"/>
        <v>-5.306757455765438</v>
      </c>
      <c r="AD992" s="55"/>
      <c r="AE992" s="55"/>
      <c r="AF992" s="55"/>
      <c r="AG992" s="55"/>
      <c r="AH992" s="55"/>
    </row>
    <row r="993" spans="1:34" ht="15.75">
      <c r="A993" s="39">
        <v>31.8584727</v>
      </c>
      <c r="B993" s="39">
        <v>32.250999999999998</v>
      </c>
      <c r="C993" s="39">
        <v>991</v>
      </c>
      <c r="D993">
        <v>991</v>
      </c>
      <c r="E993" s="10">
        <v>1361520</v>
      </c>
      <c r="F993" s="10">
        <v>975050</v>
      </c>
      <c r="G993" s="10">
        <v>22355</v>
      </c>
      <c r="H993" s="10">
        <v>46431</v>
      </c>
      <c r="I993" s="10">
        <v>62217</v>
      </c>
      <c r="J993" s="10">
        <v>33166</v>
      </c>
      <c r="K993">
        <v>991</v>
      </c>
      <c r="L993" s="10">
        <v>2863</v>
      </c>
      <c r="M993" s="10">
        <v>377225</v>
      </c>
      <c r="N993" s="10">
        <v>4772</v>
      </c>
      <c r="O993">
        <v>0.27321596992075514</v>
      </c>
      <c r="P993">
        <v>0.90979242989757336</v>
      </c>
      <c r="Q993">
        <v>-0.31743336310858256</v>
      </c>
      <c r="R993">
        <v>0.31743336310858261</v>
      </c>
      <c r="S993">
        <f t="shared" si="160"/>
        <v>-0.6291030195074403</v>
      </c>
      <c r="T993" s="148">
        <f t="shared" si="155"/>
        <v>-0.61161819689586938</v>
      </c>
      <c r="U993">
        <f t="shared" si="161"/>
        <v>2.0948744868009825</v>
      </c>
      <c r="V993" s="55">
        <f t="shared" si="156"/>
        <v>2.1147612396756377</v>
      </c>
      <c r="W993">
        <f t="shared" si="162"/>
        <v>0.39447524510596305</v>
      </c>
      <c r="X993" s="55">
        <f t="shared" si="157"/>
        <v>0.37420894318997572</v>
      </c>
      <c r="Y993" s="149">
        <v>32.250999999999998</v>
      </c>
      <c r="Z993" s="55">
        <f t="shared" si="153"/>
        <v>4.8941079944618228E-3</v>
      </c>
      <c r="AA993" s="55">
        <f t="shared" si="158"/>
        <v>4.813723944403151E-3</v>
      </c>
      <c r="AB993" s="55">
        <f t="shared" si="154"/>
        <v>-5.3197232474985796</v>
      </c>
      <c r="AC993" s="55">
        <f t="shared" si="159"/>
        <v>-5.3371279489264154</v>
      </c>
      <c r="AD993" s="55"/>
      <c r="AE993" s="55"/>
      <c r="AF993" s="55"/>
      <c r="AG993" s="55"/>
      <c r="AH993" s="55"/>
    </row>
    <row r="994" spans="1:34" ht="15.75">
      <c r="A994" s="39">
        <v>31.886781800000001</v>
      </c>
      <c r="B994" s="39">
        <v>32.28</v>
      </c>
      <c r="C994" s="39">
        <v>992</v>
      </c>
      <c r="D994">
        <v>992</v>
      </c>
      <c r="E994" s="10">
        <v>1401860</v>
      </c>
      <c r="F994" s="10">
        <v>976980</v>
      </c>
      <c r="G994" s="10">
        <v>24391</v>
      </c>
      <c r="H994" s="10">
        <v>47572</v>
      </c>
      <c r="I994" s="10">
        <v>44913</v>
      </c>
      <c r="J994" s="10">
        <v>33226</v>
      </c>
      <c r="K994">
        <v>992</v>
      </c>
      <c r="L994" s="10">
        <v>1496</v>
      </c>
      <c r="M994" s="10">
        <v>415664</v>
      </c>
      <c r="N994" s="10">
        <v>4439</v>
      </c>
      <c r="O994">
        <v>0.13089400434692283</v>
      </c>
      <c r="P994">
        <v>0.94139100236718232</v>
      </c>
      <c r="Q994">
        <v>-0.29012180401073551</v>
      </c>
      <c r="R994">
        <v>0.29012180401073551</v>
      </c>
      <c r="S994">
        <f t="shared" si="160"/>
        <v>-0.30139458317152229</v>
      </c>
      <c r="T994" s="148">
        <f t="shared" si="155"/>
        <v>-0.45811092325084229</v>
      </c>
      <c r="U994">
        <f t="shared" si="161"/>
        <v>2.1676328887293965</v>
      </c>
      <c r="V994" s="55">
        <f t="shared" si="156"/>
        <v>2.1361658489075208</v>
      </c>
      <c r="W994">
        <f t="shared" si="162"/>
        <v>0.30911849016694787</v>
      </c>
      <c r="X994" s="55">
        <f t="shared" si="157"/>
        <v>0.3247972110214068</v>
      </c>
      <c r="Y994" s="149">
        <v>32.28</v>
      </c>
      <c r="Z994" s="55">
        <f t="shared" si="153"/>
        <v>4.5435935228970914E-3</v>
      </c>
      <c r="AA994" s="55">
        <f t="shared" si="158"/>
        <v>4.7236827557359928E-3</v>
      </c>
      <c r="AB994" s="55">
        <f t="shared" si="154"/>
        <v>-5.3940370551522854</v>
      </c>
      <c r="AC994" s="55">
        <f t="shared" si="159"/>
        <v>-5.3556276904075863</v>
      </c>
      <c r="AD994" s="55"/>
      <c r="AE994" s="55"/>
      <c r="AF994" s="55"/>
      <c r="AG994" s="55"/>
      <c r="AH994" s="55"/>
    </row>
    <row r="995" spans="1:34" ht="15.75">
      <c r="A995" s="39">
        <v>31.915090899999999</v>
      </c>
      <c r="B995" s="39">
        <v>32.308999999999997</v>
      </c>
      <c r="C995" s="39">
        <v>993</v>
      </c>
      <c r="D995">
        <v>993</v>
      </c>
      <c r="E995" s="10">
        <v>1439400</v>
      </c>
      <c r="F995" s="10">
        <v>993800</v>
      </c>
      <c r="G995" s="10">
        <v>26176</v>
      </c>
      <c r="H995" s="10">
        <v>49155</v>
      </c>
      <c r="I995" s="10">
        <v>53489</v>
      </c>
      <c r="J995" s="10">
        <v>34317</v>
      </c>
      <c r="K995">
        <v>993</v>
      </c>
      <c r="L995" s="10">
        <v>1786</v>
      </c>
      <c r="M995" s="10">
        <v>420300</v>
      </c>
      <c r="N995" s="10">
        <v>4704</v>
      </c>
      <c r="O995">
        <v>0.19275516393465683</v>
      </c>
      <c r="P995">
        <v>0.93199168956737999</v>
      </c>
      <c r="Q995">
        <v>-0.27366441844682809</v>
      </c>
      <c r="R995">
        <v>0.27366441844682804</v>
      </c>
      <c r="S995">
        <f t="shared" si="160"/>
        <v>-0.4438351670735643</v>
      </c>
      <c r="T995" s="148">
        <f t="shared" si="155"/>
        <v>-0.74280455149595281</v>
      </c>
      <c r="U995">
        <f t="shared" si="161"/>
        <v>2.1459901711921834</v>
      </c>
      <c r="V995" s="55">
        <f t="shared" si="156"/>
        <v>2.119568521266896</v>
      </c>
      <c r="W995">
        <f t="shared" si="162"/>
        <v>0.27079789779130953</v>
      </c>
      <c r="X995" s="55">
        <f t="shared" si="157"/>
        <v>0.31266576917467587</v>
      </c>
      <c r="Y995" s="149">
        <v>32.308999999999997</v>
      </c>
      <c r="Z995" s="55">
        <f t="shared" si="153"/>
        <v>4.7333467498490642E-3</v>
      </c>
      <c r="AA995" s="55">
        <f t="shared" si="158"/>
        <v>4.7687861656727382E-3</v>
      </c>
      <c r="AB995" s="55">
        <f t="shared" si="154"/>
        <v>-5.3531227685718941</v>
      </c>
      <c r="AC995" s="55">
        <f t="shared" si="159"/>
        <v>-5.346536928820818</v>
      </c>
      <c r="AD995" s="55"/>
      <c r="AE995" s="55"/>
      <c r="AF995" s="55"/>
      <c r="AG995" s="55"/>
      <c r="AH995" s="55"/>
    </row>
    <row r="996" spans="1:34" ht="15.75">
      <c r="A996" s="39">
        <v>31.9434</v>
      </c>
      <c r="B996" s="39">
        <v>32.338000000000001</v>
      </c>
      <c r="C996" s="39">
        <v>994</v>
      </c>
      <c r="D996">
        <v>994</v>
      </c>
      <c r="E996" s="10">
        <v>1269710</v>
      </c>
      <c r="F996" s="10">
        <v>865110</v>
      </c>
      <c r="G996" s="10">
        <v>19901</v>
      </c>
      <c r="H996" s="10">
        <v>39411</v>
      </c>
      <c r="I996" s="10">
        <v>125466</v>
      </c>
      <c r="J996" s="10">
        <v>28470</v>
      </c>
      <c r="K996">
        <v>994</v>
      </c>
      <c r="L996" s="10">
        <v>1865</v>
      </c>
      <c r="M996" s="10">
        <v>304639</v>
      </c>
      <c r="N996" s="10">
        <v>4351</v>
      </c>
      <c r="O996">
        <v>0.64413858526035672</v>
      </c>
      <c r="P996">
        <v>0.88816804647158176</v>
      </c>
      <c r="Q996">
        <v>-0.29674255492675139</v>
      </c>
      <c r="R996">
        <v>0.29674255492675145</v>
      </c>
      <c r="S996">
        <f t="shared" si="160"/>
        <v>-1.4831839042427715</v>
      </c>
      <c r="T996" s="148">
        <f t="shared" si="155"/>
        <v>-1.0183902671097309</v>
      </c>
      <c r="U996">
        <f t="shared" si="161"/>
        <v>2.0450825038791072</v>
      </c>
      <c r="V996" s="55">
        <f t="shared" si="156"/>
        <v>2.0718550062908894</v>
      </c>
      <c r="W996">
        <f t="shared" si="162"/>
        <v>0.35808091956577021</v>
      </c>
      <c r="X996" s="55">
        <f t="shared" si="157"/>
        <v>0.29664956281865101</v>
      </c>
      <c r="Y996" s="149">
        <v>32.338000000000001</v>
      </c>
      <c r="Z996" s="55">
        <f t="shared" si="153"/>
        <v>5.0294182242720583E-3</v>
      </c>
      <c r="AA996" s="55">
        <f t="shared" si="158"/>
        <v>4.9709108690020364E-3</v>
      </c>
      <c r="AB996" s="55">
        <f t="shared" si="154"/>
        <v>-5.2924509627382763</v>
      </c>
      <c r="AC996" s="55">
        <f t="shared" si="159"/>
        <v>-5.3047795268377049</v>
      </c>
      <c r="AD996" s="55"/>
      <c r="AE996" s="55"/>
      <c r="AF996" s="55"/>
      <c r="AG996" s="55"/>
      <c r="AH996" s="55"/>
    </row>
    <row r="997" spans="1:34" ht="15.75">
      <c r="A997" s="39">
        <v>31.971709100000002</v>
      </c>
      <c r="B997" s="39">
        <v>32.366999999999997</v>
      </c>
      <c r="C997" s="39">
        <v>995</v>
      </c>
      <c r="D997">
        <v>995</v>
      </c>
      <c r="E997" s="10">
        <v>1467010</v>
      </c>
      <c r="F997" s="10">
        <v>973210</v>
      </c>
      <c r="G997" s="10">
        <v>26522</v>
      </c>
      <c r="H997" s="10">
        <v>49650</v>
      </c>
      <c r="I997" s="10">
        <v>106399</v>
      </c>
      <c r="J997" s="10">
        <v>34434</v>
      </c>
      <c r="K997">
        <v>995</v>
      </c>
      <c r="L997" s="10">
        <v>2149</v>
      </c>
      <c r="M997" s="10">
        <v>375963</v>
      </c>
      <c r="N997" s="10">
        <v>5012</v>
      </c>
      <c r="O997">
        <v>0.48995007109419086</v>
      </c>
      <c r="P997">
        <v>0.87922585356831917</v>
      </c>
      <c r="Q997">
        <v>-0.27231298211023197</v>
      </c>
      <c r="R997">
        <v>0.27231298211023197</v>
      </c>
      <c r="S997">
        <f t="shared" si="160"/>
        <v>-1.1281517300128567</v>
      </c>
      <c r="T997" s="148">
        <f t="shared" si="155"/>
        <v>-1.150024177380339</v>
      </c>
      <c r="U997">
        <f t="shared" si="161"/>
        <v>2.0244923438013775</v>
      </c>
      <c r="V997" s="55">
        <f t="shared" si="156"/>
        <v>2.0311429068613789</v>
      </c>
      <c r="W997">
        <f t="shared" si="162"/>
        <v>0.26106987109887325</v>
      </c>
      <c r="X997" s="55">
        <f t="shared" si="157"/>
        <v>0.29154769679839448</v>
      </c>
      <c r="Y997" s="149">
        <v>32.366999999999997</v>
      </c>
      <c r="Z997" s="55">
        <f t="shared" si="153"/>
        <v>5.1499676328849884E-3</v>
      </c>
      <c r="AA997" s="55">
        <f t="shared" si="158"/>
        <v>5.1688961804427979E-3</v>
      </c>
      <c r="AB997" s="55">
        <f t="shared" si="154"/>
        <v>-5.2687648492029435</v>
      </c>
      <c r="AC997" s="55">
        <f t="shared" si="159"/>
        <v>-5.2653753479486527</v>
      </c>
      <c r="AD997" s="55"/>
      <c r="AE997" s="55"/>
      <c r="AF997" s="55"/>
      <c r="AG997" s="55"/>
      <c r="AH997" s="55"/>
    </row>
    <row r="998" spans="1:34" ht="15.75">
      <c r="A998" s="39">
        <v>32.0000182</v>
      </c>
      <c r="B998" s="39">
        <v>32.396000000000001</v>
      </c>
      <c r="C998" s="39">
        <v>996</v>
      </c>
      <c r="D998">
        <v>996</v>
      </c>
      <c r="E998" s="10">
        <v>1412517.5</v>
      </c>
      <c r="F998" s="10">
        <v>970597.5</v>
      </c>
      <c r="G998" s="10">
        <v>26828.25</v>
      </c>
      <c r="H998" s="10">
        <v>49109.125</v>
      </c>
      <c r="I998" s="10">
        <v>80132.75</v>
      </c>
      <c r="J998" s="10">
        <v>34637.875</v>
      </c>
      <c r="K998">
        <v>996</v>
      </c>
      <c r="L998" s="10">
        <v>3350</v>
      </c>
      <c r="M998" s="10">
        <v>371630</v>
      </c>
      <c r="N998" s="10">
        <v>5170.6666670000004</v>
      </c>
      <c r="O998">
        <v>0.36425880652027581</v>
      </c>
      <c r="P998">
        <v>0.87894856918058106</v>
      </c>
      <c r="Q998">
        <v>-0.26256985149881606</v>
      </c>
      <c r="R998">
        <v>0.26256985149881606</v>
      </c>
      <c r="S998">
        <f t="shared" si="160"/>
        <v>-0.8387368978853893</v>
      </c>
      <c r="T998" s="148">
        <f t="shared" si="155"/>
        <v>-0.96867593455741263</v>
      </c>
      <c r="U998">
        <f t="shared" si="161"/>
        <v>2.0238538729036515</v>
      </c>
      <c r="V998" s="55">
        <f t="shared" si="156"/>
        <v>2.0238125506698945</v>
      </c>
      <c r="W998">
        <f t="shared" si="162"/>
        <v>0.25549229973054011</v>
      </c>
      <c r="X998" s="55">
        <f t="shared" si="157"/>
        <v>0.26023527425895782</v>
      </c>
      <c r="Y998" s="149">
        <v>32.396000000000001</v>
      </c>
      <c r="Z998" s="55">
        <f t="shared" si="153"/>
        <v>5.3273026841713488E-3</v>
      </c>
      <c r="AA998" s="55">
        <f t="shared" si="158"/>
        <v>5.2034781272221895E-3</v>
      </c>
      <c r="AB998" s="55">
        <f t="shared" si="154"/>
        <v>-5.2349102319047365</v>
      </c>
      <c r="AC998" s="55">
        <f t="shared" si="159"/>
        <v>-5.2585693714361961</v>
      </c>
      <c r="AD998" s="55"/>
      <c r="AE998" s="55"/>
      <c r="AF998" s="55"/>
      <c r="AG998" s="55"/>
      <c r="AH998" s="55"/>
    </row>
    <row r="999" spans="1:34" ht="15.75">
      <c r="A999" s="39">
        <v>32.028327300000001</v>
      </c>
      <c r="B999" s="39">
        <v>32.424999999999997</v>
      </c>
      <c r="C999" s="39">
        <v>997</v>
      </c>
      <c r="D999">
        <v>997</v>
      </c>
      <c r="E999" s="10">
        <v>1340050</v>
      </c>
      <c r="F999" s="10">
        <v>925550</v>
      </c>
      <c r="G999" s="10">
        <v>24792</v>
      </c>
      <c r="H999" s="10">
        <v>45447</v>
      </c>
      <c r="I999" s="10">
        <v>82583</v>
      </c>
      <c r="J999" s="10">
        <v>32287</v>
      </c>
      <c r="K999">
        <v>997</v>
      </c>
      <c r="L999" s="10">
        <v>2554</v>
      </c>
      <c r="M999" s="10">
        <v>343655</v>
      </c>
      <c r="N999" s="10">
        <v>4751</v>
      </c>
      <c r="O999">
        <v>0.40786296177781284</v>
      </c>
      <c r="P999">
        <v>0.87861744673854081</v>
      </c>
      <c r="Q999">
        <v>-0.26319365707819958</v>
      </c>
      <c r="R999">
        <v>0.26319365707819958</v>
      </c>
      <c r="S999">
        <f t="shared" si="160"/>
        <v>-0.93913917577399197</v>
      </c>
      <c r="T999" s="148">
        <f t="shared" si="155"/>
        <v>-0.8821502784007893</v>
      </c>
      <c r="U999">
        <f t="shared" si="161"/>
        <v>2.0230914353046541</v>
      </c>
      <c r="V999" s="55">
        <f t="shared" si="156"/>
        <v>2.028475063582615</v>
      </c>
      <c r="W999">
        <f t="shared" si="162"/>
        <v>0.26414365194746015</v>
      </c>
      <c r="X999" s="55">
        <f t="shared" si="157"/>
        <v>0.2884903246476882</v>
      </c>
      <c r="Y999" s="149">
        <v>32.424999999999997</v>
      </c>
      <c r="Z999" s="55">
        <f t="shared" si="153"/>
        <v>5.1331640646102321E-3</v>
      </c>
      <c r="AA999" s="55">
        <f t="shared" si="158"/>
        <v>5.2151933809500657E-3</v>
      </c>
      <c r="AB999" s="55">
        <f t="shared" si="154"/>
        <v>-5.27203303320091</v>
      </c>
      <c r="AC999" s="55">
        <f t="shared" si="159"/>
        <v>-5.2563022776694268</v>
      </c>
      <c r="AD999" s="55"/>
      <c r="AE999" s="55"/>
      <c r="AF999" s="55"/>
      <c r="AG999" s="55"/>
      <c r="AH999" s="55"/>
    </row>
    <row r="1000" spans="1:34" ht="15.75">
      <c r="A1000" s="39">
        <v>32.056636400000002</v>
      </c>
      <c r="B1000" s="39">
        <v>32.454000000000001</v>
      </c>
      <c r="C1000" s="39">
        <v>998</v>
      </c>
      <c r="D1000">
        <v>998</v>
      </c>
      <c r="E1000" s="10">
        <v>1287440</v>
      </c>
      <c r="F1000" s="10">
        <v>928620</v>
      </c>
      <c r="G1000" s="10">
        <v>21398</v>
      </c>
      <c r="H1000" s="10">
        <v>43336</v>
      </c>
      <c r="I1000" s="10">
        <v>72075</v>
      </c>
      <c r="J1000" s="10">
        <v>30239</v>
      </c>
      <c r="K1000">
        <v>998</v>
      </c>
      <c r="L1000" s="10">
        <v>2287</v>
      </c>
      <c r="M1000" s="10">
        <v>332774</v>
      </c>
      <c r="N1000" s="10">
        <v>4815</v>
      </c>
      <c r="O1000">
        <v>0.3772172260585519</v>
      </c>
      <c r="P1000">
        <v>0.88530056445771077</v>
      </c>
      <c r="Q1000">
        <v>-0.30647563939605849</v>
      </c>
      <c r="R1000">
        <v>0.30647563939605849</v>
      </c>
      <c r="S1000">
        <f t="shared" si="160"/>
        <v>-0.86857476154298663</v>
      </c>
      <c r="T1000" s="148">
        <f t="shared" si="155"/>
        <v>-0.88140958223807953</v>
      </c>
      <c r="U1000">
        <f t="shared" si="161"/>
        <v>2.0384798825395389</v>
      </c>
      <c r="V1000" s="55">
        <f t="shared" si="156"/>
        <v>2.0442890908638378</v>
      </c>
      <c r="W1000">
        <f t="shared" si="162"/>
        <v>0.34583502226506435</v>
      </c>
      <c r="X1000" s="55">
        <f t="shared" si="157"/>
        <v>0.28652849238733508</v>
      </c>
      <c r="Y1000" s="149">
        <v>32.454000000000001</v>
      </c>
      <c r="Z1000" s="55">
        <f t="shared" si="153"/>
        <v>5.1851133940686179E-3</v>
      </c>
      <c r="AA1000" s="55">
        <f t="shared" si="158"/>
        <v>5.1258490535475302E-3</v>
      </c>
      <c r="AB1000" s="55">
        <f t="shared" si="154"/>
        <v>-5.261963567902634</v>
      </c>
      <c r="AC1000" s="55">
        <f t="shared" si="159"/>
        <v>-5.2735099116258999</v>
      </c>
      <c r="AD1000" s="55"/>
      <c r="AE1000" s="55"/>
      <c r="AF1000" s="55"/>
      <c r="AG1000" s="55"/>
      <c r="AH1000" s="55"/>
    </row>
    <row r="1001" spans="1:34" ht="15.75">
      <c r="A1001" s="39">
        <v>32.084945500000003</v>
      </c>
      <c r="B1001" s="39">
        <v>32.482999999999997</v>
      </c>
      <c r="C1001" s="39">
        <v>999</v>
      </c>
      <c r="D1001">
        <v>999</v>
      </c>
      <c r="E1001" s="10">
        <v>1444500</v>
      </c>
      <c r="F1001" s="10">
        <v>1007260</v>
      </c>
      <c r="G1001" s="10">
        <v>26961</v>
      </c>
      <c r="H1001" s="10">
        <v>48906</v>
      </c>
      <c r="I1001" s="10">
        <v>79879</v>
      </c>
      <c r="J1001" s="10">
        <v>34605</v>
      </c>
      <c r="K1001">
        <v>999</v>
      </c>
      <c r="L1001" s="10">
        <v>2573</v>
      </c>
      <c r="M1001" s="10">
        <v>388074</v>
      </c>
      <c r="N1001" s="10">
        <v>5096</v>
      </c>
      <c r="O1001">
        <v>0.36329376575158046</v>
      </c>
      <c r="P1001">
        <v>0.89955240353528909</v>
      </c>
      <c r="Q1001">
        <v>-0.25862614711089382</v>
      </c>
      <c r="R1001">
        <v>0.25862614711089382</v>
      </c>
      <c r="S1001">
        <f t="shared" si="160"/>
        <v>-0.83651480939725997</v>
      </c>
      <c r="T1001" s="148">
        <f t="shared" si="155"/>
        <v>-0.91882054742862318</v>
      </c>
      <c r="U1001">
        <f t="shared" si="161"/>
        <v>2.0712959547473209</v>
      </c>
      <c r="V1001" s="55">
        <f t="shared" si="156"/>
        <v>2.0618757571032789</v>
      </c>
      <c r="W1001">
        <f t="shared" si="162"/>
        <v>0.24960680294948068</v>
      </c>
      <c r="X1001" s="55">
        <f t="shared" si="157"/>
        <v>0.27361999584205732</v>
      </c>
      <c r="Y1001" s="149">
        <v>32.482999999999997</v>
      </c>
      <c r="Z1001" s="55">
        <f t="shared" si="153"/>
        <v>5.0592697019637431E-3</v>
      </c>
      <c r="AA1001" s="55">
        <f t="shared" si="158"/>
        <v>5.0050585205996109E-3</v>
      </c>
      <c r="AB1001" s="55">
        <f t="shared" si="154"/>
        <v>-5.2865331337741539</v>
      </c>
      <c r="AC1001" s="55">
        <f t="shared" si="159"/>
        <v>-5.2979131847256058</v>
      </c>
      <c r="AD1001" s="55"/>
      <c r="AE1001" s="55"/>
      <c r="AF1001" s="55"/>
      <c r="AG1001" s="55"/>
      <c r="AH1001" s="55"/>
    </row>
    <row r="1002" spans="1:34" ht="15.75">
      <c r="A1002" s="39">
        <v>32.113254599999998</v>
      </c>
      <c r="B1002" s="39">
        <v>32.512</v>
      </c>
      <c r="C1002" s="39">
        <v>1000</v>
      </c>
      <c r="D1002">
        <v>1000</v>
      </c>
      <c r="E1002" s="10">
        <v>1543420</v>
      </c>
      <c r="F1002" s="10">
        <v>1050140</v>
      </c>
      <c r="G1002" s="10">
        <v>28456</v>
      </c>
      <c r="H1002" s="10">
        <v>51344</v>
      </c>
      <c r="I1002" s="10">
        <v>102018</v>
      </c>
      <c r="J1002" s="10">
        <v>35651</v>
      </c>
      <c r="K1002">
        <v>1000</v>
      </c>
      <c r="L1002" s="10">
        <v>2083</v>
      </c>
      <c r="M1002" s="10">
        <v>409280</v>
      </c>
      <c r="N1002" s="10">
        <v>5010</v>
      </c>
      <c r="O1002">
        <v>0.456605089012596</v>
      </c>
      <c r="P1002">
        <v>0.90153082304713106</v>
      </c>
      <c r="Q1002">
        <v>-0.2563158475737049</v>
      </c>
      <c r="R1002">
        <v>0.2563158475737049</v>
      </c>
      <c r="S1002">
        <f t="shared" si="160"/>
        <v>-1.0513720713456227</v>
      </c>
      <c r="T1002" s="148">
        <f t="shared" si="155"/>
        <v>-1.1173583348012499</v>
      </c>
      <c r="U1002">
        <f t="shared" si="161"/>
        <v>2.0758514340229768</v>
      </c>
      <c r="V1002" s="55">
        <f t="shared" si="156"/>
        <v>2.054363788013593</v>
      </c>
      <c r="W1002">
        <f t="shared" si="162"/>
        <v>0.22541816231162687</v>
      </c>
      <c r="X1002" s="55">
        <f t="shared" si="157"/>
        <v>0.23036149611505266</v>
      </c>
      <c r="Y1002" s="149">
        <v>32.512</v>
      </c>
      <c r="Z1002" s="55">
        <f t="shared" si="153"/>
        <v>4.7707924657664691E-3</v>
      </c>
      <c r="AA1002" s="55">
        <f t="shared" si="158"/>
        <v>4.8051052868219547E-3</v>
      </c>
      <c r="AB1002" s="55">
        <f t="shared" si="154"/>
        <v>-5.3452428525000304</v>
      </c>
      <c r="AC1002" s="55">
        <f t="shared" si="159"/>
        <v>-5.3388952766855482</v>
      </c>
      <c r="AD1002" s="55"/>
      <c r="AE1002" s="55"/>
      <c r="AF1002" s="55"/>
      <c r="AG1002" s="55"/>
      <c r="AH1002" s="55"/>
    </row>
    <row r="1003" spans="1:34" ht="15.75">
      <c r="A1003" s="39">
        <v>32.141563599999998</v>
      </c>
      <c r="B1003" s="39">
        <v>32.540999999999997</v>
      </c>
      <c r="C1003" s="39">
        <v>1001</v>
      </c>
      <c r="D1003">
        <v>1001</v>
      </c>
      <c r="E1003" s="10">
        <v>1539430</v>
      </c>
      <c r="F1003" s="10">
        <v>974210</v>
      </c>
      <c r="G1003" s="10">
        <v>27341</v>
      </c>
      <c r="H1003" s="10">
        <v>49032</v>
      </c>
      <c r="I1003" s="10">
        <v>146736</v>
      </c>
      <c r="J1003" s="10">
        <v>33935</v>
      </c>
      <c r="K1003">
        <v>1001</v>
      </c>
      <c r="L1003" s="10">
        <v>2395</v>
      </c>
      <c r="M1003" s="10">
        <v>368123</v>
      </c>
      <c r="N1003" s="10">
        <v>4467</v>
      </c>
      <c r="O1003">
        <v>0.63588882257419055</v>
      </c>
      <c r="P1003">
        <v>0.87551334428607519</v>
      </c>
      <c r="Q1003">
        <v>-0.25366521345461951</v>
      </c>
      <c r="R1003">
        <v>0.25366521345461945</v>
      </c>
      <c r="S1003">
        <f t="shared" si="160"/>
        <v>-1.4641881236608667</v>
      </c>
      <c r="T1003" s="148">
        <f t="shared" si="155"/>
        <v>-1.204088545589008</v>
      </c>
      <c r="U1003">
        <f t="shared" si="161"/>
        <v>2.0159439752704804</v>
      </c>
      <c r="V1003" s="55">
        <f t="shared" si="156"/>
        <v>2.0496650308922297</v>
      </c>
      <c r="W1003">
        <f t="shared" si="162"/>
        <v>0.21605952308405049</v>
      </c>
      <c r="X1003" s="55">
        <f t="shared" si="157"/>
        <v>0.23362820512633131</v>
      </c>
      <c r="Y1003" s="149">
        <v>32.540999999999997</v>
      </c>
      <c r="Z1003" s="55">
        <f t="shared" si="153"/>
        <v>4.5852536927356528E-3</v>
      </c>
      <c r="AA1003" s="55">
        <f t="shared" si="158"/>
        <v>4.6508243797504555E-3</v>
      </c>
      <c r="AB1003" s="55">
        <f t="shared" si="154"/>
        <v>-5.3849098437824612</v>
      </c>
      <c r="AC1003" s="55">
        <f t="shared" si="159"/>
        <v>-5.3708762389687834</v>
      </c>
      <c r="AD1003" s="55"/>
      <c r="AE1003" s="55"/>
      <c r="AF1003" s="55"/>
      <c r="AG1003" s="55"/>
      <c r="AH1003" s="55"/>
    </row>
    <row r="1004" spans="1:34" ht="15.75">
      <c r="A1004" s="39">
        <v>32.169872699999999</v>
      </c>
      <c r="B1004" s="39">
        <v>32.57</v>
      </c>
      <c r="C1004" s="39">
        <v>1002</v>
      </c>
      <c r="D1004">
        <v>1002</v>
      </c>
      <c r="E1004" s="10">
        <v>1511450</v>
      </c>
      <c r="F1004" s="10">
        <v>1010350</v>
      </c>
      <c r="G1004" s="10">
        <v>27404</v>
      </c>
      <c r="H1004" s="10">
        <v>49889</v>
      </c>
      <c r="I1004" s="10">
        <v>106357</v>
      </c>
      <c r="J1004" s="10">
        <v>35520</v>
      </c>
      <c r="K1004">
        <v>1002</v>
      </c>
      <c r="L1004" s="10">
        <v>1777</v>
      </c>
      <c r="M1004" s="10">
        <v>390333</v>
      </c>
      <c r="N1004" s="10">
        <v>4644</v>
      </c>
      <c r="O1004">
        <v>0.47629312162986825</v>
      </c>
      <c r="P1004">
        <v>0.89343047066645409</v>
      </c>
      <c r="Q1004">
        <v>-0.26019083996386477</v>
      </c>
      <c r="R1004">
        <v>0.26019083996386472</v>
      </c>
      <c r="S1004">
        <f t="shared" si="160"/>
        <v>-1.0967054417605344</v>
      </c>
      <c r="T1004" s="148">
        <f t="shared" si="155"/>
        <v>-1.1879672269528612</v>
      </c>
      <c r="U1004">
        <f t="shared" si="161"/>
        <v>2.0571996833832311</v>
      </c>
      <c r="V1004" s="55">
        <f t="shared" si="156"/>
        <v>2.0602564798232206</v>
      </c>
      <c r="W1004">
        <f t="shared" si="162"/>
        <v>0.2594069299833166</v>
      </c>
      <c r="X1004" s="55">
        <f t="shared" si="157"/>
        <v>0.26797004825464088</v>
      </c>
      <c r="Y1004" s="149">
        <v>32.57</v>
      </c>
      <c r="Z1004" s="55">
        <f t="shared" si="153"/>
        <v>4.5964269807492455E-3</v>
      </c>
      <c r="AA1004" s="55">
        <f t="shared" si="158"/>
        <v>4.7350988038958571E-3</v>
      </c>
      <c r="AB1004" s="55">
        <f t="shared" si="154"/>
        <v>-5.3824760206238604</v>
      </c>
      <c r="AC1004" s="55">
        <f t="shared" si="159"/>
        <v>-5.3536637341260223</v>
      </c>
      <c r="AD1004" s="55"/>
      <c r="AE1004" s="55"/>
      <c r="AF1004" s="55"/>
      <c r="AG1004" s="55"/>
      <c r="AH1004" s="55"/>
    </row>
    <row r="1005" spans="1:34" ht="15.75">
      <c r="A1005" s="39">
        <v>32.1981818</v>
      </c>
      <c r="B1005" s="39">
        <v>32.598999999999997</v>
      </c>
      <c r="C1005" s="39">
        <v>1003</v>
      </c>
      <c r="D1005">
        <v>1003</v>
      </c>
      <c r="E1005" s="10">
        <v>1369430</v>
      </c>
      <c r="F1005" s="10">
        <v>948520</v>
      </c>
      <c r="G1005" s="10">
        <v>23189</v>
      </c>
      <c r="H1005" s="10">
        <v>44175</v>
      </c>
      <c r="I1005" s="10">
        <v>87806</v>
      </c>
      <c r="J1005" s="10">
        <v>32205</v>
      </c>
      <c r="K1005">
        <v>1003</v>
      </c>
      <c r="L1005" s="10">
        <v>1961</v>
      </c>
      <c r="M1005" s="10">
        <v>363502</v>
      </c>
      <c r="N1005" s="10">
        <v>4765</v>
      </c>
      <c r="O1005">
        <v>0.43560088983854806</v>
      </c>
      <c r="P1005">
        <v>0.91533024652540018</v>
      </c>
      <c r="Q1005">
        <v>-0.2798945376066187</v>
      </c>
      <c r="R1005">
        <v>0.27989453760661875</v>
      </c>
      <c r="S1005">
        <f t="shared" si="160"/>
        <v>-1.0030081154371822</v>
      </c>
      <c r="T1005" s="148">
        <f t="shared" si="155"/>
        <v>-1.0054853233259169</v>
      </c>
      <c r="U1005">
        <f t="shared" si="161"/>
        <v>2.1076257808159515</v>
      </c>
      <c r="V1005" s="55">
        <f t="shared" si="156"/>
        <v>2.0870147076001504</v>
      </c>
      <c r="W1005">
        <f t="shared" si="162"/>
        <v>0.32844369169655552</v>
      </c>
      <c r="X1005" s="55">
        <f t="shared" si="157"/>
        <v>0.29796570160872626</v>
      </c>
      <c r="Y1005" s="149">
        <v>32.598999999999997</v>
      </c>
      <c r="Z1005" s="55">
        <f t="shared" si="153"/>
        <v>5.0236157382026738E-3</v>
      </c>
      <c r="AA1005" s="55">
        <f t="shared" si="158"/>
        <v>4.937928030109299E-3</v>
      </c>
      <c r="AB1005" s="55">
        <f t="shared" si="154"/>
        <v>-5.2936053379717434</v>
      </c>
      <c r="AC1005" s="55">
        <f t="shared" si="159"/>
        <v>-5.3121274397683615</v>
      </c>
      <c r="AD1005" s="55"/>
      <c r="AE1005" s="55"/>
      <c r="AF1005" s="55"/>
      <c r="AG1005" s="55"/>
      <c r="AH1005" s="55"/>
    </row>
    <row r="1006" spans="1:34" ht="15.75">
      <c r="A1006" s="39">
        <v>32.226490900000002</v>
      </c>
      <c r="B1006" s="39">
        <v>32.628</v>
      </c>
      <c r="C1006" s="39">
        <v>1004</v>
      </c>
      <c r="D1006">
        <v>1004</v>
      </c>
      <c r="E1006" s="10">
        <v>1555140</v>
      </c>
      <c r="F1006" s="10">
        <v>1086500</v>
      </c>
      <c r="G1006" s="10">
        <v>27382</v>
      </c>
      <c r="H1006" s="10">
        <v>52915</v>
      </c>
      <c r="I1006" s="10">
        <v>93007</v>
      </c>
      <c r="J1006" s="10">
        <v>37186</v>
      </c>
      <c r="K1006">
        <v>1004</v>
      </c>
      <c r="L1006" s="10">
        <v>2764</v>
      </c>
      <c r="M1006" s="10">
        <v>430482</v>
      </c>
      <c r="N1006" s="10">
        <v>5643</v>
      </c>
      <c r="O1006">
        <v>0.39813617119704187</v>
      </c>
      <c r="P1006">
        <v>0.91037619629316724</v>
      </c>
      <c r="Q1006">
        <v>-0.28611363434021297</v>
      </c>
      <c r="R1006">
        <v>0.28611363434021292</v>
      </c>
      <c r="S1006">
        <f t="shared" si="160"/>
        <v>-0.91674241278003399</v>
      </c>
      <c r="T1006" s="148">
        <f t="shared" si="155"/>
        <v>-0.96140212828889327</v>
      </c>
      <c r="U1006">
        <f t="shared" si="161"/>
        <v>2.0962186586012681</v>
      </c>
      <c r="V1006" s="55">
        <f t="shared" si="156"/>
        <v>2.0977173858674676</v>
      </c>
      <c r="W1006">
        <f t="shared" si="162"/>
        <v>0.30604648314630672</v>
      </c>
      <c r="X1006" s="55">
        <f t="shared" si="157"/>
        <v>0.30911827281831883</v>
      </c>
      <c r="Y1006" s="149">
        <v>32.628</v>
      </c>
      <c r="Z1006" s="55">
        <f t="shared" si="153"/>
        <v>5.1937413713759777E-3</v>
      </c>
      <c r="AA1006" s="55">
        <f t="shared" si="158"/>
        <v>5.1981790054946462E-3</v>
      </c>
      <c r="AB1006" s="55">
        <f t="shared" si="154"/>
        <v>-5.2603009607094817</v>
      </c>
      <c r="AC1006" s="55">
        <f t="shared" si="159"/>
        <v>-5.2598325072643712</v>
      </c>
      <c r="AD1006" s="55"/>
      <c r="AE1006" s="55"/>
      <c r="AF1006" s="55"/>
      <c r="AG1006" s="55"/>
      <c r="AH1006" s="55"/>
    </row>
    <row r="1007" spans="1:34" ht="15.75">
      <c r="A1007" s="39">
        <v>32.254800000000003</v>
      </c>
      <c r="B1007" s="39">
        <v>32.656999999999996</v>
      </c>
      <c r="C1007" s="39">
        <v>1005</v>
      </c>
      <c r="D1007">
        <v>1005</v>
      </c>
      <c r="E1007" s="10">
        <v>1605470</v>
      </c>
      <c r="F1007" s="10">
        <v>1093510</v>
      </c>
      <c r="G1007" s="10">
        <v>28772</v>
      </c>
      <c r="H1007" s="10">
        <v>54652</v>
      </c>
      <c r="I1007" s="10">
        <v>101162</v>
      </c>
      <c r="J1007" s="10">
        <v>38562</v>
      </c>
      <c r="K1007">
        <v>1005</v>
      </c>
      <c r="L1007" s="10">
        <v>4646</v>
      </c>
      <c r="M1007" s="10">
        <v>441551</v>
      </c>
      <c r="N1007" s="10">
        <v>5880</v>
      </c>
      <c r="O1007">
        <v>0.41885785658213559</v>
      </c>
      <c r="P1007">
        <v>0.90737481300569989</v>
      </c>
      <c r="Q1007">
        <v>-0.27863600803429278</v>
      </c>
      <c r="R1007">
        <v>0.27863600803429273</v>
      </c>
      <c r="S1007">
        <f t="shared" si="160"/>
        <v>-0.96445585664946343</v>
      </c>
      <c r="T1007" s="148">
        <f t="shared" si="155"/>
        <v>-0.96021519967716307</v>
      </c>
      <c r="U1007">
        <f t="shared" si="161"/>
        <v>2.0893077181851845</v>
      </c>
      <c r="V1007" s="55">
        <f t="shared" si="156"/>
        <v>2.0937804303710434</v>
      </c>
      <c r="W1007">
        <f t="shared" si="162"/>
        <v>0.2928646436120943</v>
      </c>
      <c r="X1007" s="55">
        <f t="shared" si="157"/>
        <v>0.29234394969905847</v>
      </c>
      <c r="Y1007" s="149">
        <v>32.656999999999996</v>
      </c>
      <c r="Z1007" s="55">
        <f t="shared" si="153"/>
        <v>5.3771799069052863E-3</v>
      </c>
      <c r="AA1007" s="55">
        <f t="shared" si="158"/>
        <v>5.2655687518454461E-3</v>
      </c>
      <c r="AB1007" s="55">
        <f t="shared" si="154"/>
        <v>-5.2255912231118886</v>
      </c>
      <c r="AC1007" s="55">
        <f t="shared" si="159"/>
        <v>-5.2466808137851357</v>
      </c>
      <c r="AD1007" s="55"/>
      <c r="AE1007" s="55"/>
      <c r="AF1007" s="55"/>
      <c r="AG1007" s="55"/>
      <c r="AH1007" s="55"/>
    </row>
    <row r="1008" spans="1:34" ht="15.75">
      <c r="A1008" s="39">
        <v>32.283109099999997</v>
      </c>
      <c r="B1008" s="39">
        <v>32.686</v>
      </c>
      <c r="C1008" s="39">
        <v>1006</v>
      </c>
      <c r="D1008">
        <v>1006</v>
      </c>
      <c r="E1008" s="10">
        <v>1581350</v>
      </c>
      <c r="F1008" s="10">
        <v>1081560</v>
      </c>
      <c r="G1008" s="10">
        <v>28190</v>
      </c>
      <c r="H1008" s="10">
        <v>53307</v>
      </c>
      <c r="I1008" s="10">
        <v>101143</v>
      </c>
      <c r="J1008" s="10">
        <v>37229</v>
      </c>
      <c r="K1008">
        <v>1006</v>
      </c>
      <c r="L1008" s="10">
        <v>3159</v>
      </c>
      <c r="M1008" s="10">
        <v>433496</v>
      </c>
      <c r="N1008" s="10">
        <v>5652</v>
      </c>
      <c r="O1008">
        <v>0.43405446019908567</v>
      </c>
      <c r="P1008">
        <v>0.91020085238261284</v>
      </c>
      <c r="Q1008">
        <v>-0.27668916620866607</v>
      </c>
      <c r="R1008">
        <v>0.27668916620866607</v>
      </c>
      <c r="S1008">
        <f t="shared" si="160"/>
        <v>-0.99944732960199201</v>
      </c>
      <c r="T1008" s="148">
        <f t="shared" si="155"/>
        <v>-0.9786453003779485</v>
      </c>
      <c r="U1008">
        <f t="shared" si="161"/>
        <v>2.0958149143266782</v>
      </c>
      <c r="V1008" s="55">
        <f t="shared" si="156"/>
        <v>2.0947083618905418</v>
      </c>
      <c r="W1008">
        <f t="shared" si="162"/>
        <v>0.27812072233877438</v>
      </c>
      <c r="X1008" s="55">
        <f t="shared" si="157"/>
        <v>0.28309952088340601</v>
      </c>
      <c r="Y1008" s="149">
        <v>32.686</v>
      </c>
      <c r="Z1008" s="55">
        <f t="shared" si="153"/>
        <v>5.2257849772550762E-3</v>
      </c>
      <c r="AA1008" s="55">
        <f t="shared" si="158"/>
        <v>5.2525829097952908E-3</v>
      </c>
      <c r="AB1008" s="55">
        <f t="shared" si="154"/>
        <v>-5.2541502575340377</v>
      </c>
      <c r="AC1008" s="55">
        <f t="shared" si="159"/>
        <v>-5.2491905247097828</v>
      </c>
      <c r="AD1008" s="55"/>
      <c r="AE1008" s="55"/>
      <c r="AF1008" s="55"/>
      <c r="AG1008" s="55"/>
      <c r="AH1008" s="55"/>
    </row>
    <row r="1009" spans="1:34" ht="15.75">
      <c r="A1009" s="39">
        <v>32.311418199999999</v>
      </c>
      <c r="B1009" s="39">
        <v>32.715000000000003</v>
      </c>
      <c r="C1009" s="39">
        <v>1007</v>
      </c>
      <c r="D1009">
        <v>1007</v>
      </c>
      <c r="E1009" s="10">
        <v>1551540</v>
      </c>
      <c r="F1009" s="10">
        <v>1068910</v>
      </c>
      <c r="G1009" s="10">
        <v>27694</v>
      </c>
      <c r="H1009" s="10">
        <v>51801</v>
      </c>
      <c r="I1009" s="10">
        <v>96695</v>
      </c>
      <c r="J1009" s="10">
        <v>36581</v>
      </c>
      <c r="K1009">
        <v>1007</v>
      </c>
      <c r="L1009" s="10">
        <v>3826</v>
      </c>
      <c r="M1009" s="10">
        <v>422594</v>
      </c>
      <c r="N1009" s="10">
        <v>5510</v>
      </c>
      <c r="O1009">
        <v>0.42214844430285897</v>
      </c>
      <c r="P1009">
        <v>0.91158518290867385</v>
      </c>
      <c r="Q1009">
        <v>-0.27195245585979305</v>
      </c>
      <c r="R1009">
        <v>0.27195245585979305</v>
      </c>
      <c r="S1009">
        <f t="shared" si="160"/>
        <v>-0.97203271488239018</v>
      </c>
      <c r="T1009" s="148">
        <f t="shared" si="155"/>
        <v>-0.95913330457060575</v>
      </c>
      <c r="U1009">
        <f t="shared" si="161"/>
        <v>2.0990024531597626</v>
      </c>
      <c r="V1009" s="55">
        <f t="shared" si="156"/>
        <v>2.0987051040105222</v>
      </c>
      <c r="W1009">
        <f t="shared" si="162"/>
        <v>0.27831319669934934</v>
      </c>
      <c r="X1009" s="55">
        <f t="shared" si="157"/>
        <v>0.28626637642554331</v>
      </c>
      <c r="Y1009" s="149">
        <v>32.715000000000003</v>
      </c>
      <c r="Z1009" s="55">
        <f t="shared" si="153"/>
        <v>5.1547838452255098E-3</v>
      </c>
      <c r="AA1009" s="55">
        <f t="shared" si="158"/>
        <v>5.237893082095775E-3</v>
      </c>
      <c r="AB1009" s="55">
        <f t="shared" si="154"/>
        <v>-5.267830093483421</v>
      </c>
      <c r="AC1009" s="55">
        <f t="shared" si="159"/>
        <v>-5.251933664279206</v>
      </c>
      <c r="AD1009" s="55"/>
      <c r="AE1009" s="55"/>
      <c r="AF1009" s="55"/>
      <c r="AG1009" s="55"/>
      <c r="AH1009" s="55"/>
    </row>
    <row r="1010" spans="1:34" ht="15.75">
      <c r="A1010" s="39">
        <v>32.3397273</v>
      </c>
      <c r="B1010" s="39">
        <v>32.744</v>
      </c>
      <c r="C1010" s="39">
        <v>1008</v>
      </c>
      <c r="D1010">
        <v>1008</v>
      </c>
      <c r="E1010" s="10">
        <v>1551520</v>
      </c>
      <c r="F1010" s="10">
        <v>1076670</v>
      </c>
      <c r="G1010" s="10">
        <v>27837</v>
      </c>
      <c r="H1010" s="10">
        <v>51998</v>
      </c>
      <c r="I1010" s="10">
        <v>93191</v>
      </c>
      <c r="J1010" s="10">
        <v>37665</v>
      </c>
      <c r="K1010">
        <v>1008</v>
      </c>
      <c r="L1010" s="10">
        <v>3118</v>
      </c>
      <c r="M1010" s="10">
        <v>425176</v>
      </c>
      <c r="N1010" s="10">
        <v>5742</v>
      </c>
      <c r="O1010">
        <v>0.39343600025199071</v>
      </c>
      <c r="P1010">
        <v>0.91258210215059365</v>
      </c>
      <c r="Q1010">
        <v>-0.27136421023714397</v>
      </c>
      <c r="R1010">
        <v>0.27136421023714402</v>
      </c>
      <c r="S1010">
        <f t="shared" si="160"/>
        <v>-0.90591986922743539</v>
      </c>
      <c r="T1010" s="148">
        <f t="shared" si="155"/>
        <v>-0.9361033376415927</v>
      </c>
      <c r="U1010">
        <f t="shared" si="161"/>
        <v>2.1012979445451263</v>
      </c>
      <c r="V1010" s="55">
        <f t="shared" si="156"/>
        <v>2.1051144190550084</v>
      </c>
      <c r="W1010">
        <f t="shared" si="162"/>
        <v>0.3023652102385061</v>
      </c>
      <c r="X1010" s="55">
        <f t="shared" si="157"/>
        <v>0.30215041144696658</v>
      </c>
      <c r="Y1010" s="149">
        <v>32.744</v>
      </c>
      <c r="Z1010" s="55">
        <f t="shared" si="153"/>
        <v>5.3331104238067374E-3</v>
      </c>
      <c r="AA1010" s="55">
        <f t="shared" si="158"/>
        <v>5.2433796294718525E-3</v>
      </c>
      <c r="AB1010" s="55">
        <f t="shared" si="154"/>
        <v>-5.2338206418201603</v>
      </c>
      <c r="AC1010" s="55">
        <f t="shared" si="159"/>
        <v>-5.2508854150653503</v>
      </c>
      <c r="AD1010" s="55"/>
      <c r="AE1010" s="55"/>
      <c r="AF1010" s="55"/>
      <c r="AG1010" s="55"/>
      <c r="AH1010" s="55"/>
    </row>
    <row r="1011" spans="1:34" ht="15.75">
      <c r="A1011" s="39">
        <v>32.368036400000001</v>
      </c>
      <c r="B1011" s="39">
        <v>32.773000000000003</v>
      </c>
      <c r="C1011" s="39">
        <v>1009</v>
      </c>
      <c r="D1011">
        <v>1009</v>
      </c>
      <c r="E1011" s="10">
        <v>1526370</v>
      </c>
      <c r="F1011" s="10">
        <v>1069580</v>
      </c>
      <c r="G1011" s="10">
        <v>26471</v>
      </c>
      <c r="H1011" s="10">
        <v>50900</v>
      </c>
      <c r="I1011" s="10">
        <v>92961</v>
      </c>
      <c r="J1011" s="10">
        <v>36665</v>
      </c>
      <c r="K1011">
        <v>1009</v>
      </c>
      <c r="L1011" s="10">
        <v>3407</v>
      </c>
      <c r="M1011" s="10">
        <v>421958</v>
      </c>
      <c r="N1011" s="10">
        <v>5607</v>
      </c>
      <c r="O1011">
        <v>0.4040490975320315</v>
      </c>
      <c r="P1011">
        <v>0.91855144285241219</v>
      </c>
      <c r="Q1011">
        <v>-0.28394743430029201</v>
      </c>
      <c r="R1011">
        <v>0.28394743430029201</v>
      </c>
      <c r="S1011">
        <f t="shared" si="160"/>
        <v>-0.93035742881495298</v>
      </c>
      <c r="T1011" s="148">
        <f t="shared" si="155"/>
        <v>-0.94331737610577893</v>
      </c>
      <c r="U1011">
        <f t="shared" si="161"/>
        <v>2.1150428594601363</v>
      </c>
      <c r="V1011" s="55">
        <f t="shared" si="156"/>
        <v>2.1224154457014941</v>
      </c>
      <c r="W1011">
        <f t="shared" si="162"/>
        <v>0.32577282740304425</v>
      </c>
      <c r="X1011" s="55">
        <f t="shared" si="157"/>
        <v>0.31720932267235669</v>
      </c>
      <c r="Y1011" s="149">
        <v>32.773000000000003</v>
      </c>
      <c r="Z1011" s="55">
        <f t="shared" si="153"/>
        <v>5.2422446193833095E-3</v>
      </c>
      <c r="AA1011" s="55">
        <f t="shared" si="158"/>
        <v>5.202549693857055E-3</v>
      </c>
      <c r="AB1011" s="55">
        <f t="shared" si="154"/>
        <v>-5.2510055098924697</v>
      </c>
      <c r="AC1011" s="55">
        <f t="shared" si="159"/>
        <v>-5.2589018264344238</v>
      </c>
      <c r="AD1011" s="55"/>
      <c r="AE1011" s="55"/>
      <c r="AF1011" s="55"/>
      <c r="AG1011" s="55"/>
      <c r="AH1011" s="55"/>
    </row>
    <row r="1012" spans="1:34" ht="15.75">
      <c r="A1012" s="39">
        <v>32.396345500000002</v>
      </c>
      <c r="B1012" s="39">
        <v>32.802</v>
      </c>
      <c r="C1012" s="39">
        <v>1010</v>
      </c>
      <c r="D1012">
        <v>1010</v>
      </c>
      <c r="E1012" s="10">
        <v>1523790</v>
      </c>
      <c r="F1012" s="10">
        <v>1076050</v>
      </c>
      <c r="G1012" s="10">
        <v>25208</v>
      </c>
      <c r="H1012" s="10">
        <v>49727</v>
      </c>
      <c r="I1012" s="10">
        <v>94097</v>
      </c>
      <c r="J1012" s="10">
        <v>34836</v>
      </c>
      <c r="K1012">
        <v>1010</v>
      </c>
      <c r="L1012" s="10">
        <v>2377</v>
      </c>
      <c r="M1012" s="10">
        <v>427286</v>
      </c>
      <c r="N1012" s="10">
        <v>5415</v>
      </c>
      <c r="O1012">
        <v>0.43154749559456035</v>
      </c>
      <c r="P1012">
        <v>0.93412640412016323</v>
      </c>
      <c r="Q1012">
        <v>-0.29505386913171489</v>
      </c>
      <c r="R1012">
        <v>0.29505386913171494</v>
      </c>
      <c r="S1012">
        <f t="shared" si="160"/>
        <v>-0.9936748302749483</v>
      </c>
      <c r="T1012" s="148">
        <f t="shared" si="155"/>
        <v>-0.91553582905150999</v>
      </c>
      <c r="U1012">
        <f t="shared" si="161"/>
        <v>2.1509055330992197</v>
      </c>
      <c r="V1012" s="55">
        <f t="shared" si="156"/>
        <v>2.1194325617027308</v>
      </c>
      <c r="W1012">
        <f t="shared" si="162"/>
        <v>0.32348993037551971</v>
      </c>
      <c r="X1012" s="55">
        <f t="shared" si="157"/>
        <v>0.32635509858259076</v>
      </c>
      <c r="Y1012" s="149">
        <v>32.802</v>
      </c>
      <c r="Z1012" s="55">
        <f t="shared" si="153"/>
        <v>5.0322940383811165E-3</v>
      </c>
      <c r="AA1012" s="55">
        <f t="shared" si="158"/>
        <v>5.1873317821695365E-3</v>
      </c>
      <c r="AB1012" s="55">
        <f t="shared" si="154"/>
        <v>-5.2918793275906397</v>
      </c>
      <c r="AC1012" s="55">
        <f t="shared" si="159"/>
        <v>-5.2617675877934849</v>
      </c>
      <c r="AD1012" s="55"/>
      <c r="AE1012" s="55"/>
      <c r="AF1012" s="55"/>
      <c r="AG1012" s="55"/>
      <c r="AH1012" s="55"/>
    </row>
    <row r="1013" spans="1:34" ht="15.75">
      <c r="A1013" s="39">
        <v>32.424654599999997</v>
      </c>
      <c r="B1013" s="39">
        <v>32.831000000000003</v>
      </c>
      <c r="C1013" s="39">
        <v>1011</v>
      </c>
      <c r="D1013">
        <v>1011</v>
      </c>
      <c r="E1013" s="10">
        <v>1517310</v>
      </c>
      <c r="F1013" s="10">
        <v>1076510</v>
      </c>
      <c r="G1013" s="10">
        <v>26691</v>
      </c>
      <c r="H1013" s="10">
        <v>51255</v>
      </c>
      <c r="I1013" s="10">
        <v>84496</v>
      </c>
      <c r="J1013" s="10">
        <v>37119</v>
      </c>
      <c r="K1013">
        <v>1011</v>
      </c>
      <c r="L1013" s="10">
        <v>2830</v>
      </c>
      <c r="M1013" s="10">
        <v>415367</v>
      </c>
      <c r="N1013" s="10">
        <v>5692</v>
      </c>
      <c r="O1013">
        <v>0.35723988249877725</v>
      </c>
      <c r="P1013">
        <v>0.90869575196813279</v>
      </c>
      <c r="Q1013">
        <v>-0.28337139256651661</v>
      </c>
      <c r="R1013">
        <v>0.28337139256651661</v>
      </c>
      <c r="S1013">
        <f t="shared" si="160"/>
        <v>-0.8225752280646289</v>
      </c>
      <c r="T1013" s="148">
        <f t="shared" si="155"/>
        <v>-0.92519545422138483</v>
      </c>
      <c r="U1013">
        <f t="shared" si="161"/>
        <v>2.0923492925488372</v>
      </c>
      <c r="V1013" s="55">
        <f t="shared" si="156"/>
        <v>2.1137958569990825</v>
      </c>
      <c r="W1013">
        <f t="shared" si="162"/>
        <v>0.32980253796920833</v>
      </c>
      <c r="X1013" s="55">
        <f t="shared" si="157"/>
        <v>0.32478594905473862</v>
      </c>
      <c r="Y1013" s="149">
        <v>32.831000000000003</v>
      </c>
      <c r="Z1013" s="55">
        <f t="shared" si="153"/>
        <v>5.2874566887441826E-3</v>
      </c>
      <c r="AA1013" s="55">
        <f t="shared" si="158"/>
        <v>5.2399740829888906E-3</v>
      </c>
      <c r="AB1013" s="55">
        <f t="shared" si="154"/>
        <v>-5.2424179258973442</v>
      </c>
      <c r="AC1013" s="55">
        <f t="shared" si="159"/>
        <v>-5.2518739387001263</v>
      </c>
      <c r="AD1013" s="55"/>
      <c r="AE1013" s="55"/>
      <c r="AF1013" s="55"/>
      <c r="AG1013" s="55"/>
      <c r="AH1013" s="55"/>
    </row>
    <row r="1014" spans="1:34" ht="15.75">
      <c r="A1014" s="39">
        <v>32.452963599999997</v>
      </c>
      <c r="B1014" s="39">
        <v>32.86</v>
      </c>
      <c r="C1014" s="39">
        <v>1012</v>
      </c>
      <c r="D1014">
        <v>1012</v>
      </c>
      <c r="E1014" s="10">
        <v>1559640</v>
      </c>
      <c r="F1014" s="10">
        <v>1084410</v>
      </c>
      <c r="G1014" s="10">
        <v>27359</v>
      </c>
      <c r="H1014" s="10">
        <v>52307</v>
      </c>
      <c r="I1014" s="10">
        <v>98440</v>
      </c>
      <c r="J1014" s="10">
        <v>37717</v>
      </c>
      <c r="K1014">
        <v>1012</v>
      </c>
      <c r="L1014" s="10">
        <v>3408</v>
      </c>
      <c r="M1014" s="10">
        <v>426351</v>
      </c>
      <c r="N1014" s="10">
        <v>5856</v>
      </c>
      <c r="O1014">
        <v>0.41663446325762249</v>
      </c>
      <c r="P1014">
        <v>0.91120747360567433</v>
      </c>
      <c r="Q1014">
        <v>-0.2814595929244974</v>
      </c>
      <c r="R1014">
        <v>0.28145959292449746</v>
      </c>
      <c r="S1014">
        <f t="shared" si="160"/>
        <v>-0.95933630432457695</v>
      </c>
      <c r="T1014" s="148">
        <f t="shared" si="155"/>
        <v>-0.87005765900061682</v>
      </c>
      <c r="U1014">
        <f t="shared" si="161"/>
        <v>2.0981327453491909</v>
      </c>
      <c r="V1014" s="55">
        <f t="shared" si="156"/>
        <v>2.0932430243926463</v>
      </c>
      <c r="W1014">
        <f t="shared" si="162"/>
        <v>0.32106537881948771</v>
      </c>
      <c r="X1014" s="55">
        <f t="shared" si="157"/>
        <v>0.32689733879583099</v>
      </c>
      <c r="Y1014" s="149">
        <v>32.86</v>
      </c>
      <c r="Z1014" s="55">
        <f t="shared" si="153"/>
        <v>5.4001715218413701E-3</v>
      </c>
      <c r="AA1014" s="55">
        <f t="shared" si="158"/>
        <v>5.3779266799531857E-3</v>
      </c>
      <c r="AB1014" s="55">
        <f t="shared" si="154"/>
        <v>-5.2213245626123941</v>
      </c>
      <c r="AC1014" s="55">
        <f t="shared" si="159"/>
        <v>-5.2255294981949501</v>
      </c>
      <c r="AD1014" s="55"/>
      <c r="AE1014" s="55"/>
      <c r="AF1014" s="55"/>
      <c r="AG1014" s="55"/>
      <c r="AH1014" s="55"/>
    </row>
    <row r="1015" spans="1:34" ht="15.75">
      <c r="A1015" s="39">
        <v>32.481272699999998</v>
      </c>
      <c r="B1015" s="39">
        <v>32.889000000000003</v>
      </c>
      <c r="C1015" s="39">
        <v>1013</v>
      </c>
      <c r="D1015">
        <v>1013</v>
      </c>
      <c r="E1015" s="10">
        <v>1511250</v>
      </c>
      <c r="F1015" s="10">
        <v>1067910</v>
      </c>
      <c r="G1015" s="10">
        <v>26497</v>
      </c>
      <c r="H1015" s="10">
        <v>51034</v>
      </c>
      <c r="I1015" s="10">
        <v>84362</v>
      </c>
      <c r="J1015" s="10">
        <v>36850</v>
      </c>
      <c r="K1015">
        <v>1013</v>
      </c>
      <c r="L1015" s="10">
        <v>3440</v>
      </c>
      <c r="M1015" s="10">
        <v>412295</v>
      </c>
      <c r="N1015" s="10">
        <v>5816</v>
      </c>
      <c r="O1015">
        <v>0.35970937496848743</v>
      </c>
      <c r="P1015">
        <v>0.90734845875479386</v>
      </c>
      <c r="Q1015">
        <v>-0.28466290354492124</v>
      </c>
      <c r="R1015">
        <v>0.28466290354492124</v>
      </c>
      <c r="S1015">
        <f t="shared" si="160"/>
        <v>-0.82826144461264473</v>
      </c>
      <c r="T1015" s="148">
        <f t="shared" si="155"/>
        <v>-0.94454220524422683</v>
      </c>
      <c r="U1015">
        <f t="shared" si="161"/>
        <v>2.0892470352799108</v>
      </c>
      <c r="V1015" s="55">
        <f t="shared" si="156"/>
        <v>2.0887716073275246</v>
      </c>
      <c r="W1015">
        <f t="shared" si="162"/>
        <v>0.32982409959879694</v>
      </c>
      <c r="X1015" s="55">
        <f t="shared" si="157"/>
        <v>0.3418239236835568</v>
      </c>
      <c r="Y1015" s="149">
        <v>32.889000000000003</v>
      </c>
      <c r="Z1015" s="55">
        <f t="shared" si="153"/>
        <v>5.4461518292740025E-3</v>
      </c>
      <c r="AA1015" s="55">
        <f t="shared" si="158"/>
        <v>5.4202084269136001E-3</v>
      </c>
      <c r="AB1015" s="55">
        <f t="shared" si="154"/>
        <v>-5.2128460060751127</v>
      </c>
      <c r="AC1015" s="55">
        <f t="shared" si="159"/>
        <v>-5.2176272965744781</v>
      </c>
      <c r="AD1015" s="55"/>
      <c r="AE1015" s="55"/>
      <c r="AF1015" s="55"/>
      <c r="AG1015" s="55"/>
      <c r="AH1015" s="55"/>
    </row>
    <row r="1016" spans="1:34" ht="15.75">
      <c r="A1016" s="39">
        <v>32.509581799999999</v>
      </c>
      <c r="B1016" s="39">
        <v>32.917999999999999</v>
      </c>
      <c r="C1016" s="39">
        <v>1014</v>
      </c>
      <c r="D1016">
        <v>1014</v>
      </c>
      <c r="E1016" s="10">
        <v>1373450</v>
      </c>
      <c r="F1016" s="10">
        <v>969100</v>
      </c>
      <c r="G1016" s="10">
        <v>22492</v>
      </c>
      <c r="H1016" s="10">
        <v>45668</v>
      </c>
      <c r="I1016" s="10">
        <v>93109</v>
      </c>
      <c r="J1016" s="10">
        <v>32712</v>
      </c>
      <c r="K1016">
        <v>1014</v>
      </c>
      <c r="L1016" s="10">
        <v>2538</v>
      </c>
      <c r="M1016" s="10">
        <v>365159</v>
      </c>
      <c r="N1016" s="10">
        <v>5247</v>
      </c>
      <c r="O1016">
        <v>0.45428456476077955</v>
      </c>
      <c r="P1016">
        <v>0.90287001669512146</v>
      </c>
      <c r="Q1016">
        <v>-0.30758391754512976</v>
      </c>
      <c r="R1016">
        <v>0.30758391754512976</v>
      </c>
      <c r="S1016">
        <f t="shared" si="160"/>
        <v>-1.0460288667954591</v>
      </c>
      <c r="T1016" s="148">
        <f t="shared" si="155"/>
        <v>-0.93562400568246507</v>
      </c>
      <c r="U1016">
        <f t="shared" si="161"/>
        <v>2.0789350413534717</v>
      </c>
      <c r="V1016" s="55">
        <f t="shared" si="156"/>
        <v>2.0760849520344293</v>
      </c>
      <c r="W1016">
        <f t="shared" si="162"/>
        <v>0.37458229263238585</v>
      </c>
      <c r="X1016" s="55">
        <f t="shared" si="157"/>
        <v>0.33177665286904484</v>
      </c>
      <c r="Y1016" s="149">
        <v>32.917999999999999</v>
      </c>
      <c r="Z1016" s="55">
        <f t="shared" si="153"/>
        <v>5.414301929625426E-3</v>
      </c>
      <c r="AA1016" s="55">
        <f t="shared" si="158"/>
        <v>5.4442387447610242E-3</v>
      </c>
      <c r="AB1016" s="55">
        <f t="shared" si="154"/>
        <v>-5.2187113210359293</v>
      </c>
      <c r="AC1016" s="55">
        <f t="shared" si="159"/>
        <v>-5.2132068199768948</v>
      </c>
      <c r="AD1016" s="55"/>
      <c r="AE1016" s="55"/>
      <c r="AF1016" s="55"/>
      <c r="AG1016" s="55"/>
      <c r="AH1016" s="55"/>
    </row>
    <row r="1017" spans="1:34" ht="15.75">
      <c r="A1017" s="39">
        <v>32.537890900000001</v>
      </c>
      <c r="B1017" s="39">
        <v>32.947000000000003</v>
      </c>
      <c r="C1017" s="39">
        <v>1015</v>
      </c>
      <c r="D1017">
        <v>1015</v>
      </c>
      <c r="E1017" s="10">
        <v>1537380</v>
      </c>
      <c r="F1017" s="10">
        <v>1076520</v>
      </c>
      <c r="G1017" s="10">
        <v>27874</v>
      </c>
      <c r="H1017" s="10">
        <v>52672</v>
      </c>
      <c r="I1017" s="10">
        <v>94746</v>
      </c>
      <c r="J1017" s="10">
        <v>37286</v>
      </c>
      <c r="K1017">
        <v>1015</v>
      </c>
      <c r="L1017" s="10">
        <v>2430</v>
      </c>
      <c r="M1017" s="10">
        <v>413293</v>
      </c>
      <c r="N1017" s="10">
        <v>5891</v>
      </c>
      <c r="O1017">
        <v>0.4050150886830669</v>
      </c>
      <c r="P1017">
        <v>0.89467824044287481</v>
      </c>
      <c r="Q1017">
        <v>-0.27638051349050946</v>
      </c>
      <c r="R1017">
        <v>0.27638051349050946</v>
      </c>
      <c r="S1017">
        <f t="shared" si="160"/>
        <v>-0.93258170563929133</v>
      </c>
      <c r="T1017" s="148">
        <f t="shared" si="155"/>
        <v>-0.98328020325369625</v>
      </c>
      <c r="U1017">
        <f t="shared" si="161"/>
        <v>2.0600727794699063</v>
      </c>
      <c r="V1017" s="55">
        <f t="shared" si="156"/>
        <v>2.0646339875709501</v>
      </c>
      <c r="W1017">
        <f t="shared" si="162"/>
        <v>0.29092356637595185</v>
      </c>
      <c r="X1017" s="55">
        <f t="shared" si="157"/>
        <v>0.31912579043366934</v>
      </c>
      <c r="Y1017" s="149">
        <v>32.947000000000003</v>
      </c>
      <c r="Z1017" s="55">
        <f t="shared" si="153"/>
        <v>5.4722624753836433E-3</v>
      </c>
      <c r="AA1017" s="55">
        <f t="shared" si="158"/>
        <v>5.4664363073009883E-3</v>
      </c>
      <c r="AB1017" s="55">
        <f t="shared" si="154"/>
        <v>-5.2080631328196425</v>
      </c>
      <c r="AC1017" s="55">
        <f t="shared" si="159"/>
        <v>-5.2091557120807765</v>
      </c>
      <c r="AD1017" s="55"/>
      <c r="AE1017" s="55"/>
      <c r="AF1017" s="55"/>
      <c r="AG1017" s="55"/>
      <c r="AH1017" s="55"/>
    </row>
    <row r="1018" spans="1:34" ht="15.75">
      <c r="A1018" s="39">
        <v>32.566200000000002</v>
      </c>
      <c r="B1018" s="39">
        <v>32.975999999999999</v>
      </c>
      <c r="C1018" s="39">
        <v>1016</v>
      </c>
      <c r="D1018">
        <v>1016</v>
      </c>
      <c r="E1018" s="10">
        <v>1543570</v>
      </c>
      <c r="F1018" s="10">
        <v>1079680</v>
      </c>
      <c r="G1018" s="10">
        <v>27988</v>
      </c>
      <c r="H1018" s="10">
        <v>52699</v>
      </c>
      <c r="I1018" s="10">
        <v>98976</v>
      </c>
      <c r="J1018" s="10">
        <v>37474</v>
      </c>
      <c r="K1018">
        <v>1016</v>
      </c>
      <c r="L1018" s="10">
        <v>3462</v>
      </c>
      <c r="M1018" s="10">
        <v>411369</v>
      </c>
      <c r="N1018" s="10">
        <v>5952</v>
      </c>
      <c r="O1018">
        <v>0.42179984586951808</v>
      </c>
      <c r="P1018">
        <v>0.89242918671791549</v>
      </c>
      <c r="Q1018">
        <v>-0.27483050901224632</v>
      </c>
      <c r="R1018">
        <v>0.27483050901224632</v>
      </c>
      <c r="S1018">
        <f t="shared" si="160"/>
        <v>-0.97123003732633839</v>
      </c>
      <c r="T1018" s="148">
        <f t="shared" si="155"/>
        <v>-0.92476751864418094</v>
      </c>
      <c r="U1018">
        <f t="shared" si="161"/>
        <v>2.0548941418894717</v>
      </c>
      <c r="V1018" s="55">
        <f t="shared" si="156"/>
        <v>2.0678977671722971</v>
      </c>
      <c r="W1018">
        <f t="shared" si="162"/>
        <v>0.29187151229267044</v>
      </c>
      <c r="X1018" s="55">
        <f t="shared" si="157"/>
        <v>0.2868358233664281</v>
      </c>
      <c r="Y1018" s="149">
        <v>32.975999999999999</v>
      </c>
      <c r="Z1018" s="55">
        <f t="shared" si="153"/>
        <v>5.5127445168938949E-3</v>
      </c>
      <c r="AA1018" s="55">
        <f t="shared" si="158"/>
        <v>5.4884037548069168E-3</v>
      </c>
      <c r="AB1018" s="55">
        <f t="shared" si="154"/>
        <v>-5.2006926823867579</v>
      </c>
      <c r="AC1018" s="55">
        <f t="shared" si="159"/>
        <v>-5.2051229059949344</v>
      </c>
      <c r="AD1018" s="55"/>
      <c r="AE1018" s="55"/>
      <c r="AF1018" s="55"/>
      <c r="AG1018" s="55"/>
      <c r="AH1018" s="55"/>
    </row>
    <row r="1019" spans="1:34" ht="15.75">
      <c r="A1019" s="39">
        <v>32.594509100000003</v>
      </c>
      <c r="B1019" s="39">
        <v>33.005000000000003</v>
      </c>
      <c r="C1019" s="39">
        <v>1017</v>
      </c>
      <c r="D1019">
        <v>1017</v>
      </c>
      <c r="E1019" s="10">
        <v>1564540</v>
      </c>
      <c r="F1019" s="10">
        <v>1092660</v>
      </c>
      <c r="G1019" s="10">
        <v>28553</v>
      </c>
      <c r="H1019" s="10">
        <v>52945</v>
      </c>
      <c r="I1019" s="10">
        <v>90014</v>
      </c>
      <c r="J1019" s="10">
        <v>37693</v>
      </c>
      <c r="K1019">
        <v>1017</v>
      </c>
      <c r="L1019" s="10">
        <v>3120</v>
      </c>
      <c r="M1019" s="10">
        <v>427511</v>
      </c>
      <c r="N1019" s="10">
        <v>5988</v>
      </c>
      <c r="O1019">
        <v>0.37804935661900602</v>
      </c>
      <c r="P1019">
        <v>0.90712234110816159</v>
      </c>
      <c r="Q1019">
        <v>-0.26817320730968525</v>
      </c>
      <c r="R1019">
        <v>0.26817320730968525</v>
      </c>
      <c r="S1019">
        <f t="shared" si="160"/>
        <v>-0.870490812966913</v>
      </c>
      <c r="T1019" s="148">
        <f t="shared" si="155"/>
        <v>-0.9168061877930942</v>
      </c>
      <c r="U1019">
        <f t="shared" si="161"/>
        <v>2.0887263801575129</v>
      </c>
      <c r="V1019" s="55">
        <f t="shared" si="156"/>
        <v>2.0717864701049646</v>
      </c>
      <c r="W1019">
        <f t="shared" si="162"/>
        <v>0.27771239143066201</v>
      </c>
      <c r="X1019" s="55">
        <f t="shared" si="157"/>
        <v>0.28970000525306888</v>
      </c>
      <c r="Y1019" s="149">
        <v>33.005000000000003</v>
      </c>
      <c r="Z1019" s="55">
        <f t="shared" si="153"/>
        <v>5.4802042721432105E-3</v>
      </c>
      <c r="AA1019" s="55">
        <f t="shared" si="158"/>
        <v>5.3985157785375838E-3</v>
      </c>
      <c r="AB1019" s="55">
        <f t="shared" si="154"/>
        <v>-5.2066129027784012</v>
      </c>
      <c r="AC1019" s="55">
        <f t="shared" si="159"/>
        <v>-5.2219675476277674</v>
      </c>
      <c r="AD1019" s="55"/>
      <c r="AE1019" s="55"/>
      <c r="AF1019" s="55"/>
      <c r="AG1019" s="55"/>
      <c r="AH1019" s="55"/>
    </row>
    <row r="1020" spans="1:34" ht="15.75">
      <c r="A1020" s="39">
        <v>32.622818199999998</v>
      </c>
      <c r="B1020" s="39">
        <v>33.033999999999999</v>
      </c>
      <c r="C1020" s="39">
        <v>1018</v>
      </c>
      <c r="D1020">
        <v>1018</v>
      </c>
      <c r="E1020" s="10">
        <v>1564920</v>
      </c>
      <c r="F1020" s="10">
        <v>1089840</v>
      </c>
      <c r="G1020" s="10">
        <v>28141</v>
      </c>
      <c r="H1020" s="10">
        <v>53564</v>
      </c>
      <c r="I1020" s="10">
        <v>94202</v>
      </c>
      <c r="J1020" s="10">
        <v>37968</v>
      </c>
      <c r="K1020">
        <v>1018</v>
      </c>
      <c r="L1020" s="10">
        <v>3041</v>
      </c>
      <c r="M1020" s="10">
        <v>425224</v>
      </c>
      <c r="N1020" s="10">
        <v>5670</v>
      </c>
      <c r="O1020">
        <v>0.39464240251136778</v>
      </c>
      <c r="P1020">
        <v>0.89974476711913065</v>
      </c>
      <c r="Q1020">
        <v>-0.27953347519454752</v>
      </c>
      <c r="R1020">
        <v>0.27953347519454758</v>
      </c>
      <c r="S1020">
        <f t="shared" si="160"/>
        <v>-0.90869771308603142</v>
      </c>
      <c r="T1020" s="148">
        <f t="shared" si="155"/>
        <v>-0.93622223213894173</v>
      </c>
      <c r="U1020">
        <f t="shared" si="161"/>
        <v>2.0717388882679093</v>
      </c>
      <c r="V1020" s="55">
        <f t="shared" si="156"/>
        <v>2.0802687466552929</v>
      </c>
      <c r="W1020">
        <f t="shared" si="162"/>
        <v>0.29951611203587408</v>
      </c>
      <c r="X1020" s="55">
        <f t="shared" si="157"/>
        <v>0.28808084653329497</v>
      </c>
      <c r="Y1020" s="149">
        <v>33.033999999999999</v>
      </c>
      <c r="Z1020" s="55">
        <f t="shared" si="153"/>
        <v>5.2025985465756442E-3</v>
      </c>
      <c r="AA1020" s="55">
        <f t="shared" si="158"/>
        <v>5.4215831541402151E-3</v>
      </c>
      <c r="AB1020" s="55">
        <f t="shared" si="154"/>
        <v>-5.2585970577181449</v>
      </c>
      <c r="AC1020" s="55">
        <f t="shared" si="159"/>
        <v>-5.2178092210149378</v>
      </c>
      <c r="AD1020" s="55"/>
      <c r="AE1020" s="55"/>
      <c r="AF1020" s="55"/>
      <c r="AG1020" s="55"/>
      <c r="AH1020" s="55"/>
    </row>
    <row r="1021" spans="1:34" ht="15.75">
      <c r="A1021" s="39">
        <v>32.651127299999999</v>
      </c>
      <c r="B1021" s="39">
        <v>33.063000000000002</v>
      </c>
      <c r="C1021" s="39">
        <v>1019</v>
      </c>
      <c r="D1021">
        <v>1019</v>
      </c>
      <c r="E1021" s="10">
        <v>1536810</v>
      </c>
      <c r="F1021" s="10">
        <v>1079910</v>
      </c>
      <c r="G1021" s="10">
        <v>27328</v>
      </c>
      <c r="H1021" s="10">
        <v>51954</v>
      </c>
      <c r="I1021" s="10">
        <v>101942</v>
      </c>
      <c r="J1021" s="10">
        <v>36413</v>
      </c>
      <c r="K1021">
        <v>1019</v>
      </c>
      <c r="L1021" s="10">
        <v>3244</v>
      </c>
      <c r="M1021" s="10">
        <v>416006</v>
      </c>
      <c r="N1021" s="10">
        <v>6028</v>
      </c>
      <c r="O1021">
        <v>0.4470966886288894</v>
      </c>
      <c r="P1021">
        <v>0.90348060441726974</v>
      </c>
      <c r="Q1021">
        <v>-0.27901114101811009</v>
      </c>
      <c r="R1021">
        <v>0.27901114101811009</v>
      </c>
      <c r="S1021">
        <f t="shared" si="160"/>
        <v>-1.0294781703638811</v>
      </c>
      <c r="T1021" s="148">
        <f t="shared" si="155"/>
        <v>-0.97486855451017052</v>
      </c>
      <c r="U1021">
        <f t="shared" si="161"/>
        <v>2.0803409715404557</v>
      </c>
      <c r="V1021" s="55">
        <f t="shared" si="156"/>
        <v>2.0763184485064934</v>
      </c>
      <c r="W1021">
        <f t="shared" si="162"/>
        <v>0.28701403613334892</v>
      </c>
      <c r="X1021" s="55">
        <f t="shared" si="157"/>
        <v>0.29633998153457991</v>
      </c>
      <c r="Y1021" s="149">
        <v>33.063000000000002</v>
      </c>
      <c r="Z1021" s="55">
        <f t="shared" si="153"/>
        <v>5.5819466437017897E-3</v>
      </c>
      <c r="AA1021" s="55">
        <f t="shared" si="158"/>
        <v>5.320604456972286E-3</v>
      </c>
      <c r="AB1021" s="55">
        <f t="shared" si="154"/>
        <v>-5.1882177025482683</v>
      </c>
      <c r="AC1021" s="55">
        <f t="shared" si="159"/>
        <v>-5.23676416678164</v>
      </c>
      <c r="AD1021" s="55"/>
      <c r="AE1021" s="55"/>
      <c r="AF1021" s="55"/>
      <c r="AG1021" s="55"/>
      <c r="AH1021" s="55"/>
    </row>
    <row r="1022" spans="1:34" ht="15.75">
      <c r="A1022" s="39">
        <v>32.6794364</v>
      </c>
      <c r="B1022" s="39">
        <v>33.091999999999999</v>
      </c>
      <c r="C1022" s="39">
        <v>1020</v>
      </c>
      <c r="D1022">
        <v>1020</v>
      </c>
      <c r="E1022" s="10">
        <v>1554750</v>
      </c>
      <c r="F1022" s="10">
        <v>1079720</v>
      </c>
      <c r="G1022" s="10">
        <v>27467</v>
      </c>
      <c r="H1022" s="10">
        <v>52775</v>
      </c>
      <c r="I1022" s="10">
        <v>99674</v>
      </c>
      <c r="J1022" s="10">
        <v>37169</v>
      </c>
      <c r="K1022">
        <v>1020</v>
      </c>
      <c r="L1022" s="10">
        <v>5061</v>
      </c>
      <c r="M1022" s="10">
        <v>421118</v>
      </c>
      <c r="N1022" s="10">
        <v>5590</v>
      </c>
      <c r="O1022">
        <v>0.42840101027404237</v>
      </c>
      <c r="P1022">
        <v>0.90197556304447279</v>
      </c>
      <c r="Q1022">
        <v>-0.28361701447012116</v>
      </c>
      <c r="R1022">
        <v>0.28361701447012122</v>
      </c>
      <c r="S1022">
        <f t="shared" si="160"/>
        <v>-0.98642978008059889</v>
      </c>
      <c r="T1022" s="148">
        <f t="shared" si="155"/>
        <v>-0.98347488282087048</v>
      </c>
      <c r="U1022">
        <f t="shared" si="161"/>
        <v>2.0768754857111142</v>
      </c>
      <c r="V1022" s="55">
        <f t="shared" si="156"/>
        <v>2.0744620601597492</v>
      </c>
      <c r="W1022">
        <f t="shared" si="162"/>
        <v>0.30248979643451668</v>
      </c>
      <c r="X1022" s="55">
        <f t="shared" si="157"/>
        <v>0.29075789424268494</v>
      </c>
      <c r="Y1022" s="149">
        <v>33.091999999999999</v>
      </c>
      <c r="Z1022" s="55">
        <f t="shared" si="153"/>
        <v>5.1772681806394249E-3</v>
      </c>
      <c r="AA1022" s="55">
        <f t="shared" si="158"/>
        <v>5.3780712874662885E-3</v>
      </c>
      <c r="AB1022" s="55">
        <f t="shared" si="154"/>
        <v>-5.2634777400785069</v>
      </c>
      <c r="AC1022" s="55">
        <f t="shared" si="159"/>
        <v>-5.2258974421870734</v>
      </c>
      <c r="AD1022" s="55"/>
      <c r="AE1022" s="55"/>
      <c r="AF1022" s="55"/>
      <c r="AG1022" s="55"/>
      <c r="AH1022" s="55"/>
    </row>
    <row r="1023" spans="1:34" ht="15.75">
      <c r="A1023" s="129">
        <v>32.707745500000001</v>
      </c>
      <c r="B1023" s="129">
        <v>33.121000000000002</v>
      </c>
      <c r="C1023" s="129">
        <v>1021</v>
      </c>
      <c r="D1023" s="130">
        <v>1021</v>
      </c>
      <c r="E1023" s="131">
        <v>1546893.75</v>
      </c>
      <c r="F1023" s="131">
        <v>1083225</v>
      </c>
      <c r="G1023" s="131">
        <v>28168.625</v>
      </c>
      <c r="H1023" s="131">
        <v>52816</v>
      </c>
      <c r="I1023" s="131">
        <v>95153.875</v>
      </c>
      <c r="J1023" s="131">
        <v>37374.125</v>
      </c>
      <c r="K1023" s="130">
        <v>1021</v>
      </c>
      <c r="L1023" s="131">
        <v>2554.333333</v>
      </c>
      <c r="M1023" s="131">
        <v>416957.3333</v>
      </c>
      <c r="N1023" s="131">
        <v>5822.3333329999996</v>
      </c>
      <c r="O1023" s="130">
        <v>0.40585544519572209</v>
      </c>
      <c r="P1023" s="130">
        <v>0.89732610947334956</v>
      </c>
      <c r="Q1023" s="130">
        <v>-0.27299985877529054</v>
      </c>
      <c r="R1023" s="130">
        <v>0.27299985877529054</v>
      </c>
      <c r="S1023" s="130">
        <f t="shared" si="160"/>
        <v>-0.93451669801813164</v>
      </c>
      <c r="T1023" s="148">
        <f t="shared" si="155"/>
        <v>-0.96401486396787017</v>
      </c>
      <c r="U1023" s="130">
        <f t="shared" si="161"/>
        <v>2.0661697232276777</v>
      </c>
      <c r="V1023" s="132">
        <f t="shared" si="156"/>
        <v>2.0642943666871005</v>
      </c>
      <c r="W1023" s="130">
        <f t="shared" si="162"/>
        <v>0.28276985016018918</v>
      </c>
      <c r="X1023" s="132">
        <f t="shared" si="157"/>
        <v>0.29389523543614932</v>
      </c>
      <c r="Y1023" s="149">
        <v>33.121000000000002</v>
      </c>
      <c r="Z1023" s="132">
        <f t="shared" si="153"/>
        <v>5.3749990380576517E-3</v>
      </c>
      <c r="AA1023" s="132">
        <f t="shared" si="158"/>
        <v>5.2512811325261697E-3</v>
      </c>
      <c r="AB1023" s="132">
        <f t="shared" si="154"/>
        <v>-5.2259968839344451</v>
      </c>
      <c r="AC1023" s="132">
        <f t="shared" si="159"/>
        <v>-5.2494227373377704</v>
      </c>
      <c r="AD1023" s="55"/>
      <c r="AE1023" s="55"/>
      <c r="AF1023" s="55"/>
      <c r="AG1023" s="55"/>
      <c r="AH1023" s="55"/>
    </row>
    <row r="1024" spans="1:34" ht="15.75">
      <c r="A1024" s="39">
        <v>32.736054600000003</v>
      </c>
      <c r="B1024" s="39">
        <v>33.15</v>
      </c>
      <c r="C1024" s="39">
        <v>1022</v>
      </c>
      <c r="D1024">
        <v>1022</v>
      </c>
      <c r="E1024" s="10">
        <v>1536300</v>
      </c>
      <c r="F1024" s="10">
        <v>1076020</v>
      </c>
      <c r="G1024" s="10">
        <v>27840</v>
      </c>
      <c r="H1024" s="10">
        <v>52623</v>
      </c>
      <c r="I1024" s="10">
        <v>98889</v>
      </c>
      <c r="J1024" s="10">
        <v>37446</v>
      </c>
      <c r="K1024">
        <v>1022</v>
      </c>
      <c r="L1024" s="10">
        <v>2744</v>
      </c>
      <c r="M1024" s="10">
        <v>408704</v>
      </c>
      <c r="N1024" s="10">
        <v>5597</v>
      </c>
      <c r="O1024">
        <v>0.42174255221211521</v>
      </c>
      <c r="P1024">
        <v>0.89023328491070453</v>
      </c>
      <c r="Q1024">
        <v>-0.27650637233808423</v>
      </c>
      <c r="R1024">
        <v>0.27650637233808423</v>
      </c>
      <c r="S1024">
        <f t="shared" si="160"/>
        <v>-0.97109811380487965</v>
      </c>
      <c r="T1024" s="148">
        <f t="shared" si="155"/>
        <v>-0.9348309022288287</v>
      </c>
      <c r="U1024">
        <f t="shared" si="161"/>
        <v>2.0498378911225092</v>
      </c>
      <c r="V1024" s="55">
        <f t="shared" si="156"/>
        <v>2.0550359920857395</v>
      </c>
      <c r="W1024">
        <f t="shared" si="162"/>
        <v>0.29642605971374208</v>
      </c>
      <c r="X1024" s="55">
        <f t="shared" si="157"/>
        <v>0.29295277381286916</v>
      </c>
      <c r="Y1024" s="149">
        <v>33.15</v>
      </c>
      <c r="Z1024" s="55">
        <f t="shared" si="153"/>
        <v>5.2015761788814334E-3</v>
      </c>
      <c r="AA1024" s="55">
        <f t="shared" si="158"/>
        <v>5.2935605506234142E-3</v>
      </c>
      <c r="AB1024" s="55">
        <f t="shared" si="154"/>
        <v>-5.2587935880003593</v>
      </c>
      <c r="AC1024" s="55">
        <f t="shared" si="159"/>
        <v>-5.2413548104390264</v>
      </c>
      <c r="AD1024" s="55"/>
      <c r="AE1024" s="55"/>
      <c r="AF1024" s="55"/>
      <c r="AG1024" s="55"/>
      <c r="AH1024" s="55"/>
    </row>
    <row r="1025" spans="1:34" ht="15.75">
      <c r="A1025" s="39">
        <v>32.764363600000003</v>
      </c>
      <c r="B1025" s="39">
        <v>33.179000000000002</v>
      </c>
      <c r="C1025" s="39">
        <v>1023</v>
      </c>
      <c r="D1025">
        <v>1023</v>
      </c>
      <c r="E1025" s="10">
        <v>1533520</v>
      </c>
      <c r="F1025" s="10">
        <v>1077090</v>
      </c>
      <c r="G1025" s="10">
        <v>27982</v>
      </c>
      <c r="H1025" s="10">
        <v>52492</v>
      </c>
      <c r="I1025" s="10">
        <v>92768</v>
      </c>
      <c r="J1025" s="10">
        <v>37759</v>
      </c>
      <c r="K1025">
        <v>1023</v>
      </c>
      <c r="L1025" s="10">
        <v>7721</v>
      </c>
      <c r="M1025" s="10">
        <v>407386</v>
      </c>
      <c r="N1025" s="10">
        <v>5713</v>
      </c>
      <c r="O1025">
        <v>0.39037770964401847</v>
      </c>
      <c r="P1025">
        <v>0.88991298004218033</v>
      </c>
      <c r="Q1025">
        <v>-0.27321436790200437</v>
      </c>
      <c r="R1025">
        <v>0.27321436790200432</v>
      </c>
      <c r="S1025">
        <f t="shared" si="160"/>
        <v>-0.8988778948634748</v>
      </c>
      <c r="T1025" s="148">
        <f t="shared" si="155"/>
        <v>-0.94248338079109206</v>
      </c>
      <c r="U1025">
        <f t="shared" si="161"/>
        <v>2.049100361907032</v>
      </c>
      <c r="V1025" s="55">
        <f t="shared" si="156"/>
        <v>2.0371747865873471</v>
      </c>
      <c r="W1025">
        <f t="shared" si="162"/>
        <v>0.29966241156467621</v>
      </c>
      <c r="X1025" s="55">
        <f t="shared" si="157"/>
        <v>0.28643994721247917</v>
      </c>
      <c r="Y1025" s="149">
        <v>33.179000000000002</v>
      </c>
      <c r="Z1025" s="55">
        <f t="shared" si="153"/>
        <v>5.3041064349311573E-3</v>
      </c>
      <c r="AA1025" s="55">
        <f t="shared" si="158"/>
        <v>5.2792468681325195E-3</v>
      </c>
      <c r="AB1025" s="55">
        <f t="shared" si="154"/>
        <v>-5.2392739593822748</v>
      </c>
      <c r="AC1025" s="55">
        <f t="shared" si="159"/>
        <v>-5.2440285160512605</v>
      </c>
      <c r="AD1025" s="55"/>
      <c r="AE1025" s="55"/>
      <c r="AF1025" s="55"/>
      <c r="AG1025" s="55"/>
      <c r="AH1025" s="55"/>
    </row>
    <row r="1026" spans="1:34" ht="15.75">
      <c r="A1026" s="39">
        <v>32.792672699999997</v>
      </c>
      <c r="B1026" s="39">
        <v>33.207999999999998</v>
      </c>
      <c r="C1026" s="39">
        <v>1024</v>
      </c>
      <c r="D1026">
        <v>1024</v>
      </c>
      <c r="E1026" s="10">
        <v>1518400</v>
      </c>
      <c r="F1026" s="10">
        <v>1066380</v>
      </c>
      <c r="G1026" s="10">
        <v>28287</v>
      </c>
      <c r="H1026" s="10">
        <v>53207</v>
      </c>
      <c r="I1026" s="10">
        <v>95881</v>
      </c>
      <c r="J1026" s="10">
        <v>36805</v>
      </c>
      <c r="K1026">
        <v>1024</v>
      </c>
      <c r="L1026" s="10">
        <v>4763</v>
      </c>
      <c r="M1026" s="10">
        <v>398129</v>
      </c>
      <c r="N1026" s="10">
        <v>5686</v>
      </c>
      <c r="O1026">
        <v>0.41582573283314389</v>
      </c>
      <c r="P1026">
        <v>0.87405504050907412</v>
      </c>
      <c r="Q1026">
        <v>-0.27438188208977538</v>
      </c>
      <c r="R1026">
        <v>0.27438188208977538</v>
      </c>
      <c r="S1026">
        <f t="shared" si="160"/>
        <v>-0.95747413370492185</v>
      </c>
      <c r="T1026" s="148">
        <f t="shared" si="155"/>
        <v>-0.89387082507426985</v>
      </c>
      <c r="U1026">
        <f t="shared" si="161"/>
        <v>2.0125861067325008</v>
      </c>
      <c r="V1026" s="55">
        <f t="shared" si="156"/>
        <v>2.0309869707452202</v>
      </c>
      <c r="W1026">
        <f t="shared" si="162"/>
        <v>0.26323137035901922</v>
      </c>
      <c r="X1026" s="55">
        <f t="shared" si="157"/>
        <v>0.28393272726200075</v>
      </c>
      <c r="Y1026" s="149">
        <v>33.207999999999998</v>
      </c>
      <c r="Z1026" s="55">
        <f t="shared" si="153"/>
        <v>5.3320579905849694E-3</v>
      </c>
      <c r="AA1026" s="55">
        <f t="shared" si="158"/>
        <v>5.2994632107798909E-3</v>
      </c>
      <c r="AB1026" s="55">
        <f t="shared" si="154"/>
        <v>-5.2340180007711474</v>
      </c>
      <c r="AC1026" s="55">
        <f t="shared" si="159"/>
        <v>-5.240164419573702</v>
      </c>
      <c r="AD1026" s="55"/>
      <c r="AE1026" s="55"/>
      <c r="AF1026" s="55"/>
      <c r="AG1026" s="55"/>
      <c r="AH1026" s="55"/>
    </row>
    <row r="1027" spans="1:34" ht="15.75">
      <c r="A1027" s="39">
        <v>32.820981799999998</v>
      </c>
      <c r="B1027" s="39">
        <v>33.237000000000002</v>
      </c>
      <c r="C1027" s="39">
        <v>1025</v>
      </c>
      <c r="D1027">
        <v>1025</v>
      </c>
      <c r="E1027" s="10">
        <v>1514780</v>
      </c>
      <c r="F1027" s="10">
        <v>1072170</v>
      </c>
      <c r="G1027" s="10">
        <v>28412</v>
      </c>
      <c r="H1027" s="10">
        <v>53168</v>
      </c>
      <c r="I1027" s="10">
        <v>86572</v>
      </c>
      <c r="J1027" s="10">
        <v>37929</v>
      </c>
      <c r="K1027">
        <v>1025</v>
      </c>
      <c r="L1027" s="10">
        <v>3683</v>
      </c>
      <c r="M1027" s="10">
        <v>405342</v>
      </c>
      <c r="N1027" s="10">
        <v>5642</v>
      </c>
      <c r="O1027">
        <v>0.3584060581150243</v>
      </c>
      <c r="P1027">
        <v>0.88217128208489692</v>
      </c>
      <c r="Q1027">
        <v>-0.27214851793461836</v>
      </c>
      <c r="R1027">
        <v>0.27214851793461836</v>
      </c>
      <c r="S1027">
        <f t="shared" si="160"/>
        <v>-0.82526044665441256</v>
      </c>
      <c r="T1027" s="148">
        <f t="shared" si="155"/>
        <v>-0.87091509569757808</v>
      </c>
      <c r="U1027">
        <f t="shared" si="161"/>
        <v>2.031274443596129</v>
      </c>
      <c r="V1027" s="55">
        <f t="shared" si="156"/>
        <v>2.0222307695735657</v>
      </c>
      <c r="W1027">
        <f t="shared" si="162"/>
        <v>0.28890439986230676</v>
      </c>
      <c r="X1027" s="55">
        <f t="shared" si="157"/>
        <v>0.27658436020886162</v>
      </c>
      <c r="Y1027" s="149">
        <v>33.237000000000002</v>
      </c>
      <c r="Z1027" s="55">
        <f t="shared" ref="Z1027:Z1067" si="163">N1027/F1027</f>
        <v>5.262225206823545E-3</v>
      </c>
      <c r="AA1027" s="55">
        <f t="shared" si="158"/>
        <v>5.3072161054584432E-3</v>
      </c>
      <c r="AB1027" s="55">
        <f t="shared" ref="AB1027:AB1067" si="164">LN(Z1027)</f>
        <v>-5.2472012985676848</v>
      </c>
      <c r="AC1027" s="55">
        <f t="shared" si="159"/>
        <v>-5.2387059371786657</v>
      </c>
      <c r="AD1027" s="55"/>
      <c r="AE1027" s="55"/>
      <c r="AF1027" s="55"/>
      <c r="AG1027" s="55"/>
      <c r="AH1027" s="55"/>
    </row>
    <row r="1028" spans="1:34" ht="15.75">
      <c r="A1028" s="39">
        <v>32.8492909</v>
      </c>
      <c r="B1028" s="39">
        <v>33.265999999999998</v>
      </c>
      <c r="C1028" s="39">
        <v>1026</v>
      </c>
      <c r="D1028">
        <v>1026</v>
      </c>
      <c r="E1028" s="10">
        <v>1549020</v>
      </c>
      <c r="F1028" s="10">
        <v>1090220</v>
      </c>
      <c r="G1028" s="10">
        <v>29408</v>
      </c>
      <c r="H1028" s="10">
        <v>54747</v>
      </c>
      <c r="I1028" s="10">
        <v>89023</v>
      </c>
      <c r="J1028" s="10">
        <v>38818</v>
      </c>
      <c r="K1028">
        <v>1026</v>
      </c>
      <c r="L1028" s="10">
        <v>4347</v>
      </c>
      <c r="M1028" s="10">
        <v>413871</v>
      </c>
      <c r="N1028" s="10">
        <v>5808</v>
      </c>
      <c r="O1028">
        <v>0.36046906985493388</v>
      </c>
      <c r="P1028">
        <v>0.87850467048832692</v>
      </c>
      <c r="Q1028">
        <v>-0.26989483619623089</v>
      </c>
      <c r="R1028">
        <v>0.26989483619623089</v>
      </c>
      <c r="S1028">
        <f t="shared" si="160"/>
        <v>-0.83001070673339994</v>
      </c>
      <c r="T1028" s="148">
        <f t="shared" ref="T1028:T1066" si="165">AVERAGE(S1027:S1029)</f>
        <v>-0.8283855395086559</v>
      </c>
      <c r="U1028">
        <f t="shared" si="161"/>
        <v>2.0228317583920679</v>
      </c>
      <c r="V1028" s="55">
        <f t="shared" ref="V1028:V1066" si="166">AVERAGE(U1027:U1029)</f>
        <v>2.025164422603845</v>
      </c>
      <c r="W1028">
        <f t="shared" si="162"/>
        <v>0.27761731040525889</v>
      </c>
      <c r="X1028" s="55">
        <f t="shared" ref="X1028:X1066" si="167">AVERAGE(W1027:W1029)</f>
        <v>0.28797048994766289</v>
      </c>
      <c r="Y1028" s="149">
        <v>33.265999999999998</v>
      </c>
      <c r="Z1028" s="55">
        <f t="shared" si="163"/>
        <v>5.3273651189668144E-3</v>
      </c>
      <c r="AA1028" s="55">
        <f t="shared" ref="AA1028:AA1066" si="168">AVERAGE(Z1027:Z1029)</f>
        <v>5.3571805956063008E-3</v>
      </c>
      <c r="AB1028" s="55">
        <f t="shared" si="164"/>
        <v>-5.2348985121971641</v>
      </c>
      <c r="AC1028" s="55">
        <f t="shared" ref="AC1028:AC1066" si="169">AVERAGE(AB1027:AB1029)</f>
        <v>-5.2294646487168857</v>
      </c>
      <c r="AD1028" s="55"/>
      <c r="AE1028" s="55"/>
      <c r="AF1028" s="55"/>
      <c r="AG1028" s="55"/>
      <c r="AH1028" s="55"/>
    </row>
    <row r="1029" spans="1:34" ht="15.75">
      <c r="A1029" s="39">
        <v>32.877600000000001</v>
      </c>
      <c r="B1029" s="39">
        <v>33.295000000000002</v>
      </c>
      <c r="C1029" s="39">
        <v>1027</v>
      </c>
      <c r="D1029">
        <v>1027</v>
      </c>
      <c r="E1029" s="10">
        <v>1544950</v>
      </c>
      <c r="F1029" s="10">
        <v>1090670</v>
      </c>
      <c r="G1029" s="10">
        <v>28934</v>
      </c>
      <c r="H1029" s="10">
        <v>54347</v>
      </c>
      <c r="I1029" s="10">
        <v>89326</v>
      </c>
      <c r="J1029" s="10">
        <v>38955</v>
      </c>
      <c r="K1029">
        <v>1027</v>
      </c>
      <c r="L1029" s="10">
        <v>2907</v>
      </c>
      <c r="M1029" s="10">
        <v>410254</v>
      </c>
      <c r="N1029" s="10">
        <v>5979</v>
      </c>
      <c r="O1029">
        <v>0.36041467812121419</v>
      </c>
      <c r="P1029">
        <v>0.877877248477681</v>
      </c>
      <c r="Q1029">
        <v>-0.27376709853732539</v>
      </c>
      <c r="R1029">
        <v>0.27376709853732539</v>
      </c>
      <c r="S1029">
        <f t="shared" si="160"/>
        <v>-0.82988546513815509</v>
      </c>
      <c r="T1029" s="148">
        <f t="shared" si="165"/>
        <v>-0.84276891859509229</v>
      </c>
      <c r="U1029">
        <f t="shared" si="161"/>
        <v>2.0213870658233382</v>
      </c>
      <c r="V1029" s="55">
        <f t="shared" si="166"/>
        <v>2.0141567827386511</v>
      </c>
      <c r="W1029">
        <f t="shared" si="162"/>
        <v>0.29738975957542296</v>
      </c>
      <c r="X1029" s="55">
        <f t="shared" si="167"/>
        <v>0.28641327994654348</v>
      </c>
      <c r="Y1029" s="149">
        <v>33.295000000000002</v>
      </c>
      <c r="Z1029" s="55">
        <f t="shared" si="163"/>
        <v>5.4819514610285423E-3</v>
      </c>
      <c r="AA1029" s="55">
        <f t="shared" si="168"/>
        <v>5.4100942805011447E-3</v>
      </c>
      <c r="AB1029" s="55">
        <f t="shared" si="164"/>
        <v>-5.206294135385809</v>
      </c>
      <c r="AC1029" s="55">
        <f t="shared" si="169"/>
        <v>-5.2195579499906684</v>
      </c>
      <c r="AD1029" s="55"/>
      <c r="AE1029" s="55"/>
      <c r="AF1029" s="55"/>
      <c r="AG1029" s="55"/>
      <c r="AH1029" s="55"/>
    </row>
    <row r="1030" spans="1:34" ht="15.75">
      <c r="A1030" s="39">
        <v>32.905909100000002</v>
      </c>
      <c r="B1030" s="39">
        <v>33.323999999999998</v>
      </c>
      <c r="C1030" s="39">
        <v>1028</v>
      </c>
      <c r="D1030">
        <v>1028</v>
      </c>
      <c r="E1030" s="10">
        <v>1532400</v>
      </c>
      <c r="F1030" s="10">
        <v>1078590</v>
      </c>
      <c r="G1030" s="10">
        <v>29114</v>
      </c>
      <c r="H1030" s="10">
        <v>54452</v>
      </c>
      <c r="I1030" s="10">
        <v>92191</v>
      </c>
      <c r="J1030" s="10">
        <v>38685</v>
      </c>
      <c r="K1030">
        <v>1028</v>
      </c>
      <c r="L1030" s="10">
        <v>2977</v>
      </c>
      <c r="M1030" s="10">
        <v>401646</v>
      </c>
      <c r="N1030" s="10">
        <v>5847</v>
      </c>
      <c r="O1030">
        <v>0.37714592462011026</v>
      </c>
      <c r="P1030">
        <v>0.86782961032820105</v>
      </c>
      <c r="Q1030">
        <v>-0.27191195817811914</v>
      </c>
      <c r="R1030">
        <v>0.27191195817811914</v>
      </c>
      <c r="S1030">
        <f t="shared" si="160"/>
        <v>-0.86841058391372195</v>
      </c>
      <c r="T1030" s="148">
        <f t="shared" si="165"/>
        <v>-0.81945953029926122</v>
      </c>
      <c r="U1030">
        <f t="shared" si="161"/>
        <v>1.9982515240005472</v>
      </c>
      <c r="V1030" s="55">
        <f t="shared" si="166"/>
        <v>2.0160711899224597</v>
      </c>
      <c r="W1030">
        <f t="shared" si="162"/>
        <v>0.28423276985894863</v>
      </c>
      <c r="X1030" s="55">
        <f t="shared" si="167"/>
        <v>0.29351867481089294</v>
      </c>
      <c r="Y1030" s="149">
        <v>33.323999999999998</v>
      </c>
      <c r="Z1030" s="55">
        <f t="shared" si="163"/>
        <v>5.4209662615080801E-3</v>
      </c>
      <c r="AA1030" s="55">
        <f t="shared" si="168"/>
        <v>5.4433805638219286E-3</v>
      </c>
      <c r="AB1030" s="55">
        <f t="shared" si="164"/>
        <v>-5.2174812023890329</v>
      </c>
      <c r="AC1030" s="55">
        <f t="shared" si="169"/>
        <v>-5.2133676177155159</v>
      </c>
      <c r="AD1030" s="55"/>
      <c r="AE1030" s="55"/>
      <c r="AF1030" s="55"/>
      <c r="AG1030" s="55"/>
      <c r="AH1030" s="55"/>
    </row>
    <row r="1031" spans="1:34" ht="15.75">
      <c r="A1031" s="39">
        <v>32.934218199999997</v>
      </c>
      <c r="B1031" s="39">
        <v>33.353000000000002</v>
      </c>
      <c r="C1031" s="39">
        <v>1029</v>
      </c>
      <c r="D1031">
        <v>1029</v>
      </c>
      <c r="E1031" s="10">
        <v>1528940</v>
      </c>
      <c r="F1031" s="10">
        <v>1081400</v>
      </c>
      <c r="G1031" s="10">
        <v>28480</v>
      </c>
      <c r="H1031" s="10">
        <v>54318</v>
      </c>
      <c r="I1031" s="10">
        <v>82123</v>
      </c>
      <c r="J1031" s="10">
        <v>38403</v>
      </c>
      <c r="K1031">
        <v>1029</v>
      </c>
      <c r="L1031" s="10">
        <v>5056</v>
      </c>
      <c r="M1031" s="10">
        <v>412993</v>
      </c>
      <c r="N1031" s="10">
        <v>5869</v>
      </c>
      <c r="O1031">
        <v>0.33009965371467481</v>
      </c>
      <c r="P1031">
        <v>0.88099891991645907</v>
      </c>
      <c r="Q1031">
        <v>-0.28040378578931974</v>
      </c>
      <c r="R1031">
        <v>0.28040378578931974</v>
      </c>
      <c r="S1031">
        <f t="shared" si="160"/>
        <v>-0.76008254184590673</v>
      </c>
      <c r="T1031" s="148">
        <f t="shared" si="165"/>
        <v>-0.83115596074257159</v>
      </c>
      <c r="U1031">
        <f t="shared" si="161"/>
        <v>2.0285749799434938</v>
      </c>
      <c r="V1031" s="55">
        <f t="shared" si="166"/>
        <v>2.0316539186065206</v>
      </c>
      <c r="W1031">
        <f t="shared" si="162"/>
        <v>0.29893349499830724</v>
      </c>
      <c r="X1031" s="55">
        <f t="shared" si="167"/>
        <v>0.3049698073697456</v>
      </c>
      <c r="Y1031" s="149">
        <v>33.353000000000002</v>
      </c>
      <c r="Z1031" s="55">
        <f t="shared" si="163"/>
        <v>5.4272239689291662E-3</v>
      </c>
      <c r="AA1031" s="55">
        <f t="shared" si="168"/>
        <v>5.2385925907428507E-3</v>
      </c>
      <c r="AB1031" s="55">
        <f t="shared" si="164"/>
        <v>-5.2163275153717068</v>
      </c>
      <c r="AC1031" s="55">
        <f t="shared" si="169"/>
        <v>-5.2529885178935647</v>
      </c>
      <c r="AD1031" s="55"/>
      <c r="AE1031" s="55"/>
      <c r="AF1031" s="55"/>
      <c r="AG1031" s="55"/>
      <c r="AH1031" s="55"/>
    </row>
    <row r="1032" spans="1:34" ht="15.75">
      <c r="A1032" s="39">
        <v>32.962527299999998</v>
      </c>
      <c r="B1032" s="39">
        <v>33.381999999999998</v>
      </c>
      <c r="C1032" s="39">
        <v>1030</v>
      </c>
      <c r="D1032">
        <v>1030</v>
      </c>
      <c r="E1032" s="10">
        <v>1267890</v>
      </c>
      <c r="F1032" s="10">
        <v>909280</v>
      </c>
      <c r="G1032" s="10">
        <v>21650</v>
      </c>
      <c r="H1032" s="10">
        <v>42817</v>
      </c>
      <c r="I1032" s="10">
        <v>71645</v>
      </c>
      <c r="J1032" s="10">
        <v>30167</v>
      </c>
      <c r="K1032">
        <v>1030</v>
      </c>
      <c r="L1032" s="10">
        <v>1862</v>
      </c>
      <c r="M1032" s="10">
        <v>338685</v>
      </c>
      <c r="N1032" s="10">
        <v>4426</v>
      </c>
      <c r="O1032">
        <v>0.37565376371969894</v>
      </c>
      <c r="P1032">
        <v>0.89817972771913057</v>
      </c>
      <c r="Q1032">
        <v>-0.29615833421933152</v>
      </c>
      <c r="R1032">
        <v>0.29615833421933146</v>
      </c>
      <c r="S1032">
        <f t="shared" si="160"/>
        <v>-0.86497475646808619</v>
      </c>
      <c r="T1032" s="148">
        <f t="shared" si="165"/>
        <v>-0.81444710097391881</v>
      </c>
      <c r="U1032">
        <f t="shared" si="161"/>
        <v>2.0681352518755207</v>
      </c>
      <c r="V1032" s="55">
        <f t="shared" si="166"/>
        <v>2.0510372623798072</v>
      </c>
      <c r="W1032">
        <f t="shared" si="162"/>
        <v>0.33174315725198106</v>
      </c>
      <c r="X1032" s="55">
        <f t="shared" si="167"/>
        <v>0.30921020593873877</v>
      </c>
      <c r="Y1032" s="149">
        <v>33.381999999999998</v>
      </c>
      <c r="Z1032" s="55">
        <f t="shared" si="163"/>
        <v>4.8675875417913076E-3</v>
      </c>
      <c r="AA1032" s="55">
        <f t="shared" si="168"/>
        <v>5.1297014912606046E-3</v>
      </c>
      <c r="AB1032" s="55">
        <f t="shared" si="164"/>
        <v>-5.3251568359199535</v>
      </c>
      <c r="AC1032" s="55">
        <f t="shared" si="169"/>
        <v>-5.2737062479907548</v>
      </c>
      <c r="AD1032" s="55"/>
      <c r="AE1032" s="55"/>
      <c r="AF1032" s="55"/>
      <c r="AG1032" s="55"/>
      <c r="AH1032" s="55"/>
    </row>
    <row r="1033" spans="1:34" ht="15.75">
      <c r="A1033" s="39">
        <v>32.990836399999999</v>
      </c>
      <c r="B1033" s="39">
        <v>33.411000000000001</v>
      </c>
      <c r="C1033" s="39">
        <v>1031</v>
      </c>
      <c r="D1033">
        <v>1031</v>
      </c>
      <c r="E1033" s="10">
        <v>1554420</v>
      </c>
      <c r="F1033" s="10">
        <v>1091810</v>
      </c>
      <c r="G1033" s="10">
        <v>28234</v>
      </c>
      <c r="H1033" s="10">
        <v>54376</v>
      </c>
      <c r="I1033" s="10">
        <v>86122</v>
      </c>
      <c r="J1033" s="10">
        <v>37996</v>
      </c>
      <c r="K1033">
        <v>1031</v>
      </c>
      <c r="L1033" s="10">
        <v>3876</v>
      </c>
      <c r="M1033" s="10">
        <v>425100</v>
      </c>
      <c r="N1033" s="10">
        <v>5562</v>
      </c>
      <c r="O1033">
        <v>0.35537622783084682</v>
      </c>
      <c r="P1033">
        <v>0.89308384805291752</v>
      </c>
      <c r="Q1033">
        <v>-0.28463484653681981</v>
      </c>
      <c r="R1033">
        <v>0.28463484653681981</v>
      </c>
      <c r="S1033">
        <f t="shared" si="160"/>
        <v>-0.81828400460776352</v>
      </c>
      <c r="T1033" s="148">
        <f t="shared" si="165"/>
        <v>-0.80704258245463356</v>
      </c>
      <c r="U1033">
        <f t="shared" si="161"/>
        <v>2.0564015553204076</v>
      </c>
      <c r="V1033" s="55">
        <f t="shared" si="166"/>
        <v>2.0617994522531711</v>
      </c>
      <c r="W1033">
        <f t="shared" si="162"/>
        <v>0.29695396556592818</v>
      </c>
      <c r="X1033" s="55">
        <f t="shared" si="167"/>
        <v>0.31063398252596913</v>
      </c>
      <c r="Y1033" s="149">
        <v>33.411000000000001</v>
      </c>
      <c r="Z1033" s="55">
        <f t="shared" si="163"/>
        <v>5.0942929630613384E-3</v>
      </c>
      <c r="AA1033" s="55">
        <f t="shared" si="168"/>
        <v>5.1489615192704353E-3</v>
      </c>
      <c r="AB1033" s="55">
        <f t="shared" si="164"/>
        <v>-5.2796343926806033</v>
      </c>
      <c r="AC1033" s="55">
        <f t="shared" si="169"/>
        <v>-5.2701762249796573</v>
      </c>
      <c r="AD1033" s="55"/>
      <c r="AE1033" s="55"/>
      <c r="AF1033" s="55"/>
      <c r="AG1033" s="55"/>
      <c r="AH1033" s="55"/>
    </row>
    <row r="1034" spans="1:34" ht="15.75">
      <c r="A1034" s="39">
        <v>33.0191455</v>
      </c>
      <c r="B1034" s="39">
        <v>33.44</v>
      </c>
      <c r="C1034" s="39">
        <v>1032</v>
      </c>
      <c r="D1034">
        <v>1032</v>
      </c>
      <c r="E1034" s="10">
        <v>1563340</v>
      </c>
      <c r="F1034" s="10">
        <v>1110300</v>
      </c>
      <c r="G1034" s="10">
        <v>28174</v>
      </c>
      <c r="H1034" s="10">
        <v>54805</v>
      </c>
      <c r="I1034" s="10">
        <v>79796</v>
      </c>
      <c r="J1034" s="10">
        <v>38153</v>
      </c>
      <c r="K1034">
        <v>1032</v>
      </c>
      <c r="L1034" s="10">
        <v>5307</v>
      </c>
      <c r="M1034" s="10">
        <v>430369</v>
      </c>
      <c r="N1034" s="10">
        <v>6090</v>
      </c>
      <c r="O1034">
        <v>0.3204524291124467</v>
      </c>
      <c r="P1034">
        <v>0.89502079894204967</v>
      </c>
      <c r="Q1034">
        <v>-0.28897167181968386</v>
      </c>
      <c r="R1034">
        <v>0.28897167181968386</v>
      </c>
      <c r="S1034">
        <f t="shared" si="160"/>
        <v>-0.73786898628805109</v>
      </c>
      <c r="T1034" s="148">
        <f t="shared" si="165"/>
        <v>-0.73546287752364325</v>
      </c>
      <c r="U1034">
        <f t="shared" si="161"/>
        <v>2.0608615495635845</v>
      </c>
      <c r="V1034" s="55">
        <f t="shared" si="166"/>
        <v>2.071137025811252</v>
      </c>
      <c r="W1034">
        <f t="shared" si="162"/>
        <v>0.30320482475999816</v>
      </c>
      <c r="X1034" s="55">
        <f t="shared" si="167"/>
        <v>0.29796068205324405</v>
      </c>
      <c r="Y1034" s="149">
        <v>33.44</v>
      </c>
      <c r="Z1034" s="55">
        <f t="shared" si="163"/>
        <v>5.4850040529586599E-3</v>
      </c>
      <c r="AA1034" s="55">
        <f t="shared" si="168"/>
        <v>5.2880684085029979E-3</v>
      </c>
      <c r="AB1034" s="55">
        <f t="shared" si="164"/>
        <v>-5.2057374463384143</v>
      </c>
      <c r="AC1034" s="55">
        <f t="shared" si="169"/>
        <v>-5.242757288983058</v>
      </c>
      <c r="AD1034" s="55"/>
      <c r="AE1034" s="55"/>
      <c r="AF1034" s="55"/>
      <c r="AG1034" s="55"/>
      <c r="AH1034" s="55"/>
    </row>
    <row r="1035" spans="1:34" ht="15.75">
      <c r="A1035" s="39">
        <v>33.047454600000002</v>
      </c>
      <c r="B1035" s="39">
        <v>33.469000000000001</v>
      </c>
      <c r="C1035" s="39">
        <v>1033</v>
      </c>
      <c r="D1035">
        <v>1033</v>
      </c>
      <c r="E1035" s="10">
        <v>1598690</v>
      </c>
      <c r="F1035" s="10">
        <v>1132470</v>
      </c>
      <c r="G1035" s="10">
        <v>29293</v>
      </c>
      <c r="H1035" s="10">
        <v>55248</v>
      </c>
      <c r="I1035" s="10">
        <v>75287</v>
      </c>
      <c r="J1035" s="10">
        <v>39294</v>
      </c>
      <c r="K1035">
        <v>1033</v>
      </c>
      <c r="L1035" s="10">
        <v>6624</v>
      </c>
      <c r="M1035" s="10">
        <v>449430</v>
      </c>
      <c r="N1035" s="10">
        <v>5985</v>
      </c>
      <c r="O1035">
        <v>0.28239375111632259</v>
      </c>
      <c r="P1035">
        <v>0.91034549773105133</v>
      </c>
      <c r="Q1035">
        <v>-0.27555270940821275</v>
      </c>
      <c r="R1035">
        <v>0.27555270940821275</v>
      </c>
      <c r="S1035">
        <f t="shared" si="160"/>
        <v>-0.65023564167511505</v>
      </c>
      <c r="T1035" s="148">
        <f t="shared" si="165"/>
        <v>-0.73220431635821059</v>
      </c>
      <c r="U1035">
        <f t="shared" si="161"/>
        <v>2.0961479725497636</v>
      </c>
      <c r="V1035" s="55">
        <f t="shared" si="166"/>
        <v>2.0929609771220128</v>
      </c>
      <c r="W1035">
        <f t="shared" si="162"/>
        <v>0.29372325583380582</v>
      </c>
      <c r="X1035" s="55">
        <f t="shared" si="167"/>
        <v>0.30166588322167831</v>
      </c>
      <c r="Y1035" s="149">
        <v>33.469000000000001</v>
      </c>
      <c r="Z1035" s="55">
        <f t="shared" si="163"/>
        <v>5.2849082094889935E-3</v>
      </c>
      <c r="AA1035" s="55">
        <f t="shared" si="168"/>
        <v>5.2787936457722798E-3</v>
      </c>
      <c r="AB1035" s="55">
        <f t="shared" si="164"/>
        <v>-5.2429000279301592</v>
      </c>
      <c r="AC1035" s="55">
        <f t="shared" si="169"/>
        <v>-5.2445828973861923</v>
      </c>
      <c r="AD1035" s="55"/>
      <c r="AE1035" s="55"/>
      <c r="AF1035" s="55"/>
      <c r="AG1035" s="55"/>
      <c r="AH1035" s="55"/>
    </row>
    <row r="1036" spans="1:34" ht="15.75">
      <c r="A1036" s="39">
        <v>33.075763600000002</v>
      </c>
      <c r="B1036" s="39">
        <v>33.497999999999998</v>
      </c>
      <c r="C1036" s="39">
        <v>1034</v>
      </c>
      <c r="D1036">
        <v>1034</v>
      </c>
      <c r="E1036" s="10">
        <v>1613360</v>
      </c>
      <c r="F1036" s="10">
        <v>1131360</v>
      </c>
      <c r="G1036" s="10">
        <v>28354</v>
      </c>
      <c r="H1036" s="10">
        <v>54147</v>
      </c>
      <c r="I1036" s="10">
        <v>86604</v>
      </c>
      <c r="J1036" s="10">
        <v>38584</v>
      </c>
      <c r="K1036">
        <v>1034</v>
      </c>
      <c r="L1036" s="10">
        <v>15514</v>
      </c>
      <c r="M1036" s="10">
        <v>451952</v>
      </c>
      <c r="N1036" s="10">
        <v>5732</v>
      </c>
      <c r="O1036">
        <v>0.35113070243157196</v>
      </c>
      <c r="P1036">
        <v>0.9215179129356833</v>
      </c>
      <c r="Q1036">
        <v>-0.28096006463482048</v>
      </c>
      <c r="R1036">
        <v>0.28096006463482048</v>
      </c>
      <c r="S1036">
        <f t="shared" si="160"/>
        <v>-0.80850832111146576</v>
      </c>
      <c r="T1036" s="148">
        <f t="shared" si="165"/>
        <v>-0.77367348054494867</v>
      </c>
      <c r="U1036">
        <f t="shared" si="161"/>
        <v>2.1218734092526894</v>
      </c>
      <c r="V1036" s="55">
        <f t="shared" si="166"/>
        <v>2.10426893101612</v>
      </c>
      <c r="W1036">
        <f t="shared" si="162"/>
        <v>0.30806956907123095</v>
      </c>
      <c r="X1036" s="55">
        <f t="shared" si="167"/>
        <v>0.30123722393553937</v>
      </c>
      <c r="Y1036" s="149">
        <v>33.497999999999998</v>
      </c>
      <c r="Z1036" s="55">
        <f t="shared" si="163"/>
        <v>5.0664686748691842E-3</v>
      </c>
      <c r="AA1036" s="55">
        <f t="shared" si="168"/>
        <v>5.1801984205716569E-3</v>
      </c>
      <c r="AB1036" s="55">
        <f t="shared" si="164"/>
        <v>-5.2851112178900053</v>
      </c>
      <c r="AC1036" s="55">
        <f t="shared" si="169"/>
        <v>-5.2630611468771429</v>
      </c>
      <c r="AD1036" s="55"/>
      <c r="AE1036" s="55"/>
      <c r="AF1036" s="55"/>
      <c r="AG1036" s="55"/>
      <c r="AH1036" s="55"/>
    </row>
    <row r="1037" spans="1:34" ht="15.75">
      <c r="A1037" s="39">
        <v>33.104072700000003</v>
      </c>
      <c r="B1037" s="39">
        <v>33.527000000000001</v>
      </c>
      <c r="C1037" s="39">
        <v>1035</v>
      </c>
      <c r="D1037">
        <v>1035</v>
      </c>
      <c r="E1037" s="10">
        <v>1579710</v>
      </c>
      <c r="F1037" s="10">
        <v>1111150</v>
      </c>
      <c r="G1037" s="10">
        <v>28228</v>
      </c>
      <c r="H1037" s="10">
        <v>53744</v>
      </c>
      <c r="I1037" s="10">
        <v>90424</v>
      </c>
      <c r="J1037" s="10">
        <v>38177</v>
      </c>
      <c r="K1037">
        <v>1035</v>
      </c>
      <c r="L1037" s="10">
        <v>6923</v>
      </c>
      <c r="M1037" s="10">
        <v>436600</v>
      </c>
      <c r="N1037" s="10">
        <v>5766</v>
      </c>
      <c r="O1037">
        <v>0.37448191663876756</v>
      </c>
      <c r="P1037">
        <v>0.90975374487553129</v>
      </c>
      <c r="Q1037">
        <v>-0.27964987773549282</v>
      </c>
      <c r="R1037">
        <v>0.27964987773549277</v>
      </c>
      <c r="S1037">
        <f t="shared" si="160"/>
        <v>-0.86227647884826497</v>
      </c>
      <c r="T1037" s="148">
        <f t="shared" si="165"/>
        <v>-0.86193524775332653</v>
      </c>
      <c r="U1037">
        <f t="shared" si="161"/>
        <v>2.0947854112459066</v>
      </c>
      <c r="V1037" s="55">
        <f t="shared" si="166"/>
        <v>2.101633061736476</v>
      </c>
      <c r="W1037">
        <f t="shared" si="162"/>
        <v>0.30191884690158116</v>
      </c>
      <c r="X1037" s="55">
        <f t="shared" si="167"/>
        <v>0.29448421577475742</v>
      </c>
      <c r="Y1037" s="149">
        <v>33.527000000000001</v>
      </c>
      <c r="Z1037" s="55">
        <f t="shared" si="163"/>
        <v>5.1892183773567923E-3</v>
      </c>
      <c r="AA1037" s="55">
        <f t="shared" si="168"/>
        <v>5.1286632081634443E-3</v>
      </c>
      <c r="AB1037" s="55">
        <f t="shared" si="164"/>
        <v>-5.2611721948112669</v>
      </c>
      <c r="AC1037" s="55">
        <f t="shared" si="169"/>
        <v>-5.2729580177639397</v>
      </c>
      <c r="AD1037" s="55"/>
      <c r="AE1037" s="55"/>
      <c r="AF1037" s="55"/>
      <c r="AG1037" s="55"/>
      <c r="AH1037" s="55"/>
    </row>
    <row r="1038" spans="1:34" ht="15.75">
      <c r="A1038" s="39">
        <v>33.132381799999997</v>
      </c>
      <c r="B1038" s="39">
        <v>33.555999999999997</v>
      </c>
      <c r="C1038" s="39">
        <v>1036</v>
      </c>
      <c r="D1038">
        <v>1036</v>
      </c>
      <c r="E1038" s="10">
        <v>1613570</v>
      </c>
      <c r="F1038" s="10">
        <v>1124690</v>
      </c>
      <c r="G1038" s="10">
        <v>29255</v>
      </c>
      <c r="H1038" s="10">
        <v>54794</v>
      </c>
      <c r="I1038" s="10">
        <v>96018</v>
      </c>
      <c r="J1038" s="10">
        <v>38456</v>
      </c>
      <c r="K1038">
        <v>1036</v>
      </c>
      <c r="L1038" s="10">
        <v>9801</v>
      </c>
      <c r="M1038" s="10">
        <v>442226</v>
      </c>
      <c r="N1038" s="10">
        <v>5770</v>
      </c>
      <c r="O1038">
        <v>0.39738854650120625</v>
      </c>
      <c r="P1038">
        <v>0.90691126728154836</v>
      </c>
      <c r="Q1038">
        <v>-0.27253290294359361</v>
      </c>
      <c r="R1038">
        <v>0.27253290294359367</v>
      </c>
      <c r="S1038">
        <f t="shared" si="160"/>
        <v>-0.91502094330024863</v>
      </c>
      <c r="T1038" s="148">
        <f t="shared" si="165"/>
        <v>-0.89634963038357596</v>
      </c>
      <c r="U1038">
        <f t="shared" si="161"/>
        <v>2.0882403647108321</v>
      </c>
      <c r="V1038" s="55">
        <f t="shared" si="166"/>
        <v>2.1013390524356761</v>
      </c>
      <c r="W1038">
        <f t="shared" si="162"/>
        <v>0.2734642313514602</v>
      </c>
      <c r="X1038" s="55">
        <f t="shared" si="167"/>
        <v>0.28818496745571004</v>
      </c>
      <c r="Y1038" s="149">
        <v>33.555999999999997</v>
      </c>
      <c r="Z1038" s="55">
        <f t="shared" si="163"/>
        <v>5.1303025722643572E-3</v>
      </c>
      <c r="AA1038" s="55">
        <f t="shared" si="168"/>
        <v>5.1371152768574921E-3</v>
      </c>
      <c r="AB1038" s="55">
        <f t="shared" si="164"/>
        <v>-5.2725906405905487</v>
      </c>
      <c r="AC1038" s="55">
        <f t="shared" si="169"/>
        <v>-5.2712939417650793</v>
      </c>
      <c r="AD1038" s="55"/>
      <c r="AE1038" s="55"/>
      <c r="AF1038" s="55"/>
      <c r="AG1038" s="55"/>
      <c r="AH1038" s="55"/>
    </row>
    <row r="1039" spans="1:34" ht="15.75">
      <c r="A1039" s="39">
        <v>33.160690899999999</v>
      </c>
      <c r="B1039" s="39">
        <v>33.585000000000001</v>
      </c>
      <c r="C1039" s="39">
        <v>1037</v>
      </c>
      <c r="D1039">
        <v>1037</v>
      </c>
      <c r="E1039" s="10">
        <v>1624880</v>
      </c>
      <c r="F1039" s="10">
        <v>1127690</v>
      </c>
      <c r="G1039" s="10">
        <v>28507</v>
      </c>
      <c r="H1039" s="10">
        <v>54717</v>
      </c>
      <c r="I1039" s="10">
        <v>94734</v>
      </c>
      <c r="J1039" s="10">
        <v>38066</v>
      </c>
      <c r="K1039">
        <v>1037</v>
      </c>
      <c r="L1039" s="10">
        <v>6079</v>
      </c>
      <c r="M1039" s="10">
        <v>456307</v>
      </c>
      <c r="N1039" s="10">
        <v>5742</v>
      </c>
      <c r="O1039">
        <v>0.39596863185484543</v>
      </c>
      <c r="P1039">
        <v>0.92113485308478638</v>
      </c>
      <c r="Q1039">
        <v>-0.28317076232376737</v>
      </c>
      <c r="R1039">
        <v>0.28317076232376737</v>
      </c>
      <c r="S1039">
        <f t="shared" si="160"/>
        <v>-0.91175146900221427</v>
      </c>
      <c r="T1039" s="148">
        <f t="shared" si="165"/>
        <v>-0.95276932966853656</v>
      </c>
      <c r="U1039">
        <f t="shared" si="161"/>
        <v>2.1209913813502892</v>
      </c>
      <c r="V1039" s="55">
        <f t="shared" si="166"/>
        <v>2.1195030358080564</v>
      </c>
      <c r="W1039">
        <f t="shared" si="162"/>
        <v>0.28917182411408882</v>
      </c>
      <c r="X1039" s="55">
        <f t="shared" si="167"/>
        <v>0.27959112371767708</v>
      </c>
      <c r="Y1039" s="149">
        <v>33.585000000000001</v>
      </c>
      <c r="Z1039" s="55">
        <f t="shared" si="163"/>
        <v>5.0918248809513249E-3</v>
      </c>
      <c r="AA1039" s="55">
        <f t="shared" si="168"/>
        <v>5.131164809775165E-3</v>
      </c>
      <c r="AB1039" s="55">
        <f t="shared" si="164"/>
        <v>-5.2801189898934195</v>
      </c>
      <c r="AC1039" s="55">
        <f t="shared" si="169"/>
        <v>-5.272442616819208</v>
      </c>
      <c r="AD1039" s="55"/>
      <c r="AE1039" s="55"/>
      <c r="AF1039" s="55"/>
      <c r="AG1039" s="55"/>
      <c r="AH1039" s="55"/>
    </row>
    <row r="1040" spans="1:34" ht="15.75">
      <c r="A1040" s="39">
        <v>33.189</v>
      </c>
      <c r="B1040" s="39">
        <v>33.613999999999997</v>
      </c>
      <c r="C1040" s="39">
        <v>1038</v>
      </c>
      <c r="D1040">
        <v>1038</v>
      </c>
      <c r="E1040" s="10">
        <v>1635240</v>
      </c>
      <c r="F1040" s="10">
        <v>1136450</v>
      </c>
      <c r="G1040" s="10">
        <v>28227</v>
      </c>
      <c r="H1040" s="10">
        <v>53994</v>
      </c>
      <c r="I1040" s="10">
        <v>104371</v>
      </c>
      <c r="J1040" s="10">
        <v>37204</v>
      </c>
      <c r="K1040">
        <v>1038</v>
      </c>
      <c r="L1040" s="10">
        <v>2705</v>
      </c>
      <c r="M1040" s="10">
        <v>463196</v>
      </c>
      <c r="N1040" s="10">
        <v>5877</v>
      </c>
      <c r="O1040">
        <v>0.44799020884906537</v>
      </c>
      <c r="P1040">
        <v>0.93341929811955326</v>
      </c>
      <c r="Q1040">
        <v>-0.28168077894735394</v>
      </c>
      <c r="R1040">
        <v>0.28168077894735394</v>
      </c>
      <c r="S1040">
        <f t="shared" si="160"/>
        <v>-1.0315355767031471</v>
      </c>
      <c r="T1040" s="148">
        <f t="shared" si="165"/>
        <v>-0.96132842647611783</v>
      </c>
      <c r="U1040">
        <f t="shared" si="161"/>
        <v>2.1492773613630485</v>
      </c>
      <c r="V1040" s="55">
        <f t="shared" si="166"/>
        <v>2.1303811279893439</v>
      </c>
      <c r="W1040">
        <f t="shared" si="162"/>
        <v>0.27613731568748223</v>
      </c>
      <c r="X1040" s="55">
        <f t="shared" si="167"/>
        <v>0.28815608830663403</v>
      </c>
      <c r="Y1040" s="149">
        <v>33.613999999999997</v>
      </c>
      <c r="Z1040" s="55">
        <f t="shared" si="163"/>
        <v>5.1713669761098155E-3</v>
      </c>
      <c r="AA1040" s="55">
        <f t="shared" si="168"/>
        <v>5.0858304696598028E-3</v>
      </c>
      <c r="AB1040" s="55">
        <f t="shared" si="164"/>
        <v>-5.2646182199736549</v>
      </c>
      <c r="AC1040" s="55">
        <f t="shared" si="169"/>
        <v>-5.2813984388093376</v>
      </c>
      <c r="AD1040" s="55"/>
      <c r="AE1040" s="55"/>
      <c r="AF1040" s="55"/>
      <c r="AG1040" s="55"/>
      <c r="AH1040" s="55"/>
    </row>
    <row r="1041" spans="1:34" ht="15.75">
      <c r="A1041" s="39">
        <v>33.217309100000001</v>
      </c>
      <c r="B1041" s="39">
        <v>33.643000000000001</v>
      </c>
      <c r="C1041" s="39">
        <v>1039</v>
      </c>
      <c r="D1041">
        <v>1039</v>
      </c>
      <c r="E1041" s="10">
        <v>1636450</v>
      </c>
      <c r="F1041" s="10">
        <v>1131490</v>
      </c>
      <c r="G1041" s="10">
        <v>28610</v>
      </c>
      <c r="H1041" s="10">
        <v>55031</v>
      </c>
      <c r="I1041" s="10">
        <v>98851</v>
      </c>
      <c r="J1041" s="10">
        <v>38587</v>
      </c>
      <c r="K1041">
        <v>1039</v>
      </c>
      <c r="L1041" s="10">
        <v>4740</v>
      </c>
      <c r="M1041" s="10">
        <v>458872</v>
      </c>
      <c r="N1041" s="10">
        <v>5651</v>
      </c>
      <c r="O1041">
        <v>0.40854005204203092</v>
      </c>
      <c r="P1041">
        <v>0.92108415350545259</v>
      </c>
      <c r="Q1041">
        <v>-0.28408954689279142</v>
      </c>
      <c r="R1041">
        <v>0.28408954689279142</v>
      </c>
      <c r="S1041">
        <f t="shared" ref="S1041:S1067" si="170">LN(J1041/I1041)</f>
        <v>-0.94069823372299211</v>
      </c>
      <c r="T1041" s="148">
        <f t="shared" si="165"/>
        <v>-0.98482664674973641</v>
      </c>
      <c r="U1041">
        <f t="shared" ref="U1041:U1067" si="171">LN(M1041/H1041)</f>
        <v>2.1208746412546944</v>
      </c>
      <c r="V1041" s="55">
        <f t="shared" si="166"/>
        <v>2.1237764343084482</v>
      </c>
      <c r="W1041">
        <f t="shared" ref="W1041:W1067" si="172">LN(J1041/G1041)</f>
        <v>0.29915912511833093</v>
      </c>
      <c r="X1041" s="55">
        <f t="shared" si="167"/>
        <v>0.29611859804047563</v>
      </c>
      <c r="Y1041" s="149">
        <v>33.643000000000001</v>
      </c>
      <c r="Z1041" s="55">
        <f t="shared" si="163"/>
        <v>4.994299551918267E-3</v>
      </c>
      <c r="AA1041" s="55">
        <f t="shared" si="168"/>
        <v>5.1006418394219932E-3</v>
      </c>
      <c r="AB1041" s="55">
        <f t="shared" si="164"/>
        <v>-5.2994581065609374</v>
      </c>
      <c r="AC1041" s="55">
        <f t="shared" si="169"/>
        <v>-5.2785022046507502</v>
      </c>
      <c r="AD1041" s="55"/>
      <c r="AE1041" s="55"/>
      <c r="AF1041" s="55"/>
      <c r="AG1041" s="55"/>
      <c r="AH1041" s="55"/>
    </row>
    <row r="1042" spans="1:34" ht="15.75">
      <c r="A1042" s="39">
        <v>33.245618200000003</v>
      </c>
      <c r="B1042" s="39">
        <v>33.671999999999997</v>
      </c>
      <c r="C1042" s="39">
        <v>1040</v>
      </c>
      <c r="D1042">
        <v>1040</v>
      </c>
      <c r="E1042" s="10">
        <v>1613490</v>
      </c>
      <c r="F1042" s="10">
        <v>1120660</v>
      </c>
      <c r="G1042" s="10">
        <v>27848</v>
      </c>
      <c r="H1042" s="10">
        <v>54679</v>
      </c>
      <c r="I1042" s="10">
        <v>101704</v>
      </c>
      <c r="J1042" s="10">
        <v>38085</v>
      </c>
      <c r="K1042">
        <v>1040</v>
      </c>
      <c r="L1042" s="10">
        <v>5395</v>
      </c>
      <c r="M1042" s="10">
        <v>447044</v>
      </c>
      <c r="N1042" s="10">
        <v>5756</v>
      </c>
      <c r="O1042">
        <v>0.42658407405298437</v>
      </c>
      <c r="P1042">
        <v>0.9125297070239633</v>
      </c>
      <c r="Q1042">
        <v>-0.29302655307285946</v>
      </c>
      <c r="R1042">
        <v>0.29302655307285941</v>
      </c>
      <c r="S1042">
        <f t="shared" si="170"/>
        <v>-0.98224612982306991</v>
      </c>
      <c r="T1042" s="148">
        <f t="shared" si="165"/>
        <v>-1.0212354338102694</v>
      </c>
      <c r="U1042">
        <f t="shared" si="171"/>
        <v>2.1011773003076017</v>
      </c>
      <c r="V1042" s="55">
        <f t="shared" si="166"/>
        <v>2.1026661072486745</v>
      </c>
      <c r="W1042">
        <f t="shared" si="172"/>
        <v>0.31305935331561363</v>
      </c>
      <c r="X1042" s="55">
        <f t="shared" si="167"/>
        <v>0.2942744992660265</v>
      </c>
      <c r="Y1042" s="149">
        <v>33.671999999999997</v>
      </c>
      <c r="Z1042" s="55">
        <f t="shared" si="163"/>
        <v>5.1362589902378955E-3</v>
      </c>
      <c r="AA1042" s="55">
        <f t="shared" si="168"/>
        <v>5.0855896697250417E-3</v>
      </c>
      <c r="AB1042" s="55">
        <f t="shared" si="164"/>
        <v>-5.2714302874176591</v>
      </c>
      <c r="AC1042" s="55">
        <f t="shared" si="169"/>
        <v>-5.281425662379263</v>
      </c>
      <c r="AD1042" s="55"/>
      <c r="AE1042" s="55"/>
      <c r="AF1042" s="55"/>
      <c r="AG1042" s="55"/>
      <c r="AH1042" s="55"/>
    </row>
    <row r="1043" spans="1:34" ht="15.75">
      <c r="A1043" s="39">
        <v>33.273927299999997</v>
      </c>
      <c r="B1043" s="39">
        <v>33.701000000000001</v>
      </c>
      <c r="C1043" s="39">
        <v>1041</v>
      </c>
      <c r="D1043">
        <v>1041</v>
      </c>
      <c r="E1043" s="10">
        <v>1640110</v>
      </c>
      <c r="F1043" s="10">
        <v>1118370</v>
      </c>
      <c r="G1043" s="10">
        <v>29264</v>
      </c>
      <c r="H1043" s="10">
        <v>55336</v>
      </c>
      <c r="I1043" s="10">
        <v>120028</v>
      </c>
      <c r="J1043" s="10">
        <v>38358</v>
      </c>
      <c r="K1043">
        <v>1041</v>
      </c>
      <c r="L1043" s="10">
        <v>3896</v>
      </c>
      <c r="M1043" s="10">
        <v>445577</v>
      </c>
      <c r="N1043" s="10">
        <v>5733</v>
      </c>
      <c r="O1043">
        <v>0.49542661478860539</v>
      </c>
      <c r="P1043">
        <v>0.90591500245985512</v>
      </c>
      <c r="Q1043">
        <v>-0.27667407453828291</v>
      </c>
      <c r="R1043">
        <v>0.27667407453828297</v>
      </c>
      <c r="S1043">
        <f t="shared" si="170"/>
        <v>-1.1407619378847462</v>
      </c>
      <c r="T1043" s="148">
        <f t="shared" si="165"/>
        <v>-1.037719634954372</v>
      </c>
      <c r="U1043">
        <f t="shared" si="171"/>
        <v>2.0859463801837266</v>
      </c>
      <c r="V1043" s="55">
        <f t="shared" si="166"/>
        <v>2.1009392163925069</v>
      </c>
      <c r="W1043">
        <f t="shared" si="172"/>
        <v>0.27060501936413484</v>
      </c>
      <c r="X1043" s="55">
        <f t="shared" si="167"/>
        <v>0.28436625593983539</v>
      </c>
      <c r="Y1043" s="149">
        <v>33.701000000000001</v>
      </c>
      <c r="Z1043" s="55">
        <f t="shared" si="163"/>
        <v>5.1262104670189651E-3</v>
      </c>
      <c r="AA1043" s="55">
        <f t="shared" si="168"/>
        <v>5.0547521459423312E-3</v>
      </c>
      <c r="AB1043" s="55">
        <f t="shared" si="164"/>
        <v>-5.2733885931591944</v>
      </c>
      <c r="AC1043" s="55">
        <f t="shared" si="169"/>
        <v>-5.2876581103377802</v>
      </c>
      <c r="AD1043" s="55"/>
      <c r="AE1043" s="55"/>
      <c r="AF1043" s="55"/>
      <c r="AG1043" s="55"/>
      <c r="AH1043" s="55"/>
    </row>
    <row r="1044" spans="1:34" ht="15.75">
      <c r="A1044" s="39">
        <v>33.302236399999998</v>
      </c>
      <c r="B1044" s="39">
        <v>33.729999999999997</v>
      </c>
      <c r="C1044" s="39">
        <v>1042</v>
      </c>
      <c r="D1044">
        <v>1042</v>
      </c>
      <c r="E1044" s="10">
        <v>1629170</v>
      </c>
      <c r="F1044" s="10">
        <v>1128160</v>
      </c>
      <c r="G1044" s="10">
        <v>28882</v>
      </c>
      <c r="H1044" s="10">
        <v>54791</v>
      </c>
      <c r="I1044" s="10">
        <v>101779</v>
      </c>
      <c r="J1044" s="10">
        <v>37813</v>
      </c>
      <c r="K1044">
        <v>1042</v>
      </c>
      <c r="L1044" s="10">
        <v>4529</v>
      </c>
      <c r="M1044" s="10">
        <v>454510</v>
      </c>
      <c r="N1044" s="10">
        <v>5530</v>
      </c>
      <c r="O1044">
        <v>0.43001704482843206</v>
      </c>
      <c r="P1044">
        <v>0.91883421599640436</v>
      </c>
      <c r="Q1044">
        <v>-0.27808196323921885</v>
      </c>
      <c r="R1044">
        <v>0.2780819632392188</v>
      </c>
      <c r="S1044">
        <f t="shared" si="170"/>
        <v>-0.99015083715529995</v>
      </c>
      <c r="T1044" s="148">
        <f t="shared" si="165"/>
        <v>-0.99043928356161082</v>
      </c>
      <c r="U1044">
        <f t="shared" si="171"/>
        <v>2.115693968686192</v>
      </c>
      <c r="V1044" s="55">
        <f t="shared" si="166"/>
        <v>2.0990776914187066</v>
      </c>
      <c r="W1044">
        <f t="shared" si="172"/>
        <v>0.26943439513975775</v>
      </c>
      <c r="X1044" s="55">
        <f t="shared" si="167"/>
        <v>0.26803401238756858</v>
      </c>
      <c r="Y1044" s="149">
        <v>33.729999999999997</v>
      </c>
      <c r="Z1044" s="55">
        <f t="shared" si="163"/>
        <v>4.901786980570132E-3</v>
      </c>
      <c r="AA1044" s="55">
        <f t="shared" si="168"/>
        <v>5.0257423313824811E-3</v>
      </c>
      <c r="AB1044" s="55">
        <f t="shared" si="164"/>
        <v>-5.3181554504364872</v>
      </c>
      <c r="AC1044" s="55">
        <f t="shared" si="169"/>
        <v>-5.2933545519892435</v>
      </c>
      <c r="AD1044" s="55"/>
      <c r="AE1044" s="55"/>
      <c r="AF1044" s="55"/>
      <c r="AG1044" s="55"/>
      <c r="AH1044" s="55"/>
    </row>
    <row r="1045" spans="1:34" ht="15.75">
      <c r="A1045" s="39">
        <v>33.330545499999999</v>
      </c>
      <c r="B1045" s="39">
        <v>33.759</v>
      </c>
      <c r="C1045" s="39">
        <v>1043</v>
      </c>
      <c r="D1045">
        <v>1043</v>
      </c>
      <c r="E1045" s="10">
        <v>1631000</v>
      </c>
      <c r="F1045" s="10">
        <v>1132450</v>
      </c>
      <c r="G1045" s="10">
        <v>29913</v>
      </c>
      <c r="H1045" s="10">
        <v>56004</v>
      </c>
      <c r="I1045" s="10">
        <v>90266</v>
      </c>
      <c r="J1045" s="10">
        <v>38953</v>
      </c>
      <c r="K1045">
        <v>1043</v>
      </c>
      <c r="L1045" s="10">
        <v>5098</v>
      </c>
      <c r="M1045" s="10">
        <v>455327</v>
      </c>
      <c r="N1045" s="10">
        <v>5718</v>
      </c>
      <c r="O1045">
        <v>0.36498328691601556</v>
      </c>
      <c r="P1045">
        <v>0.91010435695182368</v>
      </c>
      <c r="Q1045">
        <v>-0.27235907595730052</v>
      </c>
      <c r="R1045">
        <v>0.27235907595730058</v>
      </c>
      <c r="S1045">
        <f t="shared" si="170"/>
        <v>-0.84040507564478606</v>
      </c>
      <c r="T1045" s="148">
        <f t="shared" si="165"/>
        <v>-0.95058572555035992</v>
      </c>
      <c r="U1045">
        <f t="shared" si="171"/>
        <v>2.0955927253862012</v>
      </c>
      <c r="V1045" s="55">
        <f t="shared" si="166"/>
        <v>2.1024686003719597</v>
      </c>
      <c r="W1045">
        <f t="shared" si="172"/>
        <v>0.2640626226588132</v>
      </c>
      <c r="X1045" s="55">
        <f t="shared" si="167"/>
        <v>0.28466105374451645</v>
      </c>
      <c r="Y1045" s="149">
        <v>33.759</v>
      </c>
      <c r="Z1045" s="55">
        <f t="shared" si="163"/>
        <v>5.0492295465583469E-3</v>
      </c>
      <c r="AA1045" s="55">
        <f t="shared" si="168"/>
        <v>4.9693705468292354E-3</v>
      </c>
      <c r="AB1045" s="55">
        <f t="shared" si="164"/>
        <v>-5.288519612372049</v>
      </c>
      <c r="AC1045" s="55">
        <f t="shared" si="169"/>
        <v>-5.3045368117501246</v>
      </c>
      <c r="AD1045" s="55"/>
      <c r="AE1045" s="55"/>
      <c r="AF1045" s="55"/>
      <c r="AG1045" s="55"/>
      <c r="AH1045" s="55"/>
    </row>
    <row r="1046" spans="1:34" ht="15.75">
      <c r="A1046" s="39">
        <v>33.358854600000001</v>
      </c>
      <c r="B1046" s="39">
        <v>33.787999999999997</v>
      </c>
      <c r="C1046" s="39">
        <v>1044</v>
      </c>
      <c r="D1046">
        <v>1044</v>
      </c>
      <c r="E1046" s="10">
        <v>1603520</v>
      </c>
      <c r="F1046" s="10">
        <v>1107100</v>
      </c>
      <c r="G1046" s="10">
        <v>27168</v>
      </c>
      <c r="H1046" s="10">
        <v>52572</v>
      </c>
      <c r="I1046" s="10">
        <v>103931</v>
      </c>
      <c r="J1046" s="10">
        <v>37432</v>
      </c>
      <c r="K1046">
        <v>1044</v>
      </c>
      <c r="L1046" s="10">
        <v>3530</v>
      </c>
      <c r="M1046" s="10">
        <v>427649</v>
      </c>
      <c r="N1046" s="10">
        <v>5488</v>
      </c>
      <c r="O1046">
        <v>0.44350207380311307</v>
      </c>
      <c r="P1046">
        <v>0.91033296160095767</v>
      </c>
      <c r="Q1046">
        <v>-0.28669683066194152</v>
      </c>
      <c r="R1046">
        <v>0.28669683066194157</v>
      </c>
      <c r="S1046">
        <f t="shared" si="170"/>
        <v>-1.0212012638509933</v>
      </c>
      <c r="T1046" s="148">
        <f t="shared" si="165"/>
        <v>-0.95765667104561203</v>
      </c>
      <c r="U1046">
        <f t="shared" si="171"/>
        <v>2.0961191070434859</v>
      </c>
      <c r="V1046" s="55">
        <f t="shared" si="166"/>
        <v>2.0872420955530515</v>
      </c>
      <c r="W1046">
        <f t="shared" si="172"/>
        <v>0.32048614343497839</v>
      </c>
      <c r="X1046" s="55">
        <f t="shared" si="167"/>
        <v>0.29181098363560415</v>
      </c>
      <c r="Y1046" s="149">
        <v>33.787999999999997</v>
      </c>
      <c r="Z1046" s="55">
        <f t="shared" si="163"/>
        <v>4.9570951133592264E-3</v>
      </c>
      <c r="AA1046" s="55">
        <f t="shared" si="168"/>
        <v>5.1358734339007357E-3</v>
      </c>
      <c r="AB1046" s="55">
        <f t="shared" si="164"/>
        <v>-5.3069353724418367</v>
      </c>
      <c r="AC1046" s="55">
        <f t="shared" si="169"/>
        <v>-5.2721904684471506</v>
      </c>
      <c r="AD1046" s="55"/>
      <c r="AE1046" s="55"/>
      <c r="AF1046" s="55"/>
      <c r="AG1046" s="55"/>
      <c r="AH1046" s="55"/>
    </row>
    <row r="1047" spans="1:34" ht="15.75">
      <c r="A1047" s="39">
        <v>33.387163600000001</v>
      </c>
      <c r="B1047" s="39">
        <v>33.817</v>
      </c>
      <c r="C1047" s="39">
        <v>1045</v>
      </c>
      <c r="D1047">
        <v>1045</v>
      </c>
      <c r="E1047" s="10">
        <v>1476673.75</v>
      </c>
      <c r="F1047" s="10">
        <v>1001241.25</v>
      </c>
      <c r="G1047" s="10">
        <v>26502.5</v>
      </c>
      <c r="H1047" s="10">
        <v>49732</v>
      </c>
      <c r="I1047" s="10">
        <v>97464.375</v>
      </c>
      <c r="J1047" s="10">
        <v>35450</v>
      </c>
      <c r="K1047">
        <v>1045</v>
      </c>
      <c r="L1047" s="10">
        <v>1973.5</v>
      </c>
      <c r="M1047" s="10">
        <v>394123</v>
      </c>
      <c r="N1047" s="10">
        <v>5408</v>
      </c>
      <c r="O1047">
        <v>0.43922966265971236</v>
      </c>
      <c r="P1047">
        <v>0.89899585493182887</v>
      </c>
      <c r="Q1047">
        <v>-0.27334908179534673</v>
      </c>
      <c r="R1047">
        <v>0.27334908179534673</v>
      </c>
      <c r="S1047">
        <f t="shared" si="170"/>
        <v>-1.0113636736410569</v>
      </c>
      <c r="T1047" s="148">
        <f t="shared" si="165"/>
        <v>-1.2083513312564442</v>
      </c>
      <c r="U1047">
        <f t="shared" si="171"/>
        <v>2.0700144542294665</v>
      </c>
      <c r="V1047" s="55">
        <f t="shared" si="166"/>
        <v>2.067482917050731</v>
      </c>
      <c r="W1047">
        <f t="shared" si="172"/>
        <v>0.29088418481302075</v>
      </c>
      <c r="X1047" s="55">
        <f t="shared" si="167"/>
        <v>0.27244322976454965</v>
      </c>
      <c r="Y1047" s="149">
        <v>33.817</v>
      </c>
      <c r="Z1047" s="55">
        <f t="shared" si="163"/>
        <v>5.4012956417846345E-3</v>
      </c>
      <c r="AA1047" s="55">
        <f t="shared" si="168"/>
        <v>5.3522554421611768E-3</v>
      </c>
      <c r="AB1047" s="55">
        <f t="shared" si="164"/>
        <v>-5.2211164205275651</v>
      </c>
      <c r="AC1047" s="55">
        <f t="shared" si="169"/>
        <v>-5.2318753084039846</v>
      </c>
      <c r="AD1047" s="55"/>
      <c r="AE1047" s="55"/>
      <c r="AF1047" s="55"/>
      <c r="AG1047" s="55"/>
      <c r="AH1047" s="55"/>
    </row>
    <row r="1048" spans="1:34" ht="15.75">
      <c r="A1048" s="39">
        <v>33.415472700000002</v>
      </c>
      <c r="B1048" s="39">
        <v>33.845999999999997</v>
      </c>
      <c r="C1048" s="39">
        <v>1046</v>
      </c>
      <c r="D1048">
        <v>1046</v>
      </c>
      <c r="E1048" s="10">
        <v>1557870</v>
      </c>
      <c r="F1048" s="10">
        <v>932020</v>
      </c>
      <c r="G1048" s="10">
        <v>27739</v>
      </c>
      <c r="H1048" s="10">
        <v>48422</v>
      </c>
      <c r="I1048" s="10">
        <v>167551</v>
      </c>
      <c r="J1048" s="10">
        <v>34083</v>
      </c>
      <c r="K1048">
        <v>1046</v>
      </c>
      <c r="L1048" s="10">
        <v>1684</v>
      </c>
      <c r="M1048" s="10">
        <v>371025</v>
      </c>
      <c r="N1048" s="10">
        <v>5311</v>
      </c>
      <c r="O1048">
        <v>0.69160920963254102</v>
      </c>
      <c r="P1048">
        <v>0.88436045038032707</v>
      </c>
      <c r="Q1048">
        <v>-0.24195192281384831</v>
      </c>
      <c r="R1048">
        <v>0.24195192281384828</v>
      </c>
      <c r="S1048">
        <f t="shared" si="170"/>
        <v>-1.5924890562772831</v>
      </c>
      <c r="T1048" s="148">
        <f t="shared" si="165"/>
        <v>-1.0119640835347425</v>
      </c>
      <c r="U1048">
        <f t="shared" si="171"/>
        <v>2.0363151898792418</v>
      </c>
      <c r="V1048" s="55">
        <f t="shared" si="166"/>
        <v>2.0629286612352433</v>
      </c>
      <c r="W1048">
        <f t="shared" si="172"/>
        <v>0.20595936104564974</v>
      </c>
      <c r="X1048" s="55">
        <f t="shared" si="167"/>
        <v>0.28635967878057517</v>
      </c>
      <c r="Y1048" s="149">
        <v>33.845999999999997</v>
      </c>
      <c r="Z1048" s="55">
        <f t="shared" si="163"/>
        <v>5.6983755713396712E-3</v>
      </c>
      <c r="AA1048" s="55">
        <f t="shared" si="168"/>
        <v>5.6931471855932456E-3</v>
      </c>
      <c r="AB1048" s="55">
        <f t="shared" si="164"/>
        <v>-5.1675741322425512</v>
      </c>
      <c r="AC1048" s="55">
        <f t="shared" si="169"/>
        <v>-5.1693545561993881</v>
      </c>
      <c r="AD1048" s="55"/>
      <c r="AE1048" s="55"/>
      <c r="AF1048" s="55"/>
      <c r="AG1048" s="55"/>
      <c r="AH1048" s="55"/>
    </row>
    <row r="1049" spans="1:34" ht="15.75">
      <c r="A1049" s="39">
        <v>33.443781799999996</v>
      </c>
      <c r="B1049" s="39">
        <v>33.875</v>
      </c>
      <c r="C1049" s="39">
        <v>1047</v>
      </c>
      <c r="D1049">
        <v>1047</v>
      </c>
      <c r="E1049" s="10">
        <v>1433230</v>
      </c>
      <c r="F1049" s="10">
        <v>964920</v>
      </c>
      <c r="G1049" s="10">
        <v>25771</v>
      </c>
      <c r="H1049" s="10">
        <v>51791</v>
      </c>
      <c r="I1049" s="10">
        <v>57027</v>
      </c>
      <c r="J1049" s="10">
        <v>37021</v>
      </c>
      <c r="K1049">
        <v>1047</v>
      </c>
      <c r="L1049" s="10">
        <v>1679</v>
      </c>
      <c r="M1049" s="10">
        <v>415579</v>
      </c>
      <c r="N1049" s="10">
        <v>5770</v>
      </c>
      <c r="O1049">
        <v>0.1876323797980069</v>
      </c>
      <c r="P1049">
        <v>0.90439929709143063</v>
      </c>
      <c r="Q1049">
        <v>-0.30312302567958677</v>
      </c>
      <c r="R1049">
        <v>0.30312302567958682</v>
      </c>
      <c r="S1049">
        <f t="shared" si="170"/>
        <v>-0.43203952068588797</v>
      </c>
      <c r="T1049" s="148">
        <f t="shared" si="165"/>
        <v>-0.65127085518205885</v>
      </c>
      <c r="U1049">
        <f t="shared" si="171"/>
        <v>2.0824563395970213</v>
      </c>
      <c r="V1049" s="55">
        <f t="shared" si="166"/>
        <v>2.0648096400121316</v>
      </c>
      <c r="W1049">
        <f t="shared" si="172"/>
        <v>0.36223549048305509</v>
      </c>
      <c r="X1049" s="55">
        <f t="shared" si="167"/>
        <v>0.33318297377819339</v>
      </c>
      <c r="Y1049" s="149">
        <v>33.875</v>
      </c>
      <c r="Z1049" s="55">
        <f t="shared" si="163"/>
        <v>5.9797703436554328E-3</v>
      </c>
      <c r="AA1049" s="55">
        <f t="shared" si="168"/>
        <v>5.8929446808809278E-3</v>
      </c>
      <c r="AB1049" s="55">
        <f t="shared" si="164"/>
        <v>-5.1193731158280498</v>
      </c>
      <c r="AC1049" s="55">
        <f t="shared" si="169"/>
        <v>-5.1342761254865206</v>
      </c>
      <c r="AD1049" s="55"/>
      <c r="AE1049" s="55"/>
      <c r="AF1049" s="55"/>
      <c r="AG1049" s="55"/>
      <c r="AH1049" s="55"/>
    </row>
    <row r="1050" spans="1:34" ht="15.75">
      <c r="A1050" s="39">
        <v>33.472090899999998</v>
      </c>
      <c r="B1050" s="39">
        <v>33.904000000000003</v>
      </c>
      <c r="C1050" s="39">
        <v>1048</v>
      </c>
      <c r="D1050">
        <v>1048</v>
      </c>
      <c r="E1050" s="10">
        <v>1340430</v>
      </c>
      <c r="F1050" s="10">
        <v>930060</v>
      </c>
      <c r="G1050" s="10">
        <v>23017</v>
      </c>
      <c r="H1050" s="10">
        <v>49444</v>
      </c>
      <c r="I1050" s="10">
        <v>33012</v>
      </c>
      <c r="J1050" s="10">
        <v>35431</v>
      </c>
      <c r="K1050">
        <v>1048</v>
      </c>
      <c r="L1050" s="10">
        <v>2275</v>
      </c>
      <c r="M1050" s="10">
        <v>394058</v>
      </c>
      <c r="N1050" s="10">
        <v>5581</v>
      </c>
      <c r="O1050">
        <v>-3.071157354060805E-2</v>
      </c>
      <c r="P1050">
        <v>0.90144655104196825</v>
      </c>
      <c r="Q1050">
        <v>-0.33206488003872303</v>
      </c>
      <c r="R1050">
        <v>0.33206488003872309</v>
      </c>
      <c r="S1050">
        <f t="shared" si="170"/>
        <v>7.0716011416994434E-2</v>
      </c>
      <c r="T1050" s="148">
        <f t="shared" si="165"/>
        <v>-8.6795742024535036E-2</v>
      </c>
      <c r="U1050">
        <f t="shared" si="171"/>
        <v>2.0756573905601323</v>
      </c>
      <c r="V1050" s="55">
        <f t="shared" si="166"/>
        <v>2.0854474162662915</v>
      </c>
      <c r="W1050">
        <f t="shared" si="172"/>
        <v>0.43135406980587532</v>
      </c>
      <c r="X1050" s="55">
        <f t="shared" si="167"/>
        <v>0.41042539833131864</v>
      </c>
      <c r="Y1050" s="149">
        <v>33.904000000000003</v>
      </c>
      <c r="Z1050" s="55">
        <f t="shared" si="163"/>
        <v>6.0006881276476786E-3</v>
      </c>
      <c r="AA1050" s="55">
        <f t="shared" si="168"/>
        <v>6.0113669327498086E-3</v>
      </c>
      <c r="AB1050" s="55">
        <f t="shared" si="164"/>
        <v>-5.1158811283889616</v>
      </c>
      <c r="AC1050" s="55">
        <f t="shared" si="169"/>
        <v>-5.1141164649321631</v>
      </c>
      <c r="AD1050" s="55"/>
      <c r="AE1050" s="55"/>
      <c r="AF1050" s="55"/>
      <c r="AG1050" s="55"/>
      <c r="AH1050" s="55"/>
    </row>
    <row r="1051" spans="1:34" ht="15.75">
      <c r="A1051" s="39">
        <v>33.500399999999999</v>
      </c>
      <c r="B1051" s="39">
        <v>33.933</v>
      </c>
      <c r="C1051" s="39">
        <v>1049</v>
      </c>
      <c r="D1051">
        <v>1049</v>
      </c>
      <c r="E1051" s="10">
        <v>1336100</v>
      </c>
      <c r="F1051" s="10">
        <v>926880</v>
      </c>
      <c r="G1051" s="10">
        <v>22598</v>
      </c>
      <c r="H1051" s="10">
        <v>48762</v>
      </c>
      <c r="I1051" s="10">
        <v>31646</v>
      </c>
      <c r="J1051" s="10">
        <v>35007</v>
      </c>
      <c r="K1051">
        <v>1049</v>
      </c>
      <c r="L1051" s="10">
        <v>2232</v>
      </c>
      <c r="M1051" s="10">
        <v>397494</v>
      </c>
      <c r="N1051" s="10">
        <v>5611</v>
      </c>
      <c r="O1051">
        <v>-4.3836070815537739E-2</v>
      </c>
      <c r="P1051">
        <v>0.9112490674181335</v>
      </c>
      <c r="Q1051">
        <v>-0.33401150582974654</v>
      </c>
      <c r="R1051">
        <v>0.33401150582974654</v>
      </c>
      <c r="S1051">
        <f t="shared" si="170"/>
        <v>0.10093628319528848</v>
      </c>
      <c r="T1051" s="148">
        <f t="shared" si="165"/>
        <v>8.4003403704758797E-2</v>
      </c>
      <c r="U1051">
        <f t="shared" si="171"/>
        <v>2.0982285186417204</v>
      </c>
      <c r="V1051" s="55">
        <f t="shared" si="166"/>
        <v>2.0925714989646811</v>
      </c>
      <c r="W1051">
        <f t="shared" si="172"/>
        <v>0.4376866347050255</v>
      </c>
      <c r="X1051" s="55">
        <f t="shared" si="167"/>
        <v>0.44369038719789877</v>
      </c>
      <c r="Y1051" s="149">
        <v>33.933</v>
      </c>
      <c r="Z1051" s="55">
        <f t="shared" si="163"/>
        <v>6.0536423269463143E-3</v>
      </c>
      <c r="AA1051" s="55">
        <f t="shared" si="168"/>
        <v>6.085332361852447E-3</v>
      </c>
      <c r="AB1051" s="55">
        <f t="shared" si="164"/>
        <v>-5.1070951505794788</v>
      </c>
      <c r="AC1051" s="55">
        <f t="shared" si="169"/>
        <v>-5.1019711635257181</v>
      </c>
      <c r="AD1051" s="55"/>
      <c r="AE1051" s="55"/>
      <c r="AF1051" s="55"/>
      <c r="AG1051" s="55"/>
      <c r="AH1051" s="55"/>
    </row>
    <row r="1052" spans="1:34" ht="15.75">
      <c r="A1052" s="39">
        <v>33.5287091</v>
      </c>
      <c r="B1052" s="39">
        <v>33.962000000000003</v>
      </c>
      <c r="C1052" s="39">
        <v>1050</v>
      </c>
      <c r="D1052">
        <v>1050</v>
      </c>
      <c r="E1052" s="10">
        <v>1321220</v>
      </c>
      <c r="F1052" s="10">
        <v>933620</v>
      </c>
      <c r="G1052" s="10">
        <v>21989</v>
      </c>
      <c r="H1052" s="10">
        <v>47500</v>
      </c>
      <c r="I1052" s="10">
        <v>32208</v>
      </c>
      <c r="J1052" s="10">
        <v>34903</v>
      </c>
      <c r="K1052">
        <v>1050</v>
      </c>
      <c r="L1052" s="10">
        <v>2212</v>
      </c>
      <c r="M1052" s="10">
        <v>389381</v>
      </c>
      <c r="N1052" s="10">
        <v>5790</v>
      </c>
      <c r="O1052">
        <v>-3.4898999714057979E-2</v>
      </c>
      <c r="P1052">
        <v>0.91368114650503018</v>
      </c>
      <c r="Q1052">
        <v>-0.33448813034852459</v>
      </c>
      <c r="R1052">
        <v>0.33448813034852459</v>
      </c>
      <c r="S1052">
        <f t="shared" si="170"/>
        <v>8.035791650199349E-2</v>
      </c>
      <c r="T1052" s="148">
        <f t="shared" si="165"/>
        <v>-2.7239601716665209E-3</v>
      </c>
      <c r="U1052">
        <f t="shared" si="171"/>
        <v>2.1038285876921909</v>
      </c>
      <c r="V1052" s="55">
        <f t="shared" si="166"/>
        <v>2.0941725291525977</v>
      </c>
      <c r="W1052">
        <f t="shared" si="172"/>
        <v>0.46203045708279555</v>
      </c>
      <c r="X1052" s="55">
        <f t="shared" si="167"/>
        <v>0.48217340599310871</v>
      </c>
      <c r="Y1052" s="149">
        <v>33.962000000000003</v>
      </c>
      <c r="Z1052" s="55">
        <f t="shared" si="163"/>
        <v>6.2016666309633473E-3</v>
      </c>
      <c r="AA1052" s="55">
        <f t="shared" si="168"/>
        <v>6.1910056261778729E-3</v>
      </c>
      <c r="AB1052" s="55">
        <f t="shared" si="164"/>
        <v>-5.082937211608713</v>
      </c>
      <c r="AC1052" s="55">
        <f t="shared" si="169"/>
        <v>-5.084810389859955</v>
      </c>
      <c r="AD1052" s="55"/>
      <c r="AE1052" s="55"/>
      <c r="AF1052" s="55"/>
      <c r="AG1052" s="55"/>
      <c r="AH1052" s="55"/>
    </row>
    <row r="1053" spans="1:34" ht="15.75">
      <c r="A1053" s="39">
        <v>33.557018200000002</v>
      </c>
      <c r="B1053" s="39">
        <v>33.991</v>
      </c>
      <c r="C1053" s="39">
        <v>1051</v>
      </c>
      <c r="D1053">
        <v>1051</v>
      </c>
      <c r="E1053" s="10">
        <v>1223850</v>
      </c>
      <c r="F1053" s="10">
        <v>883390</v>
      </c>
      <c r="G1053" s="10">
        <v>18257</v>
      </c>
      <c r="H1053" s="10">
        <v>43528</v>
      </c>
      <c r="I1053" s="10">
        <v>38123</v>
      </c>
      <c r="J1053" s="10">
        <v>31543</v>
      </c>
      <c r="K1053">
        <v>1051</v>
      </c>
      <c r="L1053" s="10">
        <v>4046</v>
      </c>
      <c r="M1053" s="10">
        <v>348579</v>
      </c>
      <c r="N1053" s="10">
        <v>5581</v>
      </c>
      <c r="O1053">
        <v>8.2284073144032757E-2</v>
      </c>
      <c r="P1053">
        <v>0.90353250676988595</v>
      </c>
      <c r="Q1053">
        <v>-0.37733929733840149</v>
      </c>
      <c r="R1053">
        <v>0.37733929733840144</v>
      </c>
      <c r="S1053">
        <f t="shared" si="170"/>
        <v>-0.18946608021228153</v>
      </c>
      <c r="T1053" s="148">
        <f t="shared" si="165"/>
        <v>-1.9573051941507793E-2</v>
      </c>
      <c r="U1053">
        <f t="shared" si="171"/>
        <v>2.0804604811238812</v>
      </c>
      <c r="V1053" s="55">
        <f t="shared" si="166"/>
        <v>2.1016265116668662</v>
      </c>
      <c r="W1053">
        <f t="shared" si="172"/>
        <v>0.54680312619150517</v>
      </c>
      <c r="X1053" s="55">
        <f t="shared" si="167"/>
        <v>0.53034563381460387</v>
      </c>
      <c r="Y1053" s="149">
        <v>33.991</v>
      </c>
      <c r="Z1053" s="55">
        <f t="shared" si="163"/>
        <v>6.3177079206239595E-3</v>
      </c>
      <c r="AA1053" s="55">
        <f t="shared" si="168"/>
        <v>6.0708415327285431E-3</v>
      </c>
      <c r="AB1053" s="55">
        <f t="shared" si="164"/>
        <v>-5.0643988073916741</v>
      </c>
      <c r="AC1053" s="55">
        <f t="shared" si="169"/>
        <v>-5.1052758640096201</v>
      </c>
      <c r="AD1053" s="55"/>
      <c r="AE1053" s="55"/>
      <c r="AF1053" s="55"/>
      <c r="AG1053" s="55"/>
      <c r="AH1053" s="55"/>
    </row>
    <row r="1054" spans="1:34" ht="15.75">
      <c r="A1054" s="39">
        <v>33.585327300000003</v>
      </c>
      <c r="B1054" s="39">
        <v>34.020000000000003</v>
      </c>
      <c r="C1054" s="39">
        <v>1052</v>
      </c>
      <c r="D1054">
        <v>1052</v>
      </c>
      <c r="E1054" s="10">
        <v>1171500</v>
      </c>
      <c r="F1054" s="10">
        <v>858400</v>
      </c>
      <c r="G1054" s="10">
        <v>16803</v>
      </c>
      <c r="H1054" s="10">
        <v>41103</v>
      </c>
      <c r="I1054" s="10">
        <v>28599</v>
      </c>
      <c r="J1054" s="10">
        <v>30077</v>
      </c>
      <c r="K1054">
        <v>1052</v>
      </c>
      <c r="L1054" s="10">
        <v>1836</v>
      </c>
      <c r="M1054" s="10">
        <v>342637</v>
      </c>
      <c r="N1054" s="10">
        <v>4887</v>
      </c>
      <c r="O1054">
        <v>-2.1883668073367103E-2</v>
      </c>
      <c r="P1054">
        <v>0.92096073784058385</v>
      </c>
      <c r="Q1054">
        <v>-0.38848669365792232</v>
      </c>
      <c r="R1054">
        <v>0.38848669365792227</v>
      </c>
      <c r="S1054">
        <f t="shared" si="170"/>
        <v>5.0389007885764669E-2</v>
      </c>
      <c r="T1054" s="148">
        <f t="shared" si="165"/>
        <v>-7.2238625010185034E-2</v>
      </c>
      <c r="U1054">
        <f t="shared" si="171"/>
        <v>2.1205904661845256</v>
      </c>
      <c r="V1054" s="55">
        <f t="shared" si="166"/>
        <v>2.1004727767439055</v>
      </c>
      <c r="W1054">
        <f t="shared" si="172"/>
        <v>0.58220331816951065</v>
      </c>
      <c r="X1054" s="55">
        <f t="shared" si="167"/>
        <v>0.57402229023517137</v>
      </c>
      <c r="Y1054" s="149">
        <v>34.020000000000003</v>
      </c>
      <c r="Z1054" s="55">
        <f t="shared" si="163"/>
        <v>5.6931500465983225E-3</v>
      </c>
      <c r="AA1054" s="55">
        <f t="shared" si="168"/>
        <v>5.9364602636028906E-3</v>
      </c>
      <c r="AB1054" s="55">
        <f t="shared" si="164"/>
        <v>-5.1684915730284713</v>
      </c>
      <c r="AC1054" s="55">
        <f t="shared" si="169"/>
        <v>-5.1276808199587807</v>
      </c>
      <c r="AD1054" s="55"/>
      <c r="AE1054" s="55"/>
      <c r="AF1054" s="55"/>
      <c r="AG1054" s="55"/>
      <c r="AH1054" s="55"/>
    </row>
    <row r="1055" spans="1:34" ht="15.75">
      <c r="A1055" s="39">
        <v>33.613636399999997</v>
      </c>
      <c r="B1055" s="39">
        <v>34.048999999999999</v>
      </c>
      <c r="C1055" s="39">
        <v>1053</v>
      </c>
      <c r="D1055">
        <v>1053</v>
      </c>
      <c r="E1055" s="10">
        <v>1135150</v>
      </c>
      <c r="F1055" s="10">
        <v>825900</v>
      </c>
      <c r="G1055" s="10">
        <v>15970</v>
      </c>
      <c r="H1055" s="10">
        <v>39871</v>
      </c>
      <c r="I1055" s="10">
        <v>31231</v>
      </c>
      <c r="J1055" s="10">
        <v>28898</v>
      </c>
      <c r="K1055">
        <v>1053</v>
      </c>
      <c r="L1055" s="10">
        <v>2194</v>
      </c>
      <c r="M1055" s="10">
        <v>325713</v>
      </c>
      <c r="N1055" s="10">
        <v>4789</v>
      </c>
      <c r="O1055">
        <v>3.3718103595939047E-2</v>
      </c>
      <c r="P1055">
        <v>0.91217796437316789</v>
      </c>
      <c r="Q1055">
        <v>-0.39735221215083932</v>
      </c>
      <c r="R1055">
        <v>0.39735221215083932</v>
      </c>
      <c r="S1055">
        <f t="shared" si="170"/>
        <v>-7.7638802704038265E-2</v>
      </c>
      <c r="T1055" s="148">
        <f t="shared" si="165"/>
        <v>-0.25025068237079207</v>
      </c>
      <c r="U1055">
        <f t="shared" si="171"/>
        <v>2.1003673829233103</v>
      </c>
      <c r="V1055" s="55">
        <f t="shared" si="166"/>
        <v>2.10493987380779</v>
      </c>
      <c r="W1055">
        <f t="shared" si="172"/>
        <v>0.5930604263444984</v>
      </c>
      <c r="X1055" s="55">
        <f t="shared" si="167"/>
        <v>0.60799751029108184</v>
      </c>
      <c r="Y1055" s="149">
        <v>34.048999999999999</v>
      </c>
      <c r="Z1055" s="55">
        <f t="shared" si="163"/>
        <v>5.7985228235863905E-3</v>
      </c>
      <c r="AA1055" s="55">
        <f t="shared" si="168"/>
        <v>5.7384571237931378E-3</v>
      </c>
      <c r="AB1055" s="55">
        <f t="shared" si="164"/>
        <v>-5.1501520794561992</v>
      </c>
      <c r="AC1055" s="55">
        <f t="shared" si="169"/>
        <v>-5.160594581302373</v>
      </c>
      <c r="AD1055" s="55"/>
      <c r="AE1055" s="55"/>
      <c r="AF1055" s="55"/>
      <c r="AG1055" s="55"/>
      <c r="AH1055" s="55"/>
    </row>
    <row r="1056" spans="1:34" ht="15.75">
      <c r="A1056" s="39">
        <v>33.641945499999999</v>
      </c>
      <c r="B1056" s="39">
        <v>34.078000000000003</v>
      </c>
      <c r="C1056" s="39">
        <v>1054</v>
      </c>
      <c r="D1056">
        <v>1054</v>
      </c>
      <c r="E1056" s="10">
        <v>1181390</v>
      </c>
      <c r="F1056" s="10">
        <v>828660</v>
      </c>
      <c r="G1056" s="10">
        <v>14984</v>
      </c>
      <c r="H1056" s="10">
        <v>39407</v>
      </c>
      <c r="I1056" s="10">
        <v>59099</v>
      </c>
      <c r="J1056" s="10">
        <v>28666</v>
      </c>
      <c r="K1056">
        <v>1054</v>
      </c>
      <c r="L1056" s="10">
        <v>2170</v>
      </c>
      <c r="M1056" s="10">
        <v>319835</v>
      </c>
      <c r="N1056" s="10">
        <v>4743</v>
      </c>
      <c r="O1056">
        <v>0.31421303581590304</v>
      </c>
      <c r="P1056">
        <v>0.90935261358479902</v>
      </c>
      <c r="Q1056">
        <v>-0.41994560952309096</v>
      </c>
      <c r="R1056">
        <v>0.4199456095230909</v>
      </c>
      <c r="S1056">
        <f t="shared" si="170"/>
        <v>-0.72350225229410259</v>
      </c>
      <c r="T1056" s="148">
        <f t="shared" si="165"/>
        <v>-0.47294449537700983</v>
      </c>
      <c r="U1056">
        <f t="shared" si="171"/>
        <v>2.0938617723155333</v>
      </c>
      <c r="V1056" s="55">
        <f t="shared" si="166"/>
        <v>2.0864647980579436</v>
      </c>
      <c r="W1056">
        <f t="shared" si="172"/>
        <v>0.64872878635923659</v>
      </c>
      <c r="X1056" s="55">
        <f t="shared" si="167"/>
        <v>0.62948733248079758</v>
      </c>
      <c r="Y1056" s="149">
        <v>34.078000000000003</v>
      </c>
      <c r="Z1056" s="55">
        <f t="shared" si="163"/>
        <v>5.7236985011946996E-3</v>
      </c>
      <c r="AA1056" s="55">
        <f t="shared" si="168"/>
        <v>5.7896847297561433E-3</v>
      </c>
      <c r="AB1056" s="55">
        <f t="shared" si="164"/>
        <v>-5.1631400914224477</v>
      </c>
      <c r="AC1056" s="55">
        <f t="shared" si="169"/>
        <v>-5.1517157753025993</v>
      </c>
      <c r="AD1056" s="55"/>
      <c r="AE1056" s="55"/>
      <c r="AF1056" s="55"/>
      <c r="AG1056" s="55"/>
      <c r="AH1056" s="55"/>
    </row>
    <row r="1057" spans="1:34" ht="15.75">
      <c r="A1057" s="39">
        <v>33.6702546</v>
      </c>
      <c r="B1057" s="39">
        <v>34.106999999999999</v>
      </c>
      <c r="C1057" s="39">
        <v>1055</v>
      </c>
      <c r="D1057">
        <v>1055</v>
      </c>
      <c r="E1057" s="10">
        <v>1190170</v>
      </c>
      <c r="F1057" s="10">
        <v>824720</v>
      </c>
      <c r="G1057" s="10">
        <v>15657</v>
      </c>
      <c r="H1057" s="10">
        <v>40891</v>
      </c>
      <c r="I1057" s="10">
        <v>55439</v>
      </c>
      <c r="J1057" s="10">
        <v>29892</v>
      </c>
      <c r="K1057">
        <v>1055</v>
      </c>
      <c r="L1057" s="10">
        <v>2326</v>
      </c>
      <c r="M1057" s="10">
        <v>322491</v>
      </c>
      <c r="N1057" s="10">
        <v>4822</v>
      </c>
      <c r="O1057">
        <v>0.26826041435441789</v>
      </c>
      <c r="P1057">
        <v>0.89688986748787547</v>
      </c>
      <c r="Q1057">
        <v>-0.4169191798931644</v>
      </c>
      <c r="R1057">
        <v>0.4169191798931644</v>
      </c>
      <c r="S1057">
        <f t="shared" si="170"/>
        <v>-0.61769243113288852</v>
      </c>
      <c r="T1057" s="148">
        <f t="shared" si="165"/>
        <v>-0.75271127958605477</v>
      </c>
      <c r="U1057">
        <f t="shared" si="171"/>
        <v>2.0651652389349868</v>
      </c>
      <c r="V1057" s="55">
        <f t="shared" si="166"/>
        <v>2.0660782418299788</v>
      </c>
      <c r="W1057">
        <f t="shared" si="172"/>
        <v>0.64667278473865775</v>
      </c>
      <c r="X1057" s="55">
        <f t="shared" si="167"/>
        <v>0.61953444737641317</v>
      </c>
      <c r="Y1057" s="149">
        <v>34.106999999999999</v>
      </c>
      <c r="Z1057" s="55">
        <f t="shared" si="163"/>
        <v>5.8468328644873408E-3</v>
      </c>
      <c r="AA1057" s="55">
        <f t="shared" si="168"/>
        <v>5.9085880147315833E-3</v>
      </c>
      <c r="AB1057" s="55">
        <f t="shared" si="164"/>
        <v>-5.14185515502915</v>
      </c>
      <c r="AC1057" s="55">
        <f t="shared" si="169"/>
        <v>-5.1318159877805387</v>
      </c>
      <c r="AD1057" s="55"/>
      <c r="AE1057" s="55"/>
      <c r="AF1057" s="55"/>
      <c r="AG1057" s="55"/>
      <c r="AH1057" s="55"/>
    </row>
    <row r="1058" spans="1:34" ht="15.75">
      <c r="A1058" s="39">
        <v>33.6985636</v>
      </c>
      <c r="B1058" s="39">
        <v>34.136000000000003</v>
      </c>
      <c r="C1058" s="39">
        <v>1056</v>
      </c>
      <c r="D1058">
        <v>1056</v>
      </c>
      <c r="E1058" s="10">
        <v>1180630</v>
      </c>
      <c r="F1058" s="10">
        <v>821090</v>
      </c>
      <c r="G1058" s="10">
        <v>16503</v>
      </c>
      <c r="H1058" s="10">
        <v>39996</v>
      </c>
      <c r="I1058" s="10">
        <v>72507</v>
      </c>
      <c r="J1058" s="10">
        <v>28984</v>
      </c>
      <c r="K1058">
        <v>1056</v>
      </c>
      <c r="L1058" s="10">
        <v>2760</v>
      </c>
      <c r="M1058" s="10">
        <v>307350</v>
      </c>
      <c r="N1058" s="10">
        <v>5054</v>
      </c>
      <c r="O1058">
        <v>0.3982216154013572</v>
      </c>
      <c r="P1058">
        <v>0.88561665774872134</v>
      </c>
      <c r="Q1058">
        <v>-0.3844536600387265</v>
      </c>
      <c r="R1058">
        <v>0.3844536600387265</v>
      </c>
      <c r="S1058">
        <f t="shared" si="170"/>
        <v>-0.91693915533117321</v>
      </c>
      <c r="T1058" s="148">
        <f t="shared" si="165"/>
        <v>-0.85090167088271984</v>
      </c>
      <c r="U1058">
        <f t="shared" si="171"/>
        <v>2.0392077142394154</v>
      </c>
      <c r="V1058" s="55">
        <f t="shared" si="166"/>
        <v>2.0526446060659591</v>
      </c>
      <c r="W1058">
        <f t="shared" si="172"/>
        <v>0.56320177103134539</v>
      </c>
      <c r="X1058" s="55">
        <f t="shared" si="167"/>
        <v>0.55217835165746665</v>
      </c>
      <c r="Y1058" s="149">
        <v>34.136000000000003</v>
      </c>
      <c r="Z1058" s="55">
        <f t="shared" si="163"/>
        <v>6.1552326785127088E-3</v>
      </c>
      <c r="AA1058" s="55">
        <f t="shared" si="168"/>
        <v>5.9642970529359815E-3</v>
      </c>
      <c r="AB1058" s="55">
        <f t="shared" si="164"/>
        <v>-5.0904527168900211</v>
      </c>
      <c r="AC1058" s="55">
        <f t="shared" si="169"/>
        <v>-5.122222330199306</v>
      </c>
      <c r="AD1058" s="55"/>
      <c r="AE1058" s="55"/>
      <c r="AF1058" s="55"/>
      <c r="AG1058" s="55"/>
      <c r="AH1058" s="55"/>
    </row>
    <row r="1059" spans="1:34" ht="15.75">
      <c r="A1059" s="39">
        <v>33.726872700000001</v>
      </c>
      <c r="B1059" s="39">
        <v>34.164999999999999</v>
      </c>
      <c r="C1059" s="39">
        <v>1057</v>
      </c>
      <c r="D1059">
        <v>1057</v>
      </c>
      <c r="E1059" s="10">
        <v>1314220</v>
      </c>
      <c r="F1059" s="10">
        <v>888670</v>
      </c>
      <c r="G1059" s="10">
        <v>20457</v>
      </c>
      <c r="H1059" s="10">
        <v>44200</v>
      </c>
      <c r="I1059" s="10">
        <v>88505</v>
      </c>
      <c r="J1059" s="10">
        <v>31976</v>
      </c>
      <c r="K1059">
        <v>1057</v>
      </c>
      <c r="L1059" s="10">
        <v>4253</v>
      </c>
      <c r="M1059" s="10">
        <v>344566</v>
      </c>
      <c r="N1059" s="10">
        <v>5235</v>
      </c>
      <c r="O1059">
        <v>0.44214367116409103</v>
      </c>
      <c r="P1059">
        <v>0.89185015193216388</v>
      </c>
      <c r="Q1059">
        <v>-0.33458032418479616</v>
      </c>
      <c r="R1059">
        <v>0.33458032418479616</v>
      </c>
      <c r="S1059">
        <f t="shared" si="170"/>
        <v>-1.0180734261840974</v>
      </c>
      <c r="T1059" s="148">
        <f t="shared" si="165"/>
        <v>-1.0335427848490859</v>
      </c>
      <c r="U1059">
        <f t="shared" si="171"/>
        <v>2.0535608650234751</v>
      </c>
      <c r="V1059" s="55">
        <f t="shared" si="166"/>
        <v>2.0409414813250639</v>
      </c>
      <c r="W1059">
        <f t="shared" si="172"/>
        <v>0.44666049920239687</v>
      </c>
      <c r="X1059" s="55">
        <f t="shared" si="167"/>
        <v>0.42933327721128056</v>
      </c>
      <c r="Y1059" s="149">
        <v>34.164999999999999</v>
      </c>
      <c r="Z1059" s="55">
        <f t="shared" si="163"/>
        <v>5.8908256158078931E-3</v>
      </c>
      <c r="AA1059" s="55">
        <f t="shared" si="168"/>
        <v>5.8192111417486011E-3</v>
      </c>
      <c r="AB1059" s="55">
        <f t="shared" si="164"/>
        <v>-5.1343591186787441</v>
      </c>
      <c r="AC1059" s="55">
        <f t="shared" si="169"/>
        <v>-5.1480089707755914</v>
      </c>
      <c r="AD1059" s="55"/>
      <c r="AE1059" s="55"/>
      <c r="AF1059" s="55"/>
      <c r="AG1059" s="55"/>
      <c r="AH1059" s="55"/>
    </row>
    <row r="1060" spans="1:34" ht="15.75">
      <c r="A1060" s="39">
        <v>33.755181800000003</v>
      </c>
      <c r="B1060" s="39">
        <v>34.194000000000003</v>
      </c>
      <c r="C1060" s="39">
        <v>1058</v>
      </c>
      <c r="D1060">
        <v>1058</v>
      </c>
      <c r="E1060" s="10">
        <v>905500</v>
      </c>
      <c r="F1060" s="10">
        <v>595760</v>
      </c>
      <c r="G1060" s="10">
        <v>14554</v>
      </c>
      <c r="H1060" s="10">
        <v>27495</v>
      </c>
      <c r="I1060" s="10">
        <v>61659</v>
      </c>
      <c r="J1060" s="10">
        <v>19221</v>
      </c>
      <c r="K1060">
        <v>1058</v>
      </c>
      <c r="L1060" s="10">
        <v>3380</v>
      </c>
      <c r="M1060" s="10">
        <v>209361</v>
      </c>
      <c r="N1060" s="10">
        <v>3224</v>
      </c>
      <c r="O1060">
        <v>0.50622049824718518</v>
      </c>
      <c r="P1060">
        <v>0.88164205999988721</v>
      </c>
      <c r="Q1060">
        <v>-0.27627135343246501</v>
      </c>
      <c r="R1060">
        <v>0.27627135343246506</v>
      </c>
      <c r="S1060">
        <f t="shared" si="170"/>
        <v>-1.1656157730319872</v>
      </c>
      <c r="T1060" s="148">
        <f t="shared" si="165"/>
        <v>-1.0675248567645184</v>
      </c>
      <c r="U1060">
        <f t="shared" si="171"/>
        <v>2.0300558647123021</v>
      </c>
      <c r="V1060" s="55">
        <f t="shared" si="166"/>
        <v>2.0429230941424597</v>
      </c>
      <c r="W1060">
        <f t="shared" si="172"/>
        <v>0.27813756140009943</v>
      </c>
      <c r="X1060" s="55">
        <f t="shared" si="167"/>
        <v>0.40268400231227436</v>
      </c>
      <c r="Y1060" s="149">
        <v>34.194000000000003</v>
      </c>
      <c r="Z1060" s="55">
        <f t="shared" si="163"/>
        <v>5.4115751309252048E-3</v>
      </c>
      <c r="AA1060" s="55">
        <f t="shared" si="168"/>
        <v>5.8318832387354832E-3</v>
      </c>
      <c r="AB1060" s="55">
        <f t="shared" si="164"/>
        <v>-5.2192150767580081</v>
      </c>
      <c r="AC1060" s="55">
        <f t="shared" si="169"/>
        <v>-5.1459565505050948</v>
      </c>
      <c r="AD1060" s="55"/>
      <c r="AE1060" s="55"/>
      <c r="AF1060" s="55"/>
      <c r="AG1060" s="55"/>
      <c r="AH1060" s="55"/>
    </row>
    <row r="1061" spans="1:34" ht="15.75">
      <c r="A1061" s="39">
        <v>33.783490899999997</v>
      </c>
      <c r="B1061" s="39">
        <v>34.222999999999999</v>
      </c>
      <c r="C1061" s="39">
        <v>1059</v>
      </c>
      <c r="D1061">
        <v>1059</v>
      </c>
      <c r="E1061" s="10">
        <v>1050740</v>
      </c>
      <c r="F1061" s="10">
        <v>693820</v>
      </c>
      <c r="G1061" s="10">
        <v>14863</v>
      </c>
      <c r="H1061" s="10">
        <v>34406</v>
      </c>
      <c r="I1061" s="10">
        <v>66754</v>
      </c>
      <c r="J1061" s="10">
        <v>24098</v>
      </c>
      <c r="K1061">
        <v>1059</v>
      </c>
      <c r="L1061" s="10">
        <v>2546</v>
      </c>
      <c r="M1061" s="10">
        <v>265970</v>
      </c>
      <c r="N1061" s="10">
        <v>4297</v>
      </c>
      <c r="O1061">
        <v>0.44249629435089249</v>
      </c>
      <c r="P1061">
        <v>0.88819846828431204</v>
      </c>
      <c r="Q1061">
        <v>-0.36452770721132266</v>
      </c>
      <c r="R1061">
        <v>0.36452770721132266</v>
      </c>
      <c r="S1061">
        <f t="shared" si="170"/>
        <v>-1.0188853710774703</v>
      </c>
      <c r="T1061" s="148">
        <f t="shared" si="165"/>
        <v>-1.0869459244966453</v>
      </c>
      <c r="U1061">
        <f t="shared" si="171"/>
        <v>2.0451525526916017</v>
      </c>
      <c r="V1061" s="55">
        <f t="shared" si="166"/>
        <v>2.0514990796531056</v>
      </c>
      <c r="W1061">
        <f t="shared" si="172"/>
        <v>0.48325394633432678</v>
      </c>
      <c r="X1061" s="55">
        <f t="shared" si="167"/>
        <v>0.41806918719439118</v>
      </c>
      <c r="Y1061" s="149">
        <v>34.222999999999999</v>
      </c>
      <c r="Z1061" s="55">
        <f t="shared" si="163"/>
        <v>6.1932489694733507E-3</v>
      </c>
      <c r="AA1061" s="55">
        <f t="shared" si="168"/>
        <v>5.959879109118253E-3</v>
      </c>
      <c r="AB1061" s="55">
        <f t="shared" si="164"/>
        <v>-5.0842954560785332</v>
      </c>
      <c r="AC1061" s="55">
        <f t="shared" si="169"/>
        <v>-5.1249073639574334</v>
      </c>
      <c r="AD1061" s="55"/>
      <c r="AE1061" s="55"/>
      <c r="AF1061" s="55"/>
      <c r="AG1061" s="55"/>
      <c r="AH1061" s="55"/>
    </row>
    <row r="1062" spans="1:34" ht="15.75">
      <c r="A1062" s="39">
        <v>33.811799999999998</v>
      </c>
      <c r="B1062" s="39">
        <v>34.252000000000002</v>
      </c>
      <c r="C1062" s="39">
        <v>1060</v>
      </c>
      <c r="D1062">
        <v>1060</v>
      </c>
      <c r="E1062" s="10">
        <v>1178360</v>
      </c>
      <c r="F1062" s="10">
        <v>788390</v>
      </c>
      <c r="G1062" s="10">
        <v>16685</v>
      </c>
      <c r="H1062" s="10">
        <v>38472</v>
      </c>
      <c r="I1062" s="10">
        <v>80131</v>
      </c>
      <c r="J1062" s="10">
        <v>27312</v>
      </c>
      <c r="K1062">
        <v>1060</v>
      </c>
      <c r="L1062" s="10">
        <v>2974</v>
      </c>
      <c r="M1062" s="10">
        <v>307729</v>
      </c>
      <c r="N1062" s="10">
        <v>4947</v>
      </c>
      <c r="O1062">
        <v>0.46744705881028692</v>
      </c>
      <c r="P1062">
        <v>0.90302366148463131</v>
      </c>
      <c r="Q1062">
        <v>-0.36281855307493927</v>
      </c>
      <c r="R1062">
        <v>0.36281855307493932</v>
      </c>
      <c r="S1062">
        <f t="shared" si="170"/>
        <v>-1.0763366293804777</v>
      </c>
      <c r="T1062" s="148">
        <f t="shared" si="165"/>
        <v>-1.0470574327743585</v>
      </c>
      <c r="U1062">
        <f t="shared" si="171"/>
        <v>2.0792888215554135</v>
      </c>
      <c r="V1062" s="55">
        <f t="shared" si="166"/>
        <v>2.0743324085960828</v>
      </c>
      <c r="W1062">
        <f t="shared" si="172"/>
        <v>0.49281605384874744</v>
      </c>
      <c r="X1062" s="55">
        <f t="shared" si="167"/>
        <v>0.51024368802248554</v>
      </c>
      <c r="Y1062" s="149">
        <v>34.252000000000002</v>
      </c>
      <c r="Z1062" s="55">
        <f t="shared" si="163"/>
        <v>6.2748132269562018E-3</v>
      </c>
      <c r="AA1062" s="55">
        <f t="shared" si="168"/>
        <v>6.173210223236642E-3</v>
      </c>
      <c r="AB1062" s="55">
        <f t="shared" si="164"/>
        <v>-5.0712115590357589</v>
      </c>
      <c r="AC1062" s="55">
        <f t="shared" si="169"/>
        <v>-5.0876482679572455</v>
      </c>
      <c r="AD1062" s="55"/>
      <c r="AE1062" s="55"/>
      <c r="AF1062" s="55"/>
      <c r="AG1062" s="55"/>
      <c r="AH1062" s="55"/>
    </row>
    <row r="1063" spans="1:34" ht="15.75">
      <c r="A1063" s="39">
        <v>33.840109099999999</v>
      </c>
      <c r="B1063" s="39">
        <v>34.280999999999999</v>
      </c>
      <c r="C1063" s="39">
        <v>1061</v>
      </c>
      <c r="D1063">
        <v>1061</v>
      </c>
      <c r="E1063" s="10">
        <v>1096970</v>
      </c>
      <c r="F1063" s="10">
        <v>737660</v>
      </c>
      <c r="G1063" s="10">
        <v>14452</v>
      </c>
      <c r="H1063" s="10">
        <v>34958</v>
      </c>
      <c r="I1063" s="10">
        <v>71625</v>
      </c>
      <c r="J1063" s="10">
        <v>25166</v>
      </c>
      <c r="K1063">
        <v>1061</v>
      </c>
      <c r="L1063" s="10">
        <v>2639</v>
      </c>
      <c r="M1063" s="10">
        <v>285061</v>
      </c>
      <c r="N1063" s="10">
        <v>4464</v>
      </c>
      <c r="O1063">
        <v>0.45425044270788745</v>
      </c>
      <c r="P1063">
        <v>0.91139122629013747</v>
      </c>
      <c r="Q1063">
        <v>-0.38361862513360118</v>
      </c>
      <c r="R1063">
        <v>0.38361862513360118</v>
      </c>
      <c r="S1063">
        <f t="shared" si="170"/>
        <v>-1.0459502978651276</v>
      </c>
      <c r="T1063" s="148">
        <f t="shared" si="165"/>
        <v>-0.96636003191071707</v>
      </c>
      <c r="U1063">
        <f t="shared" si="171"/>
        <v>2.0985558515412337</v>
      </c>
      <c r="V1063" s="55">
        <f t="shared" si="166"/>
        <v>2.0942907055304674</v>
      </c>
      <c r="W1063">
        <f t="shared" si="172"/>
        <v>0.55466106388438241</v>
      </c>
      <c r="X1063" s="55">
        <f t="shared" si="167"/>
        <v>0.55702749169299182</v>
      </c>
      <c r="Y1063" s="149">
        <v>34.280999999999999</v>
      </c>
      <c r="Z1063" s="55">
        <f t="shared" si="163"/>
        <v>6.0515684732803735E-3</v>
      </c>
      <c r="AA1063" s="55">
        <f t="shared" si="168"/>
        <v>6.0543859404488211E-3</v>
      </c>
      <c r="AB1063" s="55">
        <f t="shared" si="164"/>
        <v>-5.1074377887574434</v>
      </c>
      <c r="AC1063" s="55">
        <f t="shared" si="169"/>
        <v>-5.1074086721395426</v>
      </c>
      <c r="AD1063" s="55"/>
      <c r="AE1063" s="55"/>
      <c r="AF1063" s="55"/>
      <c r="AG1063" s="55"/>
      <c r="AH1063" s="55"/>
    </row>
    <row r="1064" spans="1:34" ht="15.75">
      <c r="A1064" s="39">
        <v>33.868418200000001</v>
      </c>
      <c r="B1064" s="39">
        <v>34.31</v>
      </c>
      <c r="C1064" s="39">
        <v>1062</v>
      </c>
      <c r="D1064">
        <v>1062</v>
      </c>
      <c r="E1064" s="10">
        <v>1010930</v>
      </c>
      <c r="F1064" s="10">
        <v>699530</v>
      </c>
      <c r="G1064" s="10">
        <v>12690</v>
      </c>
      <c r="H1064" s="10">
        <v>32750</v>
      </c>
      <c r="I1064" s="10">
        <v>51481</v>
      </c>
      <c r="J1064" s="10">
        <v>23675</v>
      </c>
      <c r="K1064">
        <v>1062</v>
      </c>
      <c r="L1064" s="10">
        <v>2328</v>
      </c>
      <c r="M1064" s="10">
        <v>268790</v>
      </c>
      <c r="N1064" s="10">
        <v>4083</v>
      </c>
      <c r="O1064">
        <v>0.33735698665384983</v>
      </c>
      <c r="P1064">
        <v>0.91420180296468145</v>
      </c>
      <c r="Q1064">
        <v>-0.4117496822330971</v>
      </c>
      <c r="R1064">
        <v>0.41174968223309705</v>
      </c>
      <c r="S1064">
        <f t="shared" si="170"/>
        <v>-0.77679316848654578</v>
      </c>
      <c r="T1064" s="148">
        <f t="shared" si="165"/>
        <v>-0.93260474385085157</v>
      </c>
      <c r="U1064">
        <f t="shared" si="171"/>
        <v>2.1050274434947553</v>
      </c>
      <c r="V1064" s="55">
        <f t="shared" si="166"/>
        <v>2.0936963114260716</v>
      </c>
      <c r="W1064">
        <f t="shared" si="172"/>
        <v>0.62360535734584566</v>
      </c>
      <c r="X1064" s="55">
        <f t="shared" si="167"/>
        <v>0.60604212106335986</v>
      </c>
      <c r="Y1064" s="149">
        <v>34.31</v>
      </c>
      <c r="Z1064" s="55">
        <f t="shared" si="163"/>
        <v>5.8367761211098879E-3</v>
      </c>
      <c r="AA1064" s="55">
        <f t="shared" si="168"/>
        <v>5.9666894880438144E-3</v>
      </c>
      <c r="AB1064" s="55">
        <f t="shared" si="164"/>
        <v>-5.1435766686254265</v>
      </c>
      <c r="AC1064" s="55">
        <f t="shared" si="169"/>
        <v>-5.1216860651263962</v>
      </c>
      <c r="AD1064" s="55"/>
      <c r="AE1064" s="55"/>
      <c r="AF1064" s="55"/>
      <c r="AG1064" s="55"/>
      <c r="AH1064" s="55"/>
    </row>
    <row r="1065" spans="1:34" ht="15.75">
      <c r="A1065" s="39">
        <v>33.896727300000002</v>
      </c>
      <c r="B1065" s="39">
        <v>34.338999999999999</v>
      </c>
      <c r="C1065" s="39">
        <v>1063</v>
      </c>
      <c r="D1065">
        <v>1063</v>
      </c>
      <c r="E1065" s="10">
        <v>1025830</v>
      </c>
      <c r="F1065" s="10">
        <v>694310</v>
      </c>
      <c r="G1065" s="10">
        <v>12709</v>
      </c>
      <c r="H1065" s="10">
        <v>32833</v>
      </c>
      <c r="I1065" s="10">
        <v>63895</v>
      </c>
      <c r="J1065" s="10">
        <v>24099</v>
      </c>
      <c r="K1065">
        <v>1063</v>
      </c>
      <c r="L1065" s="10">
        <v>2977</v>
      </c>
      <c r="M1065" s="10">
        <v>262156</v>
      </c>
      <c r="N1065" s="10">
        <v>4174</v>
      </c>
      <c r="O1065">
        <v>0.42346785279192412</v>
      </c>
      <c r="P1065">
        <v>0.90224923524578626</v>
      </c>
      <c r="Q1065">
        <v>-0.41219918697556501</v>
      </c>
      <c r="R1065">
        <v>0.41219918697556501</v>
      </c>
      <c r="S1065">
        <f t="shared" si="170"/>
        <v>-0.97507076520088143</v>
      </c>
      <c r="T1065" s="148">
        <f t="shared" si="165"/>
        <v>-0.94002180594807605</v>
      </c>
      <c r="U1065">
        <f t="shared" si="171"/>
        <v>2.0775056392422253</v>
      </c>
      <c r="V1065" s="55">
        <f t="shared" si="166"/>
        <v>2.0800020093287208</v>
      </c>
      <c r="W1065">
        <f t="shared" si="172"/>
        <v>0.63985994195985174</v>
      </c>
      <c r="X1065" s="55">
        <f t="shared" si="167"/>
        <v>0.6181234940134992</v>
      </c>
      <c r="Y1065" s="149">
        <v>34.338999999999999</v>
      </c>
      <c r="Z1065" s="55">
        <f t="shared" si="163"/>
        <v>6.0117238697411819E-3</v>
      </c>
      <c r="AA1065" s="55">
        <f t="shared" si="168"/>
        <v>5.95339218953713E-3</v>
      </c>
      <c r="AB1065" s="55">
        <f t="shared" si="164"/>
        <v>-5.1140437379963197</v>
      </c>
      <c r="AC1065" s="55">
        <f t="shared" si="169"/>
        <v>-5.1238906704248679</v>
      </c>
      <c r="AD1065" s="55"/>
      <c r="AE1065" s="55"/>
      <c r="AF1065" s="55"/>
      <c r="AG1065" s="55"/>
      <c r="AH1065" s="55"/>
    </row>
    <row r="1066" spans="1:34" ht="15.75">
      <c r="A1066" s="39">
        <v>33.925036400000003</v>
      </c>
      <c r="B1066" s="39">
        <v>34.368000000000002</v>
      </c>
      <c r="C1066" s="39">
        <v>1064</v>
      </c>
      <c r="D1066">
        <v>1064</v>
      </c>
      <c r="E1066" s="10">
        <v>1100940</v>
      </c>
      <c r="F1066" s="10">
        <v>738230</v>
      </c>
      <c r="G1066" s="10">
        <v>14194</v>
      </c>
      <c r="H1066" s="10">
        <v>35563</v>
      </c>
      <c r="I1066" s="10">
        <v>74584</v>
      </c>
      <c r="J1066" s="10">
        <v>25629</v>
      </c>
      <c r="K1066">
        <v>1064</v>
      </c>
      <c r="L1066" s="10">
        <v>2799</v>
      </c>
      <c r="M1066" s="10">
        <v>278322</v>
      </c>
      <c r="N1066" s="10">
        <v>4438</v>
      </c>
      <c r="O1066">
        <v>0.4639140101301627</v>
      </c>
      <c r="P1066">
        <v>0.89354914678695108</v>
      </c>
      <c r="Q1066">
        <v>-0.39889358887691301</v>
      </c>
      <c r="R1066">
        <v>0.39889358887691301</v>
      </c>
      <c r="S1066">
        <f t="shared" si="170"/>
        <v>-1.0682014841568013</v>
      </c>
      <c r="T1066" s="148">
        <f t="shared" si="165"/>
        <v>-1.0892586148464518</v>
      </c>
      <c r="U1066">
        <f t="shared" si="171"/>
        <v>2.0574729452491818</v>
      </c>
      <c r="V1066" s="55">
        <f t="shared" si="166"/>
        <v>2.0530095471697041</v>
      </c>
      <c r="W1066">
        <f t="shared" si="172"/>
        <v>0.59090518273480019</v>
      </c>
      <c r="X1066" s="55">
        <f t="shared" si="167"/>
        <v>0.56693346833963354</v>
      </c>
      <c r="Y1066" s="149">
        <v>34.368000000000002</v>
      </c>
      <c r="Z1066" s="55">
        <f t="shared" si="163"/>
        <v>6.0116765777603184E-3</v>
      </c>
      <c r="AA1066" s="55">
        <f t="shared" si="168"/>
        <v>6.0214191762253131E-3</v>
      </c>
      <c r="AB1066" s="55">
        <f t="shared" si="164"/>
        <v>-5.1140516046528566</v>
      </c>
      <c r="AC1066" s="55">
        <f t="shared" si="169"/>
        <v>-5.1124349062982892</v>
      </c>
      <c r="AD1066" s="55"/>
      <c r="AE1066" s="55"/>
      <c r="AF1066" s="55"/>
      <c r="AG1066" s="55"/>
      <c r="AH1066" s="55"/>
    </row>
    <row r="1067" spans="1:34" ht="15.75">
      <c r="A1067" s="39">
        <v>33.953345499999998</v>
      </c>
      <c r="B1067" s="39">
        <v>34.396999999999998</v>
      </c>
      <c r="C1067" s="39">
        <v>1065</v>
      </c>
      <c r="D1067">
        <v>1065</v>
      </c>
      <c r="E1067" s="10">
        <v>1113370</v>
      </c>
      <c r="F1067" s="10">
        <v>741120</v>
      </c>
      <c r="G1067" s="10">
        <v>15797</v>
      </c>
      <c r="H1067" s="10">
        <v>35898</v>
      </c>
      <c r="I1067" s="10">
        <v>86001</v>
      </c>
      <c r="J1067" s="10">
        <v>25276</v>
      </c>
      <c r="K1067">
        <v>1065</v>
      </c>
      <c r="L1067" s="10">
        <v>3365</v>
      </c>
      <c r="M1067" s="10">
        <v>271709</v>
      </c>
      <c r="N1067" s="10">
        <v>4477</v>
      </c>
      <c r="O1067">
        <v>0.53179515445809344</v>
      </c>
      <c r="P1067">
        <v>0.87903377085875201</v>
      </c>
      <c r="Q1067">
        <v>-0.35649563507840892</v>
      </c>
      <c r="R1067">
        <v>0.35649563507840892</v>
      </c>
      <c r="S1067">
        <f t="shared" si="170"/>
        <v>-1.2245035951816721</v>
      </c>
      <c r="U1067">
        <f t="shared" si="171"/>
        <v>2.024050057017706</v>
      </c>
      <c r="W1067">
        <f t="shared" si="172"/>
        <v>0.47003528032424874</v>
      </c>
      <c r="Y1067" s="149">
        <v>34.396999999999998</v>
      </c>
      <c r="Z1067" s="55">
        <f t="shared" si="163"/>
        <v>6.0408570811744389E-3</v>
      </c>
      <c r="AA1067" s="55"/>
      <c r="AB1067" s="55">
        <f t="shared" si="164"/>
        <v>-5.1092093762456923</v>
      </c>
      <c r="AC1067" s="55"/>
      <c r="AD1067" s="55"/>
      <c r="AE1067" s="55"/>
      <c r="AF1067" s="55"/>
      <c r="AG1067" s="55"/>
      <c r="AH1067" s="55"/>
    </row>
  </sheetData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11791-1BD8-45B1-9C16-7C59045BBB1D}">
  <dimension ref="A1:AC16"/>
  <sheetViews>
    <sheetView topLeftCell="G7" zoomScale="97" zoomScaleNormal="145" workbookViewId="0">
      <selection activeCell="AA19" sqref="AA19"/>
    </sheetView>
  </sheetViews>
  <sheetFormatPr defaultRowHeight="12.75"/>
  <sheetData>
    <row r="1" spans="1:29" ht="15.75">
      <c r="A1" s="39" t="s">
        <v>536</v>
      </c>
      <c r="B1" s="39" t="s">
        <v>441</v>
      </c>
      <c r="C1" s="39" t="s">
        <v>537</v>
      </c>
      <c r="D1" t="s">
        <v>537</v>
      </c>
      <c r="E1" s="10" t="s">
        <v>538</v>
      </c>
      <c r="F1" s="10" t="s">
        <v>539</v>
      </c>
      <c r="G1" s="10" t="s">
        <v>540</v>
      </c>
      <c r="H1" s="10" t="s">
        <v>541</v>
      </c>
      <c r="I1" s="10" t="s">
        <v>542</v>
      </c>
      <c r="J1" s="10" t="s">
        <v>543</v>
      </c>
      <c r="K1" t="s">
        <v>544</v>
      </c>
      <c r="L1" s="10" t="s">
        <v>545</v>
      </c>
      <c r="M1" s="10" t="s">
        <v>546</v>
      </c>
      <c r="N1" s="10" t="s">
        <v>547</v>
      </c>
      <c r="O1" t="s">
        <v>548</v>
      </c>
      <c r="P1" t="s">
        <v>549</v>
      </c>
      <c r="Q1" t="s">
        <v>550</v>
      </c>
      <c r="R1" t="s">
        <v>551</v>
      </c>
      <c r="S1" s="55" t="s">
        <v>598</v>
      </c>
      <c r="T1" s="55" t="s">
        <v>599</v>
      </c>
      <c r="U1" s="55" t="s">
        <v>600</v>
      </c>
      <c r="V1" s="55" t="s">
        <v>601</v>
      </c>
      <c r="W1" s="55" t="s">
        <v>602</v>
      </c>
      <c r="X1" s="55" t="s">
        <v>603</v>
      </c>
      <c r="Y1" s="39" t="s">
        <v>441</v>
      </c>
      <c r="Z1" s="55" t="s">
        <v>597</v>
      </c>
      <c r="AA1" s="55" t="s">
        <v>610</v>
      </c>
      <c r="AB1" s="55" t="s">
        <v>604</v>
      </c>
      <c r="AC1" s="55" t="s">
        <v>605</v>
      </c>
    </row>
    <row r="2" spans="1:29" ht="15.75">
      <c r="A2" s="133">
        <v>10.010228100000001</v>
      </c>
      <c r="B2" s="133">
        <v>10.2980526</v>
      </c>
      <c r="C2" s="133">
        <v>101</v>
      </c>
      <c r="D2" s="134">
        <v>101</v>
      </c>
      <c r="E2" s="135">
        <v>1342050</v>
      </c>
      <c r="F2" s="135">
        <v>1094420</v>
      </c>
      <c r="G2" s="135">
        <v>16665</v>
      </c>
      <c r="H2" s="135">
        <v>39029</v>
      </c>
      <c r="I2" s="135">
        <v>9206</v>
      </c>
      <c r="J2" s="135">
        <v>31950</v>
      </c>
      <c r="K2" s="134">
        <v>101</v>
      </c>
      <c r="L2" s="135">
        <v>1692</v>
      </c>
      <c r="M2" s="135">
        <v>401857</v>
      </c>
      <c r="N2" s="135">
        <v>5176</v>
      </c>
      <c r="O2" s="134">
        <v>-0.54039989193646354</v>
      </c>
      <c r="P2" s="134">
        <v>1.0126841138204123</v>
      </c>
      <c r="Q2" s="134">
        <v>-0.36958210594558644</v>
      </c>
      <c r="R2" s="134">
        <v>0.36958210594558638</v>
      </c>
      <c r="S2" s="134">
        <f t="shared" ref="S2:S16" si="0">LN(J2/I2)</f>
        <v>1.2443167354284941</v>
      </c>
      <c r="T2" s="136">
        <f t="shared" ref="T2:T16" si="1">AVERAGE(S1:S3)</f>
        <v>0.94408901712885041</v>
      </c>
      <c r="U2" s="134">
        <f t="shared" ref="U2:U16" si="2">LN(M2/H2)</f>
        <v>2.3317913443947673</v>
      </c>
      <c r="V2" s="136">
        <f t="shared" ref="V2:V16" si="3">AVERAGE(U1:U3)</f>
        <v>2.3031689968889197</v>
      </c>
      <c r="W2" s="134">
        <f t="shared" ref="W2:W16" si="4">LN(J2/G2)</f>
        <v>0.65086146906384079</v>
      </c>
      <c r="X2" s="136">
        <f t="shared" ref="X2:X16" si="5">AVERAGE(W1:W3)</f>
        <v>0.61370152251415333</v>
      </c>
      <c r="Y2" s="133">
        <v>10.2980526</v>
      </c>
      <c r="Z2" s="136">
        <f t="shared" ref="Z2:Z16" si="6">N2/F2</f>
        <v>4.7294457338133439E-3</v>
      </c>
      <c r="AA2" s="136">
        <f t="shared" ref="AA2:AA16" si="7">AVERAGE(Z1:Z3)</f>
        <v>4.6867764358874721E-3</v>
      </c>
      <c r="AB2" s="136">
        <f t="shared" ref="AB2:AB16" si="8">LN(Z2)</f>
        <v>-5.3539472643565045</v>
      </c>
      <c r="AC2" s="136">
        <f t="shared" ref="AC2:AC16" si="9">AVERAGE(AB1:AB3)</f>
        <v>-5.3630517047896369</v>
      </c>
    </row>
    <row r="3" spans="1:29" ht="15.75">
      <c r="A3" s="133">
        <v>11.4317379</v>
      </c>
      <c r="B3" s="133">
        <v>11.768077699999999</v>
      </c>
      <c r="C3" s="133">
        <v>191</v>
      </c>
      <c r="D3" s="134">
        <v>191</v>
      </c>
      <c r="E3" s="135">
        <v>1375450</v>
      </c>
      <c r="F3" s="135">
        <v>1094290</v>
      </c>
      <c r="G3" s="135">
        <v>18939</v>
      </c>
      <c r="H3" s="135">
        <v>41506</v>
      </c>
      <c r="I3" s="135">
        <v>17706</v>
      </c>
      <c r="J3" s="135">
        <v>33709</v>
      </c>
      <c r="K3" s="134">
        <v>191</v>
      </c>
      <c r="L3" s="135">
        <v>2561</v>
      </c>
      <c r="M3" s="135">
        <v>403584</v>
      </c>
      <c r="N3" s="135">
        <v>5082</v>
      </c>
      <c r="O3" s="134">
        <v>-0.27962540919258511</v>
      </c>
      <c r="P3" s="134">
        <v>0.98782305865859876</v>
      </c>
      <c r="Q3" s="134">
        <v>-0.34075383769015799</v>
      </c>
      <c r="R3" s="134">
        <v>0.34075383769015793</v>
      </c>
      <c r="S3" s="134">
        <f t="shared" si="0"/>
        <v>0.64386129882920673</v>
      </c>
      <c r="T3" s="136">
        <f t="shared" si="1"/>
        <v>0.9375661704192314</v>
      </c>
      <c r="U3" s="134">
        <f t="shared" si="2"/>
        <v>2.2745466493830722</v>
      </c>
      <c r="V3" s="136">
        <f t="shared" si="3"/>
        <v>2.3250727427731319</v>
      </c>
      <c r="W3" s="134">
        <f t="shared" si="4"/>
        <v>0.57654157596446587</v>
      </c>
      <c r="X3" s="136">
        <f t="shared" si="5"/>
        <v>0.61479791017286556</v>
      </c>
      <c r="Y3" s="133">
        <v>11.768077699999999</v>
      </c>
      <c r="Z3" s="136">
        <f t="shared" si="6"/>
        <v>4.6441071379616011E-3</v>
      </c>
      <c r="AA3" s="136">
        <f t="shared" si="7"/>
        <v>4.4301789079619833E-3</v>
      </c>
      <c r="AB3" s="136">
        <f t="shared" si="8"/>
        <v>-5.3721561452227684</v>
      </c>
      <c r="AC3" s="136">
        <f t="shared" si="9"/>
        <v>-5.4228455854668782</v>
      </c>
    </row>
    <row r="4" spans="1:29" ht="15.75">
      <c r="A4" s="133">
        <v>11.7897961</v>
      </c>
      <c r="B4" s="133">
        <v>12.1405049</v>
      </c>
      <c r="C4" s="133">
        <v>211</v>
      </c>
      <c r="D4" s="134">
        <v>211</v>
      </c>
      <c r="E4" s="135">
        <v>1402300</v>
      </c>
      <c r="F4" s="135">
        <v>1137610</v>
      </c>
      <c r="G4" s="135">
        <v>17742</v>
      </c>
      <c r="H4" s="135">
        <v>40543</v>
      </c>
      <c r="I4" s="135">
        <v>13045</v>
      </c>
      <c r="J4" s="135">
        <v>32882</v>
      </c>
      <c r="K4" s="134">
        <v>211</v>
      </c>
      <c r="L4" s="135">
        <v>2111</v>
      </c>
      <c r="M4" s="135">
        <v>433219</v>
      </c>
      <c r="N4" s="135">
        <v>4456</v>
      </c>
      <c r="O4" s="134">
        <v>-0.40151414156765941</v>
      </c>
      <c r="P4" s="134">
        <v>1.0287916141510789</v>
      </c>
      <c r="Q4" s="134">
        <v>-0.35891330647832775</v>
      </c>
      <c r="R4" s="134">
        <v>0.35891330647832775</v>
      </c>
      <c r="S4" s="134">
        <f t="shared" si="0"/>
        <v>0.92452047699999351</v>
      </c>
      <c r="T4" s="136">
        <f t="shared" si="1"/>
        <v>0.41573791833812135</v>
      </c>
      <c r="U4" s="134">
        <f t="shared" si="2"/>
        <v>2.3688802345415563</v>
      </c>
      <c r="V4" s="136">
        <f t="shared" si="3"/>
        <v>2.3217192560271118</v>
      </c>
      <c r="W4" s="134">
        <f t="shared" si="4"/>
        <v>0.61699068549029001</v>
      </c>
      <c r="X4" s="136">
        <f t="shared" si="5"/>
        <v>0.56840797348585148</v>
      </c>
      <c r="Y4" s="133">
        <v>12.1405049</v>
      </c>
      <c r="Z4" s="136">
        <f t="shared" si="6"/>
        <v>3.9169838521110048E-3</v>
      </c>
      <c r="AA4" s="136">
        <f t="shared" si="7"/>
        <v>4.1390108404514171E-3</v>
      </c>
      <c r="AB4" s="136">
        <f t="shared" si="8"/>
        <v>-5.5424333468213636</v>
      </c>
      <c r="AC4" s="136">
        <f t="shared" si="9"/>
        <v>-5.4909098524807654</v>
      </c>
    </row>
    <row r="5" spans="1:29" ht="15.75">
      <c r="A5" s="133">
        <v>12.401714999999999</v>
      </c>
      <c r="B5" s="133">
        <v>12.6819275</v>
      </c>
      <c r="C5" s="133">
        <v>281</v>
      </c>
      <c r="D5" s="134">
        <v>281</v>
      </c>
      <c r="E5" s="135">
        <v>1459360</v>
      </c>
      <c r="F5" s="135">
        <v>1135650</v>
      </c>
      <c r="G5" s="135">
        <v>18467</v>
      </c>
      <c r="H5" s="135">
        <v>43419</v>
      </c>
      <c r="I5" s="135">
        <v>42472</v>
      </c>
      <c r="J5" s="135">
        <v>30805</v>
      </c>
      <c r="K5" s="134">
        <v>281</v>
      </c>
      <c r="L5" s="135">
        <v>2367</v>
      </c>
      <c r="M5" s="135">
        <v>442583</v>
      </c>
      <c r="N5" s="135">
        <v>4379</v>
      </c>
      <c r="O5" s="134">
        <v>0.13948149920367217</v>
      </c>
      <c r="P5" s="134">
        <v>1.0083149114536156</v>
      </c>
      <c r="Q5" s="134">
        <v>-0.37128346763862785</v>
      </c>
      <c r="R5" s="134">
        <v>0.3712834676386278</v>
      </c>
      <c r="S5" s="134">
        <f t="shared" si="0"/>
        <v>-0.32116802081483625</v>
      </c>
      <c r="T5" s="136">
        <f t="shared" si="1"/>
        <v>-0.14181589770270375</v>
      </c>
      <c r="U5" s="134">
        <f t="shared" si="2"/>
        <v>2.3217308841567066</v>
      </c>
      <c r="V5" s="136">
        <f t="shared" si="3"/>
        <v>2.3082741306970331</v>
      </c>
      <c r="W5" s="134">
        <f t="shared" si="4"/>
        <v>0.51169165900279845</v>
      </c>
      <c r="X5" s="136">
        <f t="shared" si="5"/>
        <v>0.54395349673896909</v>
      </c>
      <c r="Y5" s="133">
        <v>12.6819275</v>
      </c>
      <c r="Z5" s="136">
        <f t="shared" si="6"/>
        <v>3.8559415312816449E-3</v>
      </c>
      <c r="AA5" s="136">
        <f t="shared" si="7"/>
        <v>4.0822031979729882E-3</v>
      </c>
      <c r="AB5" s="136">
        <f t="shared" si="8"/>
        <v>-5.5581400653981641</v>
      </c>
      <c r="AC5" s="136">
        <f t="shared" si="9"/>
        <v>-5.5033721379592633</v>
      </c>
    </row>
    <row r="6" spans="1:29" ht="15.75">
      <c r="A6" s="133">
        <v>12.6921701</v>
      </c>
      <c r="B6" s="133">
        <v>12.904340100000001</v>
      </c>
      <c r="C6" s="133">
        <v>336</v>
      </c>
      <c r="D6" s="134">
        <v>336</v>
      </c>
      <c r="E6" s="135">
        <v>1478670</v>
      </c>
      <c r="F6" s="135">
        <v>1117200</v>
      </c>
      <c r="G6" s="135">
        <v>18088</v>
      </c>
      <c r="H6" s="135">
        <v>44236</v>
      </c>
      <c r="I6" s="135">
        <v>83699</v>
      </c>
      <c r="J6" s="135">
        <v>29917</v>
      </c>
      <c r="K6" s="134">
        <v>336</v>
      </c>
      <c r="L6" s="135">
        <v>2701</v>
      </c>
      <c r="M6" s="135">
        <v>413125</v>
      </c>
      <c r="N6" s="135">
        <v>4998</v>
      </c>
      <c r="O6" s="134">
        <v>0.44680222781930823</v>
      </c>
      <c r="P6" s="134">
        <v>0.97030562744054683</v>
      </c>
      <c r="Q6" s="134">
        <v>-0.38838530005186539</v>
      </c>
      <c r="R6" s="134">
        <v>0.38838530005186539</v>
      </c>
      <c r="S6" s="134">
        <f t="shared" si="0"/>
        <v>-1.0288001492932686</v>
      </c>
      <c r="T6" s="136">
        <f t="shared" si="1"/>
        <v>-0.61870546704901697</v>
      </c>
      <c r="U6" s="134">
        <f t="shared" si="2"/>
        <v>2.2342112733928374</v>
      </c>
      <c r="V6" s="136">
        <f t="shared" si="3"/>
        <v>2.2529454614881659</v>
      </c>
      <c r="W6" s="134">
        <f t="shared" si="4"/>
        <v>0.50317814572381891</v>
      </c>
      <c r="X6" s="136">
        <f t="shared" si="5"/>
        <v>0.45945623366976002</v>
      </c>
      <c r="Y6" s="133">
        <v>12.904340100000001</v>
      </c>
      <c r="Z6" s="136">
        <f t="shared" si="6"/>
        <v>4.4736842105263155E-3</v>
      </c>
      <c r="AA6" s="136">
        <f t="shared" si="7"/>
        <v>4.3396721180212778E-3</v>
      </c>
      <c r="AB6" s="136">
        <f t="shared" si="8"/>
        <v>-5.4095430016582613</v>
      </c>
      <c r="AC6" s="136">
        <f t="shared" si="9"/>
        <v>-5.4433785684811253</v>
      </c>
    </row>
    <row r="7" spans="1:29" ht="15.75">
      <c r="A7" s="133">
        <v>13.1715</v>
      </c>
      <c r="B7" s="133">
        <v>13.4115</v>
      </c>
      <c r="C7" s="133">
        <v>482</v>
      </c>
      <c r="D7" s="134">
        <v>482</v>
      </c>
      <c r="E7" s="135">
        <v>1458350</v>
      </c>
      <c r="F7" s="135">
        <v>1115710</v>
      </c>
      <c r="G7" s="135">
        <v>23659</v>
      </c>
      <c r="H7" s="135">
        <v>45572</v>
      </c>
      <c r="I7" s="135">
        <v>56452</v>
      </c>
      <c r="J7" s="135">
        <v>34030</v>
      </c>
      <c r="K7" s="134">
        <v>482</v>
      </c>
      <c r="L7" s="135">
        <v>1979</v>
      </c>
      <c r="M7" s="135">
        <v>412480</v>
      </c>
      <c r="N7" s="135">
        <v>5232</v>
      </c>
      <c r="O7" s="134">
        <v>0.21981738376530652</v>
      </c>
      <c r="P7" s="134">
        <v>0.95670480696569415</v>
      </c>
      <c r="Q7" s="134">
        <v>-0.28470170444528842</v>
      </c>
      <c r="R7" s="134">
        <v>0.28470170444528842</v>
      </c>
      <c r="S7" s="134">
        <f t="shared" si="0"/>
        <v>-0.50614823103894624</v>
      </c>
      <c r="T7" s="136">
        <f t="shared" si="1"/>
        <v>-0.63691565655264959</v>
      </c>
      <c r="U7" s="134">
        <f t="shared" si="2"/>
        <v>2.2028942269149532</v>
      </c>
      <c r="V7" s="136">
        <f t="shared" si="3"/>
        <v>2.2490420308362151</v>
      </c>
      <c r="W7" s="134">
        <f t="shared" si="4"/>
        <v>0.36349889628266274</v>
      </c>
      <c r="X7" s="136">
        <f t="shared" si="5"/>
        <v>0.45311991632584431</v>
      </c>
      <c r="Y7" s="133">
        <v>13.4115</v>
      </c>
      <c r="Z7" s="136">
        <f t="shared" si="6"/>
        <v>4.6893906122558726E-3</v>
      </c>
      <c r="AA7" s="136">
        <f t="shared" si="7"/>
        <v>4.3971466879333407E-3</v>
      </c>
      <c r="AB7" s="136">
        <f t="shared" si="8"/>
        <v>-5.3624526383869497</v>
      </c>
      <c r="AC7" s="136">
        <f t="shared" si="9"/>
        <v>-5.4287967575853431</v>
      </c>
    </row>
    <row r="8" spans="1:29" ht="15.75">
      <c r="A8" s="133">
        <v>14.9081455</v>
      </c>
      <c r="B8" s="133">
        <v>15.2977455</v>
      </c>
      <c r="C8" s="133">
        <v>542</v>
      </c>
      <c r="D8" s="134">
        <v>542</v>
      </c>
      <c r="E8" s="135">
        <v>1357630</v>
      </c>
      <c r="F8" s="135">
        <v>1037890</v>
      </c>
      <c r="G8" s="135">
        <v>17509</v>
      </c>
      <c r="H8" s="135">
        <v>42676</v>
      </c>
      <c r="I8" s="135">
        <v>41729</v>
      </c>
      <c r="J8" s="135">
        <v>28657</v>
      </c>
      <c r="K8" s="134">
        <v>542</v>
      </c>
      <c r="L8" s="135">
        <v>1694</v>
      </c>
      <c r="M8" s="135">
        <v>429945</v>
      </c>
      <c r="N8" s="135">
        <v>4181</v>
      </c>
      <c r="O8" s="134">
        <v>0.16320725365119243</v>
      </c>
      <c r="P8" s="134">
        <v>1.0032291962757129</v>
      </c>
      <c r="Q8" s="134">
        <v>-0.3869223637362178</v>
      </c>
      <c r="R8" s="134">
        <v>0.38692236373621786</v>
      </c>
      <c r="S8" s="134">
        <f t="shared" si="0"/>
        <v>-0.37579858932573373</v>
      </c>
      <c r="T8" s="136">
        <f t="shared" si="1"/>
        <v>-0.94204294297966096</v>
      </c>
      <c r="U8" s="134">
        <f t="shared" si="2"/>
        <v>2.3100205922008543</v>
      </c>
      <c r="V8" s="136">
        <f t="shared" si="3"/>
        <v>2.2485456109967799</v>
      </c>
      <c r="W8" s="134">
        <f t="shared" si="4"/>
        <v>0.49268270697105127</v>
      </c>
      <c r="X8" s="136">
        <f t="shared" si="5"/>
        <v>0.44890424750681041</v>
      </c>
      <c r="Y8" s="133">
        <v>15.2977455</v>
      </c>
      <c r="Z8" s="136">
        <f t="shared" si="6"/>
        <v>4.0283652410178341E-3</v>
      </c>
      <c r="AA8" s="136">
        <f t="shared" si="7"/>
        <v>4.381782565807491E-3</v>
      </c>
      <c r="AB8" s="136">
        <f t="shared" si="8"/>
        <v>-5.51439463271082</v>
      </c>
      <c r="AC8" s="136">
        <f t="shared" si="9"/>
        <v>-5.432248905200054</v>
      </c>
    </row>
    <row r="9" spans="1:29" ht="15.75">
      <c r="A9" s="133">
        <v>17.489933300000001</v>
      </c>
      <c r="B9" s="133">
        <v>17.6303333</v>
      </c>
      <c r="C9" s="133">
        <v>607</v>
      </c>
      <c r="D9" s="134">
        <v>607</v>
      </c>
      <c r="E9" s="135">
        <v>1668580</v>
      </c>
      <c r="F9" s="135">
        <v>1101050</v>
      </c>
      <c r="G9" s="135">
        <v>17123</v>
      </c>
      <c r="H9" s="135">
        <v>50133</v>
      </c>
      <c r="I9" s="135">
        <v>195417</v>
      </c>
      <c r="J9" s="135">
        <v>27965</v>
      </c>
      <c r="K9" s="134">
        <v>607</v>
      </c>
      <c r="L9" s="135">
        <v>2400</v>
      </c>
      <c r="M9" s="135">
        <v>467501</v>
      </c>
      <c r="N9" s="135">
        <v>4875</v>
      </c>
      <c r="O9" s="134">
        <v>0.84434751813940045</v>
      </c>
      <c r="P9" s="134">
        <v>0.96965885024962484</v>
      </c>
      <c r="Q9" s="134">
        <v>-0.46654383725105575</v>
      </c>
      <c r="R9" s="134">
        <v>0.46654383725105575</v>
      </c>
      <c r="S9" s="134">
        <f t="shared" si="0"/>
        <v>-1.9441820085743031</v>
      </c>
      <c r="T9" s="136">
        <f t="shared" si="1"/>
        <v>-1.4516293214330522</v>
      </c>
      <c r="U9" s="134">
        <f t="shared" si="2"/>
        <v>2.2327220138745316</v>
      </c>
      <c r="V9" s="136">
        <f t="shared" si="3"/>
        <v>2.2318021010022009</v>
      </c>
      <c r="W9" s="134">
        <f t="shared" si="4"/>
        <v>0.49053113926671726</v>
      </c>
      <c r="X9" s="136">
        <f t="shared" si="5"/>
        <v>0.51407016704058528</v>
      </c>
      <c r="Y9" s="133">
        <v>17.6303333</v>
      </c>
      <c r="Z9" s="136">
        <f t="shared" si="6"/>
        <v>4.4275918441487672E-3</v>
      </c>
      <c r="AA9" s="136">
        <f t="shared" si="7"/>
        <v>4.449741252756283E-3</v>
      </c>
      <c r="AB9" s="136">
        <f t="shared" si="8"/>
        <v>-5.4198994445023905</v>
      </c>
      <c r="AC9" s="136">
        <f t="shared" si="9"/>
        <v>-5.4180630814776345</v>
      </c>
    </row>
    <row r="10" spans="1:29" ht="15.75">
      <c r="A10" s="133">
        <v>19.558536100000001</v>
      </c>
      <c r="B10" s="133">
        <v>19.7899794</v>
      </c>
      <c r="C10" s="133">
        <v>641</v>
      </c>
      <c r="D10" s="134">
        <v>641</v>
      </c>
      <c r="E10" s="135">
        <v>1602616.25</v>
      </c>
      <c r="F10" s="135">
        <v>1048856.25</v>
      </c>
      <c r="G10" s="135">
        <v>15695</v>
      </c>
      <c r="H10" s="135">
        <v>48597.875</v>
      </c>
      <c r="I10" s="135">
        <v>210029.125</v>
      </c>
      <c r="J10" s="135">
        <v>27449.25</v>
      </c>
      <c r="K10" s="134">
        <v>641</v>
      </c>
      <c r="L10" s="135">
        <v>2058</v>
      </c>
      <c r="M10" s="135">
        <v>418318.6667</v>
      </c>
      <c r="N10" s="135">
        <v>5132.3333329999996</v>
      </c>
      <c r="O10" s="134">
        <v>0.88374904041141644</v>
      </c>
      <c r="P10" s="134">
        <v>0.93488996497068122</v>
      </c>
      <c r="Q10" s="134">
        <v>-0.49085595959761746</v>
      </c>
      <c r="R10" s="134">
        <v>0.49085595959761746</v>
      </c>
      <c r="S10" s="134">
        <f t="shared" si="0"/>
        <v>-2.03490736639912</v>
      </c>
      <c r="T10" s="136">
        <f t="shared" si="1"/>
        <v>-1.9317111061209387</v>
      </c>
      <c r="U10" s="134">
        <f t="shared" si="2"/>
        <v>2.1526636969312163</v>
      </c>
      <c r="V10" s="136">
        <f t="shared" si="3"/>
        <v>2.1741187002317131</v>
      </c>
      <c r="W10" s="134">
        <f t="shared" si="4"/>
        <v>0.55899665488398753</v>
      </c>
      <c r="X10" s="136">
        <f t="shared" si="5"/>
        <v>0.52100768595881597</v>
      </c>
      <c r="Y10" s="133">
        <v>19.7899794</v>
      </c>
      <c r="Z10" s="136">
        <f t="shared" si="6"/>
        <v>4.8932666731022478E-3</v>
      </c>
      <c r="AA10" s="136">
        <f t="shared" si="7"/>
        <v>5.065307209426842E-3</v>
      </c>
      <c r="AB10" s="136">
        <f t="shared" si="8"/>
        <v>-5.3198951672196948</v>
      </c>
      <c r="AC10" s="136">
        <f t="shared" si="9"/>
        <v>-5.2922776961429348</v>
      </c>
    </row>
    <row r="11" spans="1:29" ht="15.75">
      <c r="A11" s="133">
        <v>21.7422474</v>
      </c>
      <c r="B11" s="133">
        <v>22.102144299999999</v>
      </c>
      <c r="C11" s="133">
        <v>676</v>
      </c>
      <c r="D11" s="134">
        <v>676</v>
      </c>
      <c r="E11" s="135">
        <v>1545070</v>
      </c>
      <c r="F11" s="135">
        <v>1089350</v>
      </c>
      <c r="G11" s="135">
        <v>16310</v>
      </c>
      <c r="H11" s="135">
        <v>44684</v>
      </c>
      <c r="I11" s="135">
        <v>167556</v>
      </c>
      <c r="J11" s="135">
        <v>27256</v>
      </c>
      <c r="K11" s="134">
        <v>676</v>
      </c>
      <c r="L11" s="135">
        <v>1691</v>
      </c>
      <c r="M11" s="135">
        <v>378640</v>
      </c>
      <c r="N11" s="135">
        <v>6400</v>
      </c>
      <c r="O11" s="134">
        <v>0.78869786350783466</v>
      </c>
      <c r="P11" s="134">
        <v>0.92807444831960295</v>
      </c>
      <c r="Q11" s="134">
        <v>-0.43769808210005884</v>
      </c>
      <c r="R11" s="134">
        <v>0.43769808210005884</v>
      </c>
      <c r="S11" s="134">
        <f t="shared" si="0"/>
        <v>-1.8160439433893927</v>
      </c>
      <c r="T11" s="136">
        <f t="shared" si="1"/>
        <v>-1.8135296565834829</v>
      </c>
      <c r="U11" s="134">
        <f t="shared" si="2"/>
        <v>2.1369703898893908</v>
      </c>
      <c r="V11" s="136">
        <f t="shared" si="3"/>
        <v>2.1466123237469303</v>
      </c>
      <c r="W11" s="134">
        <f t="shared" si="4"/>
        <v>0.51349526372574295</v>
      </c>
      <c r="X11" s="136">
        <f t="shared" si="5"/>
        <v>0.55065392991553397</v>
      </c>
      <c r="Y11" s="133">
        <v>22.102144299999999</v>
      </c>
      <c r="Z11" s="136">
        <f t="shared" si="6"/>
        <v>5.8750631110295127E-3</v>
      </c>
      <c r="AA11" s="136">
        <f t="shared" si="7"/>
        <v>5.3276705974618687E-3</v>
      </c>
      <c r="AB11" s="136">
        <f t="shared" si="8"/>
        <v>-5.1370384767067163</v>
      </c>
      <c r="AC11" s="136">
        <f t="shared" si="9"/>
        <v>-5.2377369375601539</v>
      </c>
    </row>
    <row r="12" spans="1:29" ht="15.75">
      <c r="A12" s="133">
        <v>25.7447692</v>
      </c>
      <c r="B12" s="133">
        <v>26.1424615</v>
      </c>
      <c r="C12" s="133">
        <v>746</v>
      </c>
      <c r="D12" s="134">
        <v>746</v>
      </c>
      <c r="E12" s="135">
        <v>1565440</v>
      </c>
      <c r="F12" s="135">
        <v>1097670</v>
      </c>
      <c r="G12" s="135">
        <v>16984</v>
      </c>
      <c r="H12" s="135">
        <v>47419</v>
      </c>
      <c r="I12" s="135">
        <v>148618</v>
      </c>
      <c r="J12" s="135">
        <v>30318</v>
      </c>
      <c r="K12" s="134">
        <v>746</v>
      </c>
      <c r="L12" s="135">
        <v>2133</v>
      </c>
      <c r="M12" s="135">
        <v>407168</v>
      </c>
      <c r="N12" s="135">
        <v>5724</v>
      </c>
      <c r="O12" s="134">
        <v>0.6903708639470667</v>
      </c>
      <c r="P12" s="134">
        <v>0.93382124767614128</v>
      </c>
      <c r="Q12" s="134">
        <v>-0.44591240992114806</v>
      </c>
      <c r="R12" s="134">
        <v>0.44591240992114806</v>
      </c>
      <c r="S12" s="134">
        <f t="shared" si="0"/>
        <v>-1.5896376599619362</v>
      </c>
      <c r="T12" s="136">
        <f t="shared" si="1"/>
        <v>-1.4403604749861554</v>
      </c>
      <c r="U12" s="134">
        <f t="shared" si="2"/>
        <v>2.1502028844201835</v>
      </c>
      <c r="V12" s="136">
        <f t="shared" si="3"/>
        <v>2.1877398594819724</v>
      </c>
      <c r="W12" s="134">
        <f t="shared" si="4"/>
        <v>0.57946987113687154</v>
      </c>
      <c r="X12" s="136">
        <f t="shared" si="5"/>
        <v>0.77682499006964267</v>
      </c>
      <c r="Y12" s="133">
        <v>26.1424615</v>
      </c>
      <c r="Z12" s="136">
        <f t="shared" si="6"/>
        <v>5.2146820082538464E-3</v>
      </c>
      <c r="AA12" s="136">
        <f t="shared" si="7"/>
        <v>4.9133805612420322E-3</v>
      </c>
      <c r="AB12" s="136">
        <f t="shared" si="8"/>
        <v>-5.2562771687540488</v>
      </c>
      <c r="AC12" s="136">
        <f t="shared" si="9"/>
        <v>-5.3354117049859049</v>
      </c>
    </row>
    <row r="13" spans="1:29" ht="15.75">
      <c r="A13" s="133">
        <v>29.126404300000001</v>
      </c>
      <c r="B13" s="133">
        <v>29.476255299999998</v>
      </c>
      <c r="C13" s="133">
        <v>833</v>
      </c>
      <c r="D13" s="134">
        <v>833</v>
      </c>
      <c r="E13" s="135">
        <v>1113397.1429999999</v>
      </c>
      <c r="F13" s="135">
        <v>884561.42859999998</v>
      </c>
      <c r="G13" s="135">
        <v>5715</v>
      </c>
      <c r="H13" s="135">
        <v>19140</v>
      </c>
      <c r="I13" s="135">
        <v>49205.428569999996</v>
      </c>
      <c r="J13" s="135">
        <v>19699.71429</v>
      </c>
      <c r="K13" s="134">
        <v>833</v>
      </c>
      <c r="L13" s="135">
        <v>785.7142857</v>
      </c>
      <c r="M13" s="135">
        <v>186387.28570000001</v>
      </c>
      <c r="N13" s="135">
        <v>3229</v>
      </c>
      <c r="O13" s="134">
        <v>0.39755309125920074</v>
      </c>
      <c r="P13" s="134">
        <v>0.98847435044270393</v>
      </c>
      <c r="Q13" s="134">
        <v>-0.52492569870952421</v>
      </c>
      <c r="R13" s="134">
        <v>0.52492569870952421</v>
      </c>
      <c r="S13" s="134">
        <f t="shared" si="0"/>
        <v>-0.91539982160713707</v>
      </c>
      <c r="T13" s="136">
        <f t="shared" si="1"/>
        <v>-1.2843028038601634</v>
      </c>
      <c r="U13" s="134">
        <f t="shared" si="2"/>
        <v>2.2760463041363423</v>
      </c>
      <c r="V13" s="136">
        <f t="shared" si="3"/>
        <v>2.157479695860244</v>
      </c>
      <c r="W13" s="134">
        <f t="shared" si="4"/>
        <v>1.2375098353463134</v>
      </c>
      <c r="X13" s="136">
        <f t="shared" si="5"/>
        <v>0.72841879084003358</v>
      </c>
      <c r="Y13" s="133">
        <v>29.476255299999998</v>
      </c>
      <c r="Z13" s="136">
        <f t="shared" si="6"/>
        <v>3.6503965644427375E-3</v>
      </c>
      <c r="AA13" s="136">
        <f t="shared" si="7"/>
        <v>4.7188823692628111E-3</v>
      </c>
      <c r="AB13" s="136">
        <f t="shared" si="8"/>
        <v>-5.6129194694969504</v>
      </c>
      <c r="AC13" s="136">
        <f t="shared" si="9"/>
        <v>-5.3702790686146713</v>
      </c>
    </row>
    <row r="14" spans="1:29" ht="15.75">
      <c r="A14" s="133">
        <v>30.492904800000002</v>
      </c>
      <c r="B14" s="133">
        <v>30.863619100000001</v>
      </c>
      <c r="C14" s="133">
        <v>888</v>
      </c>
      <c r="D14" s="134">
        <v>888</v>
      </c>
      <c r="E14" s="135">
        <v>1603440</v>
      </c>
      <c r="F14" s="135">
        <v>1061500</v>
      </c>
      <c r="G14" s="135">
        <v>26754</v>
      </c>
      <c r="H14" s="135">
        <v>52603</v>
      </c>
      <c r="I14" s="135">
        <v>148834</v>
      </c>
      <c r="J14" s="135">
        <v>38666</v>
      </c>
      <c r="K14" s="134">
        <v>888</v>
      </c>
      <c r="L14" s="135">
        <v>2398</v>
      </c>
      <c r="M14" s="135">
        <v>407061</v>
      </c>
      <c r="N14" s="135">
        <v>5617</v>
      </c>
      <c r="O14" s="134">
        <v>0.58537290722176227</v>
      </c>
      <c r="P14" s="134">
        <v>0.88864898207238519</v>
      </c>
      <c r="Q14" s="134">
        <v>-0.29362179036141312</v>
      </c>
      <c r="R14" s="134">
        <v>0.29362179036141312</v>
      </c>
      <c r="S14" s="134">
        <f t="shared" si="0"/>
        <v>-1.3478709300114164</v>
      </c>
      <c r="T14" s="136">
        <f t="shared" si="1"/>
        <v>-1.1897315615390827</v>
      </c>
      <c r="U14" s="134">
        <f t="shared" si="2"/>
        <v>2.0461898990242071</v>
      </c>
      <c r="V14" s="136">
        <f t="shared" si="3"/>
        <v>2.1634735610634963</v>
      </c>
      <c r="W14" s="134">
        <f t="shared" si="4"/>
        <v>0.36827666603691567</v>
      </c>
      <c r="X14" s="136">
        <f t="shared" si="5"/>
        <v>0.7783075548510624</v>
      </c>
      <c r="Y14" s="133">
        <v>30.863619100000001</v>
      </c>
      <c r="Z14" s="136">
        <f t="shared" si="6"/>
        <v>5.291568535091851E-3</v>
      </c>
      <c r="AA14" s="136">
        <f t="shared" si="7"/>
        <v>4.4871896105273248E-3</v>
      </c>
      <c r="AB14" s="136">
        <f t="shared" si="8"/>
        <v>-5.2416405675930156</v>
      </c>
      <c r="AC14" s="136">
        <f t="shared" si="9"/>
        <v>-5.4179636653240708</v>
      </c>
    </row>
    <row r="15" spans="1:29" ht="15.75">
      <c r="A15" s="133">
        <v>31.1164095</v>
      </c>
      <c r="B15" s="133">
        <v>31.4960381</v>
      </c>
      <c r="C15" s="133">
        <v>940</v>
      </c>
      <c r="D15" s="134">
        <v>940</v>
      </c>
      <c r="E15" s="135">
        <v>954230</v>
      </c>
      <c r="F15" s="135">
        <v>763120</v>
      </c>
      <c r="G15" s="135">
        <v>9292</v>
      </c>
      <c r="H15" s="135">
        <v>25617</v>
      </c>
      <c r="I15" s="135">
        <v>71109</v>
      </c>
      <c r="J15" s="135">
        <v>19265</v>
      </c>
      <c r="K15" s="134">
        <v>940</v>
      </c>
      <c r="L15" s="135">
        <v>720</v>
      </c>
      <c r="M15" s="135">
        <v>223954</v>
      </c>
      <c r="N15" s="135">
        <v>3449</v>
      </c>
      <c r="O15" s="134">
        <v>0.567155557886725</v>
      </c>
      <c r="P15" s="134">
        <v>0.94163055542527363</v>
      </c>
      <c r="Q15" s="134">
        <v>-0.44041906714803808</v>
      </c>
      <c r="R15" s="134">
        <v>0.44041906714803808</v>
      </c>
      <c r="S15" s="134">
        <f t="shared" si="0"/>
        <v>-1.3059239329986947</v>
      </c>
      <c r="T15" s="136">
        <f t="shared" si="1"/>
        <v>-1.1961038536760809</v>
      </c>
      <c r="U15" s="134">
        <f t="shared" si="2"/>
        <v>2.1681844800299386</v>
      </c>
      <c r="V15" s="136">
        <f t="shared" si="3"/>
        <v>2.0935147007606076</v>
      </c>
      <c r="W15" s="134">
        <f t="shared" si="4"/>
        <v>0.72913616316995811</v>
      </c>
      <c r="X15" s="136">
        <f t="shared" si="5"/>
        <v>0.46006089312235426</v>
      </c>
      <c r="Y15" s="133">
        <v>31.4960381</v>
      </c>
      <c r="Z15" s="136">
        <f t="shared" si="6"/>
        <v>4.5196037320473842E-3</v>
      </c>
      <c r="AA15" s="136">
        <f t="shared" si="7"/>
        <v>5.0620571017322953E-3</v>
      </c>
      <c r="AB15" s="136">
        <f t="shared" si="8"/>
        <v>-5.3993309588822491</v>
      </c>
      <c r="AC15" s="136">
        <f t="shared" si="9"/>
        <v>-5.2889894701365705</v>
      </c>
    </row>
    <row r="16" spans="1:29" ht="15.75">
      <c r="A16" s="133">
        <v>32.707745500000001</v>
      </c>
      <c r="B16" s="133">
        <v>33.121000000000002</v>
      </c>
      <c r="C16" s="133">
        <v>1021</v>
      </c>
      <c r="D16" s="134">
        <v>1021</v>
      </c>
      <c r="E16" s="135">
        <v>1546893.75</v>
      </c>
      <c r="F16" s="135">
        <v>1083225</v>
      </c>
      <c r="G16" s="135">
        <v>28168.625</v>
      </c>
      <c r="H16" s="135">
        <v>52816</v>
      </c>
      <c r="I16" s="135">
        <v>95153.875</v>
      </c>
      <c r="J16" s="135">
        <v>37374.125</v>
      </c>
      <c r="K16" s="134">
        <v>1021</v>
      </c>
      <c r="L16" s="135">
        <v>2554.333333</v>
      </c>
      <c r="M16" s="135">
        <v>416957.3333</v>
      </c>
      <c r="N16" s="135">
        <v>5822.3333329999996</v>
      </c>
      <c r="O16" s="134">
        <v>0.40585544519572209</v>
      </c>
      <c r="P16" s="134">
        <v>0.89732610947334956</v>
      </c>
      <c r="Q16" s="134">
        <v>-0.27299985877529054</v>
      </c>
      <c r="R16" s="134">
        <v>0.27299985877529054</v>
      </c>
      <c r="S16" s="134">
        <f t="shared" si="0"/>
        <v>-0.93451669801813164</v>
      </c>
      <c r="T16" s="136">
        <f t="shared" si="1"/>
        <v>-1.1202203155084132</v>
      </c>
      <c r="U16" s="134">
        <f t="shared" si="2"/>
        <v>2.0661697232276777</v>
      </c>
      <c r="V16" s="136">
        <f t="shared" si="3"/>
        <v>2.1171771016288083</v>
      </c>
      <c r="W16" s="134">
        <f t="shared" si="4"/>
        <v>0.28276985016018918</v>
      </c>
      <c r="X16" s="136">
        <f t="shared" si="5"/>
        <v>0.5059530066650737</v>
      </c>
      <c r="Y16" s="133">
        <v>33.121000000000002</v>
      </c>
      <c r="Z16" s="136">
        <f t="shared" si="6"/>
        <v>5.3749990380576517E-3</v>
      </c>
      <c r="AA16" s="136">
        <f t="shared" si="7"/>
        <v>4.947301385052518E-3</v>
      </c>
      <c r="AB16" s="136">
        <f t="shared" si="8"/>
        <v>-5.2259968839344451</v>
      </c>
      <c r="AC16" s="136">
        <f t="shared" si="9"/>
        <v>-5.3126639214083475</v>
      </c>
    </row>
  </sheetData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6DA86-3B9D-1B42-BCC2-6A6F2E211869}">
  <dimension ref="A1:AF58"/>
  <sheetViews>
    <sheetView workbookViewId="0">
      <selection activeCell="Z1" sqref="Z1:AF1048576"/>
    </sheetView>
  </sheetViews>
  <sheetFormatPr defaultColWidth="11.42578125" defaultRowHeight="12.75"/>
  <cols>
    <col min="1" max="1" width="9.28515625" customWidth="1"/>
    <col min="2" max="2" width="16.5703125" customWidth="1"/>
    <col min="3" max="13" width="7.5703125"/>
    <col min="14" max="14" width="8.140625" bestFit="1" customWidth="1"/>
  </cols>
  <sheetData>
    <row r="1" spans="1:32" ht="15.75" thickBot="1">
      <c r="A1" s="55" t="s">
        <v>596</v>
      </c>
      <c r="R1" s="108" t="s">
        <v>634</v>
      </c>
      <c r="S1" s="92" t="s">
        <v>635</v>
      </c>
      <c r="T1" s="92" t="s">
        <v>636</v>
      </c>
      <c r="U1" s="92" t="s">
        <v>637</v>
      </c>
      <c r="V1" s="92" t="s">
        <v>638</v>
      </c>
      <c r="W1" s="92" t="s">
        <v>639</v>
      </c>
      <c r="X1" s="92" t="s">
        <v>640</v>
      </c>
      <c r="Z1" s="108" t="s">
        <v>155</v>
      </c>
      <c r="AA1" s="92" t="s">
        <v>554</v>
      </c>
      <c r="AB1" s="92" t="s">
        <v>641</v>
      </c>
      <c r="AC1" s="92" t="s">
        <v>642</v>
      </c>
      <c r="AD1" s="92" t="s">
        <v>643</v>
      </c>
      <c r="AE1" s="92" t="s">
        <v>644</v>
      </c>
      <c r="AF1" s="92" t="s">
        <v>645</v>
      </c>
    </row>
    <row r="2" spans="1:32" ht="46.5" thickTop="1" thickBot="1">
      <c r="A2" s="91" t="s">
        <v>552</v>
      </c>
      <c r="B2" s="92" t="s">
        <v>553</v>
      </c>
      <c r="C2" s="91" t="s">
        <v>554</v>
      </c>
      <c r="D2" s="91" t="s">
        <v>537</v>
      </c>
      <c r="E2" s="93" t="s">
        <v>555</v>
      </c>
      <c r="F2" s="93" t="s">
        <v>556</v>
      </c>
      <c r="G2" s="91" t="s">
        <v>557</v>
      </c>
      <c r="H2" s="91" t="s">
        <v>558</v>
      </c>
      <c r="I2" s="91" t="s">
        <v>559</v>
      </c>
      <c r="J2" s="91" t="s">
        <v>560</v>
      </c>
      <c r="K2" s="93" t="s">
        <v>561</v>
      </c>
      <c r="L2" s="91" t="s">
        <v>562</v>
      </c>
      <c r="M2" s="91" t="s">
        <v>563</v>
      </c>
      <c r="N2" s="91" t="s">
        <v>564</v>
      </c>
      <c r="O2" s="91" t="s">
        <v>565</v>
      </c>
      <c r="P2" s="91" t="s">
        <v>566</v>
      </c>
      <c r="R2" s="109">
        <v>0.12</v>
      </c>
      <c r="S2" s="109">
        <v>13.02468</v>
      </c>
      <c r="T2" s="109">
        <v>0.27002999999999999</v>
      </c>
      <c r="U2" s="109">
        <v>0.27063999999999999</v>
      </c>
      <c r="V2" s="109">
        <v>0.45835999999999999</v>
      </c>
      <c r="W2" s="109">
        <v>6.9419999999999996E-2</v>
      </c>
      <c r="X2" s="110">
        <v>0.11969</v>
      </c>
      <c r="Z2" s="115">
        <v>199452</v>
      </c>
      <c r="AA2" s="109">
        <v>8.7352109999999996</v>
      </c>
      <c r="AB2" s="115">
        <v>0.99229999999999996</v>
      </c>
      <c r="AC2" s="115">
        <v>3.5158999999999998</v>
      </c>
      <c r="AD2" s="115">
        <v>66.375600000000006</v>
      </c>
      <c r="AE2" s="115">
        <v>16.402200000000001</v>
      </c>
      <c r="AF2" s="116">
        <v>17.222100000000001</v>
      </c>
    </row>
    <row r="3" spans="1:32" ht="16.5" thickTop="1" thickBot="1">
      <c r="A3" s="94">
        <v>199452</v>
      </c>
      <c r="B3" s="94" t="s">
        <v>567</v>
      </c>
      <c r="C3" s="94">
        <v>8.7352109999999996</v>
      </c>
      <c r="D3" s="95">
        <v>3</v>
      </c>
      <c r="E3" s="94">
        <v>38.270000000000003</v>
      </c>
      <c r="F3" s="96">
        <v>54.93</v>
      </c>
      <c r="G3" s="96">
        <v>19.53</v>
      </c>
      <c r="H3" s="96">
        <v>16.649999999999999</v>
      </c>
      <c r="I3" s="96">
        <v>8.7100000000000009</v>
      </c>
      <c r="J3" s="96">
        <v>10.039999999999999</v>
      </c>
      <c r="K3" s="96">
        <v>6.77</v>
      </c>
      <c r="L3" s="96">
        <v>5.82</v>
      </c>
      <c r="M3" s="96">
        <v>0.95</v>
      </c>
      <c r="N3" s="96">
        <v>0</v>
      </c>
      <c r="O3" s="96">
        <v>0</v>
      </c>
      <c r="P3" s="97">
        <v>0</v>
      </c>
      <c r="R3" s="111">
        <v>0.15</v>
      </c>
      <c r="S3" s="111">
        <v>12.70275</v>
      </c>
      <c r="T3" s="111">
        <v>0.28003</v>
      </c>
      <c r="U3" s="111">
        <v>0.28184999999999999</v>
      </c>
      <c r="V3" s="111">
        <v>0.48168</v>
      </c>
      <c r="W3" s="111">
        <v>7.1709999999999996E-2</v>
      </c>
      <c r="X3" s="112">
        <v>0.12039999999999999</v>
      </c>
      <c r="Z3" s="117">
        <v>199454</v>
      </c>
      <c r="AA3" s="111">
        <v>9.5166319999999995</v>
      </c>
      <c r="AB3" s="117">
        <v>0.99550000000000005</v>
      </c>
      <c r="AC3" s="117">
        <v>2.5274000000000001</v>
      </c>
      <c r="AD3" s="117">
        <v>62.448300000000003</v>
      </c>
      <c r="AE3" s="117">
        <v>0</v>
      </c>
      <c r="AF3" s="118">
        <v>37.551699999999997</v>
      </c>
    </row>
    <row r="4" spans="1:32" ht="15.75" thickBot="1">
      <c r="A4" s="98">
        <v>199454</v>
      </c>
      <c r="B4" s="98" t="s">
        <v>568</v>
      </c>
      <c r="C4" s="98">
        <v>9.5166319999999995</v>
      </c>
      <c r="D4" s="99">
        <v>52</v>
      </c>
      <c r="E4" s="98">
        <v>36.28</v>
      </c>
      <c r="F4" s="100">
        <v>52.19</v>
      </c>
      <c r="G4" s="100">
        <v>16.23</v>
      </c>
      <c r="H4" s="100">
        <v>15.09</v>
      </c>
      <c r="I4" s="100">
        <v>9.24</v>
      </c>
      <c r="J4" s="100">
        <v>11.63</v>
      </c>
      <c r="K4" s="100">
        <v>11.53</v>
      </c>
      <c r="L4" s="100">
        <v>8.07</v>
      </c>
      <c r="M4" s="100">
        <v>3.45</v>
      </c>
      <c r="N4" s="100">
        <v>0.01</v>
      </c>
      <c r="O4" s="100">
        <v>0</v>
      </c>
      <c r="P4" s="101">
        <v>0</v>
      </c>
      <c r="R4" s="109">
        <v>0.17</v>
      </c>
      <c r="S4" s="109">
        <v>12.522180000000001</v>
      </c>
      <c r="T4" s="109">
        <v>0.34003</v>
      </c>
      <c r="U4" s="109">
        <v>0.34258</v>
      </c>
      <c r="V4" s="109">
        <v>0.58179000000000003</v>
      </c>
      <c r="W4" s="109">
        <v>8.6860000000000007E-2</v>
      </c>
      <c r="X4" s="110">
        <v>0.15010000000000001</v>
      </c>
      <c r="Z4" s="115">
        <v>199456</v>
      </c>
      <c r="AA4" s="109">
        <v>9.7398950000000006</v>
      </c>
      <c r="AB4" s="115">
        <v>0.98070000000000002</v>
      </c>
      <c r="AC4" s="115">
        <v>5.1958000000000002</v>
      </c>
      <c r="AD4" s="115">
        <v>49.682200000000002</v>
      </c>
      <c r="AE4" s="115">
        <v>0</v>
      </c>
      <c r="AF4" s="116">
        <v>50.317799999999998</v>
      </c>
    </row>
    <row r="5" spans="1:32" ht="15.75" thickBot="1">
      <c r="A5" s="94">
        <v>199456</v>
      </c>
      <c r="B5" s="94" t="s">
        <v>569</v>
      </c>
      <c r="C5" s="94">
        <v>9.7398950000000006</v>
      </c>
      <c r="D5" s="95">
        <v>66</v>
      </c>
      <c r="E5" s="94">
        <v>33.369999999999997</v>
      </c>
      <c r="F5" s="96">
        <v>52.09</v>
      </c>
      <c r="G5" s="96">
        <v>14.76</v>
      </c>
      <c r="H5" s="96">
        <v>14.35</v>
      </c>
      <c r="I5" s="96">
        <v>9.4700000000000006</v>
      </c>
      <c r="J5" s="96">
        <v>13.51</v>
      </c>
      <c r="K5" s="96">
        <v>14.52</v>
      </c>
      <c r="L5" s="96">
        <v>10.38</v>
      </c>
      <c r="M5" s="96">
        <v>4.1100000000000003</v>
      </c>
      <c r="N5" s="96">
        <v>0.03</v>
      </c>
      <c r="O5" s="96">
        <v>0</v>
      </c>
      <c r="P5" s="97">
        <v>0</v>
      </c>
      <c r="R5" s="111">
        <v>0.21</v>
      </c>
      <c r="S5" s="111">
        <v>12.217320000000001</v>
      </c>
      <c r="T5" s="111">
        <v>0.34003</v>
      </c>
      <c r="U5" s="111">
        <v>0.34139999999999998</v>
      </c>
      <c r="V5" s="111">
        <v>0.58309999999999995</v>
      </c>
      <c r="W5" s="111">
        <v>9.919E-2</v>
      </c>
      <c r="X5" s="112">
        <v>0.14388000000000001</v>
      </c>
      <c r="Z5" s="117">
        <v>199457</v>
      </c>
      <c r="AA5" s="111">
        <v>10.53726</v>
      </c>
      <c r="AB5" s="117">
        <v>0.98950000000000005</v>
      </c>
      <c r="AC5" s="117">
        <v>4.0126999999999997</v>
      </c>
      <c r="AD5" s="117">
        <v>80.469700000000003</v>
      </c>
      <c r="AE5" s="117">
        <v>4.0487000000000002</v>
      </c>
      <c r="AF5" s="118">
        <v>15.4817</v>
      </c>
    </row>
    <row r="6" spans="1:32" ht="15.75" thickBot="1">
      <c r="A6" s="98">
        <v>199457</v>
      </c>
      <c r="B6" s="98" t="s">
        <v>570</v>
      </c>
      <c r="C6" s="98">
        <v>10.53726</v>
      </c>
      <c r="D6" s="99">
        <v>116</v>
      </c>
      <c r="E6" s="98">
        <v>42.19</v>
      </c>
      <c r="F6" s="100">
        <v>51.63</v>
      </c>
      <c r="G6" s="100">
        <v>16.5</v>
      </c>
      <c r="H6" s="100">
        <v>15.46</v>
      </c>
      <c r="I6" s="100">
        <v>9.52</v>
      </c>
      <c r="J6" s="100">
        <v>10.15</v>
      </c>
      <c r="K6" s="100">
        <v>6.15</v>
      </c>
      <c r="L6" s="100">
        <v>5.08</v>
      </c>
      <c r="M6" s="100">
        <v>1.07</v>
      </c>
      <c r="N6" s="100">
        <v>0</v>
      </c>
      <c r="O6" s="100">
        <v>0</v>
      </c>
      <c r="P6" s="101">
        <v>0</v>
      </c>
      <c r="R6" s="109">
        <v>0.24</v>
      </c>
      <c r="S6" s="109">
        <v>12.02468</v>
      </c>
      <c r="T6" s="109">
        <v>0.38003999999999999</v>
      </c>
      <c r="U6" s="109">
        <v>0.37863000000000002</v>
      </c>
      <c r="V6" s="109">
        <v>0.64624999999999999</v>
      </c>
      <c r="W6" s="109">
        <v>0.1137</v>
      </c>
      <c r="X6" s="110">
        <v>0.15931999999999999</v>
      </c>
      <c r="Z6" s="115">
        <v>199458</v>
      </c>
      <c r="AA6" s="109">
        <v>11.65635</v>
      </c>
      <c r="AB6" s="115">
        <v>0.9899</v>
      </c>
      <c r="AC6" s="115">
        <v>3.8307000000000002</v>
      </c>
      <c r="AD6" s="115">
        <v>45.838700000000003</v>
      </c>
      <c r="AE6" s="115">
        <v>8.5402000000000005</v>
      </c>
      <c r="AF6" s="116">
        <v>45.621099999999998</v>
      </c>
    </row>
    <row r="7" spans="1:32" ht="15.75" thickBot="1">
      <c r="A7" s="94">
        <v>199458</v>
      </c>
      <c r="B7" s="94" t="s">
        <v>571</v>
      </c>
      <c r="C7" s="94">
        <v>11.65635</v>
      </c>
      <c r="D7" s="95">
        <v>185</v>
      </c>
      <c r="E7" s="94">
        <v>31.31</v>
      </c>
      <c r="F7" s="96">
        <v>56.4</v>
      </c>
      <c r="G7" s="96">
        <v>16.32</v>
      </c>
      <c r="H7" s="96">
        <v>15.85</v>
      </c>
      <c r="I7" s="96">
        <v>10.34</v>
      </c>
      <c r="J7" s="96">
        <v>13.89</v>
      </c>
      <c r="K7" s="96">
        <v>12.28</v>
      </c>
      <c r="L7" s="96">
        <v>9</v>
      </c>
      <c r="M7" s="96">
        <v>3.27</v>
      </c>
      <c r="N7" s="96">
        <v>0.01</v>
      </c>
      <c r="O7" s="96">
        <v>0</v>
      </c>
      <c r="P7" s="97">
        <v>0</v>
      </c>
      <c r="R7" s="111">
        <v>0.28999999999999998</v>
      </c>
      <c r="S7" s="111">
        <v>11.751659999999999</v>
      </c>
      <c r="T7" s="111">
        <v>0.40004000000000001</v>
      </c>
      <c r="U7" s="111">
        <v>0.40518999999999999</v>
      </c>
      <c r="V7" s="111">
        <v>0.69277</v>
      </c>
      <c r="W7" s="111">
        <v>0.13350000000000001</v>
      </c>
      <c r="X7" s="112">
        <v>0.1671</v>
      </c>
      <c r="Z7" s="117">
        <v>199459</v>
      </c>
      <c r="AA7" s="111">
        <v>12.904339999999999</v>
      </c>
      <c r="AB7" s="117">
        <v>0.98550000000000004</v>
      </c>
      <c r="AC7" s="117">
        <v>4.8680000000000003</v>
      </c>
      <c r="AD7" s="117">
        <v>0</v>
      </c>
      <c r="AE7" s="117">
        <v>23.293199999999999</v>
      </c>
      <c r="AF7" s="118">
        <v>76.706800000000001</v>
      </c>
    </row>
    <row r="8" spans="1:32" ht="15.75" thickBot="1">
      <c r="A8" s="98">
        <v>199459</v>
      </c>
      <c r="B8" s="98" t="s">
        <v>572</v>
      </c>
      <c r="C8" s="98">
        <v>12.904339999999999</v>
      </c>
      <c r="D8" s="99">
        <v>336</v>
      </c>
      <c r="E8" s="98">
        <v>17.78</v>
      </c>
      <c r="F8" s="100">
        <v>64.87</v>
      </c>
      <c r="G8" s="100">
        <v>18.260000000000002</v>
      </c>
      <c r="H8" s="100">
        <v>15.59</v>
      </c>
      <c r="I8" s="100">
        <v>10.96</v>
      </c>
      <c r="J8" s="100">
        <v>20.059999999999999</v>
      </c>
      <c r="K8" s="100">
        <v>17.37</v>
      </c>
      <c r="L8" s="100">
        <v>11.5</v>
      </c>
      <c r="M8" s="100">
        <v>5.27</v>
      </c>
      <c r="N8" s="100">
        <v>0.6</v>
      </c>
      <c r="O8" s="100">
        <v>0</v>
      </c>
      <c r="P8" s="101">
        <v>0</v>
      </c>
      <c r="R8" s="109">
        <v>0.35</v>
      </c>
      <c r="S8" s="109">
        <v>11.480359999999999</v>
      </c>
      <c r="T8" s="109">
        <v>0.42004000000000002</v>
      </c>
      <c r="U8" s="109">
        <v>0.43063000000000001</v>
      </c>
      <c r="V8" s="109">
        <v>0.73941999999999997</v>
      </c>
      <c r="W8" s="109">
        <v>0.16006999999999999</v>
      </c>
      <c r="X8" s="110">
        <v>0.17101</v>
      </c>
      <c r="Z8" s="115">
        <v>199461</v>
      </c>
      <c r="AA8" s="109">
        <v>13.862500000000001</v>
      </c>
      <c r="AB8" s="115">
        <v>0.995</v>
      </c>
      <c r="AC8" s="115">
        <v>2.8014999999999999</v>
      </c>
      <c r="AD8" s="115">
        <v>48.828600000000002</v>
      </c>
      <c r="AE8" s="115">
        <v>21.335699999999999</v>
      </c>
      <c r="AF8" s="116">
        <v>29.835599999999999</v>
      </c>
    </row>
    <row r="9" spans="1:32" ht="15.75" thickBot="1">
      <c r="A9" s="94">
        <v>199461</v>
      </c>
      <c r="B9" s="94" t="s">
        <v>573</v>
      </c>
      <c r="C9" s="94">
        <v>13.862500000000001</v>
      </c>
      <c r="D9" s="95">
        <v>504</v>
      </c>
      <c r="E9" s="94">
        <v>32.340000000000003</v>
      </c>
      <c r="F9" s="96">
        <v>57.54</v>
      </c>
      <c r="G9" s="96">
        <v>18.809999999999999</v>
      </c>
      <c r="H9" s="96">
        <v>17.72</v>
      </c>
      <c r="I9" s="96">
        <v>10.07</v>
      </c>
      <c r="J9" s="96">
        <v>10.94</v>
      </c>
      <c r="K9" s="96">
        <v>10.16</v>
      </c>
      <c r="L9" s="96">
        <v>7.38</v>
      </c>
      <c r="M9" s="96">
        <v>2.78</v>
      </c>
      <c r="N9" s="96">
        <v>0</v>
      </c>
      <c r="O9" s="96">
        <v>0</v>
      </c>
      <c r="P9" s="97">
        <v>0</v>
      </c>
      <c r="R9" s="111">
        <v>0.41</v>
      </c>
      <c r="S9" s="111">
        <v>11.252090000000001</v>
      </c>
      <c r="T9" s="111">
        <v>0.46005000000000001</v>
      </c>
      <c r="U9" s="111">
        <v>0.47012999999999999</v>
      </c>
      <c r="V9" s="111">
        <v>0.80952000000000002</v>
      </c>
      <c r="W9" s="111">
        <v>0.19188</v>
      </c>
      <c r="X9" s="112">
        <v>0.18121999999999999</v>
      </c>
      <c r="Z9" s="117">
        <v>199463</v>
      </c>
      <c r="AA9" s="111">
        <v>15.335979999999999</v>
      </c>
      <c r="AB9" s="117">
        <v>0.99719999999999998</v>
      </c>
      <c r="AC9" s="117">
        <v>2.1920999999999999</v>
      </c>
      <c r="AD9" s="117">
        <v>76.616</v>
      </c>
      <c r="AE9" s="117">
        <v>23.384</v>
      </c>
      <c r="AF9" s="118">
        <v>0</v>
      </c>
    </row>
    <row r="10" spans="1:32" ht="15.75" thickBot="1">
      <c r="A10" s="98">
        <v>199463</v>
      </c>
      <c r="B10" s="98" t="s">
        <v>574</v>
      </c>
      <c r="C10" s="98">
        <v>15.335979999999999</v>
      </c>
      <c r="D10" s="99">
        <v>543</v>
      </c>
      <c r="E10" s="98">
        <v>41.59</v>
      </c>
      <c r="F10" s="100">
        <v>55.29</v>
      </c>
      <c r="G10" s="100">
        <v>18.52</v>
      </c>
      <c r="H10" s="100">
        <v>18</v>
      </c>
      <c r="I10" s="100">
        <v>10.26</v>
      </c>
      <c r="J10" s="100">
        <v>8.51</v>
      </c>
      <c r="K10" s="100">
        <v>3.15</v>
      </c>
      <c r="L10" s="100">
        <v>2.76</v>
      </c>
      <c r="M10" s="100">
        <v>0.39</v>
      </c>
      <c r="N10" s="100">
        <v>0</v>
      </c>
      <c r="O10" s="100">
        <v>0</v>
      </c>
      <c r="P10" s="101">
        <v>0</v>
      </c>
      <c r="R10" s="109">
        <v>0.49</v>
      </c>
      <c r="S10" s="109">
        <v>10.99493</v>
      </c>
      <c r="T10" s="109">
        <v>0.50004999999999999</v>
      </c>
      <c r="U10" s="109">
        <v>0.51685999999999999</v>
      </c>
      <c r="V10" s="109">
        <v>0.89268000000000003</v>
      </c>
      <c r="W10" s="109">
        <v>0.22259999999999999</v>
      </c>
      <c r="X10" s="110">
        <v>0.19433</v>
      </c>
      <c r="Z10" s="115">
        <v>199464</v>
      </c>
      <c r="AA10" s="109">
        <v>17.013829999999999</v>
      </c>
      <c r="AB10" s="115">
        <v>0.93840000000000001</v>
      </c>
      <c r="AC10" s="115">
        <v>10.978199999999999</v>
      </c>
      <c r="AD10" s="115">
        <v>5.6734</v>
      </c>
      <c r="AE10" s="115">
        <v>76.287000000000006</v>
      </c>
      <c r="AF10" s="116">
        <v>18.0396</v>
      </c>
    </row>
    <row r="11" spans="1:32" ht="15.75" thickBot="1">
      <c r="A11" s="94">
        <v>199464</v>
      </c>
      <c r="B11" s="94" t="s">
        <v>575</v>
      </c>
      <c r="C11" s="94">
        <v>17.013829999999999</v>
      </c>
      <c r="D11" s="95">
        <v>580</v>
      </c>
      <c r="E11" s="94">
        <v>23.26</v>
      </c>
      <c r="F11" s="96">
        <v>74.489999999999995</v>
      </c>
      <c r="G11" s="96">
        <v>19.14</v>
      </c>
      <c r="H11" s="96">
        <v>20.89</v>
      </c>
      <c r="I11" s="96">
        <v>16.63</v>
      </c>
      <c r="J11" s="96">
        <v>17.829999999999998</v>
      </c>
      <c r="K11" s="96">
        <v>2.25</v>
      </c>
      <c r="L11" s="96">
        <v>2.04</v>
      </c>
      <c r="M11" s="96">
        <v>0.21</v>
      </c>
      <c r="N11" s="96">
        <v>0</v>
      </c>
      <c r="O11" s="96">
        <v>0</v>
      </c>
      <c r="P11" s="97">
        <v>0</v>
      </c>
      <c r="R11" s="111">
        <v>0.57999999999999996</v>
      </c>
      <c r="S11" s="111">
        <v>10.751659999999999</v>
      </c>
      <c r="T11" s="111">
        <v>0.58006000000000002</v>
      </c>
      <c r="U11" s="111">
        <v>0.60580999999999996</v>
      </c>
      <c r="V11" s="111">
        <v>1.0512900000000001</v>
      </c>
      <c r="W11" s="111">
        <v>0.27246999999999999</v>
      </c>
      <c r="X11" s="112">
        <v>0.22059999999999999</v>
      </c>
      <c r="Z11" s="117">
        <v>199465</v>
      </c>
      <c r="AA11" s="111">
        <v>17.0595</v>
      </c>
      <c r="AB11" s="117">
        <v>0.99709999999999999</v>
      </c>
      <c r="AC11" s="117">
        <v>2.2984</v>
      </c>
      <c r="AD11" s="117">
        <v>35.4818</v>
      </c>
      <c r="AE11" s="117">
        <v>56.906500000000001</v>
      </c>
      <c r="AF11" s="118">
        <v>7.6116999999999999</v>
      </c>
    </row>
    <row r="12" spans="1:32" ht="15.75" thickBot="1">
      <c r="A12" s="98">
        <v>199465</v>
      </c>
      <c r="B12" s="98" t="s">
        <v>576</v>
      </c>
      <c r="C12" s="98">
        <v>17.0595</v>
      </c>
      <c r="D12" s="99">
        <v>582</v>
      </c>
      <c r="E12" s="98">
        <v>29.63</v>
      </c>
      <c r="F12" s="100">
        <v>65.14</v>
      </c>
      <c r="G12" s="100">
        <v>21.98</v>
      </c>
      <c r="H12" s="100">
        <v>20.239999999999998</v>
      </c>
      <c r="I12" s="100">
        <v>12.015000000000001</v>
      </c>
      <c r="J12" s="100">
        <v>10.904999999999999</v>
      </c>
      <c r="K12" s="100">
        <v>5.2249999999999996</v>
      </c>
      <c r="L12" s="100">
        <v>2.76</v>
      </c>
      <c r="M12" s="100">
        <v>1.7450000000000001</v>
      </c>
      <c r="N12" s="100">
        <v>0.68500000000000005</v>
      </c>
      <c r="O12" s="100">
        <v>3.5000000000000003E-2</v>
      </c>
      <c r="P12" s="101">
        <v>0</v>
      </c>
      <c r="R12" s="109">
        <v>0.69</v>
      </c>
      <c r="S12" s="109">
        <v>10.50112</v>
      </c>
      <c r="T12" s="109">
        <v>0.70006999999999997</v>
      </c>
      <c r="U12" s="109">
        <v>0.73438000000000003</v>
      </c>
      <c r="V12" s="109">
        <v>1.2849299999999999</v>
      </c>
      <c r="W12" s="109">
        <v>0.33206999999999998</v>
      </c>
      <c r="X12" s="110">
        <v>0.25652000000000003</v>
      </c>
      <c r="Z12" s="115">
        <v>199467</v>
      </c>
      <c r="AA12" s="109">
        <v>17.470500000000001</v>
      </c>
      <c r="AB12" s="115">
        <v>0.98919999999999997</v>
      </c>
      <c r="AC12" s="115">
        <v>4.5209999999999999</v>
      </c>
      <c r="AD12" s="115">
        <v>11.409000000000001</v>
      </c>
      <c r="AE12" s="115">
        <v>64.127700000000004</v>
      </c>
      <c r="AF12" s="116">
        <v>24.4634</v>
      </c>
    </row>
    <row r="13" spans="1:32" ht="15.75" thickBot="1">
      <c r="A13" s="94">
        <v>199467</v>
      </c>
      <c r="B13" s="94" t="s">
        <v>577</v>
      </c>
      <c r="C13" s="94">
        <v>17.470500000000001</v>
      </c>
      <c r="D13" s="95">
        <v>600</v>
      </c>
      <c r="E13" s="94">
        <v>23.82</v>
      </c>
      <c r="F13" s="96">
        <v>70.680000000000007</v>
      </c>
      <c r="G13" s="96">
        <v>23.09</v>
      </c>
      <c r="H13" s="96">
        <v>19.46</v>
      </c>
      <c r="I13" s="96">
        <v>12.22</v>
      </c>
      <c r="J13" s="96">
        <v>15.91</v>
      </c>
      <c r="K13" s="96">
        <v>5.48</v>
      </c>
      <c r="L13" s="96">
        <v>4.38</v>
      </c>
      <c r="M13" s="96">
        <v>1.1000000000000001</v>
      </c>
      <c r="N13" s="96">
        <v>0</v>
      </c>
      <c r="O13" s="96">
        <v>0</v>
      </c>
      <c r="P13" s="97">
        <v>0</v>
      </c>
      <c r="R13" s="111">
        <v>0.82</v>
      </c>
      <c r="S13" s="111">
        <v>10.252090000000001</v>
      </c>
      <c r="T13" s="111">
        <v>0.89009000000000005</v>
      </c>
      <c r="U13" s="111">
        <v>0.92991000000000001</v>
      </c>
      <c r="V13" s="111">
        <v>1.63472</v>
      </c>
      <c r="W13" s="111">
        <v>0.41105000000000003</v>
      </c>
      <c r="X13" s="112">
        <v>0.31885999999999998</v>
      </c>
      <c r="Z13" s="117">
        <v>199468</v>
      </c>
      <c r="AA13" s="111">
        <v>19.525729999999999</v>
      </c>
      <c r="AB13" s="117">
        <v>0.9829</v>
      </c>
      <c r="AC13" s="117">
        <v>5.4873000000000003</v>
      </c>
      <c r="AD13" s="117">
        <v>0</v>
      </c>
      <c r="AE13" s="117">
        <v>45.940800000000003</v>
      </c>
      <c r="AF13" s="118">
        <v>54.059199999999997</v>
      </c>
    </row>
    <row r="14" spans="1:32" ht="15.75" thickBot="1">
      <c r="A14" s="98">
        <v>199468</v>
      </c>
      <c r="B14" s="98" t="s">
        <v>578</v>
      </c>
      <c r="C14" s="98">
        <v>19.525729999999999</v>
      </c>
      <c r="D14" s="99">
        <v>637</v>
      </c>
      <c r="E14" s="98">
        <v>19.829999999999998</v>
      </c>
      <c r="F14" s="100">
        <v>69.48</v>
      </c>
      <c r="G14" s="100">
        <v>20.71</v>
      </c>
      <c r="H14" s="100">
        <v>17.68</v>
      </c>
      <c r="I14" s="100">
        <v>11.56</v>
      </c>
      <c r="J14" s="100">
        <v>19.53</v>
      </c>
      <c r="K14" s="100">
        <v>10.68</v>
      </c>
      <c r="L14" s="100">
        <v>8.06</v>
      </c>
      <c r="M14" s="100">
        <v>2.62</v>
      </c>
      <c r="N14" s="100">
        <v>0</v>
      </c>
      <c r="O14" s="100">
        <v>0</v>
      </c>
      <c r="P14" s="101">
        <v>0</v>
      </c>
      <c r="R14" s="109">
        <v>0.98</v>
      </c>
      <c r="S14" s="109">
        <v>9.9949300000000001</v>
      </c>
      <c r="T14" s="109">
        <v>1.2001200000000001</v>
      </c>
      <c r="U14" s="109">
        <v>1.2385900000000001</v>
      </c>
      <c r="V14" s="109">
        <v>2.17299</v>
      </c>
      <c r="W14" s="109">
        <v>0.52476</v>
      </c>
      <c r="X14" s="110">
        <v>0.43336000000000002</v>
      </c>
      <c r="Z14" s="115">
        <v>199469</v>
      </c>
      <c r="AA14" s="109">
        <v>20.780909999999999</v>
      </c>
      <c r="AB14" s="115">
        <v>0.98080000000000001</v>
      </c>
      <c r="AC14" s="115">
        <v>6.0340999999999996</v>
      </c>
      <c r="AD14" s="115">
        <v>28.475100000000001</v>
      </c>
      <c r="AE14" s="115">
        <v>68.417599999999993</v>
      </c>
      <c r="AF14" s="116">
        <v>3.1073</v>
      </c>
    </row>
    <row r="15" spans="1:32" ht="15.75" thickBot="1">
      <c r="A15" s="94">
        <v>199469</v>
      </c>
      <c r="B15" s="94" t="s">
        <v>579</v>
      </c>
      <c r="C15" s="94">
        <v>20.780909999999999</v>
      </c>
      <c r="D15" s="95">
        <v>656</v>
      </c>
      <c r="E15" s="94">
        <v>28.42</v>
      </c>
      <c r="F15" s="96">
        <v>68.87</v>
      </c>
      <c r="G15" s="96">
        <v>20.77</v>
      </c>
      <c r="H15" s="96">
        <v>23.5</v>
      </c>
      <c r="I15" s="96">
        <v>13.68</v>
      </c>
      <c r="J15" s="96">
        <v>10.92</v>
      </c>
      <c r="K15" s="96">
        <v>2.72</v>
      </c>
      <c r="L15" s="96">
        <v>2.25</v>
      </c>
      <c r="M15" s="96">
        <v>0.47</v>
      </c>
      <c r="N15" s="96">
        <v>0</v>
      </c>
      <c r="O15" s="96">
        <v>0</v>
      </c>
      <c r="P15" s="97">
        <v>0</v>
      </c>
      <c r="R15" s="111">
        <v>1.2</v>
      </c>
      <c r="S15" s="111">
        <v>9.70275</v>
      </c>
      <c r="T15" s="111">
        <v>1.60016</v>
      </c>
      <c r="U15" s="111">
        <v>1.61812</v>
      </c>
      <c r="V15" s="111">
        <v>2.8147199999999999</v>
      </c>
      <c r="W15" s="111">
        <v>0.67203999999999997</v>
      </c>
      <c r="X15" s="112">
        <v>0.59291000000000005</v>
      </c>
      <c r="Z15" s="117">
        <v>199471</v>
      </c>
      <c r="AA15" s="111">
        <v>24.186920000000001</v>
      </c>
      <c r="AB15" s="117">
        <v>0.97750000000000004</v>
      </c>
      <c r="AC15" s="117">
        <v>5.9489999999999998</v>
      </c>
      <c r="AD15" s="117">
        <v>23.535399999999999</v>
      </c>
      <c r="AE15" s="117">
        <v>23.7193</v>
      </c>
      <c r="AF15" s="118">
        <v>52.7453</v>
      </c>
    </row>
    <row r="16" spans="1:32" ht="15.75" thickBot="1">
      <c r="A16" s="98">
        <v>199471</v>
      </c>
      <c r="B16" s="98" t="s">
        <v>580</v>
      </c>
      <c r="C16" s="98">
        <v>24.186920000000001</v>
      </c>
      <c r="D16" s="99">
        <v>708</v>
      </c>
      <c r="E16" s="98">
        <v>23.79</v>
      </c>
      <c r="F16" s="100">
        <v>59.59</v>
      </c>
      <c r="G16" s="100">
        <v>19.89</v>
      </c>
      <c r="H16" s="100">
        <v>17.41</v>
      </c>
      <c r="I16" s="100">
        <v>9.6300000000000008</v>
      </c>
      <c r="J16" s="100">
        <v>12.66</v>
      </c>
      <c r="K16" s="100">
        <v>16.63</v>
      </c>
      <c r="L16" s="100">
        <v>9.49</v>
      </c>
      <c r="M16" s="100">
        <v>6.75</v>
      </c>
      <c r="N16" s="100">
        <v>0.39</v>
      </c>
      <c r="O16" s="100">
        <v>0</v>
      </c>
      <c r="P16" s="101">
        <v>0</v>
      </c>
      <c r="R16" s="109">
        <v>1.4</v>
      </c>
      <c r="S16" s="109">
        <v>9.4803599999999992</v>
      </c>
      <c r="T16" s="109">
        <v>2.1002100000000001</v>
      </c>
      <c r="U16" s="109">
        <v>2.0836100000000002</v>
      </c>
      <c r="V16" s="109">
        <v>3.57315</v>
      </c>
      <c r="W16" s="109">
        <v>0.89139999999999997</v>
      </c>
      <c r="X16" s="110">
        <v>0.81015999999999999</v>
      </c>
      <c r="Z16" s="115">
        <v>199473</v>
      </c>
      <c r="AA16" s="109">
        <v>24.650079999999999</v>
      </c>
      <c r="AB16" s="115">
        <v>0.90090000000000003</v>
      </c>
      <c r="AC16" s="115">
        <v>12.8324</v>
      </c>
      <c r="AD16" s="115">
        <v>12.6287</v>
      </c>
      <c r="AE16" s="115">
        <v>28.078299999999999</v>
      </c>
      <c r="AF16" s="116">
        <v>59.292999999999999</v>
      </c>
    </row>
    <row r="17" spans="1:32" ht="15.75" thickBot="1">
      <c r="A17" s="94">
        <v>199473</v>
      </c>
      <c r="B17" s="94" t="s">
        <v>581</v>
      </c>
      <c r="C17" s="94">
        <v>24.650079999999999</v>
      </c>
      <c r="D17" s="95">
        <v>717</v>
      </c>
      <c r="E17" s="94">
        <v>19.55</v>
      </c>
      <c r="F17" s="96">
        <v>59.6</v>
      </c>
      <c r="G17" s="96">
        <v>22.17</v>
      </c>
      <c r="H17" s="96">
        <v>17.739999999999998</v>
      </c>
      <c r="I17" s="96">
        <v>8.17</v>
      </c>
      <c r="J17" s="96">
        <v>11.52</v>
      </c>
      <c r="K17" s="96">
        <v>20.85</v>
      </c>
      <c r="L17" s="96">
        <v>9.61</v>
      </c>
      <c r="M17" s="96">
        <v>9.81</v>
      </c>
      <c r="N17" s="96">
        <v>1.43</v>
      </c>
      <c r="O17" s="96">
        <v>0</v>
      </c>
      <c r="P17" s="97">
        <v>0</v>
      </c>
      <c r="R17" s="111">
        <v>1.6</v>
      </c>
      <c r="S17" s="111">
        <v>9.2877100000000006</v>
      </c>
      <c r="T17" s="111">
        <v>2.5902599999999998</v>
      </c>
      <c r="U17" s="111">
        <v>2.5300799999999999</v>
      </c>
      <c r="V17" s="111">
        <v>4.2503099999999998</v>
      </c>
      <c r="W17" s="111">
        <v>1.1790799999999999</v>
      </c>
      <c r="X17" s="112">
        <v>1.05454</v>
      </c>
      <c r="Z17" s="117">
        <v>199474</v>
      </c>
      <c r="AA17" s="111">
        <v>25.216149999999999</v>
      </c>
      <c r="AB17" s="117">
        <v>0.98429999999999995</v>
      </c>
      <c r="AC17" s="117">
        <v>5.2042000000000002</v>
      </c>
      <c r="AD17" s="117">
        <v>4.2332000000000001</v>
      </c>
      <c r="AE17" s="117">
        <v>49.286700000000003</v>
      </c>
      <c r="AF17" s="118">
        <v>46.480200000000004</v>
      </c>
    </row>
    <row r="18" spans="1:32" ht="15.75" thickBot="1">
      <c r="A18" s="98">
        <v>199474</v>
      </c>
      <c r="B18" s="98" t="s">
        <v>582</v>
      </c>
      <c r="C18" s="98">
        <v>25.216149999999999</v>
      </c>
      <c r="D18" s="99">
        <v>728</v>
      </c>
      <c r="E18" s="98">
        <v>19.47</v>
      </c>
      <c r="F18" s="100">
        <v>67.59</v>
      </c>
      <c r="G18" s="100">
        <v>19.850000000000001</v>
      </c>
      <c r="H18" s="100">
        <v>21.22</v>
      </c>
      <c r="I18" s="100">
        <v>11.92</v>
      </c>
      <c r="J18" s="100">
        <v>14.6</v>
      </c>
      <c r="K18" s="100">
        <v>12.97</v>
      </c>
      <c r="L18" s="100">
        <v>7.85</v>
      </c>
      <c r="M18" s="100">
        <v>4.66</v>
      </c>
      <c r="N18" s="100">
        <v>0.46</v>
      </c>
      <c r="O18" s="100">
        <v>0</v>
      </c>
      <c r="P18" s="101">
        <v>0</v>
      </c>
      <c r="R18" s="109">
        <v>2</v>
      </c>
      <c r="S18" s="109">
        <v>8.9657800000000005</v>
      </c>
      <c r="T18" s="109">
        <v>3.1103100000000001</v>
      </c>
      <c r="U18" s="109">
        <v>2.9782700000000002</v>
      </c>
      <c r="V18" s="109">
        <v>4.8307399999999996</v>
      </c>
      <c r="W18" s="109">
        <v>1.6133200000000001</v>
      </c>
      <c r="X18" s="110">
        <v>1.37249</v>
      </c>
      <c r="Z18" s="115">
        <v>199475</v>
      </c>
      <c r="AA18" s="109">
        <v>27.017309999999998</v>
      </c>
      <c r="AB18" s="115">
        <v>0.98980000000000001</v>
      </c>
      <c r="AC18" s="115">
        <v>4.3263999999999996</v>
      </c>
      <c r="AD18" s="115">
        <v>17.6646</v>
      </c>
      <c r="AE18" s="115">
        <v>64.195099999999996</v>
      </c>
      <c r="AF18" s="116">
        <v>18.1403</v>
      </c>
    </row>
    <row r="19" spans="1:32" ht="15.75" thickBot="1">
      <c r="A19" s="94">
        <v>199475</v>
      </c>
      <c r="B19" s="94" t="s">
        <v>583</v>
      </c>
      <c r="C19" s="94">
        <v>27.017309999999998</v>
      </c>
      <c r="D19" s="95">
        <v>763</v>
      </c>
      <c r="E19" s="94">
        <v>24.73</v>
      </c>
      <c r="F19" s="96">
        <v>69.37</v>
      </c>
      <c r="G19" s="96">
        <v>20.51</v>
      </c>
      <c r="H19" s="96">
        <v>22.32</v>
      </c>
      <c r="I19" s="96">
        <v>13.67</v>
      </c>
      <c r="J19" s="96">
        <v>12.87</v>
      </c>
      <c r="K19" s="96">
        <v>5.93</v>
      </c>
      <c r="L19" s="96">
        <v>4.0599999999999996</v>
      </c>
      <c r="M19" s="96">
        <v>1.86</v>
      </c>
      <c r="N19" s="96">
        <v>0.01</v>
      </c>
      <c r="O19" s="96">
        <v>0</v>
      </c>
      <c r="P19" s="97">
        <v>0</v>
      </c>
      <c r="R19" s="111">
        <v>2.2999999999999998</v>
      </c>
      <c r="S19" s="111">
        <v>8.7641500000000008</v>
      </c>
      <c r="T19" s="111">
        <v>3.4903499999999998</v>
      </c>
      <c r="U19" s="111">
        <v>3.3090600000000001</v>
      </c>
      <c r="V19" s="111">
        <v>5.0528500000000003</v>
      </c>
      <c r="W19" s="111">
        <v>2.2450299999999999</v>
      </c>
      <c r="X19" s="112">
        <v>1.75614</v>
      </c>
      <c r="Z19" s="117">
        <v>199476</v>
      </c>
      <c r="AA19" s="111">
        <v>27.53192</v>
      </c>
      <c r="AB19" s="117">
        <v>0.98760000000000003</v>
      </c>
      <c r="AC19" s="117">
        <v>4.8860999999999999</v>
      </c>
      <c r="AD19" s="117">
        <v>44.782600000000002</v>
      </c>
      <c r="AE19" s="117">
        <v>55.217399999999998</v>
      </c>
      <c r="AF19" s="118">
        <v>0</v>
      </c>
    </row>
    <row r="20" spans="1:32" ht="15.75" thickBot="1">
      <c r="A20" s="98">
        <v>199476</v>
      </c>
      <c r="B20" s="98" t="s">
        <v>584</v>
      </c>
      <c r="C20" s="98">
        <v>27.53192</v>
      </c>
      <c r="D20" s="99">
        <v>773</v>
      </c>
      <c r="E20" s="98">
        <v>33.380000000000003</v>
      </c>
      <c r="F20" s="100">
        <v>64.5</v>
      </c>
      <c r="G20" s="100">
        <v>23.45</v>
      </c>
      <c r="H20" s="100">
        <v>18.940000000000001</v>
      </c>
      <c r="I20" s="100">
        <v>11.18</v>
      </c>
      <c r="J20" s="100">
        <v>10.93</v>
      </c>
      <c r="K20" s="100">
        <v>2.12</v>
      </c>
      <c r="L20" s="100">
        <v>1.97</v>
      </c>
      <c r="M20" s="100">
        <v>0.15</v>
      </c>
      <c r="N20" s="100">
        <v>0</v>
      </c>
      <c r="O20" s="100">
        <v>0</v>
      </c>
      <c r="P20" s="101">
        <v>0</v>
      </c>
      <c r="R20" s="109">
        <v>2.8</v>
      </c>
      <c r="S20" s="109">
        <v>8.4803599999999992</v>
      </c>
      <c r="T20" s="109">
        <v>3.74037</v>
      </c>
      <c r="U20" s="109">
        <v>3.58622</v>
      </c>
      <c r="V20" s="109">
        <v>5.0708599999999997</v>
      </c>
      <c r="W20" s="109">
        <v>3.0416799999999999</v>
      </c>
      <c r="X20" s="110">
        <v>2.19645</v>
      </c>
      <c r="Z20" s="115">
        <v>199477</v>
      </c>
      <c r="AA20" s="109">
        <v>27.840689999999999</v>
      </c>
      <c r="AB20" s="115">
        <v>0.98019999999999996</v>
      </c>
      <c r="AC20" s="115">
        <v>6.0845000000000002</v>
      </c>
      <c r="AD20" s="115">
        <v>27.256900000000002</v>
      </c>
      <c r="AE20" s="115">
        <v>64.343299999999999</v>
      </c>
      <c r="AF20" s="116">
        <v>8.3999000000000006</v>
      </c>
    </row>
    <row r="21" spans="1:32" ht="15.75" thickBot="1">
      <c r="A21" s="94">
        <v>199477</v>
      </c>
      <c r="B21" s="94" t="s">
        <v>585</v>
      </c>
      <c r="C21" s="94">
        <v>27.840689999999999</v>
      </c>
      <c r="D21" s="95">
        <v>779</v>
      </c>
      <c r="E21" s="94">
        <v>27.16</v>
      </c>
      <c r="F21" s="96">
        <v>67.73</v>
      </c>
      <c r="G21" s="96">
        <v>22.78</v>
      </c>
      <c r="H21" s="96">
        <v>23.42</v>
      </c>
      <c r="I21" s="96">
        <v>11.37</v>
      </c>
      <c r="J21" s="96">
        <v>10.16</v>
      </c>
      <c r="K21" s="96">
        <v>5.0999999999999996</v>
      </c>
      <c r="L21" s="96">
        <v>3.64</v>
      </c>
      <c r="M21" s="96">
        <v>1.46</v>
      </c>
      <c r="N21" s="96">
        <v>0</v>
      </c>
      <c r="O21" s="96">
        <v>0</v>
      </c>
      <c r="P21" s="97">
        <v>0</v>
      </c>
      <c r="R21" s="111">
        <v>3.3</v>
      </c>
      <c r="S21" s="111">
        <v>8.2433200000000006</v>
      </c>
      <c r="T21" s="111">
        <v>3.91039</v>
      </c>
      <c r="U21" s="111">
        <v>3.8628800000000001</v>
      </c>
      <c r="V21" s="111">
        <v>4.9864699999999997</v>
      </c>
      <c r="W21" s="111">
        <v>3.97309</v>
      </c>
      <c r="X21" s="112">
        <v>2.7132999999999998</v>
      </c>
      <c r="Z21" s="117">
        <v>199479</v>
      </c>
      <c r="AA21" s="111">
        <v>28.351150000000001</v>
      </c>
      <c r="AB21" s="117">
        <v>0.9909</v>
      </c>
      <c r="AC21" s="117">
        <v>4.0612000000000004</v>
      </c>
      <c r="AD21" s="117">
        <v>40.494999999999997</v>
      </c>
      <c r="AE21" s="117">
        <v>44.360700000000001</v>
      </c>
      <c r="AF21" s="118">
        <v>15.144399999999999</v>
      </c>
    </row>
    <row r="22" spans="1:32" ht="15.75" thickBot="1">
      <c r="A22" s="98">
        <v>199479</v>
      </c>
      <c r="B22" s="98" t="s">
        <v>586</v>
      </c>
      <c r="C22" s="98">
        <v>28.351150000000001</v>
      </c>
      <c r="D22" s="99">
        <v>793</v>
      </c>
      <c r="E22" s="98">
        <v>31.04</v>
      </c>
      <c r="F22" s="100">
        <v>62.72</v>
      </c>
      <c r="G22" s="100">
        <v>21.14</v>
      </c>
      <c r="H22" s="100">
        <v>18.515000000000001</v>
      </c>
      <c r="I22" s="100">
        <v>11.55</v>
      </c>
      <c r="J22" s="100">
        <v>11.515000000000001</v>
      </c>
      <c r="K22" s="100">
        <v>6.26</v>
      </c>
      <c r="L22" s="100">
        <v>4.53</v>
      </c>
      <c r="M22" s="100">
        <v>1.73</v>
      </c>
      <c r="N22" s="100">
        <v>0</v>
      </c>
      <c r="O22" s="100">
        <v>0</v>
      </c>
      <c r="P22" s="101">
        <v>0</v>
      </c>
      <c r="R22" s="109">
        <v>3.9</v>
      </c>
      <c r="S22" s="109">
        <v>8.0023099999999996</v>
      </c>
      <c r="T22" s="109">
        <v>4.0103999999999997</v>
      </c>
      <c r="U22" s="109">
        <v>4.1315299999999997</v>
      </c>
      <c r="V22" s="109">
        <v>4.8272700000000004</v>
      </c>
      <c r="W22" s="109">
        <v>4.9502100000000002</v>
      </c>
      <c r="X22" s="110">
        <v>3.2792300000000001</v>
      </c>
      <c r="Z22" s="115">
        <v>199480</v>
      </c>
      <c r="AA22" s="109">
        <v>28.85745</v>
      </c>
      <c r="AB22" s="115">
        <v>0.99570000000000003</v>
      </c>
      <c r="AC22" s="115">
        <v>2.8330000000000002</v>
      </c>
      <c r="AD22" s="115">
        <v>36.605899999999998</v>
      </c>
      <c r="AE22" s="115">
        <v>47.003700000000002</v>
      </c>
      <c r="AF22" s="116">
        <v>16.3903</v>
      </c>
    </row>
    <row r="23" spans="1:32" ht="15.75" thickBot="1">
      <c r="A23" s="94">
        <v>199480</v>
      </c>
      <c r="B23" s="94" t="s">
        <v>587</v>
      </c>
      <c r="C23" s="94">
        <v>28.85745</v>
      </c>
      <c r="D23" s="95">
        <v>811</v>
      </c>
      <c r="E23" s="94">
        <v>30.2</v>
      </c>
      <c r="F23" s="96">
        <v>64.3</v>
      </c>
      <c r="G23" s="96">
        <v>21.68</v>
      </c>
      <c r="H23" s="96">
        <v>19.16</v>
      </c>
      <c r="I23" s="96">
        <v>10.97</v>
      </c>
      <c r="J23" s="96">
        <v>12.49</v>
      </c>
      <c r="K23" s="96">
        <v>5.49</v>
      </c>
      <c r="L23" s="96">
        <v>4.54</v>
      </c>
      <c r="M23" s="96">
        <v>0.95</v>
      </c>
      <c r="N23" s="96">
        <v>0</v>
      </c>
      <c r="O23" s="96">
        <v>0</v>
      </c>
      <c r="P23" s="97">
        <v>0</v>
      </c>
      <c r="R23" s="111">
        <v>4.7</v>
      </c>
      <c r="S23" s="111">
        <v>7.7331200000000004</v>
      </c>
      <c r="T23" s="111">
        <v>4.0504100000000003</v>
      </c>
      <c r="U23" s="111">
        <v>4.33101</v>
      </c>
      <c r="V23" s="111">
        <v>4.5996199999999998</v>
      </c>
      <c r="W23" s="111">
        <v>5.8085800000000001</v>
      </c>
      <c r="X23" s="112">
        <v>3.7845200000000001</v>
      </c>
      <c r="Z23" s="117">
        <v>199481</v>
      </c>
      <c r="AA23" s="111">
        <v>29.307490000000001</v>
      </c>
      <c r="AB23" s="117">
        <v>0.99280000000000002</v>
      </c>
      <c r="AC23" s="117">
        <v>3.7153999999999998</v>
      </c>
      <c r="AD23" s="117">
        <v>33.801699999999997</v>
      </c>
      <c r="AE23" s="117">
        <v>61.694200000000002</v>
      </c>
      <c r="AF23" s="118">
        <v>4.5042</v>
      </c>
    </row>
    <row r="24" spans="1:32" ht="15.75" thickBot="1">
      <c r="A24" s="98">
        <v>199481</v>
      </c>
      <c r="B24" s="98" t="s">
        <v>588</v>
      </c>
      <c r="C24" s="98">
        <v>29.307490000000001</v>
      </c>
      <c r="D24" s="99">
        <v>827</v>
      </c>
      <c r="E24" s="98">
        <v>29.86</v>
      </c>
      <c r="F24" s="100">
        <v>66.53</v>
      </c>
      <c r="G24" s="100">
        <v>23.59</v>
      </c>
      <c r="H24" s="100">
        <v>20.07</v>
      </c>
      <c r="I24" s="100">
        <v>12.06</v>
      </c>
      <c r="J24" s="100">
        <v>10.81</v>
      </c>
      <c r="K24" s="100">
        <v>3.59</v>
      </c>
      <c r="L24" s="100">
        <v>2.98</v>
      </c>
      <c r="M24" s="100">
        <v>0.61</v>
      </c>
      <c r="N24" s="100">
        <v>0</v>
      </c>
      <c r="O24" s="100">
        <v>0</v>
      </c>
      <c r="P24" s="101">
        <v>0</v>
      </c>
      <c r="R24" s="109">
        <v>5.5</v>
      </c>
      <c r="S24" s="109">
        <v>7.5063500000000003</v>
      </c>
      <c r="T24" s="109">
        <v>4.0904100000000003</v>
      </c>
      <c r="U24" s="109">
        <v>4.4370500000000002</v>
      </c>
      <c r="V24" s="109">
        <v>4.4202300000000001</v>
      </c>
      <c r="W24" s="109">
        <v>6.3334599999999996</v>
      </c>
      <c r="X24" s="110">
        <v>4.0989500000000003</v>
      </c>
      <c r="Z24" s="115">
        <v>199482</v>
      </c>
      <c r="AA24" s="109">
        <v>29.813790000000001</v>
      </c>
      <c r="AB24" s="115">
        <v>0.98399999999999999</v>
      </c>
      <c r="AC24" s="115">
        <v>5.4756999999999998</v>
      </c>
      <c r="AD24" s="115">
        <v>34.852200000000003</v>
      </c>
      <c r="AE24" s="115">
        <v>57.832599999999999</v>
      </c>
      <c r="AF24" s="116">
        <v>7.3151999999999999</v>
      </c>
    </row>
    <row r="25" spans="1:32" ht="15.75" thickBot="1">
      <c r="A25" s="94">
        <v>199482</v>
      </c>
      <c r="B25" s="94" t="s">
        <v>589</v>
      </c>
      <c r="C25" s="94">
        <v>29.813790000000001</v>
      </c>
      <c r="D25" s="95">
        <v>845</v>
      </c>
      <c r="E25" s="94">
        <v>29.63</v>
      </c>
      <c r="F25" s="96">
        <v>65.215000000000003</v>
      </c>
      <c r="G25" s="96">
        <v>24.215</v>
      </c>
      <c r="H25" s="96">
        <v>19.614999999999998</v>
      </c>
      <c r="I25" s="96">
        <v>10.734999999999999</v>
      </c>
      <c r="J25" s="96">
        <v>10.65</v>
      </c>
      <c r="K25" s="96">
        <v>5.1550000000000002</v>
      </c>
      <c r="L25" s="96">
        <v>3.0550000000000002</v>
      </c>
      <c r="M25" s="96">
        <v>1.62</v>
      </c>
      <c r="N25" s="96">
        <v>0.46500000000000002</v>
      </c>
      <c r="O25" s="96">
        <v>1.4999999999999999E-2</v>
      </c>
      <c r="P25" s="97">
        <v>0</v>
      </c>
      <c r="R25" s="113">
        <v>6.6</v>
      </c>
      <c r="S25" s="111">
        <v>7.2433199999999998</v>
      </c>
      <c r="T25" s="111">
        <v>4.0804099999999996</v>
      </c>
      <c r="U25" s="111">
        <v>4.4034800000000001</v>
      </c>
      <c r="V25" s="111">
        <v>4.2008000000000001</v>
      </c>
      <c r="W25" s="111">
        <v>6.5514400000000004</v>
      </c>
      <c r="X25" s="114">
        <v>4.2050200000000002</v>
      </c>
      <c r="Z25" s="117">
        <v>199483</v>
      </c>
      <c r="AA25" s="111">
        <v>30.151319999999998</v>
      </c>
      <c r="AB25" s="117">
        <v>0.98950000000000005</v>
      </c>
      <c r="AC25" s="117">
        <v>4.2606999999999999</v>
      </c>
      <c r="AD25" s="117">
        <v>28.789100000000001</v>
      </c>
      <c r="AE25" s="117">
        <v>49.120600000000003</v>
      </c>
      <c r="AF25" s="118">
        <v>22.090399999999999</v>
      </c>
    </row>
    <row r="26" spans="1:32" ht="15.75" thickBot="1">
      <c r="A26" s="98">
        <v>199483</v>
      </c>
      <c r="B26" s="98" t="s">
        <v>590</v>
      </c>
      <c r="C26" s="98">
        <v>30.151319999999998</v>
      </c>
      <c r="D26" s="99">
        <v>857</v>
      </c>
      <c r="E26" s="98">
        <v>27.69</v>
      </c>
      <c r="F26" s="100">
        <v>65.739999999999995</v>
      </c>
      <c r="G26" s="100">
        <v>19.54</v>
      </c>
      <c r="H26" s="100">
        <v>20.93</v>
      </c>
      <c r="I26" s="100">
        <v>12.31</v>
      </c>
      <c r="J26" s="100">
        <v>12.96</v>
      </c>
      <c r="K26" s="100">
        <v>6.6</v>
      </c>
      <c r="L26" s="100">
        <v>4.8</v>
      </c>
      <c r="M26" s="100">
        <v>1.8</v>
      </c>
      <c r="N26" s="100">
        <v>0</v>
      </c>
      <c r="O26" s="100">
        <v>0</v>
      </c>
      <c r="P26" s="101">
        <v>0</v>
      </c>
      <c r="R26" s="109">
        <v>7.8</v>
      </c>
      <c r="S26" s="109">
        <v>7.0023099999999996</v>
      </c>
      <c r="T26" s="109">
        <v>4.1004100000000001</v>
      </c>
      <c r="U26" s="109">
        <v>4.33535</v>
      </c>
      <c r="V26" s="109">
        <v>4.0917199999999996</v>
      </c>
      <c r="W26" s="109">
        <v>6.59985</v>
      </c>
      <c r="X26" s="110">
        <v>4.1562200000000002</v>
      </c>
      <c r="Z26" s="115">
        <v>199485</v>
      </c>
      <c r="AA26" s="109">
        <v>30.839300000000001</v>
      </c>
      <c r="AB26" s="115">
        <v>0.96740000000000004</v>
      </c>
      <c r="AC26" s="115">
        <v>7.73</v>
      </c>
      <c r="AD26" s="115">
        <v>42.230200000000004</v>
      </c>
      <c r="AE26" s="115">
        <v>55.696599999999997</v>
      </c>
      <c r="AF26" s="116">
        <v>2.0731999999999999</v>
      </c>
    </row>
    <row r="27" spans="1:32" ht="15.75" thickBot="1">
      <c r="A27" s="94">
        <v>199485</v>
      </c>
      <c r="B27" s="94" t="s">
        <v>591</v>
      </c>
      <c r="C27" s="94">
        <v>30.839300000000001</v>
      </c>
      <c r="D27" s="95">
        <v>886</v>
      </c>
      <c r="E27" s="94">
        <v>31.19</v>
      </c>
      <c r="F27" s="96">
        <v>63.15</v>
      </c>
      <c r="G27" s="96">
        <v>21.26</v>
      </c>
      <c r="H27" s="96">
        <v>23.06</v>
      </c>
      <c r="I27" s="96">
        <v>11.23</v>
      </c>
      <c r="J27" s="96">
        <v>7.6</v>
      </c>
      <c r="K27" s="96">
        <v>5.63</v>
      </c>
      <c r="L27" s="96">
        <v>2.58</v>
      </c>
      <c r="M27" s="96">
        <v>2.34</v>
      </c>
      <c r="N27" s="96">
        <v>0.71</v>
      </c>
      <c r="O27" s="96">
        <v>0</v>
      </c>
      <c r="P27" s="97">
        <v>0</v>
      </c>
      <c r="R27" s="111">
        <v>9.3000000000000007</v>
      </c>
      <c r="S27" s="111">
        <v>6.7485499999999998</v>
      </c>
      <c r="T27" s="111">
        <v>4.1404100000000001</v>
      </c>
      <c r="U27" s="111">
        <v>4.2706799999999996</v>
      </c>
      <c r="V27" s="111">
        <v>4.1161199999999996</v>
      </c>
      <c r="W27" s="111">
        <v>6.5607699999999998</v>
      </c>
      <c r="X27" s="112">
        <v>3.9972699999999999</v>
      </c>
      <c r="Z27" s="117">
        <v>199486</v>
      </c>
      <c r="AA27" s="111">
        <v>31.629819999999999</v>
      </c>
      <c r="AB27" s="117">
        <v>0.98909999999999998</v>
      </c>
      <c r="AC27" s="117">
        <v>4.4275000000000002</v>
      </c>
      <c r="AD27" s="117">
        <v>39.915599999999998</v>
      </c>
      <c r="AE27" s="117">
        <v>53.598500000000001</v>
      </c>
      <c r="AF27" s="118">
        <v>6.4858000000000002</v>
      </c>
    </row>
    <row r="28" spans="1:32" ht="15.75" thickBot="1">
      <c r="A28" s="98">
        <v>199486</v>
      </c>
      <c r="B28" s="98" t="s">
        <v>592</v>
      </c>
      <c r="C28" s="98">
        <v>31.629819999999999</v>
      </c>
      <c r="D28" s="99">
        <v>951</v>
      </c>
      <c r="E28" s="98">
        <v>31.47</v>
      </c>
      <c r="F28" s="100">
        <v>64.650000000000006</v>
      </c>
      <c r="G28" s="100">
        <v>22.47</v>
      </c>
      <c r="H28" s="100">
        <v>21.15</v>
      </c>
      <c r="I28" s="100">
        <v>10.65</v>
      </c>
      <c r="J28" s="100">
        <v>10.38</v>
      </c>
      <c r="K28" s="100">
        <v>3.89</v>
      </c>
      <c r="L28" s="100">
        <v>3.26</v>
      </c>
      <c r="M28" s="100">
        <v>0.63</v>
      </c>
      <c r="N28" s="100">
        <v>0</v>
      </c>
      <c r="O28" s="100">
        <v>0</v>
      </c>
      <c r="P28" s="101">
        <v>0</v>
      </c>
      <c r="R28" s="109">
        <v>11.1</v>
      </c>
      <c r="S28" s="109">
        <v>6.4932999999999996</v>
      </c>
      <c r="T28" s="109">
        <v>4.0604100000000001</v>
      </c>
      <c r="U28" s="109">
        <v>4.0872799999999998</v>
      </c>
      <c r="V28" s="109">
        <v>4.0787800000000001</v>
      </c>
      <c r="W28" s="109">
        <v>6.3311400000000004</v>
      </c>
      <c r="X28" s="110">
        <v>3.67577</v>
      </c>
      <c r="Z28" s="115">
        <v>199487</v>
      </c>
      <c r="AA28" s="109">
        <v>32.57</v>
      </c>
      <c r="AB28" s="115">
        <v>0.99380000000000002</v>
      </c>
      <c r="AC28" s="115">
        <v>3.3628</v>
      </c>
      <c r="AD28" s="115">
        <v>25.399100000000001</v>
      </c>
      <c r="AE28" s="115">
        <v>61.874699999999997</v>
      </c>
      <c r="AF28" s="116">
        <v>12.7262</v>
      </c>
    </row>
    <row r="29" spans="1:32" ht="15.75" thickBot="1">
      <c r="A29" s="94">
        <v>199487</v>
      </c>
      <c r="B29" s="94" t="s">
        <v>593</v>
      </c>
      <c r="C29" s="94">
        <v>32.57</v>
      </c>
      <c r="D29" s="95">
        <v>1002</v>
      </c>
      <c r="E29" s="94">
        <v>27.72</v>
      </c>
      <c r="F29" s="96">
        <v>68.66</v>
      </c>
      <c r="G29" s="96">
        <v>21.03</v>
      </c>
      <c r="H29" s="96">
        <v>20.56</v>
      </c>
      <c r="I29" s="96">
        <v>13.3</v>
      </c>
      <c r="J29" s="96">
        <v>13.77</v>
      </c>
      <c r="K29" s="96">
        <v>3.58</v>
      </c>
      <c r="L29" s="96">
        <v>3.05</v>
      </c>
      <c r="M29" s="96">
        <v>0.53</v>
      </c>
      <c r="N29" s="96">
        <v>0</v>
      </c>
      <c r="O29" s="96">
        <v>0</v>
      </c>
      <c r="P29" s="97">
        <v>0</v>
      </c>
      <c r="R29" s="111">
        <v>13.1</v>
      </c>
      <c r="S29" s="111">
        <v>6.2542900000000001</v>
      </c>
      <c r="T29" s="111">
        <v>3.9003899999999998</v>
      </c>
      <c r="U29" s="111">
        <v>3.8303699999999998</v>
      </c>
      <c r="V29" s="111">
        <v>3.9194599999999999</v>
      </c>
      <c r="W29" s="111">
        <v>5.9880199999999997</v>
      </c>
      <c r="X29" s="112">
        <v>3.3369399999999998</v>
      </c>
      <c r="Z29" s="117">
        <v>199489</v>
      </c>
      <c r="AA29" s="111">
        <v>33.411000000000001</v>
      </c>
      <c r="AB29" s="117">
        <v>0.99229999999999996</v>
      </c>
      <c r="AC29" s="117">
        <v>3.8883999999999999</v>
      </c>
      <c r="AD29" s="117">
        <v>27.6007</v>
      </c>
      <c r="AE29" s="117">
        <v>72.399299999999997</v>
      </c>
      <c r="AF29" s="118">
        <v>0</v>
      </c>
    </row>
    <row r="30" spans="1:32" ht="15.75" thickBot="1">
      <c r="A30" s="98">
        <v>199489</v>
      </c>
      <c r="B30" s="98" t="s">
        <v>594</v>
      </c>
      <c r="C30" s="98">
        <v>33.411000000000001</v>
      </c>
      <c r="D30" s="99">
        <v>1031</v>
      </c>
      <c r="E30" s="98">
        <v>28.295000000000002</v>
      </c>
      <c r="F30" s="100">
        <v>69.44</v>
      </c>
      <c r="G30" s="100">
        <v>24.914999999999999</v>
      </c>
      <c r="H30" s="100">
        <v>22.14</v>
      </c>
      <c r="I30" s="100">
        <v>11.695</v>
      </c>
      <c r="J30" s="100">
        <v>10.69</v>
      </c>
      <c r="K30" s="100">
        <v>2.2549999999999999</v>
      </c>
      <c r="L30" s="100">
        <v>2.1</v>
      </c>
      <c r="M30" s="100">
        <v>0.155</v>
      </c>
      <c r="N30" s="100">
        <v>0</v>
      </c>
      <c r="O30" s="100">
        <v>0</v>
      </c>
      <c r="P30" s="101">
        <v>0</v>
      </c>
      <c r="R30" s="109">
        <v>15.6</v>
      </c>
      <c r="S30" s="109">
        <v>6.0023099999999996</v>
      </c>
      <c r="T30" s="109">
        <v>3.7503799999999998</v>
      </c>
      <c r="U30" s="109">
        <v>3.5600200000000002</v>
      </c>
      <c r="V30" s="109">
        <v>3.6387900000000002</v>
      </c>
      <c r="W30" s="109">
        <v>5.5791000000000004</v>
      </c>
      <c r="X30" s="110">
        <v>3.1029100000000001</v>
      </c>
      <c r="Z30" s="115">
        <v>199490</v>
      </c>
      <c r="AA30" s="109">
        <v>34.078000000000003</v>
      </c>
      <c r="AB30" s="115">
        <v>0.96609999999999996</v>
      </c>
      <c r="AC30" s="115">
        <v>8.0239999999999991</v>
      </c>
      <c r="AD30" s="115">
        <v>36.456899999999997</v>
      </c>
      <c r="AE30" s="115">
        <v>57.628</v>
      </c>
      <c r="AF30" s="116">
        <v>5.9150999999999998</v>
      </c>
    </row>
    <row r="31" spans="1:32" ht="15.75" thickBot="1">
      <c r="A31" s="94">
        <v>199490</v>
      </c>
      <c r="B31" s="94" t="s">
        <v>595</v>
      </c>
      <c r="C31" s="94">
        <v>34.078000000000003</v>
      </c>
      <c r="D31" s="95">
        <v>1054</v>
      </c>
      <c r="E31" s="94">
        <v>31.44</v>
      </c>
      <c r="F31" s="96">
        <v>66.27</v>
      </c>
      <c r="G31" s="96">
        <v>21.71</v>
      </c>
      <c r="H31" s="96">
        <v>17.98</v>
      </c>
      <c r="I31" s="96">
        <v>13.13</v>
      </c>
      <c r="J31" s="96">
        <v>13.45</v>
      </c>
      <c r="K31" s="96">
        <v>2.2799999999999998</v>
      </c>
      <c r="L31" s="96">
        <v>2.2000000000000002</v>
      </c>
      <c r="M31" s="96">
        <v>0.08</v>
      </c>
      <c r="N31" s="96">
        <v>0</v>
      </c>
      <c r="O31" s="96">
        <v>0</v>
      </c>
      <c r="P31" s="97">
        <v>0</v>
      </c>
      <c r="R31" s="111">
        <v>18.600000000000001</v>
      </c>
      <c r="S31" s="111">
        <v>5.7485499999999998</v>
      </c>
      <c r="T31" s="111">
        <v>3.6003599999999998</v>
      </c>
      <c r="U31" s="111">
        <v>3.3126899999999999</v>
      </c>
      <c r="V31" s="111">
        <v>3.2514400000000001</v>
      </c>
      <c r="W31" s="111">
        <v>5.1949199999999998</v>
      </c>
      <c r="X31" s="112">
        <v>3.0218799999999999</v>
      </c>
    </row>
    <row r="32" spans="1:32" ht="15.75" thickBot="1">
      <c r="R32" s="109">
        <v>22.1</v>
      </c>
      <c r="S32" s="109">
        <v>5.4998100000000001</v>
      </c>
      <c r="T32" s="109">
        <v>3.46035</v>
      </c>
      <c r="U32" s="109">
        <v>3.1257199999999998</v>
      </c>
      <c r="V32" s="109">
        <v>2.82694</v>
      </c>
      <c r="W32" s="109">
        <v>4.9048800000000004</v>
      </c>
      <c r="X32" s="110">
        <v>3.0928800000000001</v>
      </c>
    </row>
    <row r="33" spans="18:24" ht="13.5" thickBot="1">
      <c r="R33" s="111">
        <v>26.3</v>
      </c>
      <c r="S33" s="111">
        <v>5.2487899999999996</v>
      </c>
      <c r="T33" s="111">
        <v>3.2803300000000002</v>
      </c>
      <c r="U33" s="111">
        <v>2.94231</v>
      </c>
      <c r="V33" s="111">
        <v>2.3494199999999998</v>
      </c>
      <c r="W33" s="111">
        <v>4.5584100000000003</v>
      </c>
      <c r="X33" s="112">
        <v>3.2355100000000001</v>
      </c>
    </row>
    <row r="34" spans="18:24" ht="15.75" thickBot="1">
      <c r="R34" s="109">
        <v>31.3</v>
      </c>
      <c r="S34" s="109">
        <v>4.9976900000000004</v>
      </c>
      <c r="T34" s="109">
        <v>3.0402999999999998</v>
      </c>
      <c r="U34" s="109">
        <v>2.7308400000000002</v>
      </c>
      <c r="V34" s="109">
        <v>1.7883500000000001</v>
      </c>
      <c r="W34" s="109">
        <v>4.0288000000000004</v>
      </c>
      <c r="X34" s="110">
        <v>3.43485</v>
      </c>
    </row>
    <row r="35" spans="18:24" ht="13.5" thickBot="1">
      <c r="R35" s="111">
        <v>37.200000000000003</v>
      </c>
      <c r="S35" s="111">
        <v>4.7485499999999998</v>
      </c>
      <c r="T35" s="111">
        <v>2.8202799999999999</v>
      </c>
      <c r="U35" s="111">
        <v>2.57728</v>
      </c>
      <c r="V35" s="111">
        <v>1.33291</v>
      </c>
      <c r="W35" s="111">
        <v>3.3478300000000001</v>
      </c>
      <c r="X35" s="112">
        <v>3.6833300000000002</v>
      </c>
    </row>
    <row r="36" spans="18:24" ht="15.75" thickBot="1">
      <c r="R36" s="109">
        <v>44.2</v>
      </c>
      <c r="S36" s="109">
        <v>4.4998100000000001</v>
      </c>
      <c r="T36" s="109">
        <v>2.8502900000000002</v>
      </c>
      <c r="U36" s="109">
        <v>2.6482899999999998</v>
      </c>
      <c r="V36" s="109">
        <v>1.18086</v>
      </c>
      <c r="W36" s="109">
        <v>2.9441299999999999</v>
      </c>
      <c r="X36" s="110">
        <v>4.0673399999999997</v>
      </c>
    </row>
    <row r="37" spans="18:24" ht="15.75" thickBot="1">
      <c r="R37" s="113">
        <v>52.6</v>
      </c>
      <c r="S37" s="111">
        <v>4.2487899999999996</v>
      </c>
      <c r="T37" s="111">
        <v>2.6802700000000002</v>
      </c>
      <c r="U37" s="111">
        <v>2.5641099999999999</v>
      </c>
      <c r="V37" s="111">
        <v>1.0229699999999999</v>
      </c>
      <c r="W37" s="111">
        <v>2.0232999999999999</v>
      </c>
      <c r="X37" s="114">
        <v>4.2138499999999999</v>
      </c>
    </row>
    <row r="38" spans="18:24" ht="15.75" thickBot="1">
      <c r="R38" s="109">
        <v>62.5</v>
      </c>
      <c r="S38" s="109">
        <v>4</v>
      </c>
      <c r="T38" s="109">
        <v>2.5002499999999999</v>
      </c>
      <c r="U38" s="109">
        <v>2.4504600000000001</v>
      </c>
      <c r="V38" s="109">
        <v>0.94077</v>
      </c>
      <c r="W38" s="109">
        <v>1.18828</v>
      </c>
      <c r="X38" s="110">
        <v>4.2036300000000004</v>
      </c>
    </row>
    <row r="39" spans="18:24" ht="13.5" thickBot="1">
      <c r="R39" s="111">
        <v>74.3</v>
      </c>
      <c r="S39" s="111">
        <v>3.7504900000000001</v>
      </c>
      <c r="T39" s="111">
        <v>2.3502399999999999</v>
      </c>
      <c r="U39" s="111">
        <v>2.3277000000000001</v>
      </c>
      <c r="V39" s="111">
        <v>0.94394</v>
      </c>
      <c r="W39" s="111">
        <v>0.53113999999999995</v>
      </c>
      <c r="X39" s="112">
        <v>4.0543800000000001</v>
      </c>
    </row>
    <row r="40" spans="18:24" ht="15.75" thickBot="1">
      <c r="R40" s="109">
        <v>88.4</v>
      </c>
      <c r="S40" s="109">
        <v>3.4998100000000001</v>
      </c>
      <c r="T40" s="109">
        <v>2.3102299999999998</v>
      </c>
      <c r="U40" s="109">
        <v>2.2748900000000001</v>
      </c>
      <c r="V40" s="109">
        <v>1.0639700000000001</v>
      </c>
      <c r="W40" s="109">
        <v>0.16671</v>
      </c>
      <c r="X40" s="110">
        <v>3.8862299999999999</v>
      </c>
    </row>
    <row r="41" spans="18:24" ht="13.5" thickBot="1">
      <c r="R41" s="111">
        <v>105</v>
      </c>
      <c r="S41" s="111">
        <v>3.2515399999999999</v>
      </c>
      <c r="T41" s="111">
        <v>2.26023</v>
      </c>
      <c r="U41" s="111">
        <v>2.19617</v>
      </c>
      <c r="V41" s="111">
        <v>1.1467099999999999</v>
      </c>
      <c r="W41" s="111">
        <v>0</v>
      </c>
      <c r="X41" s="112">
        <v>3.6617700000000002</v>
      </c>
    </row>
    <row r="42" spans="18:24" ht="15.75" thickBot="1">
      <c r="R42" s="109">
        <v>125</v>
      </c>
      <c r="S42" s="109">
        <v>3</v>
      </c>
      <c r="T42" s="109">
        <v>2.0802100000000001</v>
      </c>
      <c r="U42" s="109">
        <v>2.0165099999999998</v>
      </c>
      <c r="V42" s="109">
        <v>0.96167000000000002</v>
      </c>
      <c r="W42" s="109">
        <v>0</v>
      </c>
      <c r="X42" s="110">
        <v>3.4538700000000002</v>
      </c>
    </row>
    <row r="43" spans="18:24" ht="13.5" thickBot="1">
      <c r="R43" s="111">
        <v>149</v>
      </c>
      <c r="S43" s="111">
        <v>2.7466200000000001</v>
      </c>
      <c r="T43" s="111">
        <v>1.6801699999999999</v>
      </c>
      <c r="U43" s="111">
        <v>1.71434</v>
      </c>
      <c r="V43" s="111">
        <v>0.60079000000000005</v>
      </c>
      <c r="W43" s="111">
        <v>0</v>
      </c>
      <c r="X43" s="112">
        <v>3.1541100000000002</v>
      </c>
    </row>
    <row r="44" spans="18:24" ht="15.75" thickBot="1">
      <c r="R44" s="109">
        <v>177</v>
      </c>
      <c r="S44" s="109">
        <v>2.4981800000000001</v>
      </c>
      <c r="T44" s="109">
        <v>0.96009999999999995</v>
      </c>
      <c r="U44" s="109">
        <v>1.1772800000000001</v>
      </c>
      <c r="V44" s="109">
        <v>7.1010000000000004E-2</v>
      </c>
      <c r="W44" s="109">
        <v>1.128E-2</v>
      </c>
      <c r="X44" s="110">
        <v>2.5071099999999999</v>
      </c>
    </row>
    <row r="45" spans="18:24" ht="13.5" thickBot="1">
      <c r="R45" s="111">
        <v>210</v>
      </c>
      <c r="S45" s="111">
        <v>2.2515399999999999</v>
      </c>
      <c r="T45" s="111">
        <v>0.49004999999999999</v>
      </c>
      <c r="U45" s="111">
        <v>0.86451999999999996</v>
      </c>
      <c r="V45" s="111">
        <v>0</v>
      </c>
      <c r="W45" s="111">
        <v>0</v>
      </c>
      <c r="X45" s="112">
        <v>1.8950100000000001</v>
      </c>
    </row>
    <row r="46" spans="18:24" ht="15.75" thickBot="1">
      <c r="R46" s="109">
        <v>250</v>
      </c>
      <c r="S46" s="109">
        <v>2</v>
      </c>
      <c r="T46" s="109">
        <v>0.14001</v>
      </c>
      <c r="U46" s="109">
        <v>0.48848999999999998</v>
      </c>
      <c r="V46" s="109">
        <v>0</v>
      </c>
      <c r="W46" s="109">
        <v>0</v>
      </c>
      <c r="X46" s="110">
        <v>1.0707599999999999</v>
      </c>
    </row>
    <row r="47" spans="18:24" ht="13.5" thickBot="1">
      <c r="R47" s="111">
        <v>297</v>
      </c>
      <c r="S47" s="111">
        <v>1.7514700000000001</v>
      </c>
      <c r="T47" s="111">
        <v>0.01</v>
      </c>
      <c r="U47" s="111">
        <v>0.21825</v>
      </c>
      <c r="V47" s="111">
        <v>0</v>
      </c>
      <c r="W47" s="111">
        <v>7.26E-3</v>
      </c>
      <c r="X47" s="112">
        <v>0.47704000000000002</v>
      </c>
    </row>
    <row r="48" spans="18:24" ht="15.75" thickBot="1">
      <c r="R48" s="109">
        <v>354</v>
      </c>
      <c r="S48" s="109">
        <v>1.4981800000000001</v>
      </c>
      <c r="T48" s="109">
        <v>0</v>
      </c>
      <c r="U48" s="109">
        <v>5.4670000000000003E-2</v>
      </c>
      <c r="V48" s="109">
        <v>0</v>
      </c>
      <c r="W48" s="109">
        <v>3.3360000000000001E-2</v>
      </c>
      <c r="X48" s="110">
        <v>0.11360000000000001</v>
      </c>
    </row>
    <row r="49" spans="18:24" ht="13.5" thickBot="1">
      <c r="R49" s="111">
        <v>420</v>
      </c>
      <c r="S49" s="111">
        <v>1.2515400000000001</v>
      </c>
      <c r="T49" s="111">
        <v>0</v>
      </c>
      <c r="U49" s="111">
        <v>9.0600000000000003E-3</v>
      </c>
      <c r="V49" s="111">
        <v>1.0059999999999999E-2</v>
      </c>
      <c r="W49" s="111">
        <v>3.252E-2</v>
      </c>
      <c r="X49" s="112">
        <v>3.6600000000000001E-3</v>
      </c>
    </row>
    <row r="50" spans="18:24" ht="15.75" thickBot="1">
      <c r="R50" s="109">
        <v>500</v>
      </c>
      <c r="S50" s="109">
        <v>1</v>
      </c>
      <c r="T50" s="109">
        <v>0</v>
      </c>
      <c r="U50" s="109">
        <v>4.0499999999999998E-3</v>
      </c>
      <c r="V50" s="109">
        <v>5.8500000000000002E-3</v>
      </c>
      <c r="W50" s="109">
        <v>1.601E-2</v>
      </c>
      <c r="X50" s="110">
        <v>0</v>
      </c>
    </row>
    <row r="51" spans="18:24" ht="13.5" thickBot="1">
      <c r="R51" s="111">
        <v>595</v>
      </c>
      <c r="S51" s="111">
        <v>0.74904000000000004</v>
      </c>
      <c r="T51" s="111">
        <v>0</v>
      </c>
      <c r="U51" s="111">
        <v>7.5000000000000002E-4</v>
      </c>
      <c r="V51" s="111">
        <v>9.6000000000000002E-4</v>
      </c>
      <c r="W51" s="111">
        <v>3.6600000000000001E-3</v>
      </c>
      <c r="X51" s="112">
        <v>0</v>
      </c>
    </row>
    <row r="52" spans="18:24" ht="15.75" thickBot="1">
      <c r="R52" s="109">
        <v>707</v>
      </c>
      <c r="S52" s="109">
        <v>0.50022</v>
      </c>
      <c r="T52" s="109">
        <v>0</v>
      </c>
      <c r="U52" s="109">
        <v>0</v>
      </c>
      <c r="V52" s="109">
        <v>0</v>
      </c>
      <c r="W52" s="109">
        <v>0</v>
      </c>
      <c r="X52" s="110">
        <v>0</v>
      </c>
    </row>
    <row r="53" spans="18:24" ht="13.5" thickBot="1">
      <c r="R53" s="111">
        <v>841</v>
      </c>
      <c r="S53" s="111">
        <v>0.24981999999999999</v>
      </c>
      <c r="T53" s="111">
        <v>0</v>
      </c>
      <c r="U53" s="111">
        <v>0</v>
      </c>
      <c r="V53" s="111">
        <v>0</v>
      </c>
      <c r="W53" s="111">
        <v>0</v>
      </c>
      <c r="X53" s="112">
        <v>0</v>
      </c>
    </row>
    <row r="54" spans="18:24" ht="15.75" thickBot="1">
      <c r="R54" s="109">
        <v>1000</v>
      </c>
      <c r="S54" s="109">
        <v>0</v>
      </c>
      <c r="T54" s="109">
        <v>0</v>
      </c>
      <c r="U54" s="109">
        <v>0</v>
      </c>
      <c r="V54" s="109">
        <v>0</v>
      </c>
      <c r="W54" s="109">
        <v>0</v>
      </c>
      <c r="X54" s="110">
        <v>0</v>
      </c>
    </row>
    <row r="55" spans="18:24" ht="13.5" thickBot="1">
      <c r="R55" s="111">
        <v>1189</v>
      </c>
      <c r="S55" s="111">
        <v>-0.24975</v>
      </c>
      <c r="T55" s="111">
        <v>0</v>
      </c>
      <c r="U55" s="111">
        <v>0</v>
      </c>
      <c r="V55" s="111">
        <v>0</v>
      </c>
      <c r="W55" s="111">
        <v>0</v>
      </c>
      <c r="X55" s="112">
        <v>0</v>
      </c>
    </row>
    <row r="56" spans="18:24" ht="15.75" thickBot="1">
      <c r="R56" s="109">
        <v>1414</v>
      </c>
      <c r="S56" s="109">
        <v>-0.49978</v>
      </c>
      <c r="T56" s="109">
        <v>0</v>
      </c>
      <c r="U56" s="109">
        <v>0</v>
      </c>
      <c r="V56" s="109">
        <v>0</v>
      </c>
      <c r="W56" s="109">
        <v>0</v>
      </c>
      <c r="X56" s="110">
        <v>0</v>
      </c>
    </row>
    <row r="57" spans="18:24" ht="13.5" thickBot="1">
      <c r="R57" s="111">
        <v>1681</v>
      </c>
      <c r="S57" s="111">
        <v>-0.74931999999999999</v>
      </c>
      <c r="T57" s="111">
        <v>0</v>
      </c>
      <c r="U57" s="111">
        <v>0</v>
      </c>
      <c r="V57" s="111">
        <v>0</v>
      </c>
      <c r="W57" s="111">
        <v>0</v>
      </c>
      <c r="X57" s="112">
        <v>0</v>
      </c>
    </row>
    <row r="58" spans="18:24" ht="15.75" thickBot="1">
      <c r="R58" s="109">
        <v>2000</v>
      </c>
      <c r="S58" s="109">
        <v>-1</v>
      </c>
      <c r="T58" s="109">
        <v>0</v>
      </c>
      <c r="U58" s="109">
        <v>0</v>
      </c>
      <c r="V58" s="109">
        <v>0</v>
      </c>
      <c r="W58" s="109">
        <v>0</v>
      </c>
      <c r="X58" s="110">
        <v>0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E2D53-5B03-EE4E-B393-F04C9BDCCF0B}">
  <dimension ref="A1:O77"/>
  <sheetViews>
    <sheetView zoomScale="70" zoomScaleNormal="70" workbookViewId="0">
      <selection activeCell="S39" sqref="S39"/>
    </sheetView>
  </sheetViews>
  <sheetFormatPr defaultColWidth="11.42578125" defaultRowHeight="12.75"/>
  <cols>
    <col min="1" max="1" width="8.85546875" style="56" bestFit="1" customWidth="1"/>
    <col min="2" max="2" width="10.42578125" style="56" bestFit="1" customWidth="1"/>
    <col min="3" max="3" width="7" style="56" customWidth="1"/>
    <col min="4" max="4" width="9" style="56" bestFit="1" customWidth="1"/>
    <col min="5" max="5" width="7" style="56" customWidth="1"/>
    <col min="6" max="6" width="5.85546875" style="150" bestFit="1" customWidth="1"/>
    <col min="7" max="7" width="5.85546875" style="56" bestFit="1" customWidth="1"/>
    <col min="8" max="8" width="9" style="56" customWidth="1"/>
    <col min="9" max="9" width="7.85546875" style="56"/>
    <col min="10" max="10" width="13" style="56" bestFit="1" customWidth="1"/>
  </cols>
  <sheetData>
    <row r="1" spans="1:15">
      <c r="C1" s="56" t="s">
        <v>524</v>
      </c>
      <c r="F1" s="150" t="s">
        <v>703</v>
      </c>
      <c r="G1" s="56" t="s">
        <v>704</v>
      </c>
    </row>
    <row r="2" spans="1:15">
      <c r="A2" s="56" t="s">
        <v>440</v>
      </c>
      <c r="B2" s="56" t="s">
        <v>608</v>
      </c>
      <c r="C2" s="56" t="s">
        <v>441</v>
      </c>
      <c r="D2" s="56" t="s">
        <v>442</v>
      </c>
      <c r="E2" s="56" t="s">
        <v>443</v>
      </c>
      <c r="F2" s="150" t="s">
        <v>444</v>
      </c>
      <c r="G2" s="56" t="s">
        <v>445</v>
      </c>
      <c r="H2" s="56" t="s">
        <v>446</v>
      </c>
      <c r="I2" s="56" t="s">
        <v>447</v>
      </c>
      <c r="J2" s="56" t="s">
        <v>448</v>
      </c>
      <c r="K2" s="56" t="s">
        <v>609</v>
      </c>
    </row>
    <row r="3" spans="1:15">
      <c r="A3" s="56">
        <v>203697</v>
      </c>
      <c r="B3" s="57" t="s">
        <v>449</v>
      </c>
      <c r="C3" s="58">
        <v>9.0541578949999995</v>
      </c>
      <c r="D3" s="56">
        <v>1.2712000000000001</v>
      </c>
      <c r="E3" s="56">
        <v>3.0870000000000002</v>
      </c>
      <c r="F3" s="150">
        <v>5.0659999999999998</v>
      </c>
      <c r="G3" s="56">
        <v>14.89</v>
      </c>
      <c r="H3" s="56">
        <f>G3-F3</f>
        <v>9.8240000000000016</v>
      </c>
      <c r="I3" s="56">
        <v>4.399</v>
      </c>
      <c r="J3" s="56">
        <f>G3+I3</f>
        <v>19.289000000000001</v>
      </c>
      <c r="K3">
        <f>100-SUM(E3:I3)</f>
        <v>62.733999999999995</v>
      </c>
      <c r="M3" t="s">
        <v>155</v>
      </c>
      <c r="N3" t="s">
        <v>705</v>
      </c>
      <c r="O3" t="s">
        <v>706</v>
      </c>
    </row>
    <row r="4" spans="1:15">
      <c r="A4" s="56">
        <v>203696</v>
      </c>
      <c r="B4" s="57" t="s">
        <v>450</v>
      </c>
      <c r="C4" s="58">
        <v>9.3093157889999993</v>
      </c>
      <c r="D4" s="56">
        <v>1.5472999999999999</v>
      </c>
      <c r="E4" s="56">
        <v>1.2929999999999999</v>
      </c>
      <c r="F4" s="150">
        <v>5.2770000000000001</v>
      </c>
      <c r="G4" s="56">
        <v>15.03</v>
      </c>
      <c r="H4" s="56">
        <f t="shared" ref="H4:H67" si="0">G4-F4</f>
        <v>9.7530000000000001</v>
      </c>
      <c r="I4" s="56">
        <v>4.8899999999999997</v>
      </c>
      <c r="J4" s="56">
        <f t="shared" ref="J4:J67" si="1">G4+I4</f>
        <v>19.919999999999998</v>
      </c>
      <c r="K4">
        <f t="shared" ref="K4:K67" si="2">100-SUM(E4:I4)</f>
        <v>63.756999999999998</v>
      </c>
      <c r="M4" t="s">
        <v>62</v>
      </c>
      <c r="N4" s="2">
        <v>10.298052630000001</v>
      </c>
      <c r="O4">
        <f>F8+(N4-C8)/(C9-C8)*(F9-F8)</f>
        <v>4.9425454549056269</v>
      </c>
    </row>
    <row r="5" spans="1:15">
      <c r="A5" s="56">
        <v>203689</v>
      </c>
      <c r="B5" s="57" t="s">
        <v>451</v>
      </c>
      <c r="C5" s="58">
        <v>9.6123157890000002</v>
      </c>
      <c r="D5" s="56">
        <v>1.3935999999999999</v>
      </c>
      <c r="E5" s="56">
        <v>3.31</v>
      </c>
      <c r="F5" s="150">
        <v>5.0449999999999999</v>
      </c>
      <c r="G5" s="56">
        <v>14.99</v>
      </c>
      <c r="H5" s="56">
        <f t="shared" si="0"/>
        <v>9.9450000000000003</v>
      </c>
      <c r="I5" s="56">
        <v>5.0679999999999996</v>
      </c>
      <c r="J5" s="56">
        <f t="shared" si="1"/>
        <v>20.058</v>
      </c>
      <c r="K5">
        <f t="shared" si="2"/>
        <v>61.642000000000003</v>
      </c>
      <c r="M5" t="s">
        <v>69</v>
      </c>
      <c r="N5" s="2">
        <v>11.76807767</v>
      </c>
      <c r="O5">
        <f>F12+(N5-C12)/(C13-C12)*(F13-F12)</f>
        <v>4.5758080947670141</v>
      </c>
    </row>
    <row r="6" spans="1:15">
      <c r="A6" s="56">
        <v>203695</v>
      </c>
      <c r="B6" s="57" t="s">
        <v>452</v>
      </c>
      <c r="C6" s="58">
        <v>9.7398947370000002</v>
      </c>
      <c r="D6" s="56">
        <v>1.3918999999999999</v>
      </c>
      <c r="E6" s="56">
        <v>5.0069999999999997</v>
      </c>
      <c r="F6" s="150">
        <v>4.9539999999999997</v>
      </c>
      <c r="G6" s="56">
        <v>14.67</v>
      </c>
      <c r="H6" s="56">
        <f t="shared" si="0"/>
        <v>9.7160000000000011</v>
      </c>
      <c r="I6" s="56">
        <v>4.718</v>
      </c>
      <c r="J6" s="56">
        <f t="shared" si="1"/>
        <v>19.387999999999998</v>
      </c>
      <c r="K6">
        <f t="shared" si="2"/>
        <v>60.935000000000002</v>
      </c>
      <c r="M6" t="s">
        <v>70</v>
      </c>
      <c r="N6" s="2">
        <v>12.140504849999999</v>
      </c>
      <c r="O6">
        <f>F14+(N6-C14)/(C15-C14)*(F15-F14)</f>
        <v>4.3582596222734473</v>
      </c>
    </row>
    <row r="7" spans="1:15">
      <c r="A7" s="56">
        <v>203687</v>
      </c>
      <c r="B7" s="57" t="s">
        <v>453</v>
      </c>
      <c r="C7" s="58">
        <v>9.8674736840000001</v>
      </c>
      <c r="D7" s="56">
        <v>1.4851000000000001</v>
      </c>
      <c r="E7" s="56">
        <v>1.139</v>
      </c>
      <c r="F7" s="150">
        <v>4.8780000000000001</v>
      </c>
      <c r="G7" s="56">
        <v>14.9</v>
      </c>
      <c r="H7" s="56">
        <f t="shared" si="0"/>
        <v>10.022</v>
      </c>
      <c r="I7" s="56">
        <v>5.4180000000000001</v>
      </c>
      <c r="J7" s="56">
        <f t="shared" si="1"/>
        <v>20.318000000000001</v>
      </c>
      <c r="K7">
        <f t="shared" si="2"/>
        <v>63.643000000000001</v>
      </c>
      <c r="M7" t="s">
        <v>74</v>
      </c>
      <c r="N7" s="2">
        <v>12.681927460000001</v>
      </c>
      <c r="O7">
        <f>F16+(N7-C16)/(C17-C16)*(F17-F16)</f>
        <v>4.0932000000000004</v>
      </c>
    </row>
    <row r="8" spans="1:15">
      <c r="A8" s="56">
        <v>203690</v>
      </c>
      <c r="B8" s="57" t="s">
        <v>454</v>
      </c>
      <c r="C8" s="58">
        <v>10.186421050000002</v>
      </c>
      <c r="D8" s="56">
        <v>1.5065999999999999</v>
      </c>
      <c r="E8" s="56">
        <v>1.131</v>
      </c>
      <c r="F8" s="150">
        <v>5.0309999999999997</v>
      </c>
      <c r="G8" s="56">
        <v>14.93</v>
      </c>
      <c r="H8" s="56">
        <f t="shared" si="0"/>
        <v>9.8990000000000009</v>
      </c>
      <c r="I8" s="56">
        <v>5.2030000000000003</v>
      </c>
      <c r="J8" s="56">
        <f t="shared" si="1"/>
        <v>20.132999999999999</v>
      </c>
      <c r="K8">
        <f t="shared" si="2"/>
        <v>63.805999999999997</v>
      </c>
      <c r="M8" t="s">
        <v>77</v>
      </c>
      <c r="N8" s="2">
        <v>12.90434014</v>
      </c>
      <c r="O8">
        <f>F19+(N8-C19)/(C20-C19)*(F20-F19)</f>
        <v>4.4657958875311108</v>
      </c>
    </row>
    <row r="9" spans="1:15">
      <c r="A9" s="56">
        <v>203693</v>
      </c>
      <c r="B9" s="57" t="s">
        <v>455</v>
      </c>
      <c r="C9" s="58">
        <v>10.53726316</v>
      </c>
      <c r="D9" s="56">
        <v>1.0792999999999999</v>
      </c>
      <c r="E9" s="56">
        <v>1.252</v>
      </c>
      <c r="F9" s="150">
        <v>4.7530000000000001</v>
      </c>
      <c r="G9" s="56">
        <v>14.62</v>
      </c>
      <c r="H9" s="56">
        <f t="shared" si="0"/>
        <v>9.8669999999999991</v>
      </c>
      <c r="I9" s="56">
        <v>4.7039999999999997</v>
      </c>
      <c r="J9" s="56">
        <f t="shared" si="1"/>
        <v>19.323999999999998</v>
      </c>
      <c r="K9">
        <f t="shared" si="2"/>
        <v>64.804000000000002</v>
      </c>
      <c r="M9" t="s">
        <v>87</v>
      </c>
      <c r="N9" s="2">
        <v>13.4115</v>
      </c>
      <c r="O9">
        <f>F21+(N9-C21)/(C22-C21)*(F22-F21)</f>
        <v>4.7256663606857234</v>
      </c>
    </row>
    <row r="10" spans="1:15">
      <c r="A10" s="56">
        <v>203691</v>
      </c>
      <c r="B10" s="57" t="s">
        <v>456</v>
      </c>
      <c r="C10" s="58">
        <v>10.776473679999999</v>
      </c>
      <c r="D10" s="56">
        <v>1.5530999999999999</v>
      </c>
      <c r="E10" s="56">
        <v>4.0810000000000004</v>
      </c>
      <c r="F10" s="150">
        <v>4.8220000000000001</v>
      </c>
      <c r="G10" s="56">
        <v>14.52</v>
      </c>
      <c r="H10" s="56">
        <f t="shared" si="0"/>
        <v>9.6980000000000004</v>
      </c>
      <c r="I10" s="56">
        <v>4.9980000000000002</v>
      </c>
      <c r="J10" s="56">
        <f t="shared" si="1"/>
        <v>19.518000000000001</v>
      </c>
      <c r="K10">
        <f t="shared" si="2"/>
        <v>61.881</v>
      </c>
      <c r="M10" t="s">
        <v>89</v>
      </c>
      <c r="N10" s="2">
        <v>15.297745450000001</v>
      </c>
      <c r="O10">
        <f>F25</f>
        <v>4.4249999999999998</v>
      </c>
    </row>
    <row r="11" spans="1:15">
      <c r="A11" s="56">
        <v>203686</v>
      </c>
      <c r="B11" s="57" t="s">
        <v>457</v>
      </c>
      <c r="C11" s="58">
        <v>10.935947369999999</v>
      </c>
      <c r="D11" s="56">
        <v>1.3039000000000001</v>
      </c>
      <c r="E11" s="56">
        <v>3.593</v>
      </c>
      <c r="F11" s="150">
        <v>4.7160000000000002</v>
      </c>
      <c r="G11" s="56">
        <v>14.5</v>
      </c>
      <c r="H11" s="56">
        <f t="shared" si="0"/>
        <v>9.7839999999999989</v>
      </c>
      <c r="I11" s="56">
        <v>5.0410000000000004</v>
      </c>
      <c r="J11" s="56">
        <f t="shared" si="1"/>
        <v>19.541</v>
      </c>
      <c r="K11">
        <f t="shared" si="2"/>
        <v>62.366</v>
      </c>
      <c r="M11" t="s">
        <v>93</v>
      </c>
      <c r="N11" s="2">
        <v>17.630333329999999</v>
      </c>
      <c r="O11">
        <f>F32+(N11-C32)/(C33-C32)*(F33-F32)</f>
        <v>4.6002057258547255</v>
      </c>
    </row>
    <row r="12" spans="1:15">
      <c r="A12" s="56">
        <v>203688</v>
      </c>
      <c r="B12" s="57" t="s">
        <v>458</v>
      </c>
      <c r="C12" s="58">
        <v>11.19110526</v>
      </c>
      <c r="D12" s="56">
        <v>1.4813000000000001</v>
      </c>
      <c r="E12" s="56">
        <v>2.7360000000000002</v>
      </c>
      <c r="F12" s="150">
        <v>4.5339999999999998</v>
      </c>
      <c r="G12" s="56">
        <v>14.38</v>
      </c>
      <c r="H12" s="56">
        <f t="shared" si="0"/>
        <v>9.8460000000000001</v>
      </c>
      <c r="I12" s="56">
        <v>4.8810000000000002</v>
      </c>
      <c r="J12" s="56">
        <f t="shared" si="1"/>
        <v>19.261000000000003</v>
      </c>
      <c r="K12">
        <f t="shared" si="2"/>
        <v>63.623000000000005</v>
      </c>
      <c r="M12" t="s">
        <v>95</v>
      </c>
      <c r="N12" s="2">
        <v>19.789979379999998</v>
      </c>
      <c r="O12">
        <f>F36</f>
        <v>4.2939999999999996</v>
      </c>
    </row>
    <row r="13" spans="1:15">
      <c r="A13" s="56">
        <v>203692</v>
      </c>
      <c r="B13" s="57" t="s">
        <v>459</v>
      </c>
      <c r="C13" s="58">
        <v>11.99153398</v>
      </c>
      <c r="D13" s="56">
        <v>1.5653999999999999</v>
      </c>
      <c r="E13" s="56">
        <v>1.2250000000000001</v>
      </c>
      <c r="F13" s="150">
        <v>4.5919999999999996</v>
      </c>
      <c r="G13" s="56">
        <v>14.1</v>
      </c>
      <c r="H13" s="56">
        <f t="shared" si="0"/>
        <v>9.5079999999999991</v>
      </c>
      <c r="I13" s="56">
        <v>4.782</v>
      </c>
      <c r="J13" s="56">
        <f t="shared" si="1"/>
        <v>18.881999999999998</v>
      </c>
      <c r="K13">
        <f t="shared" si="2"/>
        <v>65.793000000000006</v>
      </c>
      <c r="M13" t="s">
        <v>97</v>
      </c>
      <c r="N13" s="2">
        <v>22.102144330000002</v>
      </c>
      <c r="O13">
        <f>F41+(N13-C41)/(C42-C41)*(F42-F41)</f>
        <v>5.0168888888477747</v>
      </c>
    </row>
    <row r="14" spans="1:15">
      <c r="A14" s="56">
        <v>203683</v>
      </c>
      <c r="B14" s="57" t="s">
        <v>460</v>
      </c>
      <c r="C14" s="58">
        <v>12.10326214</v>
      </c>
      <c r="D14" s="56">
        <v>1.6684000000000001</v>
      </c>
      <c r="E14" s="56">
        <v>4.915</v>
      </c>
      <c r="F14" s="150">
        <v>4.3630000000000004</v>
      </c>
      <c r="G14" s="56">
        <v>14.06</v>
      </c>
      <c r="H14" s="56">
        <f t="shared" si="0"/>
        <v>9.6969999999999992</v>
      </c>
      <c r="I14" s="56">
        <v>4.8419999999999996</v>
      </c>
      <c r="J14" s="56">
        <f t="shared" si="1"/>
        <v>18.902000000000001</v>
      </c>
      <c r="K14">
        <f t="shared" si="2"/>
        <v>62.123000000000005</v>
      </c>
      <c r="M14" t="s">
        <v>101</v>
      </c>
      <c r="N14" s="2">
        <v>26.142461539999999</v>
      </c>
      <c r="O14">
        <f>F48</f>
        <v>4.3540000000000001</v>
      </c>
    </row>
    <row r="15" spans="1:15">
      <c r="A15" s="56">
        <v>203679</v>
      </c>
      <c r="B15" s="57" t="s">
        <v>461</v>
      </c>
      <c r="C15" s="58">
        <v>12.582507769999999</v>
      </c>
      <c r="D15" s="56">
        <v>1.3597999999999999</v>
      </c>
      <c r="E15" s="56">
        <v>1.337</v>
      </c>
      <c r="F15" s="150">
        <v>4.3019999999999996</v>
      </c>
      <c r="G15" s="56">
        <v>13.94</v>
      </c>
      <c r="H15" s="56">
        <f t="shared" si="0"/>
        <v>9.6379999999999999</v>
      </c>
      <c r="I15" s="56">
        <v>5.2670000000000003</v>
      </c>
      <c r="J15" s="56">
        <f t="shared" si="1"/>
        <v>19.207000000000001</v>
      </c>
      <c r="K15">
        <f t="shared" si="2"/>
        <v>65.515999999999991</v>
      </c>
      <c r="M15" t="s">
        <v>106</v>
      </c>
      <c r="N15" s="2">
        <v>29.47625532</v>
      </c>
      <c r="O15">
        <f>F56</f>
        <v>5.4669999999999996</v>
      </c>
    </row>
    <row r="16" spans="1:15">
      <c r="A16" s="56">
        <v>203678</v>
      </c>
      <c r="B16" s="57" t="s">
        <v>462</v>
      </c>
      <c r="C16" s="58">
        <v>12.666632120000001</v>
      </c>
      <c r="D16" s="56">
        <v>1.0863</v>
      </c>
      <c r="E16" s="56">
        <v>3.573</v>
      </c>
      <c r="F16" s="150">
        <v>4.08</v>
      </c>
      <c r="G16" s="56">
        <v>13.75</v>
      </c>
      <c r="H16" s="56">
        <f t="shared" si="0"/>
        <v>9.67</v>
      </c>
      <c r="I16" s="56">
        <v>4.891</v>
      </c>
      <c r="J16" s="56">
        <f t="shared" si="1"/>
        <v>18.640999999999998</v>
      </c>
      <c r="K16">
        <f t="shared" si="2"/>
        <v>64.036000000000001</v>
      </c>
      <c r="M16" t="s">
        <v>109</v>
      </c>
      <c r="N16" s="2">
        <v>30.86361905</v>
      </c>
      <c r="O16">
        <f>F63+(N16-C63)/(C64-C63)*(F64-F63)</f>
        <v>4.5507142857142844</v>
      </c>
    </row>
    <row r="17" spans="1:15">
      <c r="A17" s="56">
        <v>203681</v>
      </c>
      <c r="B17" s="57" t="s">
        <v>463</v>
      </c>
      <c r="C17" s="58">
        <v>12.704870469999999</v>
      </c>
      <c r="D17" s="56">
        <v>1.3203</v>
      </c>
      <c r="E17" s="56">
        <v>1.304</v>
      </c>
      <c r="F17" s="150">
        <v>4.1130000000000004</v>
      </c>
      <c r="G17" s="56">
        <v>13.7</v>
      </c>
      <c r="H17" s="56">
        <f t="shared" si="0"/>
        <v>9.5869999999999997</v>
      </c>
      <c r="I17" s="56">
        <v>5.181</v>
      </c>
      <c r="J17" s="56">
        <f t="shared" si="1"/>
        <v>18.881</v>
      </c>
      <c r="K17">
        <f t="shared" si="2"/>
        <v>66.115000000000009</v>
      </c>
      <c r="M17" t="s">
        <v>113</v>
      </c>
      <c r="N17" s="2">
        <v>31.4960381</v>
      </c>
      <c r="O17">
        <f>F68+(N17-C68)/(C69-C68)*(F69-F68)</f>
        <v>5.0446842154529214</v>
      </c>
    </row>
    <row r="18" spans="1:15">
      <c r="A18" s="56">
        <v>203682</v>
      </c>
      <c r="B18" s="57" t="s">
        <v>464</v>
      </c>
      <c r="C18" s="58">
        <v>12.746932640000001</v>
      </c>
      <c r="D18" s="56">
        <v>1.3991</v>
      </c>
      <c r="E18" s="56">
        <v>3.262</v>
      </c>
      <c r="F18" s="150">
        <v>4.24</v>
      </c>
      <c r="G18" s="56">
        <v>14.07</v>
      </c>
      <c r="H18" s="56">
        <f t="shared" si="0"/>
        <v>9.83</v>
      </c>
      <c r="I18" s="56">
        <v>4.9779999999999998</v>
      </c>
      <c r="J18" s="56">
        <f t="shared" si="1"/>
        <v>19.048000000000002</v>
      </c>
      <c r="K18">
        <f t="shared" si="2"/>
        <v>63.62</v>
      </c>
      <c r="M18" t="s">
        <v>118</v>
      </c>
      <c r="N18" s="2">
        <v>33.121000000000002</v>
      </c>
      <c r="O18">
        <f>F74+(N18-C74)/(C75-C74)*(F75-F74)</f>
        <v>4.581999999999999</v>
      </c>
    </row>
    <row r="19" spans="1:15">
      <c r="A19" s="56">
        <v>203685</v>
      </c>
      <c r="B19" s="57" t="s">
        <v>465</v>
      </c>
      <c r="C19" s="58">
        <v>12.81958549</v>
      </c>
      <c r="D19" s="56">
        <v>1.5489999999999999</v>
      </c>
      <c r="E19" s="56">
        <v>4.992</v>
      </c>
      <c r="F19" s="150">
        <v>4.5810000000000004</v>
      </c>
      <c r="G19" s="56">
        <v>13.92</v>
      </c>
      <c r="H19" s="56">
        <f t="shared" si="0"/>
        <v>9.3389999999999986</v>
      </c>
      <c r="I19" s="56">
        <v>6.0529999999999999</v>
      </c>
      <c r="J19" s="56">
        <f t="shared" si="1"/>
        <v>19.972999999999999</v>
      </c>
      <c r="K19">
        <f t="shared" si="2"/>
        <v>61.115000000000002</v>
      </c>
    </row>
    <row r="20" spans="1:15">
      <c r="A20" s="56">
        <v>203680</v>
      </c>
      <c r="B20" s="57" t="s">
        <v>466</v>
      </c>
      <c r="C20" s="58">
        <v>12.974816329999999</v>
      </c>
      <c r="D20" s="56">
        <v>1.5288999999999999</v>
      </c>
      <c r="E20" s="56">
        <v>2.9</v>
      </c>
      <c r="F20" s="150">
        <v>4.37</v>
      </c>
      <c r="G20" s="56">
        <v>14.11</v>
      </c>
      <c r="H20" s="56">
        <f t="shared" si="0"/>
        <v>9.7399999999999984</v>
      </c>
      <c r="I20" s="56">
        <v>5.3040000000000003</v>
      </c>
      <c r="J20" s="56">
        <f t="shared" si="1"/>
        <v>19.414000000000001</v>
      </c>
      <c r="K20">
        <f t="shared" si="2"/>
        <v>63.576000000000001</v>
      </c>
    </row>
    <row r="21" spans="1:15">
      <c r="A21" s="56">
        <v>203676</v>
      </c>
      <c r="B21" s="57" t="s">
        <v>467</v>
      </c>
      <c r="C21" s="58">
        <v>13.22148299</v>
      </c>
      <c r="D21" s="56">
        <v>1.4774</v>
      </c>
      <c r="E21" s="56">
        <v>2.581</v>
      </c>
      <c r="F21" s="150">
        <v>4.8899999999999997</v>
      </c>
      <c r="G21" s="56">
        <v>14.46</v>
      </c>
      <c r="H21" s="56">
        <f t="shared" si="0"/>
        <v>9.57</v>
      </c>
      <c r="I21" s="56">
        <v>4.9470000000000001</v>
      </c>
      <c r="J21" s="56">
        <f t="shared" si="1"/>
        <v>19.407</v>
      </c>
      <c r="K21">
        <f t="shared" si="2"/>
        <v>63.552</v>
      </c>
    </row>
    <row r="22" spans="1:15">
      <c r="A22" s="56">
        <v>203675</v>
      </c>
      <c r="B22" s="57" t="s">
        <v>468</v>
      </c>
      <c r="C22" s="58">
        <v>13.7395</v>
      </c>
      <c r="D22" s="56">
        <v>1.2947</v>
      </c>
      <c r="E22" s="56">
        <v>2.9740000000000002</v>
      </c>
      <c r="F22" s="150">
        <v>4.4420000000000002</v>
      </c>
      <c r="G22" s="56">
        <v>14.09</v>
      </c>
      <c r="H22" s="56">
        <f t="shared" si="0"/>
        <v>9.6479999999999997</v>
      </c>
      <c r="I22" s="56">
        <v>4.8159999999999998</v>
      </c>
      <c r="J22" s="56">
        <f t="shared" si="1"/>
        <v>18.905999999999999</v>
      </c>
      <c r="K22">
        <f t="shared" si="2"/>
        <v>64.03</v>
      </c>
    </row>
    <row r="23" spans="1:15">
      <c r="A23" s="56">
        <v>203698</v>
      </c>
      <c r="B23" s="57" t="s">
        <v>469</v>
      </c>
      <c r="C23" s="58">
        <v>13.862500000000001</v>
      </c>
      <c r="D23" s="56">
        <v>1.2887999999999999</v>
      </c>
      <c r="E23" s="56">
        <v>2.512</v>
      </c>
      <c r="F23" s="150">
        <v>4.1550000000000002</v>
      </c>
      <c r="G23" s="56">
        <v>14.05</v>
      </c>
      <c r="H23" s="56">
        <f t="shared" si="0"/>
        <v>9.8949999999999996</v>
      </c>
      <c r="I23" s="56">
        <v>4.5609999999999999</v>
      </c>
      <c r="J23" s="56">
        <f t="shared" si="1"/>
        <v>18.611000000000001</v>
      </c>
      <c r="K23">
        <f t="shared" si="2"/>
        <v>64.826999999999998</v>
      </c>
    </row>
    <row r="24" spans="1:15">
      <c r="A24" s="56">
        <v>203653</v>
      </c>
      <c r="B24" s="57" t="s">
        <v>470</v>
      </c>
      <c r="C24" s="58">
        <v>15.106563640000001</v>
      </c>
      <c r="D24" s="56">
        <v>1.4927999999999999</v>
      </c>
      <c r="E24" s="56">
        <v>2.8130000000000002</v>
      </c>
      <c r="F24" s="150">
        <v>4.4640000000000004</v>
      </c>
      <c r="G24" s="56">
        <v>13.65</v>
      </c>
      <c r="H24" s="56">
        <f t="shared" si="0"/>
        <v>9.1859999999999999</v>
      </c>
      <c r="I24" s="56">
        <v>5.1020000000000003</v>
      </c>
      <c r="J24" s="56">
        <f t="shared" si="1"/>
        <v>18.752000000000002</v>
      </c>
      <c r="K24">
        <f t="shared" si="2"/>
        <v>64.784999999999997</v>
      </c>
    </row>
    <row r="25" spans="1:15">
      <c r="A25" s="56">
        <v>203658</v>
      </c>
      <c r="B25" s="57" t="s">
        <v>471</v>
      </c>
      <c r="C25" s="58">
        <v>15.297745450000001</v>
      </c>
      <c r="D25" s="56">
        <v>1.3448</v>
      </c>
      <c r="E25" s="56">
        <v>5.2789999999999999</v>
      </c>
      <c r="F25" s="150">
        <v>4.4249999999999998</v>
      </c>
      <c r="G25" s="56">
        <v>13.68</v>
      </c>
      <c r="H25" s="56">
        <f t="shared" si="0"/>
        <v>9.254999999999999</v>
      </c>
      <c r="I25" s="56">
        <v>4.9370000000000003</v>
      </c>
      <c r="J25" s="56">
        <f t="shared" si="1"/>
        <v>18.617000000000001</v>
      </c>
      <c r="K25">
        <f t="shared" si="2"/>
        <v>62.424000000000007</v>
      </c>
    </row>
    <row r="26" spans="1:15">
      <c r="A26" s="56">
        <v>203656</v>
      </c>
      <c r="B26" s="57" t="s">
        <v>472</v>
      </c>
      <c r="C26" s="58">
        <v>15.68010909</v>
      </c>
      <c r="D26" s="56">
        <v>1.2385999999999999</v>
      </c>
      <c r="E26" s="56">
        <v>3.6259999999999999</v>
      </c>
      <c r="F26" s="150">
        <v>4.5460000000000003</v>
      </c>
      <c r="G26" s="56">
        <v>13.56</v>
      </c>
      <c r="H26" s="56">
        <f t="shared" si="0"/>
        <v>9.0139999999999993</v>
      </c>
      <c r="I26" s="56">
        <v>5.3170000000000002</v>
      </c>
      <c r="J26" s="56">
        <f t="shared" si="1"/>
        <v>18.877000000000002</v>
      </c>
      <c r="K26">
        <f t="shared" si="2"/>
        <v>63.936999999999998</v>
      </c>
    </row>
    <row r="27" spans="1:15">
      <c r="A27" s="56">
        <v>203652</v>
      </c>
      <c r="B27" s="57" t="s">
        <v>473</v>
      </c>
      <c r="C27" s="58">
        <v>15.986000000000001</v>
      </c>
      <c r="D27" s="56">
        <v>1.3137000000000001</v>
      </c>
      <c r="E27" s="56">
        <v>3.194</v>
      </c>
      <c r="F27" s="150">
        <v>4.5650000000000004</v>
      </c>
      <c r="G27" s="56">
        <v>13.61</v>
      </c>
      <c r="H27" s="56">
        <f t="shared" si="0"/>
        <v>9.0449999999999982</v>
      </c>
      <c r="I27" s="56">
        <v>5.4489999999999998</v>
      </c>
      <c r="J27" s="56">
        <f t="shared" si="1"/>
        <v>19.058999999999997</v>
      </c>
      <c r="K27">
        <f t="shared" si="2"/>
        <v>64.137</v>
      </c>
    </row>
    <row r="28" spans="1:15">
      <c r="A28" s="56">
        <v>203649</v>
      </c>
      <c r="B28" s="57" t="s">
        <v>474</v>
      </c>
      <c r="C28" s="58">
        <v>16.164000000000001</v>
      </c>
      <c r="D28" s="56">
        <v>1.4576</v>
      </c>
      <c r="E28" s="56">
        <v>3.6520000000000001</v>
      </c>
      <c r="F28" s="150">
        <v>4.7380000000000004</v>
      </c>
      <c r="G28" s="56">
        <v>13.94</v>
      </c>
      <c r="H28" s="56">
        <f t="shared" si="0"/>
        <v>9.2019999999999982</v>
      </c>
      <c r="I28" s="56">
        <v>4.5439999999999996</v>
      </c>
      <c r="J28" s="56">
        <f t="shared" si="1"/>
        <v>18.483999999999998</v>
      </c>
      <c r="K28">
        <f t="shared" si="2"/>
        <v>63.924000000000007</v>
      </c>
    </row>
    <row r="29" spans="1:15">
      <c r="A29" s="56">
        <v>203651</v>
      </c>
      <c r="B29" s="57" t="s">
        <v>475</v>
      </c>
      <c r="C29" s="58">
        <v>16.486222219999998</v>
      </c>
      <c r="D29" s="56">
        <v>1.2186999999999999</v>
      </c>
      <c r="E29" s="56">
        <v>3.2890000000000001</v>
      </c>
      <c r="F29" s="150">
        <v>4.8949999999999996</v>
      </c>
      <c r="G29" s="56">
        <v>13.98</v>
      </c>
      <c r="H29" s="56">
        <f t="shared" si="0"/>
        <v>9.0850000000000009</v>
      </c>
      <c r="I29" s="56">
        <v>5.2469999999999999</v>
      </c>
      <c r="J29" s="56">
        <f t="shared" si="1"/>
        <v>19.227</v>
      </c>
      <c r="K29">
        <f t="shared" si="2"/>
        <v>63.503999999999998</v>
      </c>
    </row>
    <row r="30" spans="1:15">
      <c r="A30" s="56">
        <v>203650</v>
      </c>
      <c r="B30" s="57" t="s">
        <v>476</v>
      </c>
      <c r="C30" s="58">
        <v>17.150833330000001</v>
      </c>
      <c r="D30" s="56">
        <v>1.0229999999999999</v>
      </c>
      <c r="E30" s="56">
        <v>3.0779999999999998</v>
      </c>
      <c r="F30" s="150">
        <v>4.9649999999999999</v>
      </c>
      <c r="G30" s="56">
        <v>14.47</v>
      </c>
      <c r="H30" s="56">
        <f t="shared" si="0"/>
        <v>9.5050000000000008</v>
      </c>
      <c r="I30" s="56">
        <v>6.5860000000000003</v>
      </c>
      <c r="J30" s="56">
        <f t="shared" si="1"/>
        <v>21.056000000000001</v>
      </c>
      <c r="K30">
        <f t="shared" si="2"/>
        <v>61.396000000000001</v>
      </c>
    </row>
    <row r="31" spans="1:15">
      <c r="A31" s="56">
        <v>203654</v>
      </c>
      <c r="B31" s="57" t="s">
        <v>477</v>
      </c>
      <c r="C31" s="58">
        <v>17.402000000000001</v>
      </c>
      <c r="D31" s="56">
        <v>1.3032999999999999</v>
      </c>
      <c r="E31" s="56">
        <v>2.6160000000000001</v>
      </c>
      <c r="F31" s="150">
        <v>4.569</v>
      </c>
      <c r="G31" s="56">
        <v>14.12</v>
      </c>
      <c r="H31" s="56">
        <f t="shared" si="0"/>
        <v>9.5509999999999984</v>
      </c>
      <c r="I31" s="56">
        <v>6.7430000000000003</v>
      </c>
      <c r="J31" s="56">
        <f t="shared" si="1"/>
        <v>20.863</v>
      </c>
      <c r="K31">
        <f t="shared" si="2"/>
        <v>62.401000000000003</v>
      </c>
    </row>
    <row r="32" spans="1:15">
      <c r="A32" s="56">
        <v>203655</v>
      </c>
      <c r="B32" s="57" t="s">
        <v>478</v>
      </c>
      <c r="C32" s="58">
        <v>17.607500000000002</v>
      </c>
      <c r="D32" s="56">
        <v>1.0122</v>
      </c>
      <c r="E32" s="56">
        <v>2.52</v>
      </c>
      <c r="F32" s="150">
        <v>4.6120000000000001</v>
      </c>
      <c r="G32" s="56">
        <v>14.55</v>
      </c>
      <c r="H32" s="56">
        <f t="shared" si="0"/>
        <v>9.9380000000000006</v>
      </c>
      <c r="I32" s="56">
        <v>6.609</v>
      </c>
      <c r="J32" s="56">
        <f t="shared" si="1"/>
        <v>21.158999999999999</v>
      </c>
      <c r="K32">
        <f t="shared" si="2"/>
        <v>61.770999999999994</v>
      </c>
    </row>
    <row r="33" spans="1:11">
      <c r="A33" s="56">
        <v>203657</v>
      </c>
      <c r="B33" s="57" t="s">
        <v>479</v>
      </c>
      <c r="C33" s="58">
        <v>18.00630928</v>
      </c>
      <c r="D33" s="56">
        <v>1.3402000000000001</v>
      </c>
      <c r="E33" s="56">
        <v>2.7370000000000001</v>
      </c>
      <c r="F33" s="150">
        <v>4.4059999999999997</v>
      </c>
      <c r="G33" s="56">
        <v>14.03</v>
      </c>
      <c r="H33" s="56">
        <f t="shared" si="0"/>
        <v>9.6239999999999988</v>
      </c>
      <c r="I33" s="56">
        <v>6.508</v>
      </c>
      <c r="J33" s="56">
        <f t="shared" si="1"/>
        <v>20.538</v>
      </c>
      <c r="K33">
        <f t="shared" si="2"/>
        <v>62.695</v>
      </c>
    </row>
    <row r="34" spans="1:11">
      <c r="A34" s="56">
        <v>203673</v>
      </c>
      <c r="B34" s="57" t="s">
        <v>480</v>
      </c>
      <c r="C34" s="58">
        <v>18.336618559999998</v>
      </c>
      <c r="D34" s="56">
        <v>1.3691</v>
      </c>
      <c r="E34" s="56">
        <v>1.262</v>
      </c>
      <c r="F34" s="150">
        <v>4.1239999999999997</v>
      </c>
      <c r="G34" s="56">
        <v>14.12</v>
      </c>
      <c r="H34" s="56">
        <f t="shared" si="0"/>
        <v>9.9959999999999987</v>
      </c>
      <c r="I34" s="56">
        <v>6.407</v>
      </c>
      <c r="J34" s="56">
        <f t="shared" si="1"/>
        <v>20.527000000000001</v>
      </c>
      <c r="K34">
        <f t="shared" si="2"/>
        <v>64.091000000000008</v>
      </c>
    </row>
    <row r="35" spans="1:11">
      <c r="A35" s="56">
        <v>203664</v>
      </c>
      <c r="B35" s="57" t="s">
        <v>481</v>
      </c>
      <c r="C35" s="58">
        <v>18.799051550000001</v>
      </c>
      <c r="D35" s="56">
        <v>1.6742999999999999</v>
      </c>
      <c r="E35" s="56">
        <v>2.4780000000000002</v>
      </c>
      <c r="F35" s="150">
        <v>4.3639999999999999</v>
      </c>
      <c r="G35" s="56">
        <v>14.57</v>
      </c>
      <c r="H35" s="56">
        <f t="shared" si="0"/>
        <v>10.206</v>
      </c>
      <c r="I35" s="56">
        <v>6.5</v>
      </c>
      <c r="J35" s="56">
        <f t="shared" si="1"/>
        <v>21.07</v>
      </c>
      <c r="K35">
        <f t="shared" si="2"/>
        <v>61.882000000000005</v>
      </c>
    </row>
    <row r="36" spans="1:11">
      <c r="A36" s="56">
        <v>203661</v>
      </c>
      <c r="B36" s="57" t="s">
        <v>482</v>
      </c>
      <c r="C36" s="58">
        <v>19.789979380000002</v>
      </c>
      <c r="D36" s="56">
        <v>1.4433</v>
      </c>
      <c r="E36" s="56">
        <v>2.4489999999999998</v>
      </c>
      <c r="F36" s="150">
        <v>4.2939999999999996</v>
      </c>
      <c r="G36" s="56">
        <v>14.07</v>
      </c>
      <c r="H36" s="56">
        <f t="shared" si="0"/>
        <v>9.7759999999999998</v>
      </c>
      <c r="I36" s="56">
        <v>6.7489999999999997</v>
      </c>
      <c r="J36" s="56">
        <f t="shared" si="1"/>
        <v>20.818999999999999</v>
      </c>
      <c r="K36">
        <f t="shared" si="2"/>
        <v>62.661999999999999</v>
      </c>
    </row>
    <row r="37" spans="1:11">
      <c r="A37" s="56">
        <v>203663</v>
      </c>
      <c r="B37" s="57" t="s">
        <v>483</v>
      </c>
      <c r="C37" s="58">
        <v>19.988164949999998</v>
      </c>
      <c r="D37" s="56">
        <v>1.7042999999999999</v>
      </c>
      <c r="E37" s="56">
        <v>2.3820000000000001</v>
      </c>
      <c r="F37" s="150">
        <v>4.399</v>
      </c>
      <c r="G37" s="56">
        <v>14.03</v>
      </c>
      <c r="H37" s="56">
        <f t="shared" si="0"/>
        <v>9.6310000000000002</v>
      </c>
      <c r="I37" s="56">
        <v>6.9560000000000004</v>
      </c>
      <c r="J37" s="56">
        <f t="shared" si="1"/>
        <v>20.986000000000001</v>
      </c>
      <c r="K37">
        <f t="shared" si="2"/>
        <v>62.601999999999997</v>
      </c>
    </row>
    <row r="38" spans="1:11">
      <c r="A38" s="56">
        <v>203662</v>
      </c>
      <c r="B38" s="57" t="s">
        <v>484</v>
      </c>
      <c r="C38" s="58">
        <v>20.12028866</v>
      </c>
      <c r="D38" s="56">
        <v>1.7482</v>
      </c>
      <c r="E38" s="56">
        <v>2.4580000000000002</v>
      </c>
      <c r="F38" s="150">
        <v>4.577</v>
      </c>
      <c r="G38" s="56">
        <v>14.23</v>
      </c>
      <c r="H38" s="56">
        <f t="shared" si="0"/>
        <v>9.6530000000000005</v>
      </c>
      <c r="I38" s="56">
        <v>6.9359999999999999</v>
      </c>
      <c r="J38" s="56">
        <f t="shared" si="1"/>
        <v>21.166</v>
      </c>
      <c r="K38">
        <f t="shared" si="2"/>
        <v>62.146000000000001</v>
      </c>
    </row>
    <row r="39" spans="1:11">
      <c r="A39" s="56">
        <v>203671</v>
      </c>
      <c r="B39" s="57" t="s">
        <v>485</v>
      </c>
      <c r="C39" s="58">
        <v>20.78090722</v>
      </c>
      <c r="D39" s="56">
        <v>1.6841999999999999</v>
      </c>
      <c r="E39" s="56">
        <v>2.2690000000000001</v>
      </c>
      <c r="F39" s="150">
        <v>5.7039999999999997</v>
      </c>
      <c r="G39" s="56">
        <v>14.53</v>
      </c>
      <c r="H39" s="56">
        <f t="shared" si="0"/>
        <v>8.8260000000000005</v>
      </c>
      <c r="I39" s="56">
        <v>6.6079999999999997</v>
      </c>
      <c r="J39" s="56">
        <f t="shared" si="1"/>
        <v>21.137999999999998</v>
      </c>
      <c r="K39">
        <f t="shared" si="2"/>
        <v>62.063000000000002</v>
      </c>
    </row>
    <row r="40" spans="1:11">
      <c r="A40" s="56">
        <v>203674</v>
      </c>
      <c r="B40" s="57" t="s">
        <v>486</v>
      </c>
      <c r="C40" s="58">
        <v>21.24334021</v>
      </c>
      <c r="D40" s="56">
        <v>1.4396</v>
      </c>
      <c r="E40" s="56">
        <v>4.4820000000000002</v>
      </c>
      <c r="F40" s="150">
        <v>6.1689999999999996</v>
      </c>
      <c r="G40" s="56">
        <v>14.66</v>
      </c>
      <c r="H40" s="56">
        <f t="shared" si="0"/>
        <v>8.4909999999999997</v>
      </c>
      <c r="I40" s="56">
        <v>7.2130000000000001</v>
      </c>
      <c r="J40" s="56">
        <f t="shared" si="1"/>
        <v>21.873000000000001</v>
      </c>
      <c r="K40">
        <f t="shared" si="2"/>
        <v>58.984999999999999</v>
      </c>
    </row>
    <row r="41" spans="1:11">
      <c r="A41" s="56">
        <v>203667</v>
      </c>
      <c r="B41" s="57" t="s">
        <v>487</v>
      </c>
      <c r="C41" s="58">
        <v>21.639711340000002</v>
      </c>
      <c r="D41" s="56">
        <v>1.4231</v>
      </c>
      <c r="E41" s="56">
        <v>1.1539999999999999</v>
      </c>
      <c r="F41" s="150">
        <v>5.0339999999999998</v>
      </c>
      <c r="G41" s="56">
        <v>14.22</v>
      </c>
      <c r="H41" s="56">
        <f t="shared" si="0"/>
        <v>9.1859999999999999</v>
      </c>
      <c r="I41" s="56">
        <v>7.5350000000000001</v>
      </c>
      <c r="J41" s="56">
        <f t="shared" si="1"/>
        <v>21.755000000000003</v>
      </c>
      <c r="K41">
        <f t="shared" si="2"/>
        <v>62.870999999999995</v>
      </c>
    </row>
    <row r="42" spans="1:11">
      <c r="A42" s="56">
        <v>203666</v>
      </c>
      <c r="B42" s="57" t="s">
        <v>488</v>
      </c>
      <c r="C42" s="58">
        <v>22.23426804</v>
      </c>
      <c r="D42" s="56">
        <v>1.2601</v>
      </c>
      <c r="E42" s="56">
        <v>2.3809999999999998</v>
      </c>
      <c r="F42" s="150">
        <v>5.0119999999999996</v>
      </c>
      <c r="G42" s="56">
        <v>14.18</v>
      </c>
      <c r="H42" s="56">
        <f t="shared" si="0"/>
        <v>9.1679999999999993</v>
      </c>
      <c r="I42" s="56">
        <v>7.6109999999999998</v>
      </c>
      <c r="J42" s="56">
        <f t="shared" si="1"/>
        <v>21.791</v>
      </c>
      <c r="K42">
        <f t="shared" si="2"/>
        <v>61.648000000000003</v>
      </c>
    </row>
    <row r="43" spans="1:11">
      <c r="A43" s="56">
        <v>203665</v>
      </c>
      <c r="B43" s="57" t="s">
        <v>489</v>
      </c>
      <c r="C43" s="58">
        <v>22.43245361</v>
      </c>
      <c r="D43" s="56">
        <v>1.3841000000000001</v>
      </c>
      <c r="E43" s="56">
        <v>2.3359999999999999</v>
      </c>
      <c r="F43" s="150">
        <v>4.7140000000000004</v>
      </c>
      <c r="G43" s="56">
        <v>14.08</v>
      </c>
      <c r="H43" s="56">
        <f t="shared" si="0"/>
        <v>9.3659999999999997</v>
      </c>
      <c r="I43" s="56">
        <v>7.468</v>
      </c>
      <c r="J43" s="56">
        <f t="shared" si="1"/>
        <v>21.548000000000002</v>
      </c>
      <c r="K43">
        <f t="shared" si="2"/>
        <v>62.036000000000001</v>
      </c>
    </row>
    <row r="44" spans="1:11">
      <c r="A44" s="56">
        <v>203668</v>
      </c>
      <c r="B44" s="57" t="s">
        <v>490</v>
      </c>
      <c r="C44" s="58">
        <v>23.819752579999999</v>
      </c>
      <c r="D44" s="56">
        <v>1.1979</v>
      </c>
      <c r="E44" s="56">
        <v>2.7130000000000001</v>
      </c>
      <c r="F44" s="150">
        <v>5.3810000000000002</v>
      </c>
      <c r="G44" s="56">
        <v>14.25</v>
      </c>
      <c r="H44" s="56">
        <f t="shared" si="0"/>
        <v>8.8689999999999998</v>
      </c>
      <c r="I44" s="56">
        <v>7.4939999999999998</v>
      </c>
      <c r="J44" s="56">
        <f t="shared" si="1"/>
        <v>21.744</v>
      </c>
      <c r="K44">
        <f t="shared" si="2"/>
        <v>61.292999999999999</v>
      </c>
    </row>
    <row r="45" spans="1:11">
      <c r="A45" s="56">
        <v>203660</v>
      </c>
      <c r="B45" s="57" t="s">
        <v>491</v>
      </c>
      <c r="C45" s="58">
        <v>24.547153849999997</v>
      </c>
      <c r="D45" s="56">
        <v>1.3534999999999999</v>
      </c>
      <c r="E45" s="56">
        <v>2.3730000000000002</v>
      </c>
      <c r="F45" s="150">
        <v>4.9260000000000002</v>
      </c>
      <c r="G45" s="56">
        <v>13.73</v>
      </c>
      <c r="H45" s="56">
        <f t="shared" si="0"/>
        <v>8.8040000000000003</v>
      </c>
      <c r="I45" s="56">
        <v>7.3239999999999998</v>
      </c>
      <c r="J45" s="56">
        <f t="shared" si="1"/>
        <v>21.054000000000002</v>
      </c>
      <c r="K45">
        <f t="shared" si="2"/>
        <v>62.843000000000004</v>
      </c>
    </row>
    <row r="46" spans="1:11">
      <c r="A46" s="56">
        <v>203670</v>
      </c>
      <c r="B46" s="57" t="s">
        <v>492</v>
      </c>
      <c r="C46" s="58">
        <v>25.216153849999998</v>
      </c>
      <c r="D46" s="56">
        <v>1.6657</v>
      </c>
      <c r="E46" s="56">
        <v>2.2389999999999999</v>
      </c>
      <c r="F46" s="150">
        <v>4.37</v>
      </c>
      <c r="G46" s="56">
        <v>13.74</v>
      </c>
      <c r="H46" s="56">
        <f t="shared" si="0"/>
        <v>9.370000000000001</v>
      </c>
      <c r="I46" s="56">
        <v>7.0540000000000003</v>
      </c>
      <c r="J46" s="56">
        <f t="shared" si="1"/>
        <v>20.794</v>
      </c>
      <c r="K46">
        <f t="shared" si="2"/>
        <v>63.226999999999997</v>
      </c>
    </row>
    <row r="47" spans="1:11">
      <c r="A47" s="56">
        <v>203672</v>
      </c>
      <c r="B47" s="57" t="s">
        <v>493</v>
      </c>
      <c r="C47" s="58">
        <v>25.73076923</v>
      </c>
      <c r="D47" s="56">
        <v>1.04</v>
      </c>
      <c r="E47" s="56">
        <v>4.9660000000000002</v>
      </c>
      <c r="F47" s="150">
        <v>4.923</v>
      </c>
      <c r="G47" s="56">
        <v>13.58</v>
      </c>
      <c r="H47" s="56">
        <f t="shared" si="0"/>
        <v>8.657</v>
      </c>
      <c r="I47" s="56">
        <v>7.4160000000000004</v>
      </c>
      <c r="J47" s="56">
        <f t="shared" si="1"/>
        <v>20.996000000000002</v>
      </c>
      <c r="K47">
        <f t="shared" si="2"/>
        <v>60.457999999999998</v>
      </c>
    </row>
    <row r="48" spans="1:11">
      <c r="A48" s="56">
        <v>203669</v>
      </c>
      <c r="B48" s="57" t="s">
        <v>494</v>
      </c>
      <c r="C48" s="58">
        <v>26.142461539999999</v>
      </c>
      <c r="D48" s="56">
        <v>1.0525</v>
      </c>
      <c r="E48" s="56">
        <v>2.5419999999999998</v>
      </c>
      <c r="F48" s="150">
        <v>4.3540000000000001</v>
      </c>
      <c r="G48" s="56">
        <v>13.32</v>
      </c>
      <c r="H48" s="56">
        <f t="shared" si="0"/>
        <v>8.9660000000000011</v>
      </c>
      <c r="I48" s="56">
        <v>7.4119999999999999</v>
      </c>
      <c r="J48" s="56">
        <f t="shared" si="1"/>
        <v>20.731999999999999</v>
      </c>
      <c r="K48">
        <f t="shared" si="2"/>
        <v>63.405999999999999</v>
      </c>
    </row>
    <row r="49" spans="1:11">
      <c r="A49" s="56">
        <v>203659</v>
      </c>
      <c r="B49" s="57" t="s">
        <v>495</v>
      </c>
      <c r="C49" s="58">
        <v>26.39976923</v>
      </c>
      <c r="D49" s="56">
        <v>1.6597999999999999</v>
      </c>
      <c r="E49" s="56">
        <v>2.4460000000000002</v>
      </c>
      <c r="F49" s="150">
        <v>4.2539999999999996</v>
      </c>
      <c r="G49" s="56">
        <v>13.18</v>
      </c>
      <c r="H49" s="56">
        <f t="shared" si="0"/>
        <v>8.9260000000000002</v>
      </c>
      <c r="I49" s="56">
        <v>7.2889999999999997</v>
      </c>
      <c r="J49" s="56">
        <f t="shared" si="1"/>
        <v>20.469000000000001</v>
      </c>
      <c r="K49">
        <f t="shared" si="2"/>
        <v>63.905000000000001</v>
      </c>
    </row>
    <row r="50" spans="1:11">
      <c r="A50" s="56">
        <v>203645</v>
      </c>
      <c r="B50" s="57" t="s">
        <v>496</v>
      </c>
      <c r="C50" s="58">
        <v>27.171692309999997</v>
      </c>
      <c r="D50" s="56">
        <v>1.1427</v>
      </c>
      <c r="E50" s="56">
        <v>3.9140000000000001</v>
      </c>
      <c r="F50" s="150">
        <v>4.6429999999999998</v>
      </c>
      <c r="G50" s="56">
        <v>13.36</v>
      </c>
      <c r="H50" s="56">
        <f t="shared" si="0"/>
        <v>8.7169999999999987</v>
      </c>
      <c r="I50" s="56">
        <v>6.649</v>
      </c>
      <c r="J50" s="56">
        <f t="shared" si="1"/>
        <v>20.009</v>
      </c>
      <c r="K50">
        <f t="shared" si="2"/>
        <v>62.716999999999999</v>
      </c>
    </row>
    <row r="51" spans="1:11">
      <c r="A51" s="56">
        <v>203644</v>
      </c>
      <c r="B51" s="57" t="s">
        <v>497</v>
      </c>
      <c r="C51" s="58">
        <v>27.326076919999998</v>
      </c>
      <c r="D51" s="56">
        <v>1.2020999999999999</v>
      </c>
      <c r="E51" s="56">
        <v>4.165</v>
      </c>
      <c r="F51" s="150">
        <v>4.6289999999999996</v>
      </c>
      <c r="G51" s="56">
        <v>13.24</v>
      </c>
      <c r="H51" s="56">
        <f t="shared" si="0"/>
        <v>8.6110000000000007</v>
      </c>
      <c r="I51" s="56">
        <v>6.2050000000000001</v>
      </c>
      <c r="J51" s="56">
        <f t="shared" si="1"/>
        <v>19.445</v>
      </c>
      <c r="K51">
        <f t="shared" si="2"/>
        <v>63.15</v>
      </c>
    </row>
    <row r="52" spans="1:11">
      <c r="A52" s="56">
        <v>203646</v>
      </c>
      <c r="B52" s="57" t="s">
        <v>498</v>
      </c>
      <c r="C52" s="58">
        <v>27.686307690000003</v>
      </c>
      <c r="D52" s="56">
        <v>1.1426000000000001</v>
      </c>
      <c r="E52" s="56">
        <v>3.121</v>
      </c>
      <c r="F52" s="150">
        <v>5.1639999999999997</v>
      </c>
      <c r="G52" s="56">
        <v>13.82</v>
      </c>
      <c r="H52" s="56">
        <f t="shared" si="0"/>
        <v>8.6560000000000006</v>
      </c>
      <c r="I52" s="56">
        <v>6.9610000000000003</v>
      </c>
      <c r="J52" s="56">
        <f t="shared" si="1"/>
        <v>20.780999999999999</v>
      </c>
      <c r="K52">
        <f t="shared" si="2"/>
        <v>62.277999999999999</v>
      </c>
    </row>
    <row r="53" spans="1:11">
      <c r="A53" s="56">
        <v>203647</v>
      </c>
      <c r="B53" s="57" t="s">
        <v>499</v>
      </c>
      <c r="C53" s="58">
        <v>28.046538460000001</v>
      </c>
      <c r="D53" s="56">
        <v>1.1526000000000001</v>
      </c>
      <c r="E53" s="56">
        <v>2.9780000000000002</v>
      </c>
      <c r="F53" s="150">
        <v>4.76</v>
      </c>
      <c r="G53" s="56">
        <v>13.53</v>
      </c>
      <c r="H53" s="56">
        <f t="shared" si="0"/>
        <v>8.77</v>
      </c>
      <c r="I53" s="56">
        <v>6.7030000000000003</v>
      </c>
      <c r="J53" s="56">
        <f t="shared" si="1"/>
        <v>20.233000000000001</v>
      </c>
      <c r="K53">
        <f t="shared" si="2"/>
        <v>63.259</v>
      </c>
    </row>
    <row r="54" spans="1:11">
      <c r="A54" s="56">
        <v>203648</v>
      </c>
      <c r="B54" s="57" t="s">
        <v>500</v>
      </c>
      <c r="C54" s="58">
        <v>28.857446810000003</v>
      </c>
      <c r="D54" s="56">
        <v>1.1291</v>
      </c>
      <c r="E54" s="56">
        <v>2.9649999999999999</v>
      </c>
      <c r="F54" s="150">
        <v>4.556</v>
      </c>
      <c r="G54" s="56">
        <v>13.84</v>
      </c>
      <c r="H54" s="56">
        <f t="shared" si="0"/>
        <v>9.2839999999999989</v>
      </c>
      <c r="I54" s="56">
        <v>5.806</v>
      </c>
      <c r="J54" s="56">
        <f t="shared" si="1"/>
        <v>19.646000000000001</v>
      </c>
      <c r="K54">
        <f t="shared" si="2"/>
        <v>63.548999999999999</v>
      </c>
    </row>
    <row r="55" spans="1:11">
      <c r="A55" s="56">
        <v>203643</v>
      </c>
      <c r="B55" s="57" t="s">
        <v>501</v>
      </c>
      <c r="C55" s="58">
        <v>29.166851060000003</v>
      </c>
      <c r="D55" s="56">
        <v>1.4716</v>
      </c>
      <c r="E55" s="56">
        <v>5.1120000000000001</v>
      </c>
      <c r="F55" s="150">
        <v>4.9139999999999997</v>
      </c>
      <c r="G55" s="56">
        <v>13.54</v>
      </c>
      <c r="H55" s="56">
        <f t="shared" si="0"/>
        <v>8.6259999999999994</v>
      </c>
      <c r="I55" s="56">
        <v>6.3860000000000001</v>
      </c>
      <c r="J55" s="56">
        <f t="shared" si="1"/>
        <v>19.925999999999998</v>
      </c>
      <c r="K55">
        <f t="shared" si="2"/>
        <v>61.421999999999997</v>
      </c>
    </row>
    <row r="56" spans="1:11">
      <c r="A56" s="56">
        <v>203638</v>
      </c>
      <c r="B56" s="57" t="s">
        <v>502</v>
      </c>
      <c r="C56" s="58">
        <v>29.47625532</v>
      </c>
      <c r="D56" s="56">
        <v>0.93369999999999997</v>
      </c>
      <c r="E56" s="56">
        <v>2.9159999999999999</v>
      </c>
      <c r="F56" s="150">
        <v>5.4669999999999996</v>
      </c>
      <c r="G56" s="56">
        <v>14.01</v>
      </c>
      <c r="H56" s="56">
        <f t="shared" si="0"/>
        <v>8.5429999999999993</v>
      </c>
      <c r="I56" s="56">
        <v>5.9960000000000004</v>
      </c>
      <c r="J56" s="56">
        <f t="shared" si="1"/>
        <v>20.006</v>
      </c>
      <c r="K56">
        <f t="shared" si="2"/>
        <v>63.067999999999998</v>
      </c>
    </row>
    <row r="57" spans="1:11">
      <c r="A57" s="56">
        <v>203641</v>
      </c>
      <c r="B57" s="57" t="s">
        <v>503</v>
      </c>
      <c r="C57" s="58">
        <v>29.7012766</v>
      </c>
      <c r="D57" s="56">
        <v>1.2867</v>
      </c>
      <c r="E57" s="56">
        <v>2.7120000000000002</v>
      </c>
      <c r="F57" s="150">
        <v>4.9130000000000003</v>
      </c>
      <c r="G57" s="56">
        <v>13.53</v>
      </c>
      <c r="H57" s="56">
        <f t="shared" si="0"/>
        <v>8.6169999999999991</v>
      </c>
      <c r="I57" s="56">
        <v>6.4130000000000003</v>
      </c>
      <c r="J57" s="56">
        <f t="shared" si="1"/>
        <v>19.942999999999998</v>
      </c>
      <c r="K57">
        <f t="shared" si="2"/>
        <v>63.814999999999998</v>
      </c>
    </row>
    <row r="58" spans="1:11">
      <c r="A58" s="56">
        <v>203642</v>
      </c>
      <c r="B58" s="57" t="s">
        <v>504</v>
      </c>
      <c r="C58" s="58">
        <v>29.89817021</v>
      </c>
      <c r="D58" s="56">
        <v>1.1443000000000001</v>
      </c>
      <c r="E58" s="56">
        <v>5.0979999999999999</v>
      </c>
      <c r="F58" s="150">
        <v>4.8689999999999998</v>
      </c>
      <c r="G58" s="56">
        <v>13.61</v>
      </c>
      <c r="H58" s="56">
        <f t="shared" si="0"/>
        <v>8.7409999999999997</v>
      </c>
      <c r="I58" s="56">
        <v>6.758</v>
      </c>
      <c r="J58" s="56">
        <f t="shared" si="1"/>
        <v>20.367999999999999</v>
      </c>
      <c r="K58">
        <f t="shared" si="2"/>
        <v>60.923999999999999</v>
      </c>
    </row>
    <row r="59" spans="1:11">
      <c r="A59" s="56">
        <v>203640</v>
      </c>
      <c r="B59" s="57" t="s">
        <v>505</v>
      </c>
      <c r="C59" s="58">
        <v>30.038808509999999</v>
      </c>
      <c r="D59" s="56">
        <v>1.1302000000000001</v>
      </c>
      <c r="E59" s="56">
        <v>3.073</v>
      </c>
      <c r="F59" s="150">
        <v>4.3979999999999997</v>
      </c>
      <c r="G59" s="56">
        <v>13.39</v>
      </c>
      <c r="H59" s="56">
        <f t="shared" si="0"/>
        <v>8.9920000000000009</v>
      </c>
      <c r="I59" s="56">
        <v>6.5540000000000003</v>
      </c>
      <c r="J59" s="56">
        <f t="shared" si="1"/>
        <v>19.944000000000003</v>
      </c>
      <c r="K59">
        <f t="shared" si="2"/>
        <v>63.592999999999996</v>
      </c>
    </row>
    <row r="60" spans="1:11">
      <c r="A60" s="56">
        <v>203635</v>
      </c>
      <c r="B60" s="57" t="s">
        <v>506</v>
      </c>
      <c r="C60" s="58">
        <v>30.207574470000001</v>
      </c>
      <c r="D60" s="56">
        <v>0.93010000000000004</v>
      </c>
      <c r="E60" s="56">
        <v>2.6989999999999998</v>
      </c>
      <c r="F60" s="150">
        <v>5.085</v>
      </c>
      <c r="G60" s="56">
        <v>13.46</v>
      </c>
      <c r="H60" s="56">
        <f t="shared" si="0"/>
        <v>8.375</v>
      </c>
      <c r="I60" s="56">
        <v>5.891</v>
      </c>
      <c r="J60" s="56">
        <f t="shared" si="1"/>
        <v>19.350999999999999</v>
      </c>
      <c r="K60">
        <f t="shared" si="2"/>
        <v>64.490000000000009</v>
      </c>
    </row>
    <row r="61" spans="1:11">
      <c r="A61" s="56">
        <v>203636</v>
      </c>
      <c r="B61" s="57" t="s">
        <v>507</v>
      </c>
      <c r="C61" s="58">
        <v>30.516978720000001</v>
      </c>
      <c r="D61" s="56">
        <v>0.98080000000000001</v>
      </c>
      <c r="E61" s="56">
        <v>2.7930000000000001</v>
      </c>
      <c r="F61" s="150">
        <v>4.4950000000000001</v>
      </c>
      <c r="G61" s="56">
        <v>13.5</v>
      </c>
      <c r="H61" s="56">
        <f t="shared" si="0"/>
        <v>9.004999999999999</v>
      </c>
      <c r="I61" s="56">
        <v>5.8179999999999996</v>
      </c>
      <c r="J61" s="56">
        <f t="shared" si="1"/>
        <v>19.317999999999998</v>
      </c>
      <c r="K61">
        <f t="shared" si="2"/>
        <v>64.38900000000001</v>
      </c>
    </row>
    <row r="62" spans="1:11">
      <c r="A62" s="56">
        <v>203637</v>
      </c>
      <c r="B62" s="57" t="s">
        <v>508</v>
      </c>
      <c r="C62" s="58">
        <v>30.65761702</v>
      </c>
      <c r="D62" s="56">
        <v>0.78669999999999995</v>
      </c>
      <c r="E62" s="56">
        <v>3.1549999999999998</v>
      </c>
      <c r="F62" s="150">
        <v>4.6689999999999996</v>
      </c>
      <c r="G62" s="56">
        <v>13.19</v>
      </c>
      <c r="H62" s="56">
        <f t="shared" si="0"/>
        <v>8.5210000000000008</v>
      </c>
      <c r="I62" s="56">
        <v>6.1210000000000004</v>
      </c>
      <c r="J62" s="56">
        <f t="shared" si="1"/>
        <v>19.311</v>
      </c>
      <c r="K62">
        <f t="shared" si="2"/>
        <v>64.343999999999994</v>
      </c>
    </row>
    <row r="63" spans="1:11">
      <c r="A63" s="56">
        <v>203639</v>
      </c>
      <c r="B63" s="57" t="s">
        <v>509</v>
      </c>
      <c r="C63" s="58">
        <v>30.766323810000003</v>
      </c>
      <c r="D63" s="56">
        <v>1.1469</v>
      </c>
      <c r="E63" s="56">
        <v>2.867</v>
      </c>
      <c r="F63" s="150">
        <v>4.3490000000000002</v>
      </c>
      <c r="G63" s="56">
        <v>13.38</v>
      </c>
      <c r="H63" s="56">
        <f t="shared" si="0"/>
        <v>9.0310000000000006</v>
      </c>
      <c r="I63" s="56">
        <v>6.444</v>
      </c>
      <c r="J63" s="56">
        <f t="shared" si="1"/>
        <v>19.824000000000002</v>
      </c>
      <c r="K63">
        <f t="shared" si="2"/>
        <v>63.928999999999995</v>
      </c>
    </row>
    <row r="64" spans="1:11">
      <c r="A64" s="56">
        <v>203631</v>
      </c>
      <c r="B64" s="57" t="s">
        <v>510</v>
      </c>
      <c r="C64" s="58">
        <v>30.93659048</v>
      </c>
      <c r="D64" s="56">
        <v>0.755</v>
      </c>
      <c r="E64" s="56">
        <v>3.367</v>
      </c>
      <c r="F64" s="150">
        <v>4.702</v>
      </c>
      <c r="G64" s="56">
        <v>13.35</v>
      </c>
      <c r="H64" s="56">
        <f t="shared" si="0"/>
        <v>8.6479999999999997</v>
      </c>
      <c r="I64" s="56">
        <v>6.9189999999999996</v>
      </c>
      <c r="J64" s="56">
        <f t="shared" si="1"/>
        <v>20.268999999999998</v>
      </c>
      <c r="K64">
        <f t="shared" si="2"/>
        <v>63.014000000000003</v>
      </c>
    </row>
    <row r="65" spans="1:11">
      <c r="A65" s="56">
        <v>203628</v>
      </c>
      <c r="B65" s="57" t="s">
        <v>511</v>
      </c>
      <c r="C65" s="58">
        <v>31.021723810000001</v>
      </c>
      <c r="D65" s="56">
        <v>0.89149999999999996</v>
      </c>
      <c r="E65" s="56">
        <v>2.835</v>
      </c>
      <c r="F65" s="150">
        <v>4.4989999999999997</v>
      </c>
      <c r="G65" s="56">
        <v>13.33</v>
      </c>
      <c r="H65" s="56">
        <f t="shared" si="0"/>
        <v>8.8309999999999995</v>
      </c>
      <c r="I65" s="56">
        <v>5.8109999999999999</v>
      </c>
      <c r="J65" s="56">
        <f t="shared" si="1"/>
        <v>19.140999999999998</v>
      </c>
      <c r="K65">
        <f t="shared" si="2"/>
        <v>64.694000000000003</v>
      </c>
    </row>
    <row r="66" spans="1:11">
      <c r="A66" s="56">
        <v>203632</v>
      </c>
      <c r="B66" s="57" t="s">
        <v>512</v>
      </c>
      <c r="C66" s="58">
        <v>31.119019049999999</v>
      </c>
      <c r="D66" s="56">
        <v>0.80769999999999997</v>
      </c>
      <c r="E66" s="56">
        <v>2.91</v>
      </c>
      <c r="F66" s="150">
        <v>4.742</v>
      </c>
      <c r="G66" s="56">
        <v>13.55</v>
      </c>
      <c r="H66" s="56">
        <f t="shared" si="0"/>
        <v>8.8079999999999998</v>
      </c>
      <c r="I66" s="56">
        <v>5.827</v>
      </c>
      <c r="J66" s="56">
        <f t="shared" si="1"/>
        <v>19.377000000000002</v>
      </c>
      <c r="K66">
        <f t="shared" si="2"/>
        <v>64.162999999999997</v>
      </c>
    </row>
    <row r="67" spans="1:11">
      <c r="A67" s="56">
        <v>203630</v>
      </c>
      <c r="B67" s="57" t="s">
        <v>513</v>
      </c>
      <c r="C67" s="58">
        <v>31.21631429</v>
      </c>
      <c r="D67" s="56">
        <v>0.81240000000000001</v>
      </c>
      <c r="E67" s="56">
        <v>3.5830000000000002</v>
      </c>
      <c r="F67" s="150">
        <v>4.74</v>
      </c>
      <c r="G67" s="56">
        <v>13.69</v>
      </c>
      <c r="H67" s="56">
        <f t="shared" si="0"/>
        <v>8.9499999999999993</v>
      </c>
      <c r="I67" s="56">
        <v>5.5460000000000003</v>
      </c>
      <c r="J67" s="56">
        <f t="shared" si="1"/>
        <v>19.236000000000001</v>
      </c>
      <c r="K67">
        <f t="shared" si="2"/>
        <v>63.491</v>
      </c>
    </row>
    <row r="68" spans="1:11">
      <c r="A68" s="56">
        <v>203633</v>
      </c>
      <c r="B68" s="57" t="s">
        <v>514</v>
      </c>
      <c r="C68" s="58">
        <v>31.32577143</v>
      </c>
      <c r="D68" s="56">
        <v>1.0720000000000001</v>
      </c>
      <c r="E68" s="56">
        <v>2.8820000000000001</v>
      </c>
      <c r="F68" s="150">
        <v>4.8170000000000002</v>
      </c>
      <c r="G68" s="56">
        <v>13.72</v>
      </c>
      <c r="H68" s="56">
        <f t="shared" ref="H68:H77" si="3">G68-F68</f>
        <v>8.9030000000000005</v>
      </c>
      <c r="I68" s="56">
        <v>5.4320000000000004</v>
      </c>
      <c r="J68" s="56">
        <f t="shared" ref="J68:J77" si="4">G68+I68</f>
        <v>19.152000000000001</v>
      </c>
      <c r="K68">
        <f t="shared" ref="K68:K77" si="5">100-SUM(E68:I68)</f>
        <v>64.245999999999995</v>
      </c>
    </row>
    <row r="69" spans="1:11">
      <c r="A69" s="56">
        <v>203629</v>
      </c>
      <c r="B69" s="57" t="s">
        <v>515</v>
      </c>
      <c r="C69" s="58">
        <v>31.556847619999999</v>
      </c>
      <c r="D69" s="56">
        <v>0.93210000000000004</v>
      </c>
      <c r="E69" s="56">
        <v>3.18</v>
      </c>
      <c r="F69" s="150">
        <v>5.1260000000000003</v>
      </c>
      <c r="G69" s="56">
        <v>13.94</v>
      </c>
      <c r="H69" s="56">
        <f t="shared" si="3"/>
        <v>8.8140000000000001</v>
      </c>
      <c r="I69" s="56">
        <v>5.4050000000000002</v>
      </c>
      <c r="J69" s="56">
        <f t="shared" si="4"/>
        <v>19.344999999999999</v>
      </c>
      <c r="K69">
        <f t="shared" si="5"/>
        <v>63.534999999999997</v>
      </c>
    </row>
    <row r="70" spans="1:11">
      <c r="A70" s="56">
        <v>203624</v>
      </c>
      <c r="B70" s="57" t="s">
        <v>516</v>
      </c>
      <c r="C70" s="58">
        <v>32.018999999999998</v>
      </c>
      <c r="D70" s="56">
        <v>0.99150000000000005</v>
      </c>
      <c r="E70" s="56">
        <v>3.2549999999999999</v>
      </c>
      <c r="F70" s="150">
        <v>4.9690000000000003</v>
      </c>
      <c r="G70" s="56">
        <v>13.96</v>
      </c>
      <c r="H70" s="56">
        <f t="shared" si="3"/>
        <v>8.9909999999999997</v>
      </c>
      <c r="I70" s="56">
        <v>6.0940000000000003</v>
      </c>
      <c r="J70" s="56">
        <f t="shared" si="4"/>
        <v>20.054000000000002</v>
      </c>
      <c r="K70">
        <f t="shared" si="5"/>
        <v>62.731000000000002</v>
      </c>
    </row>
    <row r="71" spans="1:11">
      <c r="A71" s="56">
        <v>203634</v>
      </c>
      <c r="B71" s="57" t="s">
        <v>517</v>
      </c>
      <c r="C71" s="58">
        <v>32.308999999999997</v>
      </c>
      <c r="D71" s="56">
        <v>1.0178</v>
      </c>
      <c r="E71" s="56">
        <v>4.9459999999999997</v>
      </c>
      <c r="F71" s="150">
        <v>6.2649999999999997</v>
      </c>
      <c r="G71" s="56">
        <v>14.08</v>
      </c>
      <c r="H71" s="56">
        <f t="shared" si="3"/>
        <v>7.8150000000000004</v>
      </c>
      <c r="I71" s="56">
        <v>6.7110000000000003</v>
      </c>
      <c r="J71" s="56">
        <f t="shared" si="4"/>
        <v>20.791</v>
      </c>
      <c r="K71">
        <f t="shared" si="5"/>
        <v>60.183000000000007</v>
      </c>
    </row>
    <row r="72" spans="1:11">
      <c r="A72" s="56">
        <v>203627</v>
      </c>
      <c r="B72" s="57" t="s">
        <v>518</v>
      </c>
      <c r="C72" s="58">
        <v>32.540999999999997</v>
      </c>
      <c r="D72" s="56">
        <v>0.97</v>
      </c>
      <c r="E72" s="56">
        <v>2.8570000000000002</v>
      </c>
      <c r="F72" s="150">
        <v>4.625</v>
      </c>
      <c r="G72" s="56">
        <v>13.92</v>
      </c>
      <c r="H72" s="56">
        <f t="shared" si="3"/>
        <v>9.2949999999999999</v>
      </c>
      <c r="I72" s="56">
        <v>5.1849999999999996</v>
      </c>
      <c r="J72" s="56">
        <f t="shared" si="4"/>
        <v>19.105</v>
      </c>
      <c r="K72">
        <f t="shared" si="5"/>
        <v>64.117999999999995</v>
      </c>
    </row>
    <row r="73" spans="1:11">
      <c r="A73" s="56">
        <v>203622</v>
      </c>
      <c r="B73" s="57" t="s">
        <v>519</v>
      </c>
      <c r="C73" s="58">
        <v>32.744</v>
      </c>
      <c r="D73" s="56">
        <v>1.1910000000000001</v>
      </c>
      <c r="E73" s="56">
        <v>3.62</v>
      </c>
      <c r="F73" s="150">
        <v>4.9139999999999997</v>
      </c>
      <c r="G73" s="56">
        <v>13.72</v>
      </c>
      <c r="H73" s="56">
        <f t="shared" si="3"/>
        <v>8.8060000000000009</v>
      </c>
      <c r="I73" s="56">
        <v>5.91</v>
      </c>
      <c r="J73" s="56">
        <f t="shared" si="4"/>
        <v>19.630000000000003</v>
      </c>
      <c r="K73">
        <f t="shared" si="5"/>
        <v>63.03</v>
      </c>
    </row>
    <row r="74" spans="1:11">
      <c r="A74" s="56">
        <v>203625</v>
      </c>
      <c r="B74" s="57" t="s">
        <v>520</v>
      </c>
      <c r="C74" s="58">
        <v>32.947000000000003</v>
      </c>
      <c r="D74" s="56">
        <v>0.87629999999999997</v>
      </c>
      <c r="E74" s="56">
        <v>2.9870000000000001</v>
      </c>
      <c r="F74" s="150">
        <v>4.6900000000000004</v>
      </c>
      <c r="G74" s="56">
        <v>13.56</v>
      </c>
      <c r="H74" s="56">
        <f t="shared" si="3"/>
        <v>8.870000000000001</v>
      </c>
      <c r="I74" s="56">
        <v>5.22</v>
      </c>
      <c r="J74" s="56">
        <f t="shared" si="4"/>
        <v>18.78</v>
      </c>
      <c r="K74">
        <f t="shared" si="5"/>
        <v>64.673000000000002</v>
      </c>
    </row>
    <row r="75" spans="1:11">
      <c r="A75" s="56">
        <v>203626</v>
      </c>
      <c r="B75" s="57" t="s">
        <v>521</v>
      </c>
      <c r="C75" s="58">
        <v>33.265999999999998</v>
      </c>
      <c r="D75" s="56">
        <v>1.0011000000000001</v>
      </c>
      <c r="E75" s="56">
        <v>2.782</v>
      </c>
      <c r="F75" s="150">
        <v>4.492</v>
      </c>
      <c r="G75" s="56">
        <v>13.45</v>
      </c>
      <c r="H75" s="56">
        <f t="shared" si="3"/>
        <v>8.9579999999999984</v>
      </c>
      <c r="I75" s="56">
        <v>5.6829999999999998</v>
      </c>
      <c r="J75" s="56">
        <f t="shared" si="4"/>
        <v>19.132999999999999</v>
      </c>
      <c r="K75">
        <f t="shared" si="5"/>
        <v>64.635000000000005</v>
      </c>
    </row>
    <row r="76" spans="1:11">
      <c r="A76" s="56">
        <v>203623</v>
      </c>
      <c r="B76" s="57" t="s">
        <v>522</v>
      </c>
      <c r="C76" s="58">
        <v>33.701000000000001</v>
      </c>
      <c r="D76" s="56">
        <v>0.87450000000000006</v>
      </c>
      <c r="E76" s="56">
        <v>3.7709999999999999</v>
      </c>
      <c r="F76" s="150">
        <v>4.665</v>
      </c>
      <c r="G76" s="56">
        <v>13.72</v>
      </c>
      <c r="H76" s="56">
        <f t="shared" si="3"/>
        <v>9.0549999999999997</v>
      </c>
      <c r="I76" s="56">
        <v>5.7009999999999996</v>
      </c>
      <c r="J76" s="56">
        <f t="shared" si="4"/>
        <v>19.420999999999999</v>
      </c>
      <c r="K76">
        <f t="shared" si="5"/>
        <v>63.088000000000001</v>
      </c>
    </row>
    <row r="77" spans="1:11">
      <c r="A77" s="56">
        <v>203621</v>
      </c>
      <c r="B77" s="57" t="s">
        <v>523</v>
      </c>
      <c r="C77" s="58">
        <v>33.991</v>
      </c>
      <c r="D77" s="56">
        <v>0.95509999999999995</v>
      </c>
      <c r="E77" s="56">
        <v>3.2450000000000001</v>
      </c>
      <c r="F77" s="150">
        <v>4.4909999999999997</v>
      </c>
      <c r="G77" s="56">
        <v>13.71</v>
      </c>
      <c r="H77" s="56">
        <f t="shared" si="3"/>
        <v>9.2190000000000012</v>
      </c>
      <c r="I77" s="56">
        <v>5.29</v>
      </c>
      <c r="J77" s="56">
        <f t="shared" si="4"/>
        <v>19</v>
      </c>
      <c r="K77">
        <f t="shared" si="5"/>
        <v>64.044999999999987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106"/>
  <sheetViews>
    <sheetView workbookViewId="0">
      <selection activeCell="K26" sqref="K26"/>
    </sheetView>
  </sheetViews>
  <sheetFormatPr defaultColWidth="11.42578125" defaultRowHeight="12.75"/>
  <cols>
    <col min="6" max="6" width="6.5703125" customWidth="1"/>
    <col min="7" max="7" width="5.5703125" customWidth="1"/>
    <col min="8" max="8" width="7.42578125" style="5" customWidth="1"/>
    <col min="15" max="15" width="10.7109375" style="5"/>
    <col min="18" max="18" width="10.7109375" style="5"/>
  </cols>
  <sheetData>
    <row r="1" spans="1:19">
      <c r="A1" t="s">
        <v>131</v>
      </c>
      <c r="F1" t="s">
        <v>0</v>
      </c>
    </row>
    <row r="2" spans="1:19">
      <c r="A2" t="s">
        <v>132</v>
      </c>
    </row>
    <row r="3" spans="1:19">
      <c r="F3" s="1" t="s">
        <v>5</v>
      </c>
      <c r="G3" t="s">
        <v>6</v>
      </c>
    </row>
    <row r="4" spans="1:19">
      <c r="A4" t="s">
        <v>133</v>
      </c>
      <c r="B4" t="s">
        <v>135</v>
      </c>
      <c r="C4" t="s">
        <v>134</v>
      </c>
      <c r="F4" s="1"/>
      <c r="H4" s="5" t="s">
        <v>136</v>
      </c>
      <c r="L4" t="s">
        <v>135</v>
      </c>
      <c r="M4" t="s">
        <v>139</v>
      </c>
      <c r="O4" s="5" t="s">
        <v>140</v>
      </c>
      <c r="R4" s="5" t="s">
        <v>143</v>
      </c>
    </row>
    <row r="5" spans="1:19">
      <c r="A5">
        <v>7.0000000000000007E-2</v>
      </c>
      <c r="B5">
        <v>7.0000000000000009</v>
      </c>
      <c r="C5">
        <v>8559</v>
      </c>
      <c r="F5" s="1"/>
      <c r="G5" t="s">
        <v>6</v>
      </c>
      <c r="H5" s="47" t="s">
        <v>137</v>
      </c>
      <c r="I5" t="s">
        <v>138</v>
      </c>
      <c r="L5">
        <v>7.0000000000000009</v>
      </c>
      <c r="M5">
        <v>8559</v>
      </c>
      <c r="O5" s="5" t="s">
        <v>141</v>
      </c>
      <c r="P5" t="s">
        <v>138</v>
      </c>
      <c r="R5" s="5" t="s">
        <v>141</v>
      </c>
      <c r="S5" t="s">
        <v>144</v>
      </c>
    </row>
    <row r="6" spans="1:19">
      <c r="A6">
        <v>1.78</v>
      </c>
      <c r="B6">
        <v>178</v>
      </c>
      <c r="C6">
        <v>11199</v>
      </c>
      <c r="F6" s="1" t="s">
        <v>56</v>
      </c>
      <c r="G6">
        <v>1</v>
      </c>
      <c r="H6" s="5">
        <v>8466.3684209999992</v>
      </c>
      <c r="I6">
        <v>8.74</v>
      </c>
      <c r="L6">
        <v>178</v>
      </c>
      <c r="M6">
        <v>11199</v>
      </c>
      <c r="O6" s="5">
        <v>8466.3684209999992</v>
      </c>
      <c r="P6">
        <v>8.74</v>
      </c>
      <c r="R6" s="5">
        <v>8450.9298249999993</v>
      </c>
      <c r="S6">
        <v>0</v>
      </c>
    </row>
    <row r="7" spans="1:19">
      <c r="A7">
        <v>2.2949999999999999</v>
      </c>
      <c r="B7">
        <v>229.5</v>
      </c>
      <c r="C7">
        <v>12121</v>
      </c>
      <c r="F7" s="1" t="s">
        <v>57</v>
      </c>
      <c r="G7">
        <v>19</v>
      </c>
      <c r="H7" s="5">
        <v>8744.2631579999997</v>
      </c>
      <c r="I7">
        <v>9.09</v>
      </c>
      <c r="L7">
        <v>229.5</v>
      </c>
      <c r="M7">
        <v>12121</v>
      </c>
      <c r="O7" s="5">
        <v>8744.2631579999997</v>
      </c>
      <c r="P7">
        <v>9.09</v>
      </c>
      <c r="R7" s="5">
        <v>8466.3684209999992</v>
      </c>
      <c r="S7">
        <v>1</v>
      </c>
    </row>
    <row r="8" spans="1:19">
      <c r="A8">
        <v>3.26</v>
      </c>
      <c r="B8">
        <v>326</v>
      </c>
      <c r="C8">
        <v>12647</v>
      </c>
      <c r="F8" s="1" t="s">
        <v>58</v>
      </c>
      <c r="G8">
        <v>41</v>
      </c>
      <c r="H8" s="5">
        <v>9083.9122810000008</v>
      </c>
      <c r="I8">
        <v>21.33</v>
      </c>
      <c r="L8">
        <v>326</v>
      </c>
      <c r="M8">
        <v>12647</v>
      </c>
      <c r="O8" s="5">
        <v>9083.9122810000008</v>
      </c>
      <c r="P8">
        <v>21.33</v>
      </c>
      <c r="R8" s="5">
        <v>8481.8070179999995</v>
      </c>
      <c r="S8">
        <v>2</v>
      </c>
    </row>
    <row r="9" spans="1:19">
      <c r="A9">
        <v>3.9950000000000001</v>
      </c>
      <c r="B9">
        <v>399.5</v>
      </c>
      <c r="C9">
        <v>12979</v>
      </c>
      <c r="F9" s="1" t="s">
        <v>59</v>
      </c>
      <c r="G9">
        <v>51</v>
      </c>
      <c r="H9" s="5">
        <v>9238.2982460000003</v>
      </c>
      <c r="I9">
        <v>17.95</v>
      </c>
      <c r="L9">
        <v>399.5</v>
      </c>
      <c r="M9">
        <v>12979</v>
      </c>
      <c r="O9" s="5">
        <v>9238.2982460000003</v>
      </c>
      <c r="P9">
        <v>17.95</v>
      </c>
      <c r="R9" s="5">
        <v>8497.2456139999995</v>
      </c>
      <c r="S9">
        <v>3</v>
      </c>
    </row>
    <row r="10" spans="1:19">
      <c r="A10">
        <v>4.4950000000000001</v>
      </c>
      <c r="B10">
        <v>449.5</v>
      </c>
      <c r="C10">
        <v>13053</v>
      </c>
      <c r="F10" s="1" t="s">
        <v>60</v>
      </c>
      <c r="G10">
        <v>66</v>
      </c>
      <c r="H10" s="5">
        <v>9469.8771930000003</v>
      </c>
      <c r="I10">
        <v>25.57</v>
      </c>
      <c r="L10">
        <v>449.5</v>
      </c>
      <c r="M10">
        <v>13053</v>
      </c>
      <c r="O10" s="5">
        <v>9469.8771930000003</v>
      </c>
      <c r="P10">
        <v>25.57</v>
      </c>
      <c r="R10" s="5">
        <v>8512.6842109999998</v>
      </c>
      <c r="S10">
        <v>4</v>
      </c>
    </row>
    <row r="11" spans="1:19">
      <c r="A11">
        <v>4.79</v>
      </c>
      <c r="B11">
        <v>479</v>
      </c>
      <c r="C11">
        <v>13116</v>
      </c>
      <c r="F11" s="1" t="s">
        <v>61</v>
      </c>
      <c r="G11">
        <v>86</v>
      </c>
      <c r="H11" s="5">
        <v>9778.6491229999992</v>
      </c>
      <c r="I11">
        <v>19.52</v>
      </c>
      <c r="L11">
        <v>479</v>
      </c>
      <c r="M11">
        <v>13116</v>
      </c>
      <c r="O11" s="5">
        <v>9778.6491229999992</v>
      </c>
      <c r="P11">
        <v>19.52</v>
      </c>
      <c r="R11" s="5">
        <v>8528.1228069999997</v>
      </c>
      <c r="S11">
        <v>5</v>
      </c>
    </row>
    <row r="12" spans="1:19">
      <c r="A12">
        <v>5.05</v>
      </c>
      <c r="B12">
        <v>505</v>
      </c>
      <c r="C12">
        <v>13597</v>
      </c>
      <c r="F12" s="1" t="s">
        <v>62</v>
      </c>
      <c r="G12">
        <v>101</v>
      </c>
      <c r="H12" s="5">
        <v>10010.228069999999</v>
      </c>
      <c r="I12">
        <v>21.26</v>
      </c>
      <c r="L12">
        <v>505</v>
      </c>
      <c r="M12">
        <v>13597</v>
      </c>
      <c r="O12" s="5">
        <v>10010.228069999999</v>
      </c>
      <c r="P12">
        <v>21.26</v>
      </c>
      <c r="R12" s="5">
        <v>8543.561404</v>
      </c>
      <c r="S12">
        <v>6</v>
      </c>
    </row>
    <row r="13" spans="1:19">
      <c r="A13">
        <v>5.6</v>
      </c>
      <c r="B13">
        <v>560</v>
      </c>
      <c r="C13">
        <v>15546</v>
      </c>
      <c r="F13" s="19" t="s">
        <v>63</v>
      </c>
      <c r="G13" s="20">
        <v>116</v>
      </c>
      <c r="H13" s="21">
        <v>10241.80702</v>
      </c>
      <c r="I13" s="20">
        <v>18.88</v>
      </c>
      <c r="L13">
        <v>560</v>
      </c>
      <c r="M13">
        <v>15546</v>
      </c>
      <c r="O13" s="5">
        <v>10241.80702</v>
      </c>
      <c r="P13">
        <v>18.88</v>
      </c>
      <c r="R13" s="5">
        <v>8559</v>
      </c>
      <c r="S13">
        <v>7</v>
      </c>
    </row>
    <row r="14" spans="1:19">
      <c r="A14">
        <v>5.7</v>
      </c>
      <c r="B14">
        <v>570</v>
      </c>
      <c r="C14">
        <v>15944</v>
      </c>
      <c r="F14" s="19" t="s">
        <v>64</v>
      </c>
      <c r="G14" s="20">
        <v>126</v>
      </c>
      <c r="H14" s="21">
        <v>10396.19298</v>
      </c>
      <c r="I14" s="20">
        <v>21.16</v>
      </c>
      <c r="L14">
        <v>570</v>
      </c>
      <c r="M14">
        <v>15944</v>
      </c>
      <c r="O14" s="5">
        <v>10396.19298</v>
      </c>
      <c r="P14">
        <v>21.16</v>
      </c>
      <c r="R14" s="5">
        <v>8574.438596</v>
      </c>
      <c r="S14">
        <v>8</v>
      </c>
    </row>
    <row r="15" spans="1:19">
      <c r="A15">
        <v>5.79</v>
      </c>
      <c r="B15">
        <v>579</v>
      </c>
      <c r="C15">
        <v>16481</v>
      </c>
      <c r="F15" s="19" t="s">
        <v>65</v>
      </c>
      <c r="G15" s="20">
        <v>141</v>
      </c>
      <c r="H15" s="21">
        <v>10627.771930000001</v>
      </c>
      <c r="I15" s="20">
        <v>23.45</v>
      </c>
      <c r="L15">
        <v>579</v>
      </c>
      <c r="M15">
        <v>16481</v>
      </c>
      <c r="O15" s="5">
        <v>10627.771930000001</v>
      </c>
      <c r="P15">
        <v>23.45</v>
      </c>
      <c r="R15" s="5">
        <v>8589.8771930000003</v>
      </c>
      <c r="S15">
        <v>9</v>
      </c>
    </row>
    <row r="16" spans="1:19">
      <c r="A16">
        <v>6.09</v>
      </c>
      <c r="B16" s="17">
        <v>609</v>
      </c>
      <c r="C16" s="17">
        <v>17200</v>
      </c>
      <c r="F16" s="19" t="s">
        <v>66</v>
      </c>
      <c r="G16" s="20">
        <v>151</v>
      </c>
      <c r="H16" s="21">
        <v>10782.15789</v>
      </c>
      <c r="I16" s="20">
        <v>23.83</v>
      </c>
      <c r="L16" s="17">
        <v>609</v>
      </c>
      <c r="M16" s="17">
        <v>17562</v>
      </c>
      <c r="N16" s="18" t="s">
        <v>122</v>
      </c>
      <c r="O16" s="5">
        <v>10782.15789</v>
      </c>
      <c r="P16">
        <v>23.83</v>
      </c>
      <c r="R16" s="5">
        <v>8605.3157890000002</v>
      </c>
      <c r="S16">
        <v>10</v>
      </c>
    </row>
    <row r="17" spans="1:19">
      <c r="A17">
        <v>6.15</v>
      </c>
      <c r="B17" s="17">
        <v>615</v>
      </c>
      <c r="C17" s="17">
        <v>17200</v>
      </c>
      <c r="F17" s="19" t="s">
        <v>67</v>
      </c>
      <c r="G17" s="20">
        <v>166</v>
      </c>
      <c r="H17" s="21">
        <v>11013.73684</v>
      </c>
      <c r="I17" s="20">
        <v>27.76</v>
      </c>
      <c r="L17">
        <v>706</v>
      </c>
      <c r="M17">
        <v>23614</v>
      </c>
      <c r="O17" s="5">
        <v>11013.73684</v>
      </c>
      <c r="P17">
        <v>27.76</v>
      </c>
      <c r="R17" s="5">
        <v>8620.7543860000005</v>
      </c>
      <c r="S17">
        <v>11</v>
      </c>
    </row>
    <row r="18" spans="1:19">
      <c r="A18">
        <v>7.06</v>
      </c>
      <c r="B18">
        <v>706</v>
      </c>
      <c r="C18">
        <v>23614</v>
      </c>
      <c r="F18" s="19" t="s">
        <v>68</v>
      </c>
      <c r="G18" s="20">
        <v>176</v>
      </c>
      <c r="H18" s="21">
        <v>11168.122810000001</v>
      </c>
      <c r="I18" s="20">
        <v>24.55</v>
      </c>
      <c r="L18">
        <v>784</v>
      </c>
      <c r="M18">
        <v>27769</v>
      </c>
      <c r="O18" s="5">
        <v>11168.122810000001</v>
      </c>
      <c r="P18">
        <v>24.55</v>
      </c>
      <c r="R18" s="5">
        <v>8636.1929820000005</v>
      </c>
      <c r="S18">
        <v>12</v>
      </c>
    </row>
    <row r="19" spans="1:19">
      <c r="A19">
        <v>7.84</v>
      </c>
      <c r="B19">
        <v>784</v>
      </c>
      <c r="C19">
        <v>27769</v>
      </c>
      <c r="F19" s="19" t="s">
        <v>69</v>
      </c>
      <c r="G19" s="20">
        <v>191</v>
      </c>
      <c r="H19" s="21">
        <v>11431.737859999999</v>
      </c>
      <c r="I19" s="20">
        <v>24.94</v>
      </c>
      <c r="L19">
        <v>877.99999999999989</v>
      </c>
      <c r="M19">
        <v>30373</v>
      </c>
      <c r="O19" s="5">
        <v>11431.737859999999</v>
      </c>
      <c r="P19">
        <v>24.94</v>
      </c>
      <c r="R19" s="5">
        <v>8651.6315790000008</v>
      </c>
      <c r="S19">
        <v>13</v>
      </c>
    </row>
    <row r="20" spans="1:19">
      <c r="A20">
        <v>8.7799999999999994</v>
      </c>
      <c r="B20">
        <v>877.99999999999989</v>
      </c>
      <c r="C20">
        <v>30373</v>
      </c>
      <c r="F20" s="1" t="s">
        <v>70</v>
      </c>
      <c r="G20">
        <v>211</v>
      </c>
      <c r="H20" s="5">
        <v>11789.796120000001</v>
      </c>
      <c r="I20">
        <v>17.420000000000002</v>
      </c>
      <c r="L20">
        <v>983</v>
      </c>
      <c r="M20">
        <v>31632</v>
      </c>
      <c r="O20" s="5">
        <v>11789.796120000001</v>
      </c>
      <c r="P20">
        <v>17.420000000000002</v>
      </c>
      <c r="R20" s="5">
        <v>8667.0701750000007</v>
      </c>
      <c r="S20">
        <v>14</v>
      </c>
    </row>
    <row r="21" spans="1:19">
      <c r="A21">
        <v>9.83</v>
      </c>
      <c r="B21">
        <v>983</v>
      </c>
      <c r="C21">
        <v>31632</v>
      </c>
      <c r="F21" t="s">
        <v>71</v>
      </c>
      <c r="G21">
        <v>226</v>
      </c>
      <c r="H21" s="5">
        <v>12058.339809999999</v>
      </c>
      <c r="I21">
        <v>27.84</v>
      </c>
      <c r="L21">
        <v>1038</v>
      </c>
      <c r="M21">
        <v>33189</v>
      </c>
      <c r="O21" s="5">
        <v>12058.339809999999</v>
      </c>
      <c r="P21">
        <v>27.84</v>
      </c>
      <c r="R21" s="5">
        <v>8682.5087719999992</v>
      </c>
      <c r="S21">
        <v>15</v>
      </c>
    </row>
    <row r="22" spans="1:19">
      <c r="A22">
        <v>10.38</v>
      </c>
      <c r="B22">
        <v>1038</v>
      </c>
      <c r="C22">
        <v>33189</v>
      </c>
      <c r="F22" t="s">
        <v>72</v>
      </c>
      <c r="G22">
        <v>246</v>
      </c>
      <c r="H22" s="5">
        <v>12210.937819999999</v>
      </c>
      <c r="I22">
        <v>16.37</v>
      </c>
      <c r="O22" s="5">
        <v>12210.937819999999</v>
      </c>
      <c r="P22">
        <v>16.37</v>
      </c>
      <c r="R22" s="5">
        <v>8697.9473679999992</v>
      </c>
      <c r="S22">
        <v>16</v>
      </c>
    </row>
    <row r="23" spans="1:19">
      <c r="F23" t="s">
        <v>73</v>
      </c>
      <c r="G23">
        <v>261</v>
      </c>
      <c r="H23" s="5">
        <v>12292.699479999999</v>
      </c>
      <c r="I23">
        <v>18.97</v>
      </c>
      <c r="O23" s="5">
        <v>12292.699479999999</v>
      </c>
      <c r="P23">
        <v>18.97</v>
      </c>
      <c r="R23" s="5">
        <v>8713.3859649999995</v>
      </c>
      <c r="S23">
        <v>17</v>
      </c>
    </row>
    <row r="24" spans="1:19">
      <c r="F24" t="s">
        <v>74</v>
      </c>
      <c r="G24">
        <v>281</v>
      </c>
      <c r="H24" s="5">
        <v>12401.715029999999</v>
      </c>
      <c r="I24">
        <v>16.14</v>
      </c>
      <c r="O24" s="5">
        <v>12401.715029999999</v>
      </c>
      <c r="P24">
        <v>16.14</v>
      </c>
      <c r="R24" s="5">
        <v>8728.8245609999994</v>
      </c>
      <c r="S24">
        <v>18</v>
      </c>
    </row>
    <row r="25" spans="1:19">
      <c r="F25" s="2" t="s">
        <v>75</v>
      </c>
      <c r="G25">
        <v>296</v>
      </c>
      <c r="H25" s="5">
        <v>12483.47668</v>
      </c>
      <c r="I25">
        <v>11.34</v>
      </c>
      <c r="O25" s="5">
        <v>12483.47668</v>
      </c>
      <c r="P25">
        <v>11.34</v>
      </c>
      <c r="R25" s="5">
        <v>8744.2631579999997</v>
      </c>
      <c r="S25">
        <v>19</v>
      </c>
    </row>
    <row r="26" spans="1:19">
      <c r="F26" s="2" t="s">
        <v>76</v>
      </c>
      <c r="G26">
        <v>316</v>
      </c>
      <c r="H26" s="5">
        <v>12592.49223</v>
      </c>
      <c r="I26">
        <v>9.98</v>
      </c>
      <c r="O26" s="5">
        <v>12592.49223</v>
      </c>
      <c r="P26">
        <v>9.98</v>
      </c>
      <c r="R26" s="5">
        <v>8759.7017539999997</v>
      </c>
      <c r="S26">
        <v>20</v>
      </c>
    </row>
    <row r="27" spans="1:19">
      <c r="F27" s="2" t="s">
        <v>77</v>
      </c>
      <c r="G27">
        <v>336</v>
      </c>
      <c r="H27" s="5">
        <v>12692.17007</v>
      </c>
      <c r="I27">
        <v>9.73</v>
      </c>
      <c r="O27" s="5">
        <v>12692.17007</v>
      </c>
      <c r="P27">
        <v>9.73</v>
      </c>
      <c r="R27" s="5">
        <v>8775.140351</v>
      </c>
      <c r="S27">
        <v>21</v>
      </c>
    </row>
    <row r="28" spans="1:19">
      <c r="F28" s="2" t="s">
        <v>78</v>
      </c>
      <c r="G28">
        <v>346</v>
      </c>
      <c r="H28" s="5">
        <v>12737.34014</v>
      </c>
      <c r="I28">
        <v>8.9499999999999993</v>
      </c>
      <c r="O28" s="5">
        <v>12737.34014</v>
      </c>
      <c r="P28">
        <v>8.9499999999999993</v>
      </c>
      <c r="R28" s="5">
        <v>8790.578947</v>
      </c>
      <c r="S28">
        <v>22</v>
      </c>
    </row>
    <row r="29" spans="1:19">
      <c r="F29" s="2" t="s">
        <v>79</v>
      </c>
      <c r="G29">
        <v>362</v>
      </c>
      <c r="H29" s="5">
        <v>12809.61224</v>
      </c>
      <c r="I29">
        <v>12.07</v>
      </c>
      <c r="O29" s="5">
        <v>12809.61224</v>
      </c>
      <c r="P29">
        <v>12.07</v>
      </c>
      <c r="R29" s="5">
        <v>8806.0175440000003</v>
      </c>
      <c r="S29">
        <v>23</v>
      </c>
    </row>
    <row r="30" spans="1:19">
      <c r="F30" s="2" t="s">
        <v>80</v>
      </c>
      <c r="G30">
        <v>382</v>
      </c>
      <c r="H30" s="5">
        <v>12899.952380000001</v>
      </c>
      <c r="I30">
        <v>9.77</v>
      </c>
      <c r="O30" s="5">
        <v>12899.952380000001</v>
      </c>
      <c r="P30">
        <v>9.77</v>
      </c>
      <c r="R30" s="5">
        <v>8821.4561400000002</v>
      </c>
      <c r="S30">
        <v>24</v>
      </c>
    </row>
    <row r="31" spans="1:19">
      <c r="F31" s="2" t="s">
        <v>81</v>
      </c>
      <c r="G31">
        <v>397</v>
      </c>
      <c r="H31" s="5">
        <v>12967.707479999999</v>
      </c>
      <c r="I31">
        <v>12.5</v>
      </c>
      <c r="O31" s="5">
        <v>12967.707479999999</v>
      </c>
      <c r="P31">
        <v>12.5</v>
      </c>
      <c r="R31" s="5">
        <v>8836.8947370000005</v>
      </c>
      <c r="S31">
        <v>25</v>
      </c>
    </row>
    <row r="32" spans="1:19">
      <c r="F32" t="s">
        <v>82</v>
      </c>
      <c r="G32">
        <v>407</v>
      </c>
      <c r="H32" s="5">
        <v>12990.1</v>
      </c>
      <c r="I32">
        <v>10.29</v>
      </c>
      <c r="O32" s="5">
        <v>12990.1</v>
      </c>
      <c r="P32">
        <v>10.29</v>
      </c>
      <c r="R32" s="5">
        <v>8852.3333330000005</v>
      </c>
      <c r="S32">
        <v>26</v>
      </c>
    </row>
    <row r="33" spans="6:19">
      <c r="F33" t="s">
        <v>83</v>
      </c>
      <c r="G33">
        <v>422</v>
      </c>
      <c r="H33" s="5">
        <v>13012.3</v>
      </c>
      <c r="I33">
        <v>7.67</v>
      </c>
      <c r="O33" s="5">
        <v>13012.3</v>
      </c>
      <c r="P33">
        <v>7.67</v>
      </c>
      <c r="R33" s="5">
        <v>8867.7719300000008</v>
      </c>
      <c r="S33">
        <v>27</v>
      </c>
    </row>
    <row r="34" spans="6:19">
      <c r="F34" t="s">
        <v>84</v>
      </c>
      <c r="G34">
        <v>442</v>
      </c>
      <c r="H34" s="5">
        <v>13041.9</v>
      </c>
      <c r="I34">
        <v>6.26</v>
      </c>
      <c r="O34" s="5">
        <v>13041.9</v>
      </c>
      <c r="P34">
        <v>6.26</v>
      </c>
      <c r="R34" s="5">
        <v>8883.2105260000008</v>
      </c>
      <c r="S34">
        <v>28</v>
      </c>
    </row>
    <row r="35" spans="6:19">
      <c r="F35" t="s">
        <v>85</v>
      </c>
      <c r="G35">
        <v>457</v>
      </c>
      <c r="H35" s="5">
        <v>13069.016949999999</v>
      </c>
      <c r="I35">
        <v>4.7699999999999996</v>
      </c>
      <c r="O35" s="5">
        <v>13069.016949999999</v>
      </c>
      <c r="P35">
        <v>4.7699999999999996</v>
      </c>
      <c r="R35" s="5">
        <v>8898.6491229999992</v>
      </c>
      <c r="S35">
        <v>29</v>
      </c>
    </row>
    <row r="36" spans="6:19">
      <c r="F36" t="s">
        <v>86</v>
      </c>
      <c r="G36">
        <v>467</v>
      </c>
      <c r="H36" s="5">
        <v>13090.372880000001</v>
      </c>
      <c r="I36">
        <v>6.37</v>
      </c>
      <c r="O36" s="5">
        <v>13090.372880000001</v>
      </c>
      <c r="P36">
        <v>6.37</v>
      </c>
      <c r="R36" s="5">
        <v>8914.0877189999992</v>
      </c>
      <c r="S36">
        <v>30</v>
      </c>
    </row>
    <row r="37" spans="6:19">
      <c r="F37" t="s">
        <v>87</v>
      </c>
      <c r="G37">
        <v>482</v>
      </c>
      <c r="H37" s="5">
        <v>13171.5</v>
      </c>
      <c r="I37">
        <v>6.81</v>
      </c>
      <c r="O37" s="5">
        <v>13171.5</v>
      </c>
      <c r="P37">
        <v>6.81</v>
      </c>
      <c r="R37" s="5">
        <v>8929.5263159999995</v>
      </c>
      <c r="S37">
        <v>31</v>
      </c>
    </row>
    <row r="38" spans="6:19">
      <c r="F38" t="s">
        <v>88</v>
      </c>
      <c r="G38">
        <v>502</v>
      </c>
      <c r="H38" s="5">
        <v>13541.5</v>
      </c>
      <c r="I38">
        <v>7.66</v>
      </c>
      <c r="O38" s="5">
        <v>13541.5</v>
      </c>
      <c r="P38">
        <v>7.66</v>
      </c>
      <c r="R38" s="5">
        <v>8944.9649119999995</v>
      </c>
      <c r="S38">
        <v>32</v>
      </c>
    </row>
    <row r="39" spans="6:19">
      <c r="F39" t="s">
        <v>89</v>
      </c>
      <c r="G39">
        <v>542</v>
      </c>
      <c r="H39" s="5">
        <v>14908.14545</v>
      </c>
      <c r="I39">
        <v>5.26</v>
      </c>
      <c r="O39" s="5">
        <v>14908.14545</v>
      </c>
      <c r="P39">
        <v>5.26</v>
      </c>
      <c r="R39" s="5">
        <v>8960.4035089999998</v>
      </c>
      <c r="S39">
        <v>33</v>
      </c>
    </row>
    <row r="40" spans="6:19">
      <c r="F40" t="s">
        <v>90</v>
      </c>
      <c r="G40">
        <v>560</v>
      </c>
      <c r="H40" s="5">
        <v>15546</v>
      </c>
      <c r="I40">
        <v>8.25</v>
      </c>
      <c r="O40" s="5">
        <v>15546</v>
      </c>
      <c r="P40">
        <v>8.25</v>
      </c>
      <c r="R40" s="5">
        <v>8975.8421049999997</v>
      </c>
      <c r="S40">
        <v>34</v>
      </c>
    </row>
    <row r="41" spans="6:19">
      <c r="F41" t="s">
        <v>91</v>
      </c>
      <c r="G41">
        <v>577</v>
      </c>
      <c r="H41" s="5">
        <v>16361.666670000001</v>
      </c>
      <c r="I41">
        <v>8.4700000000000006</v>
      </c>
      <c r="O41" s="5">
        <v>16361.666670000001</v>
      </c>
      <c r="P41">
        <v>8.4700000000000006</v>
      </c>
      <c r="R41" s="5">
        <v>8991.280702</v>
      </c>
      <c r="S41">
        <v>35</v>
      </c>
    </row>
    <row r="42" spans="6:19">
      <c r="F42" t="s">
        <v>92</v>
      </c>
      <c r="G42">
        <v>592</v>
      </c>
      <c r="H42" s="5">
        <v>16792.56667</v>
      </c>
      <c r="I42">
        <v>10.76</v>
      </c>
      <c r="O42" s="5">
        <v>16949.43333</v>
      </c>
      <c r="P42">
        <v>10.76</v>
      </c>
      <c r="R42" s="5">
        <v>9006.719298</v>
      </c>
      <c r="S42">
        <v>36</v>
      </c>
    </row>
    <row r="43" spans="6:19">
      <c r="F43" t="s">
        <v>93</v>
      </c>
      <c r="G43">
        <v>607</v>
      </c>
      <c r="H43" s="5">
        <v>17152.06667</v>
      </c>
      <c r="I43">
        <v>8.0399999999999991</v>
      </c>
      <c r="O43" s="5">
        <v>17489.93333</v>
      </c>
      <c r="P43">
        <v>8.0399999999999991</v>
      </c>
      <c r="R43" s="5">
        <v>9022.1578950000003</v>
      </c>
      <c r="S43">
        <v>37</v>
      </c>
    </row>
    <row r="44" spans="6:19">
      <c r="F44" t="s">
        <v>94</v>
      </c>
      <c r="G44">
        <v>621</v>
      </c>
      <c r="H44" s="5">
        <v>17622.901099999999</v>
      </c>
      <c r="I44">
        <v>3.41</v>
      </c>
      <c r="O44" s="5">
        <v>18310.70103</v>
      </c>
      <c r="P44">
        <v>3.41</v>
      </c>
      <c r="R44" s="5">
        <v>9037.5964910000002</v>
      </c>
      <c r="S44">
        <v>38</v>
      </c>
    </row>
    <row r="45" spans="6:19">
      <c r="F45" t="s">
        <v>95</v>
      </c>
      <c r="G45">
        <v>641</v>
      </c>
      <c r="H45" s="5">
        <v>19032.57143</v>
      </c>
      <c r="I45">
        <v>3.18</v>
      </c>
      <c r="O45" s="5">
        <v>19558.536080000002</v>
      </c>
      <c r="P45">
        <v>3.18</v>
      </c>
      <c r="R45" s="5">
        <v>9053.0350880000005</v>
      </c>
      <c r="S45">
        <v>39</v>
      </c>
    </row>
    <row r="46" spans="6:19">
      <c r="F46" t="s">
        <v>96</v>
      </c>
      <c r="G46">
        <v>656</v>
      </c>
      <c r="H46" s="5">
        <v>20089.82418</v>
      </c>
      <c r="I46">
        <v>3.53</v>
      </c>
      <c r="O46" s="5">
        <v>20494.412369999998</v>
      </c>
      <c r="P46">
        <v>3.53</v>
      </c>
      <c r="R46" s="5">
        <v>9068.4736840000005</v>
      </c>
      <c r="S46">
        <v>40</v>
      </c>
    </row>
    <row r="47" spans="6:19">
      <c r="F47" t="s">
        <v>97</v>
      </c>
      <c r="G47">
        <v>676</v>
      </c>
      <c r="H47" s="5">
        <v>21499.49451</v>
      </c>
      <c r="I47">
        <v>2.11</v>
      </c>
      <c r="O47" s="5">
        <v>21742.24742</v>
      </c>
      <c r="P47">
        <v>2.11</v>
      </c>
      <c r="R47" s="5">
        <v>9083.9122810000008</v>
      </c>
      <c r="S47">
        <v>41</v>
      </c>
    </row>
    <row r="48" spans="6:19">
      <c r="F48" t="s">
        <v>98</v>
      </c>
      <c r="G48">
        <v>696</v>
      </c>
      <c r="H48" s="5">
        <v>22909.164840000001</v>
      </c>
      <c r="I48">
        <v>1.45</v>
      </c>
      <c r="O48" s="5">
        <v>22990.082470000001</v>
      </c>
      <c r="P48">
        <v>1.45</v>
      </c>
      <c r="R48" s="5">
        <v>9099.3508770000008</v>
      </c>
      <c r="S48">
        <v>42</v>
      </c>
    </row>
    <row r="49" spans="6:19">
      <c r="F49" t="s">
        <v>99</v>
      </c>
      <c r="G49">
        <v>717</v>
      </c>
      <c r="H49" s="5">
        <v>24199.96154</v>
      </c>
      <c r="I49">
        <v>1.19</v>
      </c>
      <c r="O49" s="5">
        <v>24199.96154</v>
      </c>
      <c r="P49">
        <v>1.19</v>
      </c>
      <c r="R49" s="5">
        <v>9114.7894739999992</v>
      </c>
      <c r="S49">
        <v>43</v>
      </c>
    </row>
    <row r="50" spans="6:19">
      <c r="F50" t="s">
        <v>100</v>
      </c>
      <c r="G50">
        <v>736</v>
      </c>
      <c r="H50" s="5">
        <v>25212.07692</v>
      </c>
      <c r="I50">
        <v>3.27</v>
      </c>
      <c r="O50" s="5">
        <v>25212.07692</v>
      </c>
      <c r="P50">
        <v>3.27</v>
      </c>
      <c r="R50" s="5">
        <v>9130.2280699999992</v>
      </c>
      <c r="S50">
        <v>44</v>
      </c>
    </row>
    <row r="51" spans="6:19">
      <c r="F51" t="s">
        <v>101</v>
      </c>
      <c r="G51">
        <v>746</v>
      </c>
      <c r="H51" s="5">
        <v>25744.769230000002</v>
      </c>
      <c r="I51">
        <v>7.17</v>
      </c>
      <c r="O51" s="5">
        <v>25744.769230000002</v>
      </c>
      <c r="P51">
        <v>7.17</v>
      </c>
      <c r="R51" s="5">
        <v>9145.6666669999995</v>
      </c>
      <c r="S51">
        <v>45</v>
      </c>
    </row>
    <row r="52" spans="6:19">
      <c r="F52" t="s">
        <v>102</v>
      </c>
      <c r="G52">
        <v>761</v>
      </c>
      <c r="H52" s="5">
        <v>26543.807690000001</v>
      </c>
      <c r="I52">
        <v>10.73</v>
      </c>
      <c r="O52" s="5">
        <v>26543.807690000001</v>
      </c>
      <c r="P52">
        <v>10.73</v>
      </c>
      <c r="R52" s="5">
        <v>9161.1052629999995</v>
      </c>
      <c r="S52">
        <v>46</v>
      </c>
    </row>
    <row r="53" spans="6:19">
      <c r="F53" t="s">
        <v>103</v>
      </c>
      <c r="G53">
        <v>779</v>
      </c>
      <c r="H53" s="5">
        <v>27502.653849999999</v>
      </c>
      <c r="I53">
        <v>4.97</v>
      </c>
      <c r="O53" s="5">
        <v>27502.653849999999</v>
      </c>
      <c r="P53">
        <v>4.97</v>
      </c>
      <c r="R53" s="5">
        <v>9176.5438599999998</v>
      </c>
      <c r="S53">
        <v>47</v>
      </c>
    </row>
    <row r="54" spans="6:19">
      <c r="F54" t="s">
        <v>104</v>
      </c>
      <c r="G54">
        <v>799</v>
      </c>
      <c r="H54" s="5">
        <v>28184.531910000002</v>
      </c>
      <c r="I54">
        <v>3.52</v>
      </c>
      <c r="O54" s="5">
        <v>28184.531910000002</v>
      </c>
      <c r="P54">
        <v>3.52</v>
      </c>
      <c r="R54" s="5">
        <v>9191.9824559999997</v>
      </c>
      <c r="S54">
        <v>48</v>
      </c>
    </row>
    <row r="55" spans="6:19">
      <c r="F55" t="s">
        <v>105</v>
      </c>
      <c r="G55">
        <v>819</v>
      </c>
      <c r="H55" s="5">
        <v>28738.57447</v>
      </c>
      <c r="I55">
        <v>3.34</v>
      </c>
      <c r="O55" s="5">
        <v>28738.57447</v>
      </c>
      <c r="P55">
        <v>3.34</v>
      </c>
      <c r="R55" s="5">
        <v>9207.421053</v>
      </c>
      <c r="S55">
        <v>49</v>
      </c>
    </row>
    <row r="56" spans="6:19">
      <c r="F56" t="s">
        <v>106</v>
      </c>
      <c r="G56">
        <v>833</v>
      </c>
      <c r="H56" s="5">
        <v>29126.404259999999</v>
      </c>
      <c r="I56">
        <v>3.11</v>
      </c>
      <c r="O56" s="5">
        <v>29126.404259999999</v>
      </c>
      <c r="P56">
        <v>3.11</v>
      </c>
      <c r="R56" s="5">
        <v>9222.859649</v>
      </c>
      <c r="S56">
        <v>50</v>
      </c>
    </row>
    <row r="57" spans="6:19">
      <c r="F57" t="s">
        <v>107</v>
      </c>
      <c r="G57">
        <v>853</v>
      </c>
      <c r="H57" s="5">
        <v>29680.446810000001</v>
      </c>
      <c r="I57">
        <v>7.14</v>
      </c>
      <c r="O57" s="5">
        <v>29680.446810000001</v>
      </c>
      <c r="P57">
        <v>7.14</v>
      </c>
      <c r="R57" s="5">
        <v>9238.2982460000003</v>
      </c>
      <c r="S57">
        <v>51</v>
      </c>
    </row>
    <row r="58" spans="6:19">
      <c r="F58" t="s">
        <v>108</v>
      </c>
      <c r="G58">
        <v>871</v>
      </c>
      <c r="H58" s="5">
        <v>30179.08511</v>
      </c>
      <c r="I58">
        <v>8.8699999999999992</v>
      </c>
      <c r="O58" s="5">
        <v>30179.08511</v>
      </c>
      <c r="P58">
        <v>8.8699999999999992</v>
      </c>
      <c r="R58" s="5">
        <v>9253.7368420000003</v>
      </c>
      <c r="S58">
        <v>52</v>
      </c>
    </row>
    <row r="59" spans="6:19">
      <c r="F59" t="s">
        <v>109</v>
      </c>
      <c r="G59">
        <v>888</v>
      </c>
      <c r="H59" s="5">
        <v>30492.904760000001</v>
      </c>
      <c r="I59">
        <v>6.5</v>
      </c>
      <c r="O59" s="5">
        <v>30492.904760000001</v>
      </c>
      <c r="P59">
        <v>6.5</v>
      </c>
      <c r="R59" s="5">
        <v>9269.1754390000006</v>
      </c>
      <c r="S59">
        <v>53</v>
      </c>
    </row>
    <row r="60" spans="6:19">
      <c r="F60" s="9" t="s">
        <v>110</v>
      </c>
      <c r="G60">
        <v>901</v>
      </c>
      <c r="H60" s="5">
        <v>30648.78095</v>
      </c>
      <c r="I60">
        <v>2.99</v>
      </c>
      <c r="O60" s="5">
        <v>30648.78095</v>
      </c>
      <c r="P60">
        <v>2.99</v>
      </c>
      <c r="R60" s="5">
        <v>9284.6140350000005</v>
      </c>
      <c r="S60">
        <v>54</v>
      </c>
    </row>
    <row r="61" spans="6:19">
      <c r="F61" t="s">
        <v>111</v>
      </c>
      <c r="G61">
        <v>914</v>
      </c>
      <c r="H61" s="5">
        <v>30804.657139999999</v>
      </c>
      <c r="I61">
        <v>4.82</v>
      </c>
      <c r="O61" s="5">
        <v>30804.657139999999</v>
      </c>
      <c r="P61">
        <v>4.82</v>
      </c>
      <c r="R61" s="5">
        <v>9300.0526320000008</v>
      </c>
      <c r="S61">
        <v>55</v>
      </c>
    </row>
    <row r="62" spans="6:19">
      <c r="F62" t="s">
        <v>112</v>
      </c>
      <c r="G62">
        <v>931</v>
      </c>
      <c r="H62" s="5">
        <v>31008.49524</v>
      </c>
      <c r="I62">
        <v>2.97</v>
      </c>
      <c r="O62" s="5">
        <v>31008.49524</v>
      </c>
      <c r="P62">
        <v>2.97</v>
      </c>
      <c r="R62" s="5">
        <v>9315.4912280000008</v>
      </c>
      <c r="S62">
        <v>56</v>
      </c>
    </row>
    <row r="63" spans="6:19">
      <c r="F63" t="s">
        <v>113</v>
      </c>
      <c r="G63">
        <v>940</v>
      </c>
      <c r="H63" s="5">
        <v>31116.409520000001</v>
      </c>
      <c r="I63">
        <v>0.7</v>
      </c>
      <c r="O63" s="5">
        <v>31116.409520000001</v>
      </c>
      <c r="P63">
        <v>0.7</v>
      </c>
      <c r="R63" s="5">
        <v>9330.9298249999993</v>
      </c>
      <c r="S63">
        <v>57</v>
      </c>
    </row>
    <row r="64" spans="6:19">
      <c r="F64" t="s">
        <v>114</v>
      </c>
      <c r="G64">
        <v>956</v>
      </c>
      <c r="H64" s="5">
        <v>31308.257140000002</v>
      </c>
      <c r="I64">
        <v>2.4500000000000002</v>
      </c>
      <c r="O64" s="5">
        <v>31308.257140000002</v>
      </c>
      <c r="P64">
        <v>2.4500000000000002</v>
      </c>
      <c r="R64" s="5">
        <v>9346.3684209999992</v>
      </c>
      <c r="S64">
        <v>58</v>
      </c>
    </row>
    <row r="65" spans="6:19">
      <c r="F65" t="s">
        <v>115</v>
      </c>
      <c r="G65">
        <v>966</v>
      </c>
      <c r="H65" s="5">
        <v>31428.161899999999</v>
      </c>
      <c r="I65">
        <v>2.63</v>
      </c>
      <c r="O65" s="5">
        <v>31428.161899999999</v>
      </c>
      <c r="P65">
        <v>2.63</v>
      </c>
      <c r="R65" s="5">
        <v>9361.8070179999995</v>
      </c>
      <c r="S65">
        <v>59</v>
      </c>
    </row>
    <row r="66" spans="6:19">
      <c r="F66" t="s">
        <v>116</v>
      </c>
      <c r="G66">
        <v>983</v>
      </c>
      <c r="H66" s="5">
        <v>31632</v>
      </c>
      <c r="I66">
        <v>2.63</v>
      </c>
      <c r="O66" s="5">
        <v>31632</v>
      </c>
      <c r="P66">
        <v>2.63</v>
      </c>
      <c r="R66" s="5">
        <v>9377.2456139999995</v>
      </c>
      <c r="S66">
        <v>60</v>
      </c>
    </row>
    <row r="67" spans="6:19">
      <c r="F67" t="s">
        <v>117</v>
      </c>
      <c r="G67">
        <v>1001</v>
      </c>
      <c r="H67" s="5">
        <v>32141.56364</v>
      </c>
      <c r="I67">
        <v>2.39</v>
      </c>
      <c r="O67" s="5">
        <v>32141.56364</v>
      </c>
      <c r="P67">
        <v>2.39</v>
      </c>
      <c r="R67" s="5">
        <v>9392.6842109999998</v>
      </c>
      <c r="S67">
        <v>61</v>
      </c>
    </row>
    <row r="68" spans="6:19">
      <c r="F68" t="s">
        <v>118</v>
      </c>
      <c r="G68">
        <v>1021</v>
      </c>
      <c r="H68" s="5">
        <v>32707.745449999999</v>
      </c>
      <c r="I68">
        <v>2.08</v>
      </c>
      <c r="O68" s="5">
        <v>32707.745449999999</v>
      </c>
      <c r="P68">
        <v>2.08</v>
      </c>
      <c r="R68" s="5">
        <v>9408.1228069999997</v>
      </c>
      <c r="S68">
        <v>62</v>
      </c>
    </row>
    <row r="69" spans="6:19">
      <c r="F69" t="s">
        <v>119</v>
      </c>
      <c r="G69">
        <v>1041</v>
      </c>
      <c r="H69" s="5">
        <v>33273.92727</v>
      </c>
      <c r="I69">
        <v>2.42</v>
      </c>
      <c r="O69" s="5">
        <v>33273.92727</v>
      </c>
      <c r="P69">
        <v>2.42</v>
      </c>
      <c r="R69" s="5">
        <v>9423.561404</v>
      </c>
      <c r="S69">
        <v>63</v>
      </c>
    </row>
    <row r="70" spans="6:19">
      <c r="F70" s="5"/>
      <c r="R70" s="5">
        <v>9439</v>
      </c>
      <c r="S70">
        <v>64</v>
      </c>
    </row>
    <row r="71" spans="6:19">
      <c r="F71" s="5" t="s">
        <v>120</v>
      </c>
      <c r="R71" s="5">
        <v>9454.438596</v>
      </c>
      <c r="S71">
        <v>65</v>
      </c>
    </row>
    <row r="72" spans="6:19">
      <c r="F72" s="5" t="s">
        <v>121</v>
      </c>
      <c r="R72" s="5">
        <v>9469.8771930000003</v>
      </c>
      <c r="S72">
        <v>66</v>
      </c>
    </row>
    <row r="73" spans="6:19">
      <c r="F73" s="5" t="s">
        <v>122</v>
      </c>
      <c r="R73" s="5">
        <v>9485.3157890000002</v>
      </c>
      <c r="S73">
        <v>67</v>
      </c>
    </row>
    <row r="74" spans="6:19">
      <c r="F74" s="5"/>
      <c r="R74" s="5">
        <v>9500.7543860000005</v>
      </c>
      <c r="S74">
        <v>68</v>
      </c>
    </row>
    <row r="75" spans="6:19">
      <c r="F75" s="5"/>
      <c r="R75" s="5">
        <v>9516.1929820000005</v>
      </c>
      <c r="S75">
        <v>69</v>
      </c>
    </row>
    <row r="76" spans="6:19">
      <c r="R76" s="5">
        <v>9531.6315790000008</v>
      </c>
      <c r="S76">
        <v>70</v>
      </c>
    </row>
    <row r="77" spans="6:19">
      <c r="F77" s="5"/>
      <c r="R77" s="5">
        <v>9547.0701750000007</v>
      </c>
      <c r="S77">
        <v>71</v>
      </c>
    </row>
    <row r="78" spans="6:19">
      <c r="F78" s="5"/>
      <c r="R78" s="5">
        <v>9562.5087719999992</v>
      </c>
      <c r="S78">
        <v>72</v>
      </c>
    </row>
    <row r="79" spans="6:19">
      <c r="F79" s="5"/>
      <c r="R79" s="5">
        <v>9577.9473679999992</v>
      </c>
      <c r="S79">
        <v>73</v>
      </c>
    </row>
    <row r="80" spans="6:19">
      <c r="F80" s="5"/>
      <c r="R80" s="5">
        <v>9593.3859649999995</v>
      </c>
      <c r="S80">
        <v>74</v>
      </c>
    </row>
    <row r="81" spans="6:19">
      <c r="F81" s="5"/>
      <c r="R81" s="5">
        <v>9608.8245609999994</v>
      </c>
      <c r="S81">
        <v>75</v>
      </c>
    </row>
    <row r="82" spans="6:19">
      <c r="F82" s="5"/>
      <c r="R82" s="5">
        <v>9624.2631579999997</v>
      </c>
      <c r="S82">
        <v>76</v>
      </c>
    </row>
    <row r="83" spans="6:19">
      <c r="F83" s="5"/>
      <c r="R83" s="5">
        <v>9639.7017539999997</v>
      </c>
      <c r="S83">
        <v>77</v>
      </c>
    </row>
    <row r="84" spans="6:19">
      <c r="F84" s="5"/>
      <c r="R84" s="5">
        <v>9655.140351</v>
      </c>
      <c r="S84">
        <v>78</v>
      </c>
    </row>
    <row r="85" spans="6:19">
      <c r="R85" s="5">
        <v>9670.578947</v>
      </c>
      <c r="S85">
        <v>79</v>
      </c>
    </row>
    <row r="86" spans="6:19">
      <c r="R86" s="5">
        <v>9686.0175440000003</v>
      </c>
      <c r="S86">
        <v>80</v>
      </c>
    </row>
    <row r="87" spans="6:19">
      <c r="R87" s="5">
        <v>9701.4561400000002</v>
      </c>
      <c r="S87">
        <v>81</v>
      </c>
    </row>
    <row r="88" spans="6:19">
      <c r="R88" s="5">
        <v>9716.8947370000005</v>
      </c>
      <c r="S88">
        <v>82</v>
      </c>
    </row>
    <row r="89" spans="6:19">
      <c r="R89" s="5">
        <v>9732.3333330000005</v>
      </c>
      <c r="S89">
        <v>83</v>
      </c>
    </row>
    <row r="90" spans="6:19">
      <c r="R90" s="5">
        <v>9747.7719300000008</v>
      </c>
      <c r="S90">
        <v>84</v>
      </c>
    </row>
    <row r="91" spans="6:19">
      <c r="R91" s="5">
        <v>9763.2105260000008</v>
      </c>
      <c r="S91">
        <v>85</v>
      </c>
    </row>
    <row r="92" spans="6:19">
      <c r="R92" s="5">
        <v>9778.6491229999992</v>
      </c>
      <c r="S92">
        <v>86</v>
      </c>
    </row>
    <row r="93" spans="6:19">
      <c r="R93" s="5">
        <v>9794.0877189999992</v>
      </c>
      <c r="S93">
        <v>87</v>
      </c>
    </row>
    <row r="94" spans="6:19">
      <c r="R94" s="5">
        <v>9809.5263159999995</v>
      </c>
      <c r="S94">
        <v>88</v>
      </c>
    </row>
    <row r="95" spans="6:19">
      <c r="R95" s="5">
        <v>9824.9649119999995</v>
      </c>
      <c r="S95">
        <v>89</v>
      </c>
    </row>
    <row r="96" spans="6:19">
      <c r="R96" s="5">
        <v>9840.4035089999998</v>
      </c>
      <c r="S96">
        <v>90</v>
      </c>
    </row>
    <row r="97" spans="18:19">
      <c r="R97" s="5">
        <v>9855.8421049999997</v>
      </c>
      <c r="S97">
        <v>91</v>
      </c>
    </row>
    <row r="98" spans="18:19">
      <c r="R98" s="5">
        <v>9871.280702</v>
      </c>
      <c r="S98">
        <v>92</v>
      </c>
    </row>
    <row r="99" spans="18:19">
      <c r="R99" s="5">
        <v>9886.719298</v>
      </c>
      <c r="S99">
        <v>93</v>
      </c>
    </row>
    <row r="100" spans="18:19">
      <c r="R100" s="5">
        <v>9902.1578950000003</v>
      </c>
      <c r="S100">
        <v>94</v>
      </c>
    </row>
    <row r="101" spans="18:19">
      <c r="R101" s="5">
        <v>9917.5964910000002</v>
      </c>
      <c r="S101">
        <v>95</v>
      </c>
    </row>
    <row r="102" spans="18:19">
      <c r="R102" s="5">
        <v>9933.0350880000005</v>
      </c>
      <c r="S102">
        <v>96</v>
      </c>
    </row>
    <row r="103" spans="18:19">
      <c r="R103" s="5">
        <v>9948.4736840000005</v>
      </c>
      <c r="S103">
        <v>97</v>
      </c>
    </row>
    <row r="104" spans="18:19">
      <c r="R104" s="5">
        <v>9963.9122810000008</v>
      </c>
      <c r="S104">
        <v>98</v>
      </c>
    </row>
    <row r="105" spans="18:19">
      <c r="R105" s="5">
        <v>9979.3508770000008</v>
      </c>
      <c r="S105">
        <v>99</v>
      </c>
    </row>
    <row r="106" spans="18:19">
      <c r="R106" s="5">
        <v>9994.7894739999992</v>
      </c>
      <c r="S106">
        <v>100</v>
      </c>
    </row>
    <row r="107" spans="18:19">
      <c r="R107" s="5">
        <v>10010.228069999999</v>
      </c>
      <c r="S107">
        <v>101</v>
      </c>
    </row>
    <row r="108" spans="18:19">
      <c r="R108" s="5">
        <v>10025.666670000001</v>
      </c>
      <c r="S108">
        <v>102</v>
      </c>
    </row>
    <row r="109" spans="18:19">
      <c r="R109" s="5">
        <v>10041.10526</v>
      </c>
      <c r="S109">
        <v>103</v>
      </c>
    </row>
    <row r="110" spans="18:19">
      <c r="R110" s="5">
        <v>10056.54386</v>
      </c>
      <c r="S110">
        <v>104</v>
      </c>
    </row>
    <row r="111" spans="18:19">
      <c r="R111" s="5">
        <v>10071.982459999999</v>
      </c>
      <c r="S111">
        <v>105</v>
      </c>
    </row>
    <row r="112" spans="18:19">
      <c r="R112" s="5">
        <v>10087.421050000001</v>
      </c>
      <c r="S112">
        <v>106</v>
      </c>
    </row>
    <row r="113" spans="6:19">
      <c r="R113" s="5">
        <v>10102.85965</v>
      </c>
      <c r="S113">
        <v>107</v>
      </c>
    </row>
    <row r="114" spans="6:19">
      <c r="R114" s="5">
        <v>10118.29825</v>
      </c>
      <c r="S114">
        <v>108</v>
      </c>
    </row>
    <row r="115" spans="6:19">
      <c r="R115" s="5">
        <v>10133.73684</v>
      </c>
      <c r="S115">
        <v>109</v>
      </c>
    </row>
    <row r="116" spans="6:19">
      <c r="R116" s="5">
        <v>10149.175440000001</v>
      </c>
      <c r="S116">
        <v>110</v>
      </c>
    </row>
    <row r="117" spans="6:19">
      <c r="R117" s="5">
        <v>10164.61404</v>
      </c>
      <c r="S117">
        <v>111</v>
      </c>
    </row>
    <row r="118" spans="6:19">
      <c r="R118" s="5">
        <v>10180.05263</v>
      </c>
      <c r="S118">
        <v>112</v>
      </c>
    </row>
    <row r="119" spans="6:19">
      <c r="R119" s="5">
        <v>10195.49123</v>
      </c>
      <c r="S119">
        <v>113</v>
      </c>
    </row>
    <row r="120" spans="6:19">
      <c r="R120" s="5">
        <v>10210.929819999999</v>
      </c>
      <c r="S120">
        <v>114</v>
      </c>
    </row>
    <row r="121" spans="6:19">
      <c r="F121" s="2"/>
      <c r="R121" s="5">
        <v>10226.368420000001</v>
      </c>
      <c r="S121">
        <v>115</v>
      </c>
    </row>
    <row r="122" spans="6:19">
      <c r="F122" s="2"/>
      <c r="R122" s="5">
        <v>10241.80702</v>
      </c>
      <c r="S122">
        <v>116</v>
      </c>
    </row>
    <row r="123" spans="6:19">
      <c r="R123" s="5">
        <v>10257.24561</v>
      </c>
      <c r="S123">
        <v>117</v>
      </c>
    </row>
    <row r="124" spans="6:19">
      <c r="R124" s="5">
        <v>10272.684209999999</v>
      </c>
      <c r="S124">
        <v>118</v>
      </c>
    </row>
    <row r="125" spans="6:19">
      <c r="R125" s="5">
        <v>10288.122810000001</v>
      </c>
      <c r="S125">
        <v>119</v>
      </c>
    </row>
    <row r="126" spans="6:19">
      <c r="R126" s="5">
        <v>10303.561400000001</v>
      </c>
      <c r="S126">
        <v>120</v>
      </c>
    </row>
    <row r="127" spans="6:19">
      <c r="G127" s="5"/>
      <c r="R127" s="5">
        <v>10319</v>
      </c>
      <c r="S127">
        <v>121</v>
      </c>
    </row>
    <row r="128" spans="6:19">
      <c r="G128" s="5"/>
      <c r="R128" s="5">
        <v>10334.438599999999</v>
      </c>
      <c r="S128">
        <v>122</v>
      </c>
    </row>
    <row r="129" spans="7:19">
      <c r="G129" s="5"/>
      <c r="R129" s="5">
        <v>10349.877189999999</v>
      </c>
      <c r="S129">
        <v>123</v>
      </c>
    </row>
    <row r="130" spans="7:19">
      <c r="G130" s="5"/>
      <c r="R130" s="5">
        <v>10365.315790000001</v>
      </c>
      <c r="S130">
        <v>124</v>
      </c>
    </row>
    <row r="131" spans="7:19">
      <c r="G131" s="5"/>
      <c r="R131" s="5">
        <v>10380.75439</v>
      </c>
      <c r="S131">
        <v>125</v>
      </c>
    </row>
    <row r="132" spans="7:19">
      <c r="R132" s="5">
        <v>10396.19298</v>
      </c>
      <c r="S132">
        <v>126</v>
      </c>
    </row>
    <row r="133" spans="7:19">
      <c r="R133" s="5">
        <v>10411.631579999999</v>
      </c>
      <c r="S133">
        <v>127</v>
      </c>
    </row>
    <row r="134" spans="7:19">
      <c r="R134" s="5">
        <v>10427.070180000001</v>
      </c>
      <c r="S134">
        <v>128</v>
      </c>
    </row>
    <row r="135" spans="7:19">
      <c r="R135" s="5">
        <v>10442.50877</v>
      </c>
      <c r="S135">
        <v>129</v>
      </c>
    </row>
    <row r="136" spans="7:19">
      <c r="R136" s="5">
        <v>10457.94737</v>
      </c>
      <c r="S136">
        <v>130</v>
      </c>
    </row>
    <row r="137" spans="7:19">
      <c r="R137" s="5">
        <v>10473.38596</v>
      </c>
      <c r="S137">
        <v>131</v>
      </c>
    </row>
    <row r="138" spans="7:19">
      <c r="R138" s="5">
        <v>10488.824559999999</v>
      </c>
      <c r="S138">
        <v>132</v>
      </c>
    </row>
    <row r="139" spans="7:19">
      <c r="R139" s="5">
        <v>10504.26316</v>
      </c>
      <c r="S139">
        <v>133</v>
      </c>
    </row>
    <row r="140" spans="7:19">
      <c r="R140" s="5">
        <v>10519.70175</v>
      </c>
      <c r="S140">
        <v>134</v>
      </c>
    </row>
    <row r="141" spans="7:19">
      <c r="R141" s="5">
        <v>10535.14035</v>
      </c>
      <c r="S141">
        <v>135</v>
      </c>
    </row>
    <row r="142" spans="7:19">
      <c r="R142" s="5">
        <v>10550.578949999999</v>
      </c>
      <c r="S142">
        <v>136</v>
      </c>
    </row>
    <row r="143" spans="7:19">
      <c r="R143" s="5">
        <v>10566.017540000001</v>
      </c>
      <c r="S143">
        <v>137</v>
      </c>
    </row>
    <row r="144" spans="7:19">
      <c r="R144" s="5">
        <v>10581.45614</v>
      </c>
      <c r="S144">
        <v>138</v>
      </c>
    </row>
    <row r="145" spans="18:19">
      <c r="R145" s="5">
        <v>10596.89474</v>
      </c>
      <c r="S145">
        <v>139</v>
      </c>
    </row>
    <row r="146" spans="18:19">
      <c r="R146" s="5">
        <v>10612.333329999999</v>
      </c>
      <c r="S146">
        <v>140</v>
      </c>
    </row>
    <row r="147" spans="18:19">
      <c r="R147" s="5">
        <v>10627.771930000001</v>
      </c>
      <c r="S147">
        <v>141</v>
      </c>
    </row>
    <row r="148" spans="18:19">
      <c r="R148" s="5">
        <v>10643.21053</v>
      </c>
      <c r="S148">
        <v>142</v>
      </c>
    </row>
    <row r="149" spans="18:19">
      <c r="R149" s="5">
        <v>10658.64912</v>
      </c>
      <c r="S149">
        <v>143</v>
      </c>
    </row>
    <row r="150" spans="18:19">
      <c r="R150" s="5">
        <v>10674.08772</v>
      </c>
      <c r="S150">
        <v>144</v>
      </c>
    </row>
    <row r="151" spans="18:19">
      <c r="R151" s="5">
        <v>10689.526320000001</v>
      </c>
      <c r="S151">
        <v>145</v>
      </c>
    </row>
    <row r="152" spans="18:19">
      <c r="R152" s="5">
        <v>10704.964910000001</v>
      </c>
      <c r="S152">
        <v>146</v>
      </c>
    </row>
    <row r="153" spans="18:19">
      <c r="R153" s="5">
        <v>10720.40351</v>
      </c>
      <c r="S153">
        <v>147</v>
      </c>
    </row>
    <row r="154" spans="18:19">
      <c r="R154" s="5">
        <v>10735.84211</v>
      </c>
      <c r="S154">
        <v>148</v>
      </c>
    </row>
    <row r="155" spans="18:19">
      <c r="R155" s="5">
        <v>10751.280699999999</v>
      </c>
      <c r="S155">
        <v>149</v>
      </c>
    </row>
    <row r="156" spans="18:19">
      <c r="R156" s="5">
        <v>10766.719300000001</v>
      </c>
      <c r="S156">
        <v>150</v>
      </c>
    </row>
    <row r="157" spans="18:19">
      <c r="R157" s="5">
        <v>10782.15789</v>
      </c>
      <c r="S157">
        <v>151</v>
      </c>
    </row>
    <row r="158" spans="18:19">
      <c r="R158" s="5">
        <v>10797.59649</v>
      </c>
      <c r="S158">
        <v>152</v>
      </c>
    </row>
    <row r="159" spans="18:19">
      <c r="R159" s="5">
        <v>10813.035089999999</v>
      </c>
      <c r="S159">
        <v>153</v>
      </c>
    </row>
    <row r="160" spans="18:19">
      <c r="R160" s="5">
        <v>10828.473679999999</v>
      </c>
      <c r="S160">
        <v>154</v>
      </c>
    </row>
    <row r="161" spans="6:19">
      <c r="R161" s="5">
        <v>10843.91228</v>
      </c>
      <c r="S161">
        <v>155</v>
      </c>
    </row>
    <row r="162" spans="6:19">
      <c r="R162" s="5">
        <v>10859.35088</v>
      </c>
      <c r="S162">
        <v>156</v>
      </c>
    </row>
    <row r="163" spans="6:19">
      <c r="R163" s="5">
        <v>10874.78947</v>
      </c>
      <c r="S163">
        <v>157</v>
      </c>
    </row>
    <row r="164" spans="6:19">
      <c r="R164" s="5">
        <v>10890.228069999999</v>
      </c>
      <c r="S164">
        <v>158</v>
      </c>
    </row>
    <row r="165" spans="6:19">
      <c r="R165" s="5">
        <v>10905.666670000001</v>
      </c>
      <c r="S165">
        <v>159</v>
      </c>
    </row>
    <row r="166" spans="6:19">
      <c r="R166" s="5">
        <v>10921.10526</v>
      </c>
      <c r="S166">
        <v>160</v>
      </c>
    </row>
    <row r="167" spans="6:19">
      <c r="R167" s="5">
        <v>10936.54386</v>
      </c>
      <c r="S167">
        <v>161</v>
      </c>
    </row>
    <row r="168" spans="6:19">
      <c r="R168" s="5">
        <v>10951.982459999999</v>
      </c>
      <c r="S168">
        <v>162</v>
      </c>
    </row>
    <row r="169" spans="6:19">
      <c r="R169" s="5">
        <v>10967.421050000001</v>
      </c>
      <c r="S169">
        <v>163</v>
      </c>
    </row>
    <row r="170" spans="6:19">
      <c r="R170" s="5">
        <v>10982.85965</v>
      </c>
      <c r="S170">
        <v>164</v>
      </c>
    </row>
    <row r="171" spans="6:19">
      <c r="R171" s="5">
        <v>10998.29825</v>
      </c>
      <c r="S171">
        <v>165</v>
      </c>
    </row>
    <row r="172" spans="6:19">
      <c r="F172" s="9"/>
      <c r="R172" s="5">
        <v>11013.73684</v>
      </c>
      <c r="S172">
        <v>166</v>
      </c>
    </row>
    <row r="173" spans="6:19">
      <c r="R173" s="5">
        <v>11029.175440000001</v>
      </c>
      <c r="S173">
        <v>167</v>
      </c>
    </row>
    <row r="174" spans="6:19">
      <c r="R174" s="5">
        <v>11044.61404</v>
      </c>
      <c r="S174">
        <v>168</v>
      </c>
    </row>
    <row r="175" spans="6:19">
      <c r="R175" s="5">
        <v>11060.05263</v>
      </c>
      <c r="S175">
        <v>169</v>
      </c>
    </row>
    <row r="176" spans="6:19">
      <c r="R176" s="5">
        <v>11075.49123</v>
      </c>
      <c r="S176">
        <v>170</v>
      </c>
    </row>
    <row r="177" spans="18:19">
      <c r="R177" s="5">
        <v>11090.929819999999</v>
      </c>
      <c r="S177">
        <v>171</v>
      </c>
    </row>
    <row r="178" spans="18:19">
      <c r="R178" s="5">
        <v>11106.368420000001</v>
      </c>
      <c r="S178">
        <v>172</v>
      </c>
    </row>
    <row r="179" spans="18:19">
      <c r="R179" s="5">
        <v>11121.80702</v>
      </c>
      <c r="S179">
        <v>173</v>
      </c>
    </row>
    <row r="180" spans="18:19">
      <c r="R180" s="5">
        <v>11137.24561</v>
      </c>
      <c r="S180">
        <v>174</v>
      </c>
    </row>
    <row r="181" spans="18:19">
      <c r="R181" s="5">
        <v>11152.684209999999</v>
      </c>
      <c r="S181">
        <v>175</v>
      </c>
    </row>
    <row r="182" spans="18:19">
      <c r="R182" s="5">
        <v>11168.122810000001</v>
      </c>
      <c r="S182">
        <v>176</v>
      </c>
    </row>
    <row r="183" spans="18:19">
      <c r="R183" s="5">
        <v>11183.561400000001</v>
      </c>
      <c r="S183">
        <v>177</v>
      </c>
    </row>
    <row r="184" spans="18:19">
      <c r="R184" s="5">
        <v>11199</v>
      </c>
      <c r="S184">
        <v>178</v>
      </c>
    </row>
    <row r="185" spans="18:19">
      <c r="R185" s="5">
        <v>11216.902910000001</v>
      </c>
      <c r="S185">
        <v>179</v>
      </c>
    </row>
    <row r="186" spans="18:19">
      <c r="R186" s="5">
        <v>11234.805829999999</v>
      </c>
      <c r="S186">
        <v>180</v>
      </c>
    </row>
    <row r="187" spans="18:19">
      <c r="R187" s="5">
        <v>11252.70874</v>
      </c>
      <c r="S187">
        <v>181</v>
      </c>
    </row>
    <row r="188" spans="18:19">
      <c r="R188" s="5">
        <v>11270.611650000001</v>
      </c>
      <c r="S188">
        <v>182</v>
      </c>
    </row>
    <row r="189" spans="18:19">
      <c r="R189" s="5">
        <v>11288.51456</v>
      </c>
      <c r="S189">
        <v>183</v>
      </c>
    </row>
    <row r="190" spans="18:19">
      <c r="R190" s="5">
        <v>11306.41748</v>
      </c>
      <c r="S190">
        <v>184</v>
      </c>
    </row>
    <row r="191" spans="18:19">
      <c r="R191" s="5">
        <v>11324.320390000001</v>
      </c>
      <c r="S191">
        <v>185</v>
      </c>
    </row>
    <row r="192" spans="18:19">
      <c r="R192" s="5">
        <v>11342.2233</v>
      </c>
      <c r="S192">
        <v>186</v>
      </c>
    </row>
    <row r="193" spans="18:19">
      <c r="R193" s="5">
        <v>11360.12621</v>
      </c>
      <c r="S193">
        <v>187</v>
      </c>
    </row>
    <row r="194" spans="18:19">
      <c r="R194" s="5">
        <v>11378.029130000001</v>
      </c>
      <c r="S194">
        <v>188</v>
      </c>
    </row>
    <row r="195" spans="18:19">
      <c r="R195" s="5">
        <v>11395.93204</v>
      </c>
      <c r="S195">
        <v>189</v>
      </c>
    </row>
    <row r="196" spans="18:19">
      <c r="R196" s="5">
        <v>11413.83495</v>
      </c>
      <c r="S196">
        <v>190</v>
      </c>
    </row>
    <row r="197" spans="18:19">
      <c r="R197" s="5">
        <v>11431.737859999999</v>
      </c>
      <c r="S197">
        <v>191</v>
      </c>
    </row>
    <row r="198" spans="18:19">
      <c r="R198" s="5">
        <v>11449.64078</v>
      </c>
      <c r="S198">
        <v>192</v>
      </c>
    </row>
    <row r="199" spans="18:19">
      <c r="R199" s="5">
        <v>11467.54369</v>
      </c>
      <c r="S199">
        <v>193</v>
      </c>
    </row>
    <row r="200" spans="18:19">
      <c r="R200" s="5">
        <v>11485.446599999999</v>
      </c>
      <c r="S200">
        <v>194</v>
      </c>
    </row>
    <row r="201" spans="18:19">
      <c r="R201" s="5">
        <v>11503.34951</v>
      </c>
      <c r="S201">
        <v>195</v>
      </c>
    </row>
    <row r="202" spans="18:19">
      <c r="R202" s="5">
        <v>11521.25243</v>
      </c>
      <c r="S202">
        <v>196</v>
      </c>
    </row>
    <row r="203" spans="18:19">
      <c r="R203" s="5">
        <v>11539.155339999999</v>
      </c>
      <c r="S203">
        <v>197</v>
      </c>
    </row>
    <row r="204" spans="18:19">
      <c r="R204" s="5">
        <v>11557.05825</v>
      </c>
      <c r="S204">
        <v>198</v>
      </c>
    </row>
    <row r="205" spans="18:19">
      <c r="R205" s="5">
        <v>11574.96117</v>
      </c>
      <c r="S205">
        <v>199</v>
      </c>
    </row>
    <row r="206" spans="18:19">
      <c r="R206" s="5">
        <v>11592.864079999999</v>
      </c>
      <c r="S206">
        <v>200</v>
      </c>
    </row>
    <row r="207" spans="18:19">
      <c r="R207" s="5">
        <v>11610.76699</v>
      </c>
      <c r="S207">
        <v>201</v>
      </c>
    </row>
    <row r="208" spans="18:19">
      <c r="R208" s="5">
        <v>11628.669900000001</v>
      </c>
      <c r="S208">
        <v>202</v>
      </c>
    </row>
    <row r="209" spans="18:19">
      <c r="R209" s="5">
        <v>11646.572819999999</v>
      </c>
      <c r="S209">
        <v>203</v>
      </c>
    </row>
    <row r="210" spans="18:19">
      <c r="R210" s="5">
        <v>11664.47573</v>
      </c>
      <c r="S210">
        <v>204</v>
      </c>
    </row>
    <row r="211" spans="18:19">
      <c r="R211" s="5">
        <v>11682.378640000001</v>
      </c>
      <c r="S211">
        <v>205</v>
      </c>
    </row>
    <row r="212" spans="18:19">
      <c r="R212" s="5">
        <v>11700.28155</v>
      </c>
      <c r="S212">
        <v>206</v>
      </c>
    </row>
    <row r="213" spans="18:19">
      <c r="R213" s="5">
        <v>11718.18447</v>
      </c>
      <c r="S213">
        <v>207</v>
      </c>
    </row>
    <row r="214" spans="18:19">
      <c r="R214" s="5">
        <v>11736.087380000001</v>
      </c>
      <c r="S214">
        <v>208</v>
      </c>
    </row>
    <row r="215" spans="18:19">
      <c r="R215" s="5">
        <v>11753.99029</v>
      </c>
      <c r="S215">
        <v>209</v>
      </c>
    </row>
    <row r="216" spans="18:19">
      <c r="R216" s="5">
        <v>11771.8932</v>
      </c>
      <c r="S216">
        <v>210</v>
      </c>
    </row>
    <row r="217" spans="18:19">
      <c r="R217" s="5">
        <v>11789.796120000001</v>
      </c>
      <c r="S217">
        <v>211</v>
      </c>
    </row>
    <row r="218" spans="18:19">
      <c r="R218" s="5">
        <v>11807.69903</v>
      </c>
      <c r="S218">
        <v>212</v>
      </c>
    </row>
    <row r="219" spans="18:19">
      <c r="R219" s="5">
        <v>11825.60194</v>
      </c>
      <c r="S219">
        <v>213</v>
      </c>
    </row>
    <row r="220" spans="18:19">
      <c r="R220" s="5">
        <v>11843.504849999999</v>
      </c>
      <c r="S220">
        <v>214</v>
      </c>
    </row>
    <row r="221" spans="18:19">
      <c r="R221" s="5">
        <v>11861.40777</v>
      </c>
      <c r="S221">
        <v>215</v>
      </c>
    </row>
    <row r="222" spans="18:19">
      <c r="R222" s="5">
        <v>11879.310680000001</v>
      </c>
      <c r="S222">
        <v>216</v>
      </c>
    </row>
    <row r="223" spans="18:19">
      <c r="R223" s="5">
        <v>11897.213589999999</v>
      </c>
      <c r="S223">
        <v>217</v>
      </c>
    </row>
    <row r="224" spans="18:19">
      <c r="R224" s="5">
        <v>11915.1165</v>
      </c>
      <c r="S224">
        <v>218</v>
      </c>
    </row>
    <row r="225" spans="18:19">
      <c r="R225" s="5">
        <v>11933.019420000001</v>
      </c>
      <c r="S225">
        <v>219</v>
      </c>
    </row>
    <row r="226" spans="18:19">
      <c r="R226" s="5">
        <v>11950.922329999999</v>
      </c>
      <c r="S226">
        <v>220</v>
      </c>
    </row>
    <row r="227" spans="18:19">
      <c r="R227" s="5">
        <v>11968.82524</v>
      </c>
      <c r="S227">
        <v>221</v>
      </c>
    </row>
    <row r="228" spans="18:19">
      <c r="R228" s="5">
        <v>11986.728160000001</v>
      </c>
      <c r="S228">
        <v>222</v>
      </c>
    </row>
    <row r="229" spans="18:19">
      <c r="R229" s="5">
        <v>12004.631069999999</v>
      </c>
      <c r="S229">
        <v>223</v>
      </c>
    </row>
    <row r="230" spans="18:19">
      <c r="R230" s="5">
        <v>12022.53398</v>
      </c>
      <c r="S230">
        <v>224</v>
      </c>
    </row>
    <row r="231" spans="18:19">
      <c r="R231" s="5">
        <v>12040.436890000001</v>
      </c>
      <c r="S231">
        <v>225</v>
      </c>
    </row>
    <row r="232" spans="18:19">
      <c r="R232" s="5">
        <v>12058.339809999999</v>
      </c>
      <c r="S232">
        <v>226</v>
      </c>
    </row>
    <row r="233" spans="18:19">
      <c r="R233" s="5">
        <v>12076.24272</v>
      </c>
      <c r="S233">
        <v>227</v>
      </c>
    </row>
    <row r="234" spans="18:19">
      <c r="R234" s="5">
        <v>12094.145630000001</v>
      </c>
      <c r="S234">
        <v>228</v>
      </c>
    </row>
    <row r="235" spans="18:19">
      <c r="R235" s="5">
        <v>12112.04854</v>
      </c>
      <c r="S235">
        <v>229</v>
      </c>
    </row>
    <row r="236" spans="18:19">
      <c r="R236" s="5">
        <v>12123.72539</v>
      </c>
      <c r="S236">
        <v>230</v>
      </c>
    </row>
    <row r="237" spans="18:19">
      <c r="R237" s="5">
        <v>12129.176170000001</v>
      </c>
      <c r="S237">
        <v>231</v>
      </c>
    </row>
    <row r="238" spans="18:19">
      <c r="R238" s="5">
        <v>12134.62694</v>
      </c>
      <c r="S238">
        <v>232</v>
      </c>
    </row>
    <row r="239" spans="18:19">
      <c r="R239" s="5">
        <v>12140.077719999999</v>
      </c>
      <c r="S239">
        <v>233</v>
      </c>
    </row>
    <row r="240" spans="18:19">
      <c r="R240" s="5">
        <v>12145.5285</v>
      </c>
      <c r="S240">
        <v>234</v>
      </c>
    </row>
    <row r="241" spans="18:19">
      <c r="R241" s="5">
        <v>12150.97927</v>
      </c>
      <c r="S241">
        <v>235</v>
      </c>
    </row>
    <row r="242" spans="18:19">
      <c r="R242" s="5">
        <v>12156.430050000001</v>
      </c>
      <c r="S242">
        <v>236</v>
      </c>
    </row>
    <row r="243" spans="18:19">
      <c r="R243" s="5">
        <v>12161.88083</v>
      </c>
      <c r="S243">
        <v>237</v>
      </c>
    </row>
    <row r="244" spans="18:19">
      <c r="R244" s="5">
        <v>12167.331609999999</v>
      </c>
      <c r="S244">
        <v>238</v>
      </c>
    </row>
    <row r="245" spans="18:19">
      <c r="R245" s="5">
        <v>12172.782380000001</v>
      </c>
      <c r="S245">
        <v>239</v>
      </c>
    </row>
    <row r="246" spans="18:19">
      <c r="R246" s="5">
        <v>12178.23316</v>
      </c>
      <c r="S246">
        <v>240</v>
      </c>
    </row>
    <row r="247" spans="18:19">
      <c r="R247" s="5">
        <v>12183.683940000001</v>
      </c>
      <c r="S247">
        <v>241</v>
      </c>
    </row>
    <row r="248" spans="18:19">
      <c r="R248" s="5">
        <v>12189.13472</v>
      </c>
      <c r="S248">
        <v>242</v>
      </c>
    </row>
    <row r="249" spans="18:19">
      <c r="R249" s="5">
        <v>12194.585489999999</v>
      </c>
      <c r="S249">
        <v>243</v>
      </c>
    </row>
    <row r="250" spans="18:19">
      <c r="R250" s="5">
        <v>12200.036270000001</v>
      </c>
      <c r="S250">
        <v>244</v>
      </c>
    </row>
    <row r="251" spans="18:19">
      <c r="R251" s="5">
        <v>12205.48705</v>
      </c>
      <c r="S251">
        <v>245</v>
      </c>
    </row>
    <row r="252" spans="18:19">
      <c r="R252" s="5">
        <v>12210.937819999999</v>
      </c>
      <c r="S252">
        <v>246</v>
      </c>
    </row>
    <row r="253" spans="18:19">
      <c r="R253" s="5">
        <v>12216.3886</v>
      </c>
      <c r="S253">
        <v>247</v>
      </c>
    </row>
    <row r="254" spans="18:19">
      <c r="R254" s="5">
        <v>12221.839379999999</v>
      </c>
      <c r="S254">
        <v>248</v>
      </c>
    </row>
    <row r="255" spans="18:19">
      <c r="R255" s="5">
        <v>12227.29016</v>
      </c>
      <c r="S255">
        <v>249</v>
      </c>
    </row>
    <row r="256" spans="18:19">
      <c r="R256" s="5">
        <v>12232.74093</v>
      </c>
      <c r="S256">
        <v>250</v>
      </c>
    </row>
    <row r="257" spans="18:19">
      <c r="R257" s="5">
        <v>12238.191709999999</v>
      </c>
      <c r="S257">
        <v>251</v>
      </c>
    </row>
    <row r="258" spans="18:19">
      <c r="R258" s="5">
        <v>12243.64249</v>
      </c>
      <c r="S258">
        <v>252</v>
      </c>
    </row>
    <row r="259" spans="18:19">
      <c r="R259" s="5">
        <v>12249.09326</v>
      </c>
      <c r="S259">
        <v>253</v>
      </c>
    </row>
    <row r="260" spans="18:19">
      <c r="R260" s="5">
        <v>12254.544040000001</v>
      </c>
      <c r="S260">
        <v>254</v>
      </c>
    </row>
    <row r="261" spans="18:19">
      <c r="R261" s="5">
        <v>12259.99482</v>
      </c>
      <c r="S261">
        <v>255</v>
      </c>
    </row>
    <row r="262" spans="18:19">
      <c r="R262" s="5">
        <v>12265.445599999999</v>
      </c>
      <c r="S262">
        <v>256</v>
      </c>
    </row>
    <row r="263" spans="18:19">
      <c r="R263" s="5">
        <v>12270.89637</v>
      </c>
      <c r="S263">
        <v>257</v>
      </c>
    </row>
    <row r="264" spans="18:19">
      <c r="R264" s="5">
        <v>12276.34715</v>
      </c>
      <c r="S264">
        <v>258</v>
      </c>
    </row>
    <row r="265" spans="18:19">
      <c r="R265" s="5">
        <v>12281.797930000001</v>
      </c>
      <c r="S265">
        <v>259</v>
      </c>
    </row>
    <row r="266" spans="18:19">
      <c r="R266" s="5">
        <v>12287.2487</v>
      </c>
      <c r="S266">
        <v>260</v>
      </c>
    </row>
    <row r="267" spans="18:19">
      <c r="R267" s="5">
        <v>12292.699479999999</v>
      </c>
      <c r="S267">
        <v>261</v>
      </c>
    </row>
    <row r="268" spans="18:19">
      <c r="R268" s="5">
        <v>12298.15026</v>
      </c>
      <c r="S268">
        <v>262</v>
      </c>
    </row>
    <row r="269" spans="18:19">
      <c r="R269" s="5">
        <v>12303.60104</v>
      </c>
      <c r="S269">
        <v>263</v>
      </c>
    </row>
    <row r="270" spans="18:19">
      <c r="R270" s="5">
        <v>12309.051810000001</v>
      </c>
      <c r="S270">
        <v>264</v>
      </c>
    </row>
    <row r="271" spans="18:19">
      <c r="R271" s="5">
        <v>12314.50259</v>
      </c>
      <c r="S271">
        <v>265</v>
      </c>
    </row>
    <row r="272" spans="18:19">
      <c r="R272" s="5">
        <v>12319.953369999999</v>
      </c>
      <c r="S272">
        <v>266</v>
      </c>
    </row>
    <row r="273" spans="18:19">
      <c r="R273" s="5">
        <v>12325.40415</v>
      </c>
      <c r="S273">
        <v>267</v>
      </c>
    </row>
    <row r="274" spans="18:19">
      <c r="R274" s="5">
        <v>12330.85492</v>
      </c>
      <c r="S274">
        <v>268</v>
      </c>
    </row>
    <row r="275" spans="18:19">
      <c r="R275" s="5">
        <v>12336.305700000001</v>
      </c>
      <c r="S275">
        <v>269</v>
      </c>
    </row>
    <row r="276" spans="18:19">
      <c r="R276" s="5">
        <v>12341.75648</v>
      </c>
      <c r="S276">
        <v>270</v>
      </c>
    </row>
    <row r="277" spans="18:19">
      <c r="R277" s="5">
        <v>12347.207249999999</v>
      </c>
      <c r="S277">
        <v>271</v>
      </c>
    </row>
    <row r="278" spans="18:19">
      <c r="R278" s="5">
        <v>12352.658030000001</v>
      </c>
      <c r="S278">
        <v>272</v>
      </c>
    </row>
    <row r="279" spans="18:19">
      <c r="R279" s="5">
        <v>12358.10881</v>
      </c>
      <c r="S279">
        <v>273</v>
      </c>
    </row>
    <row r="280" spans="18:19">
      <c r="R280" s="5">
        <v>12363.559590000001</v>
      </c>
      <c r="S280">
        <v>274</v>
      </c>
    </row>
    <row r="281" spans="18:19">
      <c r="R281" s="5">
        <v>12369.01036</v>
      </c>
      <c r="S281">
        <v>275</v>
      </c>
    </row>
    <row r="282" spans="18:19">
      <c r="R282" s="5">
        <v>12374.461139999999</v>
      </c>
      <c r="S282">
        <v>276</v>
      </c>
    </row>
    <row r="283" spans="18:19">
      <c r="R283" s="5">
        <v>12379.91192</v>
      </c>
      <c r="S283">
        <v>277</v>
      </c>
    </row>
    <row r="284" spans="18:19">
      <c r="R284" s="5">
        <v>12385.36269</v>
      </c>
      <c r="S284">
        <v>278</v>
      </c>
    </row>
    <row r="285" spans="18:19">
      <c r="R285" s="5">
        <v>12390.813469999999</v>
      </c>
      <c r="S285">
        <v>279</v>
      </c>
    </row>
    <row r="286" spans="18:19">
      <c r="R286" s="5">
        <v>12396.26425</v>
      </c>
      <c r="S286">
        <v>280</v>
      </c>
    </row>
    <row r="287" spans="18:19">
      <c r="R287" s="5">
        <v>12401.715029999999</v>
      </c>
      <c r="S287">
        <v>281</v>
      </c>
    </row>
    <row r="288" spans="18:19">
      <c r="R288" s="5">
        <v>12407.165800000001</v>
      </c>
      <c r="S288">
        <v>282</v>
      </c>
    </row>
    <row r="289" spans="18:19">
      <c r="R289" s="5">
        <v>12412.61658</v>
      </c>
      <c r="S289">
        <v>283</v>
      </c>
    </row>
    <row r="290" spans="18:19">
      <c r="R290" s="5">
        <v>12418.067359999999</v>
      </c>
      <c r="S290">
        <v>284</v>
      </c>
    </row>
    <row r="291" spans="18:19">
      <c r="R291" s="5">
        <v>12423.51813</v>
      </c>
      <c r="S291">
        <v>285</v>
      </c>
    </row>
    <row r="292" spans="18:19">
      <c r="R292" s="5">
        <v>12428.96891</v>
      </c>
      <c r="S292">
        <v>286</v>
      </c>
    </row>
    <row r="293" spans="18:19">
      <c r="R293" s="5">
        <v>12434.419690000001</v>
      </c>
      <c r="S293">
        <v>287</v>
      </c>
    </row>
    <row r="294" spans="18:19">
      <c r="R294" s="5">
        <v>12439.87047</v>
      </c>
      <c r="S294">
        <v>288</v>
      </c>
    </row>
    <row r="295" spans="18:19">
      <c r="R295" s="5">
        <v>12445.321239999999</v>
      </c>
      <c r="S295">
        <v>289</v>
      </c>
    </row>
    <row r="296" spans="18:19">
      <c r="R296" s="5">
        <v>12450.77202</v>
      </c>
      <c r="S296">
        <v>290</v>
      </c>
    </row>
    <row r="297" spans="18:19">
      <c r="R297" s="5">
        <v>12456.2228</v>
      </c>
      <c r="S297">
        <v>291</v>
      </c>
    </row>
    <row r="298" spans="18:19">
      <c r="R298" s="5">
        <v>12461.673580000001</v>
      </c>
      <c r="S298">
        <v>292</v>
      </c>
    </row>
    <row r="299" spans="18:19">
      <c r="R299" s="5">
        <v>12467.12435</v>
      </c>
      <c r="S299">
        <v>293</v>
      </c>
    </row>
    <row r="300" spans="18:19">
      <c r="R300" s="5">
        <v>12472.575129999999</v>
      </c>
      <c r="S300">
        <v>294</v>
      </c>
    </row>
    <row r="301" spans="18:19">
      <c r="R301" s="5">
        <v>12478.02591</v>
      </c>
      <c r="S301">
        <v>295</v>
      </c>
    </row>
    <row r="302" spans="18:19">
      <c r="R302" s="5">
        <v>12483.47668</v>
      </c>
      <c r="S302">
        <v>296</v>
      </c>
    </row>
    <row r="303" spans="18:19">
      <c r="R303" s="5">
        <v>12488.927460000001</v>
      </c>
      <c r="S303">
        <v>297</v>
      </c>
    </row>
    <row r="304" spans="18:19">
      <c r="R304" s="5">
        <v>12494.37824</v>
      </c>
      <c r="S304">
        <v>298</v>
      </c>
    </row>
    <row r="305" spans="18:19">
      <c r="R305" s="5">
        <v>12499.829019999999</v>
      </c>
      <c r="S305">
        <v>299</v>
      </c>
    </row>
    <row r="306" spans="18:19">
      <c r="R306" s="5">
        <v>12505.279790000001</v>
      </c>
      <c r="S306">
        <v>300</v>
      </c>
    </row>
    <row r="307" spans="18:19">
      <c r="R307" s="5">
        <v>12510.73057</v>
      </c>
      <c r="S307">
        <v>301</v>
      </c>
    </row>
    <row r="308" spans="18:19">
      <c r="R308" s="5">
        <v>12516.181350000001</v>
      </c>
      <c r="S308">
        <v>302</v>
      </c>
    </row>
    <row r="309" spans="18:19">
      <c r="R309" s="5">
        <v>12521.63212</v>
      </c>
      <c r="S309">
        <v>303</v>
      </c>
    </row>
    <row r="310" spans="18:19">
      <c r="R310" s="5">
        <v>12527.082899999999</v>
      </c>
      <c r="S310">
        <v>304</v>
      </c>
    </row>
    <row r="311" spans="18:19">
      <c r="R311" s="5">
        <v>12532.53368</v>
      </c>
      <c r="S311">
        <v>305</v>
      </c>
    </row>
    <row r="312" spans="18:19">
      <c r="R312" s="5">
        <v>12537.98446</v>
      </c>
      <c r="S312">
        <v>306</v>
      </c>
    </row>
    <row r="313" spans="18:19">
      <c r="R313" s="5">
        <v>12543.435229999999</v>
      </c>
      <c r="S313">
        <v>307</v>
      </c>
    </row>
    <row r="314" spans="18:19">
      <c r="R314" s="5">
        <v>12548.88601</v>
      </c>
      <c r="S314">
        <v>308</v>
      </c>
    </row>
    <row r="315" spans="18:19">
      <c r="R315" s="5">
        <v>12554.336789999999</v>
      </c>
      <c r="S315">
        <v>309</v>
      </c>
    </row>
    <row r="316" spans="18:19">
      <c r="R316" s="5">
        <v>12559.787560000001</v>
      </c>
      <c r="S316">
        <v>310</v>
      </c>
    </row>
    <row r="317" spans="18:19">
      <c r="R317" s="5">
        <v>12565.23834</v>
      </c>
      <c r="S317">
        <v>311</v>
      </c>
    </row>
    <row r="318" spans="18:19">
      <c r="R318" s="5">
        <v>12570.689119999999</v>
      </c>
      <c r="S318">
        <v>312</v>
      </c>
    </row>
    <row r="319" spans="18:19">
      <c r="R319" s="5">
        <v>12576.1399</v>
      </c>
      <c r="S319">
        <v>313</v>
      </c>
    </row>
    <row r="320" spans="18:19">
      <c r="R320" s="5">
        <v>12581.59067</v>
      </c>
      <c r="S320">
        <v>314</v>
      </c>
    </row>
    <row r="321" spans="18:19">
      <c r="R321" s="5">
        <v>12587.041450000001</v>
      </c>
      <c r="S321">
        <v>315</v>
      </c>
    </row>
    <row r="322" spans="18:19">
      <c r="R322" s="5">
        <v>12592.49223</v>
      </c>
      <c r="S322">
        <v>316</v>
      </c>
    </row>
    <row r="323" spans="18:19">
      <c r="R323" s="5">
        <v>12597.943010000001</v>
      </c>
      <c r="S323">
        <v>317</v>
      </c>
    </row>
    <row r="324" spans="18:19">
      <c r="R324" s="5">
        <v>12603.39378</v>
      </c>
      <c r="S324">
        <v>318</v>
      </c>
    </row>
    <row r="325" spans="18:19">
      <c r="R325" s="5">
        <v>12608.84456</v>
      </c>
      <c r="S325">
        <v>319</v>
      </c>
    </row>
    <row r="326" spans="18:19">
      <c r="R326" s="5">
        <v>12614.295340000001</v>
      </c>
      <c r="S326">
        <v>320</v>
      </c>
    </row>
    <row r="327" spans="18:19">
      <c r="R327" s="5">
        <v>12619.74611</v>
      </c>
      <c r="S327">
        <v>321</v>
      </c>
    </row>
    <row r="328" spans="18:19">
      <c r="R328" s="5">
        <v>12625.196889999999</v>
      </c>
      <c r="S328">
        <v>322</v>
      </c>
    </row>
    <row r="329" spans="18:19">
      <c r="R329" s="5">
        <v>12630.64767</v>
      </c>
      <c r="S329">
        <v>323</v>
      </c>
    </row>
    <row r="330" spans="18:19">
      <c r="R330" s="5">
        <v>12636.09845</v>
      </c>
      <c r="S330">
        <v>324</v>
      </c>
    </row>
    <row r="331" spans="18:19">
      <c r="R331" s="5">
        <v>12641.549220000001</v>
      </c>
      <c r="S331">
        <v>325</v>
      </c>
    </row>
    <row r="332" spans="18:19">
      <c r="R332" s="5">
        <v>12647</v>
      </c>
      <c r="S332">
        <v>326</v>
      </c>
    </row>
    <row r="333" spans="18:19">
      <c r="R333" s="5">
        <v>12651.51701</v>
      </c>
      <c r="S333">
        <v>327</v>
      </c>
    </row>
    <row r="334" spans="18:19">
      <c r="R334" s="5">
        <v>12656.034009999999</v>
      </c>
      <c r="S334">
        <v>328</v>
      </c>
    </row>
    <row r="335" spans="18:19">
      <c r="R335" s="5">
        <v>12660.551020000001</v>
      </c>
      <c r="S335">
        <v>329</v>
      </c>
    </row>
    <row r="336" spans="18:19">
      <c r="R336" s="5">
        <v>12665.06803</v>
      </c>
      <c r="S336">
        <v>330</v>
      </c>
    </row>
    <row r="337" spans="18:19">
      <c r="R337" s="5">
        <v>12669.58503</v>
      </c>
      <c r="S337">
        <v>331</v>
      </c>
    </row>
    <row r="338" spans="18:19">
      <c r="R338" s="5">
        <v>12674.10204</v>
      </c>
      <c r="S338">
        <v>332</v>
      </c>
    </row>
    <row r="339" spans="18:19">
      <c r="R339" s="5">
        <v>12678.619049999999</v>
      </c>
      <c r="S339">
        <v>333</v>
      </c>
    </row>
    <row r="340" spans="18:19">
      <c r="R340" s="5">
        <v>12683.136049999999</v>
      </c>
      <c r="S340">
        <v>334</v>
      </c>
    </row>
    <row r="341" spans="18:19">
      <c r="R341" s="5">
        <v>12687.653060000001</v>
      </c>
      <c r="S341">
        <v>335</v>
      </c>
    </row>
    <row r="342" spans="18:19">
      <c r="R342" s="5">
        <v>12692.17007</v>
      </c>
      <c r="S342">
        <v>336</v>
      </c>
    </row>
    <row r="343" spans="18:19">
      <c r="R343" s="5">
        <v>12696.68707</v>
      </c>
      <c r="S343">
        <v>337</v>
      </c>
    </row>
    <row r="344" spans="18:19">
      <c r="R344" s="5">
        <v>12701.20408</v>
      </c>
      <c r="S344">
        <v>338</v>
      </c>
    </row>
    <row r="345" spans="18:19">
      <c r="R345" s="5">
        <v>12705.721089999999</v>
      </c>
      <c r="S345">
        <v>339</v>
      </c>
    </row>
    <row r="346" spans="18:19">
      <c r="R346" s="5">
        <v>12710.2381</v>
      </c>
      <c r="S346">
        <v>340</v>
      </c>
    </row>
    <row r="347" spans="18:19">
      <c r="R347" s="5">
        <v>12714.7551</v>
      </c>
      <c r="S347">
        <v>341</v>
      </c>
    </row>
    <row r="348" spans="18:19">
      <c r="R348" s="5">
        <v>12719.27211</v>
      </c>
      <c r="S348">
        <v>342</v>
      </c>
    </row>
    <row r="349" spans="18:19">
      <c r="R349" s="5">
        <v>12723.789119999999</v>
      </c>
      <c r="S349">
        <v>343</v>
      </c>
    </row>
    <row r="350" spans="18:19">
      <c r="R350" s="5">
        <v>12728.306119999999</v>
      </c>
      <c r="S350">
        <v>344</v>
      </c>
    </row>
    <row r="351" spans="18:19">
      <c r="R351" s="5">
        <v>12732.823130000001</v>
      </c>
      <c r="S351">
        <v>345</v>
      </c>
    </row>
    <row r="352" spans="18:19">
      <c r="R352" s="5">
        <v>12737.34014</v>
      </c>
      <c r="S352">
        <v>346</v>
      </c>
    </row>
    <row r="353" spans="18:19">
      <c r="R353" s="5">
        <v>12741.85714</v>
      </c>
      <c r="S353">
        <v>347</v>
      </c>
    </row>
    <row r="354" spans="18:19">
      <c r="R354" s="5">
        <v>12746.37415</v>
      </c>
      <c r="S354">
        <v>348</v>
      </c>
    </row>
    <row r="355" spans="18:19">
      <c r="R355" s="5">
        <v>12750.891159999999</v>
      </c>
      <c r="S355">
        <v>349</v>
      </c>
    </row>
    <row r="356" spans="18:19">
      <c r="R356" s="5">
        <v>12755.408160000001</v>
      </c>
      <c r="S356">
        <v>350</v>
      </c>
    </row>
    <row r="357" spans="18:19">
      <c r="R357" s="5">
        <v>12759.92517</v>
      </c>
      <c r="S357">
        <v>351</v>
      </c>
    </row>
    <row r="358" spans="18:19">
      <c r="R358" s="5">
        <v>12764.44218</v>
      </c>
      <c r="S358">
        <v>352</v>
      </c>
    </row>
    <row r="359" spans="18:19">
      <c r="R359" s="5">
        <v>12768.95918</v>
      </c>
      <c r="S359">
        <v>353</v>
      </c>
    </row>
    <row r="360" spans="18:19">
      <c r="R360" s="5">
        <v>12773.476189999999</v>
      </c>
      <c r="S360">
        <v>354</v>
      </c>
    </row>
    <row r="361" spans="18:19">
      <c r="R361" s="5">
        <v>12777.993200000001</v>
      </c>
      <c r="S361">
        <v>355</v>
      </c>
    </row>
    <row r="362" spans="18:19">
      <c r="R362" s="5">
        <v>12782.510200000001</v>
      </c>
      <c r="S362">
        <v>356</v>
      </c>
    </row>
    <row r="363" spans="18:19">
      <c r="R363" s="5">
        <v>12787.02721</v>
      </c>
      <c r="S363">
        <v>357</v>
      </c>
    </row>
    <row r="364" spans="18:19">
      <c r="R364" s="5">
        <v>12791.54422</v>
      </c>
      <c r="S364">
        <v>358</v>
      </c>
    </row>
    <row r="365" spans="18:19">
      <c r="R365" s="5">
        <v>12796.06122</v>
      </c>
      <c r="S365">
        <v>359</v>
      </c>
    </row>
    <row r="366" spans="18:19">
      <c r="R366" s="5">
        <v>12800.578229999999</v>
      </c>
      <c r="S366">
        <v>360</v>
      </c>
    </row>
    <row r="367" spans="18:19">
      <c r="R367" s="5">
        <v>12805.095240000001</v>
      </c>
      <c r="S367">
        <v>361</v>
      </c>
    </row>
    <row r="368" spans="18:19">
      <c r="R368" s="5">
        <v>12809.61224</v>
      </c>
      <c r="S368">
        <v>362</v>
      </c>
    </row>
    <row r="369" spans="18:19">
      <c r="R369" s="5">
        <v>12814.12925</v>
      </c>
      <c r="S369">
        <v>363</v>
      </c>
    </row>
    <row r="370" spans="18:19">
      <c r="R370" s="5">
        <v>12818.64626</v>
      </c>
      <c r="S370">
        <v>364</v>
      </c>
    </row>
    <row r="371" spans="18:19">
      <c r="R371" s="5">
        <v>12823.163269999999</v>
      </c>
      <c r="S371">
        <v>365</v>
      </c>
    </row>
    <row r="372" spans="18:19">
      <c r="R372" s="5">
        <v>12827.680270000001</v>
      </c>
      <c r="S372">
        <v>366</v>
      </c>
    </row>
    <row r="373" spans="18:19">
      <c r="R373" s="5">
        <v>12832.19728</v>
      </c>
      <c r="S373">
        <v>367</v>
      </c>
    </row>
    <row r="374" spans="18:19">
      <c r="R374" s="5">
        <v>12836.71429</v>
      </c>
      <c r="S374">
        <v>368</v>
      </c>
    </row>
    <row r="375" spans="18:19">
      <c r="R375" s="5">
        <v>12841.23129</v>
      </c>
      <c r="S375">
        <v>369</v>
      </c>
    </row>
    <row r="376" spans="18:19">
      <c r="R376" s="5">
        <v>12845.748299999999</v>
      </c>
      <c r="S376">
        <v>370</v>
      </c>
    </row>
    <row r="377" spans="18:19">
      <c r="R377" s="5">
        <v>12850.265310000001</v>
      </c>
      <c r="S377">
        <v>371</v>
      </c>
    </row>
    <row r="378" spans="18:19">
      <c r="R378" s="5">
        <v>12854.782310000001</v>
      </c>
      <c r="S378">
        <v>372</v>
      </c>
    </row>
    <row r="379" spans="18:19">
      <c r="R379" s="5">
        <v>12859.29932</v>
      </c>
      <c r="S379">
        <v>373</v>
      </c>
    </row>
    <row r="380" spans="18:19">
      <c r="R380" s="5">
        <v>12863.81633</v>
      </c>
      <c r="S380">
        <v>374</v>
      </c>
    </row>
    <row r="381" spans="18:19">
      <c r="R381" s="5">
        <v>12868.333329999999</v>
      </c>
      <c r="S381">
        <v>375</v>
      </c>
    </row>
    <row r="382" spans="18:19">
      <c r="R382" s="5">
        <v>12872.850340000001</v>
      </c>
      <c r="S382">
        <v>376</v>
      </c>
    </row>
    <row r="383" spans="18:19">
      <c r="R383" s="5">
        <v>12877.36735</v>
      </c>
      <c r="S383">
        <v>377</v>
      </c>
    </row>
    <row r="384" spans="18:19">
      <c r="R384" s="5">
        <v>12881.88435</v>
      </c>
      <c r="S384">
        <v>378</v>
      </c>
    </row>
    <row r="385" spans="18:19">
      <c r="R385" s="5">
        <v>12886.40136</v>
      </c>
      <c r="S385">
        <v>379</v>
      </c>
    </row>
    <row r="386" spans="18:19">
      <c r="R386" s="5">
        <v>12890.918369999999</v>
      </c>
      <c r="S386">
        <v>380</v>
      </c>
    </row>
    <row r="387" spans="18:19">
      <c r="R387" s="5">
        <v>12895.435369999999</v>
      </c>
      <c r="S387">
        <v>381</v>
      </c>
    </row>
    <row r="388" spans="18:19">
      <c r="R388" s="5">
        <v>12899.952380000001</v>
      </c>
      <c r="S388">
        <v>382</v>
      </c>
    </row>
    <row r="389" spans="18:19">
      <c r="R389" s="5">
        <v>12904.46939</v>
      </c>
      <c r="S389">
        <v>383</v>
      </c>
    </row>
    <row r="390" spans="18:19">
      <c r="R390" s="5">
        <v>12908.98639</v>
      </c>
      <c r="S390">
        <v>384</v>
      </c>
    </row>
    <row r="391" spans="18:19">
      <c r="R391" s="5">
        <v>12913.5034</v>
      </c>
      <c r="S391">
        <v>385</v>
      </c>
    </row>
    <row r="392" spans="18:19">
      <c r="R392" s="5">
        <v>12918.020409999999</v>
      </c>
      <c r="S392">
        <v>386</v>
      </c>
    </row>
    <row r="393" spans="18:19">
      <c r="R393" s="5">
        <v>12922.537410000001</v>
      </c>
      <c r="S393">
        <v>387</v>
      </c>
    </row>
    <row r="394" spans="18:19">
      <c r="R394" s="5">
        <v>12927.05442</v>
      </c>
      <c r="S394">
        <v>388</v>
      </c>
    </row>
    <row r="395" spans="18:19">
      <c r="R395" s="5">
        <v>12931.57143</v>
      </c>
      <c r="S395">
        <v>389</v>
      </c>
    </row>
    <row r="396" spans="18:19">
      <c r="R396" s="5">
        <v>12936.08844</v>
      </c>
      <c r="S396">
        <v>390</v>
      </c>
    </row>
    <row r="397" spans="18:19">
      <c r="R397" s="5">
        <v>12940.605439999999</v>
      </c>
      <c r="S397">
        <v>391</v>
      </c>
    </row>
    <row r="398" spans="18:19">
      <c r="R398" s="5">
        <v>12945.122450000001</v>
      </c>
      <c r="S398">
        <v>392</v>
      </c>
    </row>
    <row r="399" spans="18:19">
      <c r="R399" s="5">
        <v>12949.63946</v>
      </c>
      <c r="S399">
        <v>393</v>
      </c>
    </row>
    <row r="400" spans="18:19">
      <c r="R400" s="5">
        <v>12954.15646</v>
      </c>
      <c r="S400">
        <v>394</v>
      </c>
    </row>
    <row r="401" spans="18:19">
      <c r="R401" s="5">
        <v>12958.67347</v>
      </c>
      <c r="S401">
        <v>395</v>
      </c>
    </row>
    <row r="402" spans="18:19">
      <c r="R402" s="5">
        <v>12963.190479999999</v>
      </c>
      <c r="S402">
        <v>396</v>
      </c>
    </row>
    <row r="403" spans="18:19">
      <c r="R403" s="5">
        <v>12967.707479999999</v>
      </c>
      <c r="S403">
        <v>397</v>
      </c>
    </row>
    <row r="404" spans="18:19">
      <c r="R404" s="5">
        <v>12972.224490000001</v>
      </c>
      <c r="S404">
        <v>398</v>
      </c>
    </row>
    <row r="405" spans="18:19">
      <c r="R405" s="5">
        <v>12976.7415</v>
      </c>
      <c r="S405">
        <v>399</v>
      </c>
    </row>
    <row r="406" spans="18:19">
      <c r="R406" s="5">
        <v>12979.74</v>
      </c>
      <c r="S406">
        <v>400</v>
      </c>
    </row>
    <row r="407" spans="18:19">
      <c r="R407" s="5">
        <v>12981.22</v>
      </c>
      <c r="S407">
        <v>401</v>
      </c>
    </row>
    <row r="408" spans="18:19">
      <c r="R408" s="5">
        <v>12982.7</v>
      </c>
      <c r="S408">
        <v>402</v>
      </c>
    </row>
    <row r="409" spans="18:19">
      <c r="R409" s="5">
        <v>12984.18</v>
      </c>
      <c r="S409">
        <v>403</v>
      </c>
    </row>
    <row r="410" spans="18:19">
      <c r="R410" s="5">
        <v>12985.66</v>
      </c>
      <c r="S410">
        <v>404</v>
      </c>
    </row>
    <row r="411" spans="18:19">
      <c r="R411" s="5">
        <v>12987.14</v>
      </c>
      <c r="S411">
        <v>405</v>
      </c>
    </row>
    <row r="412" spans="18:19">
      <c r="R412" s="5">
        <v>12988.62</v>
      </c>
      <c r="S412">
        <v>406</v>
      </c>
    </row>
    <row r="413" spans="18:19">
      <c r="R413" s="5">
        <v>12990.1</v>
      </c>
      <c r="S413">
        <v>407</v>
      </c>
    </row>
    <row r="414" spans="18:19">
      <c r="R414" s="5">
        <v>12991.58</v>
      </c>
      <c r="S414">
        <v>408</v>
      </c>
    </row>
    <row r="415" spans="18:19">
      <c r="R415" s="5">
        <v>12993.06</v>
      </c>
      <c r="S415">
        <v>409</v>
      </c>
    </row>
    <row r="416" spans="18:19">
      <c r="R416" s="5">
        <v>12994.54</v>
      </c>
      <c r="S416">
        <v>410</v>
      </c>
    </row>
    <row r="417" spans="18:19">
      <c r="R417" s="5">
        <v>12996.02</v>
      </c>
      <c r="S417">
        <v>411</v>
      </c>
    </row>
    <row r="418" spans="18:19">
      <c r="R418" s="5">
        <v>12997.5</v>
      </c>
      <c r="S418">
        <v>412</v>
      </c>
    </row>
    <row r="419" spans="18:19">
      <c r="R419" s="5">
        <v>12998.98</v>
      </c>
      <c r="S419">
        <v>413</v>
      </c>
    </row>
    <row r="420" spans="18:19">
      <c r="R420" s="5">
        <v>13000.46</v>
      </c>
      <c r="S420">
        <v>414</v>
      </c>
    </row>
    <row r="421" spans="18:19">
      <c r="R421" s="5">
        <v>13001.94</v>
      </c>
      <c r="S421">
        <v>415</v>
      </c>
    </row>
    <row r="422" spans="18:19">
      <c r="R422" s="5">
        <v>13003.42</v>
      </c>
      <c r="S422">
        <v>416</v>
      </c>
    </row>
    <row r="423" spans="18:19">
      <c r="R423" s="5">
        <v>13004.9</v>
      </c>
      <c r="S423">
        <v>417</v>
      </c>
    </row>
    <row r="424" spans="18:19">
      <c r="R424" s="5">
        <v>13006.38</v>
      </c>
      <c r="S424">
        <v>418</v>
      </c>
    </row>
    <row r="425" spans="18:19">
      <c r="R425" s="5">
        <v>13007.86</v>
      </c>
      <c r="S425">
        <v>419</v>
      </c>
    </row>
    <row r="426" spans="18:19">
      <c r="R426" s="5">
        <v>13009.34</v>
      </c>
      <c r="S426">
        <v>420</v>
      </c>
    </row>
    <row r="427" spans="18:19">
      <c r="R427" s="5">
        <v>13010.82</v>
      </c>
      <c r="S427">
        <v>421</v>
      </c>
    </row>
    <row r="428" spans="18:19">
      <c r="R428" s="5">
        <v>13012.3</v>
      </c>
      <c r="S428">
        <v>422</v>
      </c>
    </row>
    <row r="429" spans="18:19">
      <c r="R429" s="5">
        <v>13013.78</v>
      </c>
      <c r="S429">
        <v>423</v>
      </c>
    </row>
    <row r="430" spans="18:19">
      <c r="R430" s="5">
        <v>13015.26</v>
      </c>
      <c r="S430">
        <v>424</v>
      </c>
    </row>
    <row r="431" spans="18:19">
      <c r="R431" s="5">
        <v>13016.74</v>
      </c>
      <c r="S431">
        <v>425</v>
      </c>
    </row>
    <row r="432" spans="18:19">
      <c r="R432" s="5">
        <v>13018.22</v>
      </c>
      <c r="S432">
        <v>426</v>
      </c>
    </row>
    <row r="433" spans="18:19">
      <c r="R433" s="5">
        <v>13019.7</v>
      </c>
      <c r="S433">
        <v>427</v>
      </c>
    </row>
    <row r="434" spans="18:19">
      <c r="R434" s="5">
        <v>13021.18</v>
      </c>
      <c r="S434">
        <v>428</v>
      </c>
    </row>
    <row r="435" spans="18:19">
      <c r="R435" s="5">
        <v>13022.66</v>
      </c>
      <c r="S435">
        <v>429</v>
      </c>
    </row>
    <row r="436" spans="18:19">
      <c r="R436" s="5">
        <v>13024.14</v>
      </c>
      <c r="S436">
        <v>430</v>
      </c>
    </row>
    <row r="437" spans="18:19">
      <c r="R437" s="5">
        <v>13025.62</v>
      </c>
      <c r="S437">
        <v>431</v>
      </c>
    </row>
    <row r="438" spans="18:19">
      <c r="R438" s="5">
        <v>13027.1</v>
      </c>
      <c r="S438">
        <v>432</v>
      </c>
    </row>
    <row r="439" spans="18:19">
      <c r="R439" s="5">
        <v>13028.58</v>
      </c>
      <c r="S439">
        <v>433</v>
      </c>
    </row>
    <row r="440" spans="18:19">
      <c r="R440" s="5">
        <v>13030.06</v>
      </c>
      <c r="S440">
        <v>434</v>
      </c>
    </row>
    <row r="441" spans="18:19">
      <c r="R441" s="5">
        <v>13031.54</v>
      </c>
      <c r="S441">
        <v>435</v>
      </c>
    </row>
    <row r="442" spans="18:19">
      <c r="R442" s="5">
        <v>13033.02</v>
      </c>
      <c r="S442">
        <v>436</v>
      </c>
    </row>
    <row r="443" spans="18:19">
      <c r="R443" s="5">
        <v>13034.5</v>
      </c>
      <c r="S443">
        <v>437</v>
      </c>
    </row>
    <row r="444" spans="18:19">
      <c r="R444" s="5">
        <v>13035.98</v>
      </c>
      <c r="S444">
        <v>438</v>
      </c>
    </row>
    <row r="445" spans="18:19">
      <c r="R445" s="5">
        <v>13037.46</v>
      </c>
      <c r="S445">
        <v>439</v>
      </c>
    </row>
    <row r="446" spans="18:19">
      <c r="R446" s="5">
        <v>13038.94</v>
      </c>
      <c r="S446">
        <v>440</v>
      </c>
    </row>
    <row r="447" spans="18:19">
      <c r="R447" s="5">
        <v>13040.42</v>
      </c>
      <c r="S447">
        <v>441</v>
      </c>
    </row>
    <row r="448" spans="18:19">
      <c r="R448" s="5">
        <v>13041.9</v>
      </c>
      <c r="S448">
        <v>442</v>
      </c>
    </row>
    <row r="449" spans="18:19">
      <c r="R449" s="5">
        <v>13043.38</v>
      </c>
      <c r="S449">
        <v>443</v>
      </c>
    </row>
    <row r="450" spans="18:19">
      <c r="R450" s="5">
        <v>13044.86</v>
      </c>
      <c r="S450">
        <v>444</v>
      </c>
    </row>
    <row r="451" spans="18:19">
      <c r="R451" s="5">
        <v>13046.34</v>
      </c>
      <c r="S451">
        <v>445</v>
      </c>
    </row>
    <row r="452" spans="18:19">
      <c r="R452" s="5">
        <v>13047.82</v>
      </c>
      <c r="S452">
        <v>446</v>
      </c>
    </row>
    <row r="453" spans="18:19">
      <c r="R453" s="5">
        <v>13049.3</v>
      </c>
      <c r="S453">
        <v>447</v>
      </c>
    </row>
    <row r="454" spans="18:19">
      <c r="R454" s="5">
        <v>13050.78</v>
      </c>
      <c r="S454">
        <v>448</v>
      </c>
    </row>
    <row r="455" spans="18:19">
      <c r="R455" s="5">
        <v>13052.26</v>
      </c>
      <c r="S455">
        <v>449</v>
      </c>
    </row>
    <row r="456" spans="18:19">
      <c r="R456" s="5">
        <v>13054.067800000001</v>
      </c>
      <c r="S456">
        <v>450</v>
      </c>
    </row>
    <row r="457" spans="18:19">
      <c r="R457" s="5">
        <v>13056.203390000001</v>
      </c>
      <c r="S457">
        <v>451</v>
      </c>
    </row>
    <row r="458" spans="18:19">
      <c r="R458" s="5">
        <v>13058.33898</v>
      </c>
      <c r="S458">
        <v>452</v>
      </c>
    </row>
    <row r="459" spans="18:19">
      <c r="R459" s="5">
        <v>13060.47458</v>
      </c>
      <c r="S459">
        <v>453</v>
      </c>
    </row>
    <row r="460" spans="18:19">
      <c r="R460" s="5">
        <v>13062.61017</v>
      </c>
      <c r="S460">
        <v>454</v>
      </c>
    </row>
    <row r="461" spans="18:19">
      <c r="R461" s="5">
        <v>13064.74576</v>
      </c>
      <c r="S461">
        <v>455</v>
      </c>
    </row>
    <row r="462" spans="18:19">
      <c r="R462" s="5">
        <v>13066.881359999999</v>
      </c>
      <c r="S462">
        <v>456</v>
      </c>
    </row>
    <row r="463" spans="18:19">
      <c r="R463" s="5">
        <v>13069.016949999999</v>
      </c>
      <c r="S463">
        <v>457</v>
      </c>
    </row>
    <row r="464" spans="18:19">
      <c r="R464" s="5">
        <v>13071.152539999999</v>
      </c>
      <c r="S464">
        <v>458</v>
      </c>
    </row>
    <row r="465" spans="18:19">
      <c r="R465" s="5">
        <v>13073.288140000001</v>
      </c>
      <c r="S465">
        <v>459</v>
      </c>
    </row>
    <row r="466" spans="18:19">
      <c r="R466" s="5">
        <v>13075.42373</v>
      </c>
      <c r="S466">
        <v>460</v>
      </c>
    </row>
    <row r="467" spans="18:19">
      <c r="R467" s="5">
        <v>13077.55932</v>
      </c>
      <c r="S467">
        <v>461</v>
      </c>
    </row>
    <row r="468" spans="18:19">
      <c r="R468" s="5">
        <v>13079.69492</v>
      </c>
      <c r="S468">
        <v>462</v>
      </c>
    </row>
    <row r="469" spans="18:19">
      <c r="R469" s="5">
        <v>13081.83051</v>
      </c>
      <c r="S469">
        <v>463</v>
      </c>
    </row>
    <row r="470" spans="18:19">
      <c r="R470" s="5">
        <v>13083.9661</v>
      </c>
      <c r="S470">
        <v>464</v>
      </c>
    </row>
    <row r="471" spans="18:19">
      <c r="R471" s="5">
        <v>13086.10169</v>
      </c>
      <c r="S471">
        <v>465</v>
      </c>
    </row>
    <row r="472" spans="18:19">
      <c r="R472" s="5">
        <v>13088.237289999999</v>
      </c>
      <c r="S472">
        <v>466</v>
      </c>
    </row>
    <row r="473" spans="18:19">
      <c r="R473" s="5">
        <v>13090.372880000001</v>
      </c>
      <c r="S473">
        <v>467</v>
      </c>
    </row>
    <row r="474" spans="18:19">
      <c r="R474" s="5">
        <v>13092.508470000001</v>
      </c>
      <c r="S474">
        <v>468</v>
      </c>
    </row>
    <row r="475" spans="18:19">
      <c r="R475" s="5">
        <v>13094.64407</v>
      </c>
      <c r="S475">
        <v>469</v>
      </c>
    </row>
    <row r="476" spans="18:19">
      <c r="R476" s="5">
        <v>13096.77966</v>
      </c>
      <c r="S476">
        <v>470</v>
      </c>
    </row>
    <row r="477" spans="18:19">
      <c r="R477" s="5">
        <v>13098.91525</v>
      </c>
      <c r="S477">
        <v>471</v>
      </c>
    </row>
    <row r="478" spans="18:19">
      <c r="R478" s="5">
        <v>13101.05085</v>
      </c>
      <c r="S478">
        <v>472</v>
      </c>
    </row>
    <row r="479" spans="18:19">
      <c r="R479" s="5">
        <v>13103.186439999999</v>
      </c>
      <c r="S479">
        <v>473</v>
      </c>
    </row>
    <row r="480" spans="18:19">
      <c r="R480" s="5">
        <v>13105.322029999999</v>
      </c>
      <c r="S480">
        <v>474</v>
      </c>
    </row>
    <row r="481" spans="18:19">
      <c r="R481" s="5">
        <v>13107.457630000001</v>
      </c>
      <c r="S481">
        <v>475</v>
      </c>
    </row>
    <row r="482" spans="18:19">
      <c r="R482" s="5">
        <v>13109.593220000001</v>
      </c>
      <c r="S482">
        <v>476</v>
      </c>
    </row>
    <row r="483" spans="18:19">
      <c r="R483" s="5">
        <v>13111.728810000001</v>
      </c>
      <c r="S483">
        <v>477</v>
      </c>
    </row>
    <row r="484" spans="18:19">
      <c r="R484" s="5">
        <v>13113.86441</v>
      </c>
      <c r="S484">
        <v>478</v>
      </c>
    </row>
    <row r="485" spans="18:19">
      <c r="R485" s="5">
        <v>13116</v>
      </c>
      <c r="S485">
        <v>479</v>
      </c>
    </row>
    <row r="486" spans="18:19">
      <c r="R486" s="5">
        <v>13134.5</v>
      </c>
      <c r="S486">
        <v>480</v>
      </c>
    </row>
    <row r="487" spans="18:19">
      <c r="R487" s="5">
        <v>13153</v>
      </c>
      <c r="S487">
        <v>481</v>
      </c>
    </row>
    <row r="488" spans="18:19">
      <c r="R488" s="5">
        <v>13171.5</v>
      </c>
      <c r="S488">
        <v>482</v>
      </c>
    </row>
    <row r="489" spans="18:19">
      <c r="R489" s="5">
        <v>13190</v>
      </c>
      <c r="S489">
        <v>483</v>
      </c>
    </row>
    <row r="490" spans="18:19">
      <c r="R490" s="5">
        <v>13208.5</v>
      </c>
      <c r="S490">
        <v>484</v>
      </c>
    </row>
    <row r="491" spans="18:19">
      <c r="R491" s="5">
        <v>13227</v>
      </c>
      <c r="S491">
        <v>485</v>
      </c>
    </row>
    <row r="492" spans="18:19">
      <c r="R492" s="5">
        <v>13245.5</v>
      </c>
      <c r="S492">
        <v>486</v>
      </c>
    </row>
    <row r="493" spans="18:19">
      <c r="R493" s="5">
        <v>13264</v>
      </c>
      <c r="S493">
        <v>487</v>
      </c>
    </row>
    <row r="494" spans="18:19">
      <c r="R494" s="5">
        <v>13282.5</v>
      </c>
      <c r="S494">
        <v>488</v>
      </c>
    </row>
    <row r="495" spans="18:19">
      <c r="R495" s="5">
        <v>13301</v>
      </c>
      <c r="S495">
        <v>489</v>
      </c>
    </row>
    <row r="496" spans="18:19">
      <c r="R496" s="5">
        <v>13319.5</v>
      </c>
      <c r="S496">
        <v>490</v>
      </c>
    </row>
    <row r="497" spans="18:19">
      <c r="R497" s="5">
        <v>13338</v>
      </c>
      <c r="S497">
        <v>491</v>
      </c>
    </row>
    <row r="498" spans="18:19">
      <c r="R498" s="5">
        <v>13356.5</v>
      </c>
      <c r="S498">
        <v>492</v>
      </c>
    </row>
    <row r="499" spans="18:19">
      <c r="R499" s="5">
        <v>13375</v>
      </c>
      <c r="S499">
        <v>493</v>
      </c>
    </row>
    <row r="500" spans="18:19">
      <c r="R500" s="5">
        <v>13393.5</v>
      </c>
      <c r="S500">
        <v>494</v>
      </c>
    </row>
    <row r="501" spans="18:19">
      <c r="R501" s="5">
        <v>13412</v>
      </c>
      <c r="S501">
        <v>495</v>
      </c>
    </row>
    <row r="502" spans="18:19">
      <c r="R502" s="5">
        <v>13430.5</v>
      </c>
      <c r="S502">
        <v>496</v>
      </c>
    </row>
    <row r="503" spans="18:19">
      <c r="R503" s="5">
        <v>13449</v>
      </c>
      <c r="S503">
        <v>497</v>
      </c>
    </row>
    <row r="504" spans="18:19">
      <c r="R504" s="5">
        <v>13467.5</v>
      </c>
      <c r="S504">
        <v>498</v>
      </c>
    </row>
    <row r="505" spans="18:19">
      <c r="R505" s="5">
        <v>13486</v>
      </c>
      <c r="S505">
        <v>499</v>
      </c>
    </row>
    <row r="506" spans="18:19">
      <c r="R506" s="5">
        <v>13504.5</v>
      </c>
      <c r="S506">
        <v>500</v>
      </c>
    </row>
    <row r="507" spans="18:19">
      <c r="R507" s="5">
        <v>13523</v>
      </c>
      <c r="S507">
        <v>501</v>
      </c>
    </row>
    <row r="508" spans="18:19">
      <c r="R508" s="5">
        <v>13541.5</v>
      </c>
      <c r="S508">
        <v>502</v>
      </c>
    </row>
    <row r="509" spans="18:19">
      <c r="R509" s="5">
        <v>13560</v>
      </c>
      <c r="S509">
        <v>503</v>
      </c>
    </row>
    <row r="510" spans="18:19">
      <c r="R510" s="5">
        <v>13578.5</v>
      </c>
      <c r="S510">
        <v>504</v>
      </c>
    </row>
    <row r="511" spans="18:19">
      <c r="R511" s="5">
        <v>13597</v>
      </c>
      <c r="S511">
        <v>505</v>
      </c>
    </row>
    <row r="512" spans="18:19">
      <c r="R512" s="5">
        <v>13632.43636</v>
      </c>
      <c r="S512">
        <v>506</v>
      </c>
    </row>
    <row r="513" spans="18:19">
      <c r="R513" s="5">
        <v>13667.872729999999</v>
      </c>
      <c r="S513">
        <v>507</v>
      </c>
    </row>
    <row r="514" spans="18:19">
      <c r="R514" s="5">
        <v>13703.309090000001</v>
      </c>
      <c r="S514">
        <v>508</v>
      </c>
    </row>
    <row r="515" spans="18:19">
      <c r="R515" s="5">
        <v>13738.74545</v>
      </c>
      <c r="S515">
        <v>509</v>
      </c>
    </row>
    <row r="516" spans="18:19">
      <c r="R516" s="5">
        <v>13774.18182</v>
      </c>
      <c r="S516">
        <v>510</v>
      </c>
    </row>
    <row r="517" spans="18:19">
      <c r="R517" s="5">
        <v>13809.618179999999</v>
      </c>
      <c r="S517">
        <v>511</v>
      </c>
    </row>
    <row r="518" spans="18:19">
      <c r="R518" s="5">
        <v>13845.054550000001</v>
      </c>
      <c r="S518">
        <v>512</v>
      </c>
    </row>
    <row r="519" spans="18:19">
      <c r="R519" s="5">
        <v>13880.49091</v>
      </c>
      <c r="S519">
        <v>513</v>
      </c>
    </row>
    <row r="520" spans="18:19">
      <c r="R520" s="5">
        <v>13915.92727</v>
      </c>
      <c r="S520">
        <v>514</v>
      </c>
    </row>
    <row r="521" spans="18:19">
      <c r="R521" s="5">
        <v>13951.36364</v>
      </c>
      <c r="S521">
        <v>515</v>
      </c>
    </row>
    <row r="522" spans="18:19">
      <c r="R522" s="5">
        <v>13986.8</v>
      </c>
      <c r="S522">
        <v>516</v>
      </c>
    </row>
    <row r="523" spans="18:19">
      <c r="R523" s="5">
        <v>14022.236360000001</v>
      </c>
      <c r="S523">
        <v>517</v>
      </c>
    </row>
    <row r="524" spans="18:19">
      <c r="R524" s="5">
        <v>14057.67273</v>
      </c>
      <c r="S524">
        <v>518</v>
      </c>
    </row>
    <row r="525" spans="18:19">
      <c r="R525" s="5">
        <v>14093.10909</v>
      </c>
      <c r="S525">
        <v>519</v>
      </c>
    </row>
    <row r="526" spans="18:19">
      <c r="R526" s="5">
        <v>14128.54545</v>
      </c>
      <c r="S526">
        <v>520</v>
      </c>
    </row>
    <row r="527" spans="18:19">
      <c r="R527" s="5">
        <v>14163.981820000001</v>
      </c>
      <c r="S527">
        <v>521</v>
      </c>
    </row>
    <row r="528" spans="18:19">
      <c r="R528" s="5">
        <v>14199.418180000001</v>
      </c>
      <c r="S528">
        <v>522</v>
      </c>
    </row>
    <row r="529" spans="18:19">
      <c r="R529" s="5">
        <v>14234.85455</v>
      </c>
      <c r="S529">
        <v>523</v>
      </c>
    </row>
    <row r="530" spans="18:19">
      <c r="R530" s="5">
        <v>14270.29091</v>
      </c>
      <c r="S530">
        <v>524</v>
      </c>
    </row>
    <row r="531" spans="18:19">
      <c r="R531" s="5">
        <v>14305.727269999999</v>
      </c>
      <c r="S531">
        <v>525</v>
      </c>
    </row>
    <row r="532" spans="18:19">
      <c r="R532" s="5">
        <v>14341.163640000001</v>
      </c>
      <c r="S532">
        <v>526</v>
      </c>
    </row>
    <row r="533" spans="18:19">
      <c r="R533" s="5">
        <v>14376.6</v>
      </c>
      <c r="S533">
        <v>527</v>
      </c>
    </row>
    <row r="534" spans="18:19">
      <c r="R534" s="5">
        <v>14412.03636</v>
      </c>
      <c r="S534">
        <v>528</v>
      </c>
    </row>
    <row r="535" spans="18:19">
      <c r="R535" s="5">
        <v>14447.47273</v>
      </c>
      <c r="S535">
        <v>529</v>
      </c>
    </row>
    <row r="536" spans="18:19">
      <c r="R536" s="5">
        <v>14482.909089999999</v>
      </c>
      <c r="S536">
        <v>530</v>
      </c>
    </row>
    <row r="537" spans="18:19">
      <c r="R537" s="5">
        <v>14518.345450000001</v>
      </c>
      <c r="S537">
        <v>531</v>
      </c>
    </row>
    <row r="538" spans="18:19">
      <c r="R538" s="5">
        <v>14553.78182</v>
      </c>
      <c r="S538">
        <v>532</v>
      </c>
    </row>
    <row r="539" spans="18:19">
      <c r="R539" s="5">
        <v>14589.21818</v>
      </c>
      <c r="S539">
        <v>533</v>
      </c>
    </row>
    <row r="540" spans="18:19">
      <c r="R540" s="5">
        <v>14624.654549999999</v>
      </c>
      <c r="S540">
        <v>534</v>
      </c>
    </row>
    <row r="541" spans="18:19">
      <c r="R541" s="5">
        <v>14660.090910000001</v>
      </c>
      <c r="S541">
        <v>535</v>
      </c>
    </row>
    <row r="542" spans="18:19">
      <c r="R542" s="5">
        <v>14695.52727</v>
      </c>
      <c r="S542">
        <v>536</v>
      </c>
    </row>
    <row r="543" spans="18:19">
      <c r="R543" s="5">
        <v>14730.96364</v>
      </c>
      <c r="S543">
        <v>537</v>
      </c>
    </row>
    <row r="544" spans="18:19">
      <c r="R544" s="5">
        <v>14766.4</v>
      </c>
      <c r="S544">
        <v>538</v>
      </c>
    </row>
    <row r="545" spans="18:19">
      <c r="R545" s="5">
        <v>14801.836359999999</v>
      </c>
      <c r="S545">
        <v>539</v>
      </c>
    </row>
    <row r="546" spans="18:19">
      <c r="R546" s="5">
        <v>14837.272730000001</v>
      </c>
      <c r="S546">
        <v>540</v>
      </c>
    </row>
    <row r="547" spans="18:19">
      <c r="R547" s="5">
        <v>14872.70909</v>
      </c>
      <c r="S547">
        <v>541</v>
      </c>
    </row>
    <row r="548" spans="18:19">
      <c r="R548" s="5">
        <v>14908.14545</v>
      </c>
      <c r="S548">
        <v>542</v>
      </c>
    </row>
    <row r="549" spans="18:19">
      <c r="R549" s="5">
        <v>14943.581819999999</v>
      </c>
      <c r="S549">
        <v>543</v>
      </c>
    </row>
    <row r="550" spans="18:19">
      <c r="R550" s="5">
        <v>14979.018179999999</v>
      </c>
      <c r="S550">
        <v>544</v>
      </c>
    </row>
    <row r="551" spans="18:19">
      <c r="R551" s="5">
        <v>15014.45455</v>
      </c>
      <c r="S551">
        <v>545</v>
      </c>
    </row>
    <row r="552" spans="18:19">
      <c r="R552" s="5">
        <v>15049.89091</v>
      </c>
      <c r="S552">
        <v>546</v>
      </c>
    </row>
    <row r="553" spans="18:19">
      <c r="R553" s="5">
        <v>15085.32727</v>
      </c>
      <c r="S553">
        <v>547</v>
      </c>
    </row>
    <row r="554" spans="18:19">
      <c r="R554" s="5">
        <v>15120.763639999999</v>
      </c>
      <c r="S554">
        <v>548</v>
      </c>
    </row>
    <row r="555" spans="18:19">
      <c r="R555" s="5">
        <v>15156.2</v>
      </c>
      <c r="S555">
        <v>549</v>
      </c>
    </row>
    <row r="556" spans="18:19">
      <c r="R556" s="5">
        <v>15191.63636</v>
      </c>
      <c r="S556">
        <v>550</v>
      </c>
    </row>
    <row r="557" spans="18:19">
      <c r="R557" s="5">
        <v>15227.07273</v>
      </c>
      <c r="S557">
        <v>551</v>
      </c>
    </row>
    <row r="558" spans="18:19">
      <c r="R558" s="5">
        <v>15262.50909</v>
      </c>
      <c r="S558">
        <v>552</v>
      </c>
    </row>
    <row r="559" spans="18:19">
      <c r="R559" s="5">
        <v>15297.945449999999</v>
      </c>
      <c r="S559">
        <v>553</v>
      </c>
    </row>
    <row r="560" spans="18:19">
      <c r="R560" s="5">
        <v>15333.381820000001</v>
      </c>
      <c r="S560">
        <v>554</v>
      </c>
    </row>
    <row r="561" spans="18:19">
      <c r="R561" s="5">
        <v>15368.81818</v>
      </c>
      <c r="S561">
        <v>555</v>
      </c>
    </row>
    <row r="562" spans="18:19">
      <c r="R562" s="5">
        <v>15404.25455</v>
      </c>
      <c r="S562">
        <v>556</v>
      </c>
    </row>
    <row r="563" spans="18:19">
      <c r="R563" s="5">
        <v>15439.690909999999</v>
      </c>
      <c r="S563">
        <v>557</v>
      </c>
    </row>
    <row r="564" spans="18:19">
      <c r="R564" s="5">
        <v>15475.127270000001</v>
      </c>
      <c r="S564">
        <v>558</v>
      </c>
    </row>
    <row r="565" spans="18:19">
      <c r="R565" s="5">
        <v>15510.56364</v>
      </c>
      <c r="S565">
        <v>559</v>
      </c>
    </row>
    <row r="566" spans="18:19">
      <c r="R566" s="5">
        <v>15546</v>
      </c>
      <c r="S566">
        <v>560</v>
      </c>
    </row>
    <row r="567" spans="18:19">
      <c r="R567" s="5">
        <v>15585.8</v>
      </c>
      <c r="S567">
        <v>561</v>
      </c>
    </row>
    <row r="568" spans="18:19">
      <c r="R568" s="5">
        <v>15625.6</v>
      </c>
      <c r="S568">
        <v>562</v>
      </c>
    </row>
    <row r="569" spans="18:19">
      <c r="R569" s="5">
        <v>15665.4</v>
      </c>
      <c r="S569">
        <v>563</v>
      </c>
    </row>
    <row r="570" spans="18:19">
      <c r="R570" s="5">
        <v>15705.2</v>
      </c>
      <c r="S570">
        <v>564</v>
      </c>
    </row>
    <row r="571" spans="18:19">
      <c r="R571" s="5">
        <v>15745</v>
      </c>
      <c r="S571">
        <v>565</v>
      </c>
    </row>
    <row r="572" spans="18:19">
      <c r="R572" s="5">
        <v>15784.8</v>
      </c>
      <c r="S572">
        <v>566</v>
      </c>
    </row>
    <row r="573" spans="18:19">
      <c r="R573" s="5">
        <v>15824.6</v>
      </c>
      <c r="S573">
        <v>567</v>
      </c>
    </row>
    <row r="574" spans="18:19">
      <c r="R574" s="5">
        <v>15864.4</v>
      </c>
      <c r="S574">
        <v>568</v>
      </c>
    </row>
    <row r="575" spans="18:19">
      <c r="R575" s="5">
        <v>15904.2</v>
      </c>
      <c r="S575">
        <v>569</v>
      </c>
    </row>
    <row r="576" spans="18:19">
      <c r="R576" s="5">
        <v>15944</v>
      </c>
      <c r="S576">
        <v>570</v>
      </c>
    </row>
    <row r="577" spans="18:19">
      <c r="R577" s="5">
        <v>16003.666670000001</v>
      </c>
      <c r="S577">
        <v>571</v>
      </c>
    </row>
    <row r="578" spans="18:19">
      <c r="R578" s="5">
        <v>16063.333329999999</v>
      </c>
      <c r="S578">
        <v>572</v>
      </c>
    </row>
    <row r="579" spans="18:19">
      <c r="R579" s="5">
        <v>16123</v>
      </c>
      <c r="S579">
        <v>573</v>
      </c>
    </row>
    <row r="580" spans="18:19">
      <c r="R580" s="5">
        <v>16182.666670000001</v>
      </c>
      <c r="S580">
        <v>574</v>
      </c>
    </row>
    <row r="581" spans="18:19">
      <c r="R581" s="5">
        <v>16242.333329999999</v>
      </c>
      <c r="S581">
        <v>575</v>
      </c>
    </row>
    <row r="582" spans="18:19">
      <c r="R582" s="5">
        <v>16302</v>
      </c>
      <c r="S582">
        <v>576</v>
      </c>
    </row>
    <row r="583" spans="18:19">
      <c r="R583" s="5">
        <v>16361.666670000001</v>
      </c>
      <c r="S583">
        <v>577</v>
      </c>
    </row>
    <row r="584" spans="18:19">
      <c r="R584" s="5">
        <v>16421.333330000001</v>
      </c>
      <c r="S584">
        <v>578</v>
      </c>
    </row>
    <row r="585" spans="18:19">
      <c r="R585" s="5">
        <v>16481</v>
      </c>
      <c r="S585">
        <v>579</v>
      </c>
    </row>
    <row r="586" spans="18:19">
      <c r="R586" s="5">
        <v>16517.033329999998</v>
      </c>
      <c r="S586">
        <v>580</v>
      </c>
    </row>
    <row r="587" spans="18:19">
      <c r="R587" s="5">
        <v>16553.06667</v>
      </c>
      <c r="S587">
        <v>581</v>
      </c>
    </row>
    <row r="588" spans="18:19">
      <c r="R588" s="5">
        <v>16589.099999999999</v>
      </c>
      <c r="S588">
        <v>582</v>
      </c>
    </row>
    <row r="589" spans="18:19">
      <c r="R589" s="5">
        <v>16625.133330000001</v>
      </c>
      <c r="S589">
        <v>583</v>
      </c>
    </row>
    <row r="590" spans="18:19">
      <c r="R590" s="5">
        <v>16661.166669999999</v>
      </c>
      <c r="S590">
        <v>584</v>
      </c>
    </row>
    <row r="591" spans="18:19">
      <c r="R591" s="5">
        <v>16697.2</v>
      </c>
      <c r="S591">
        <v>585</v>
      </c>
    </row>
    <row r="592" spans="18:19">
      <c r="R592" s="5">
        <v>16733.233329999999</v>
      </c>
      <c r="S592">
        <v>586</v>
      </c>
    </row>
    <row r="593" spans="18:19">
      <c r="R593" s="5">
        <v>16769.266670000001</v>
      </c>
      <c r="S593">
        <v>587</v>
      </c>
    </row>
    <row r="594" spans="18:19">
      <c r="R594" s="5">
        <v>16805.3</v>
      </c>
      <c r="S594">
        <v>588</v>
      </c>
    </row>
    <row r="595" spans="18:19">
      <c r="R595" s="5">
        <v>16841.333330000001</v>
      </c>
      <c r="S595">
        <v>589</v>
      </c>
    </row>
    <row r="596" spans="18:19">
      <c r="R596" s="5">
        <v>16877.366669999999</v>
      </c>
      <c r="S596">
        <v>590</v>
      </c>
    </row>
    <row r="597" spans="18:19">
      <c r="R597" s="5">
        <v>16913.400000000001</v>
      </c>
      <c r="S597">
        <v>591</v>
      </c>
    </row>
    <row r="598" spans="18:19">
      <c r="R598" s="5">
        <v>16949.43333</v>
      </c>
      <c r="S598">
        <v>592</v>
      </c>
    </row>
    <row r="599" spans="18:19">
      <c r="R599" s="5">
        <v>16985.466670000002</v>
      </c>
      <c r="S599">
        <v>593</v>
      </c>
    </row>
    <row r="600" spans="18:19">
      <c r="R600" s="5">
        <v>17021.5</v>
      </c>
      <c r="S600">
        <v>594</v>
      </c>
    </row>
    <row r="601" spans="18:19">
      <c r="R601" s="5">
        <v>17057.533329999998</v>
      </c>
      <c r="S601">
        <v>595</v>
      </c>
    </row>
    <row r="602" spans="18:19">
      <c r="R602" s="5">
        <v>17093.56667</v>
      </c>
      <c r="S602">
        <v>596</v>
      </c>
    </row>
    <row r="603" spans="18:19">
      <c r="R603" s="5">
        <v>17129.599999999999</v>
      </c>
      <c r="S603">
        <v>597</v>
      </c>
    </row>
    <row r="604" spans="18:19">
      <c r="R604" s="5">
        <v>17165.633330000001</v>
      </c>
      <c r="S604">
        <v>598</v>
      </c>
    </row>
    <row r="605" spans="18:19">
      <c r="R605" s="5">
        <v>17201.666669999999</v>
      </c>
      <c r="S605">
        <v>599</v>
      </c>
    </row>
    <row r="606" spans="18:19">
      <c r="R606" s="5">
        <v>17237.7</v>
      </c>
      <c r="S606">
        <v>600</v>
      </c>
    </row>
    <row r="607" spans="18:19">
      <c r="R607" s="5">
        <v>17273.733329999999</v>
      </c>
      <c r="S607">
        <v>601</v>
      </c>
    </row>
    <row r="608" spans="18:19">
      <c r="R608" s="5">
        <v>17309.766670000001</v>
      </c>
      <c r="S608">
        <v>602</v>
      </c>
    </row>
    <row r="609" spans="18:19">
      <c r="R609" s="5">
        <v>17345.8</v>
      </c>
      <c r="S609">
        <v>603</v>
      </c>
    </row>
    <row r="610" spans="18:19">
      <c r="R610" s="5">
        <v>17381.833330000001</v>
      </c>
      <c r="S610">
        <v>604</v>
      </c>
    </row>
    <row r="611" spans="18:19">
      <c r="R611" s="5">
        <v>17417.866669999999</v>
      </c>
      <c r="S611">
        <v>605</v>
      </c>
    </row>
    <row r="612" spans="18:19">
      <c r="R612" s="5">
        <v>17453.900000000001</v>
      </c>
      <c r="S612">
        <v>606</v>
      </c>
    </row>
    <row r="613" spans="18:19">
      <c r="R613" s="5">
        <v>17489.93333</v>
      </c>
      <c r="S613">
        <v>607</v>
      </c>
    </row>
    <row r="614" spans="18:19">
      <c r="R614" s="5">
        <v>17525.966670000002</v>
      </c>
      <c r="S614">
        <v>608</v>
      </c>
    </row>
    <row r="615" spans="18:19">
      <c r="R615" s="5">
        <v>17562</v>
      </c>
      <c r="S615">
        <v>609</v>
      </c>
    </row>
    <row r="616" spans="18:19">
      <c r="R616" s="5">
        <v>17624.391749999999</v>
      </c>
      <c r="S616">
        <v>610</v>
      </c>
    </row>
    <row r="617" spans="18:19">
      <c r="R617" s="5">
        <v>17686.783510000001</v>
      </c>
      <c r="S617">
        <v>611</v>
      </c>
    </row>
    <row r="618" spans="18:19">
      <c r="R618" s="5">
        <v>17749.17526</v>
      </c>
      <c r="S618">
        <v>612</v>
      </c>
    </row>
    <row r="619" spans="18:19">
      <c r="R619" s="5">
        <v>17811.567009999999</v>
      </c>
      <c r="S619">
        <v>613</v>
      </c>
    </row>
    <row r="620" spans="18:19">
      <c r="R620" s="5">
        <v>17873.958760000001</v>
      </c>
      <c r="S620">
        <v>614</v>
      </c>
    </row>
    <row r="621" spans="18:19">
      <c r="R621" s="5">
        <v>17936.35052</v>
      </c>
      <c r="S621">
        <v>615</v>
      </c>
    </row>
    <row r="622" spans="18:19">
      <c r="R622" s="5">
        <v>17998.742269999999</v>
      </c>
      <c r="S622">
        <v>616</v>
      </c>
    </row>
    <row r="623" spans="18:19">
      <c r="R623" s="5">
        <v>18061.134020000001</v>
      </c>
      <c r="S623">
        <v>617</v>
      </c>
    </row>
    <row r="624" spans="18:19">
      <c r="R624" s="5">
        <v>18123.52577</v>
      </c>
      <c r="S624">
        <v>618</v>
      </c>
    </row>
    <row r="625" spans="18:19">
      <c r="R625" s="5">
        <v>18185.917529999999</v>
      </c>
      <c r="S625">
        <v>619</v>
      </c>
    </row>
    <row r="626" spans="18:19">
      <c r="R626" s="5">
        <v>18248.309280000001</v>
      </c>
      <c r="S626">
        <v>620</v>
      </c>
    </row>
    <row r="627" spans="18:19">
      <c r="R627" s="5">
        <v>18310.70103</v>
      </c>
      <c r="S627">
        <v>621</v>
      </c>
    </row>
    <row r="628" spans="18:19">
      <c r="R628" s="5">
        <v>18373.092779999999</v>
      </c>
      <c r="S628">
        <v>622</v>
      </c>
    </row>
    <row r="629" spans="18:19">
      <c r="R629" s="5">
        <v>18435.484540000001</v>
      </c>
      <c r="S629">
        <v>623</v>
      </c>
    </row>
    <row r="630" spans="18:19">
      <c r="R630" s="5">
        <v>18497.87629</v>
      </c>
      <c r="S630">
        <v>624</v>
      </c>
    </row>
    <row r="631" spans="18:19">
      <c r="R631" s="5">
        <v>18560.268039999999</v>
      </c>
      <c r="S631">
        <v>625</v>
      </c>
    </row>
    <row r="632" spans="18:19">
      <c r="R632" s="5">
        <v>18622.659790000002</v>
      </c>
      <c r="S632">
        <v>626</v>
      </c>
    </row>
    <row r="633" spans="18:19">
      <c r="R633" s="5">
        <v>18685.05155</v>
      </c>
      <c r="S633">
        <v>627</v>
      </c>
    </row>
    <row r="634" spans="18:19">
      <c r="R634" s="5">
        <v>18747.443299999999</v>
      </c>
      <c r="S634">
        <v>628</v>
      </c>
    </row>
    <row r="635" spans="18:19">
      <c r="R635" s="5">
        <v>18809.835050000002</v>
      </c>
      <c r="S635">
        <v>629</v>
      </c>
    </row>
    <row r="636" spans="18:19">
      <c r="R636" s="5">
        <v>18872.2268</v>
      </c>
      <c r="S636">
        <v>630</v>
      </c>
    </row>
    <row r="637" spans="18:19">
      <c r="R637" s="5">
        <v>18934.618559999999</v>
      </c>
      <c r="S637">
        <v>631</v>
      </c>
    </row>
    <row r="638" spans="18:19">
      <c r="R638" s="5">
        <v>18997.010310000001</v>
      </c>
      <c r="S638">
        <v>632</v>
      </c>
    </row>
    <row r="639" spans="18:19">
      <c r="R639" s="5">
        <v>19059.40206</v>
      </c>
      <c r="S639">
        <v>633</v>
      </c>
    </row>
    <row r="640" spans="18:19">
      <c r="R640" s="5">
        <v>19121.793809999999</v>
      </c>
      <c r="S640">
        <v>634</v>
      </c>
    </row>
    <row r="641" spans="18:19">
      <c r="R641" s="5">
        <v>19184.185570000001</v>
      </c>
      <c r="S641">
        <v>635</v>
      </c>
    </row>
    <row r="642" spans="18:19">
      <c r="R642" s="5">
        <v>19246.57732</v>
      </c>
      <c r="S642">
        <v>636</v>
      </c>
    </row>
    <row r="643" spans="18:19">
      <c r="R643" s="5">
        <v>19308.969069999999</v>
      </c>
      <c r="S643">
        <v>637</v>
      </c>
    </row>
    <row r="644" spans="18:19">
      <c r="R644" s="5">
        <v>19371.360820000002</v>
      </c>
      <c r="S644">
        <v>638</v>
      </c>
    </row>
    <row r="645" spans="18:19">
      <c r="R645" s="5">
        <v>19433.75258</v>
      </c>
      <c r="S645">
        <v>639</v>
      </c>
    </row>
    <row r="646" spans="18:19">
      <c r="R646" s="5">
        <v>19496.144329999999</v>
      </c>
      <c r="S646">
        <v>640</v>
      </c>
    </row>
    <row r="647" spans="18:19">
      <c r="R647" s="5">
        <v>19558.536080000002</v>
      </c>
      <c r="S647">
        <v>641</v>
      </c>
    </row>
    <row r="648" spans="18:19">
      <c r="R648" s="5">
        <v>19620.92784</v>
      </c>
      <c r="S648">
        <v>642</v>
      </c>
    </row>
    <row r="649" spans="18:19">
      <c r="R649" s="5">
        <v>19683.319589999999</v>
      </c>
      <c r="S649">
        <v>643</v>
      </c>
    </row>
    <row r="650" spans="18:19">
      <c r="R650" s="5">
        <v>19745.711340000002</v>
      </c>
      <c r="S650">
        <v>644</v>
      </c>
    </row>
    <row r="651" spans="18:19">
      <c r="R651" s="5">
        <v>19808.103090000001</v>
      </c>
      <c r="S651">
        <v>645</v>
      </c>
    </row>
    <row r="652" spans="18:19">
      <c r="R652" s="5">
        <v>19870.494849999999</v>
      </c>
      <c r="S652">
        <v>646</v>
      </c>
    </row>
    <row r="653" spans="18:19">
      <c r="R653" s="5">
        <v>19932.886600000002</v>
      </c>
      <c r="S653">
        <v>647</v>
      </c>
    </row>
    <row r="654" spans="18:19">
      <c r="R654" s="5">
        <v>19995.278350000001</v>
      </c>
      <c r="S654">
        <v>648</v>
      </c>
    </row>
    <row r="655" spans="18:19">
      <c r="R655" s="5">
        <v>20057.670099999999</v>
      </c>
      <c r="S655">
        <v>649</v>
      </c>
    </row>
    <row r="656" spans="18:19">
      <c r="R656" s="5">
        <v>20120.061860000002</v>
      </c>
      <c r="S656">
        <v>650</v>
      </c>
    </row>
    <row r="657" spans="18:19">
      <c r="R657" s="5">
        <v>20182.45361</v>
      </c>
      <c r="S657">
        <v>651</v>
      </c>
    </row>
    <row r="658" spans="18:19">
      <c r="R658" s="5">
        <v>20244.845359999999</v>
      </c>
      <c r="S658">
        <v>652</v>
      </c>
    </row>
    <row r="659" spans="18:19">
      <c r="R659" s="5">
        <v>20307.237109999998</v>
      </c>
      <c r="S659">
        <v>653</v>
      </c>
    </row>
    <row r="660" spans="18:19">
      <c r="R660" s="5">
        <v>20369.62887</v>
      </c>
      <c r="S660">
        <v>654</v>
      </c>
    </row>
    <row r="661" spans="18:19">
      <c r="R661" s="5">
        <v>20432.020619999999</v>
      </c>
      <c r="S661">
        <v>655</v>
      </c>
    </row>
    <row r="662" spans="18:19">
      <c r="R662" s="5">
        <v>20494.412369999998</v>
      </c>
      <c r="S662">
        <v>656</v>
      </c>
    </row>
    <row r="663" spans="18:19">
      <c r="R663" s="5">
        <v>20556.804120000001</v>
      </c>
      <c r="S663">
        <v>657</v>
      </c>
    </row>
    <row r="664" spans="18:19">
      <c r="R664" s="5">
        <v>20619.195879999999</v>
      </c>
      <c r="S664">
        <v>658</v>
      </c>
    </row>
    <row r="665" spans="18:19">
      <c r="R665" s="5">
        <v>20681.587630000002</v>
      </c>
      <c r="S665">
        <v>659</v>
      </c>
    </row>
    <row r="666" spans="18:19">
      <c r="R666" s="5">
        <v>20743.979380000001</v>
      </c>
      <c r="S666">
        <v>660</v>
      </c>
    </row>
    <row r="667" spans="18:19">
      <c r="R667" s="5">
        <v>20806.37113</v>
      </c>
      <c r="S667">
        <v>661</v>
      </c>
    </row>
    <row r="668" spans="18:19">
      <c r="R668" s="5">
        <v>20868.762890000002</v>
      </c>
      <c r="S668">
        <v>662</v>
      </c>
    </row>
    <row r="669" spans="18:19">
      <c r="R669" s="5">
        <v>20931.154640000001</v>
      </c>
      <c r="S669">
        <v>663</v>
      </c>
    </row>
    <row r="670" spans="18:19">
      <c r="R670" s="5">
        <v>20993.54639</v>
      </c>
      <c r="S670">
        <v>664</v>
      </c>
    </row>
    <row r="671" spans="18:19">
      <c r="R671" s="5">
        <v>21055.938139999998</v>
      </c>
      <c r="S671">
        <v>665</v>
      </c>
    </row>
    <row r="672" spans="18:19">
      <c r="R672" s="5">
        <v>21118.329900000001</v>
      </c>
      <c r="S672">
        <v>666</v>
      </c>
    </row>
    <row r="673" spans="18:19">
      <c r="R673" s="5">
        <v>21180.721649999999</v>
      </c>
      <c r="S673">
        <v>667</v>
      </c>
    </row>
    <row r="674" spans="18:19">
      <c r="R674" s="5">
        <v>21243.113399999998</v>
      </c>
      <c r="S674">
        <v>668</v>
      </c>
    </row>
    <row r="675" spans="18:19">
      <c r="R675" s="5">
        <v>21305.505150000001</v>
      </c>
      <c r="S675">
        <v>669</v>
      </c>
    </row>
    <row r="676" spans="18:19">
      <c r="R676" s="5">
        <v>21367.896909999999</v>
      </c>
      <c r="S676">
        <v>670</v>
      </c>
    </row>
    <row r="677" spans="18:19">
      <c r="R677" s="5">
        <v>21430.288659999998</v>
      </c>
      <c r="S677">
        <v>671</v>
      </c>
    </row>
    <row r="678" spans="18:19">
      <c r="R678" s="5">
        <v>21492.680410000001</v>
      </c>
      <c r="S678">
        <v>672</v>
      </c>
    </row>
    <row r="679" spans="18:19">
      <c r="R679" s="5">
        <v>21555.07216</v>
      </c>
      <c r="S679">
        <v>673</v>
      </c>
    </row>
    <row r="680" spans="18:19">
      <c r="R680" s="5">
        <v>21617.463919999998</v>
      </c>
      <c r="S680">
        <v>674</v>
      </c>
    </row>
    <row r="681" spans="18:19">
      <c r="R681" s="5">
        <v>21679.855670000001</v>
      </c>
      <c r="S681">
        <v>675</v>
      </c>
    </row>
    <row r="682" spans="18:19">
      <c r="R682" s="5">
        <v>21742.24742</v>
      </c>
      <c r="S682">
        <v>676</v>
      </c>
    </row>
    <row r="683" spans="18:19">
      <c r="R683" s="5">
        <v>21804.639179999998</v>
      </c>
      <c r="S683">
        <v>677</v>
      </c>
    </row>
    <row r="684" spans="18:19">
      <c r="R684" s="5">
        <v>21867.030930000001</v>
      </c>
      <c r="S684">
        <v>678</v>
      </c>
    </row>
    <row r="685" spans="18:19">
      <c r="R685" s="5">
        <v>21929.42268</v>
      </c>
      <c r="S685">
        <v>679</v>
      </c>
    </row>
    <row r="686" spans="18:19">
      <c r="R686" s="5">
        <v>21991.814429999999</v>
      </c>
      <c r="S686">
        <v>680</v>
      </c>
    </row>
    <row r="687" spans="18:19">
      <c r="R687" s="5">
        <v>22054.206190000001</v>
      </c>
      <c r="S687">
        <v>681</v>
      </c>
    </row>
    <row r="688" spans="18:19">
      <c r="R688" s="5">
        <v>22116.59794</v>
      </c>
      <c r="S688">
        <v>682</v>
      </c>
    </row>
    <row r="689" spans="18:19">
      <c r="R689" s="5">
        <v>22178.989689999999</v>
      </c>
      <c r="S689">
        <v>683</v>
      </c>
    </row>
    <row r="690" spans="18:19">
      <c r="R690" s="5">
        <v>22241.381440000001</v>
      </c>
      <c r="S690">
        <v>684</v>
      </c>
    </row>
    <row r="691" spans="18:19">
      <c r="R691" s="5">
        <v>22303.7732</v>
      </c>
      <c r="S691">
        <v>685</v>
      </c>
    </row>
    <row r="692" spans="18:19">
      <c r="R692" s="5">
        <v>22366.164949999998</v>
      </c>
      <c r="S692">
        <v>686</v>
      </c>
    </row>
    <row r="693" spans="18:19">
      <c r="R693" s="5">
        <v>22428.556700000001</v>
      </c>
      <c r="S693">
        <v>687</v>
      </c>
    </row>
    <row r="694" spans="18:19">
      <c r="R694" s="5">
        <v>22490.94845</v>
      </c>
      <c r="S694">
        <v>688</v>
      </c>
    </row>
    <row r="695" spans="18:19">
      <c r="R695" s="5">
        <v>22553.340209999998</v>
      </c>
      <c r="S695">
        <v>689</v>
      </c>
    </row>
    <row r="696" spans="18:19">
      <c r="R696" s="5">
        <v>22615.731960000001</v>
      </c>
      <c r="S696">
        <v>690</v>
      </c>
    </row>
    <row r="697" spans="18:19">
      <c r="R697" s="5">
        <v>22678.12371</v>
      </c>
      <c r="S697">
        <v>691</v>
      </c>
    </row>
    <row r="698" spans="18:19">
      <c r="R698" s="5">
        <v>22740.515459999999</v>
      </c>
      <c r="S698">
        <v>692</v>
      </c>
    </row>
    <row r="699" spans="18:19">
      <c r="R699" s="5">
        <v>22802.907220000001</v>
      </c>
      <c r="S699">
        <v>693</v>
      </c>
    </row>
    <row r="700" spans="18:19">
      <c r="R700" s="5">
        <v>22865.29897</v>
      </c>
      <c r="S700">
        <v>694</v>
      </c>
    </row>
    <row r="701" spans="18:19">
      <c r="R701" s="5">
        <v>22927.690719999999</v>
      </c>
      <c r="S701">
        <v>695</v>
      </c>
    </row>
    <row r="702" spans="18:19">
      <c r="R702" s="5">
        <v>22990.082470000001</v>
      </c>
      <c r="S702">
        <v>696</v>
      </c>
    </row>
    <row r="703" spans="18:19">
      <c r="R703" s="5">
        <v>23052.47423</v>
      </c>
      <c r="S703">
        <v>697</v>
      </c>
    </row>
    <row r="704" spans="18:19">
      <c r="R704" s="5">
        <v>23114.865979999999</v>
      </c>
      <c r="S704">
        <v>698</v>
      </c>
    </row>
    <row r="705" spans="18:19">
      <c r="R705" s="5">
        <v>23177.257730000001</v>
      </c>
      <c r="S705">
        <v>699</v>
      </c>
    </row>
    <row r="706" spans="18:19">
      <c r="R706" s="5">
        <v>23239.64948</v>
      </c>
      <c r="S706">
        <v>700</v>
      </c>
    </row>
    <row r="707" spans="18:19">
      <c r="R707" s="5">
        <v>23302.041239999999</v>
      </c>
      <c r="S707">
        <v>701</v>
      </c>
    </row>
    <row r="708" spans="18:19">
      <c r="R708" s="5">
        <v>23364.432990000001</v>
      </c>
      <c r="S708">
        <v>702</v>
      </c>
    </row>
    <row r="709" spans="18:19">
      <c r="R709" s="5">
        <v>23426.82474</v>
      </c>
      <c r="S709">
        <v>703</v>
      </c>
    </row>
    <row r="710" spans="18:19">
      <c r="R710" s="5">
        <v>23489.216489999999</v>
      </c>
      <c r="S710">
        <v>704</v>
      </c>
    </row>
    <row r="711" spans="18:19">
      <c r="R711" s="5">
        <v>23551.608250000001</v>
      </c>
      <c r="S711">
        <v>705</v>
      </c>
    </row>
    <row r="712" spans="18:19">
      <c r="R712" s="5">
        <v>23614</v>
      </c>
      <c r="S712">
        <v>706</v>
      </c>
    </row>
    <row r="713" spans="18:19">
      <c r="R713" s="5">
        <v>23667.269230000002</v>
      </c>
      <c r="S713">
        <v>707</v>
      </c>
    </row>
    <row r="714" spans="18:19">
      <c r="R714" s="5">
        <v>23720.53846</v>
      </c>
      <c r="S714">
        <v>708</v>
      </c>
    </row>
    <row r="715" spans="18:19">
      <c r="R715" s="5">
        <v>23773.807690000001</v>
      </c>
      <c r="S715">
        <v>709</v>
      </c>
    </row>
    <row r="716" spans="18:19">
      <c r="R716" s="5">
        <v>23827.07692</v>
      </c>
      <c r="S716">
        <v>710</v>
      </c>
    </row>
    <row r="717" spans="18:19">
      <c r="R717" s="5">
        <v>23880.346150000001</v>
      </c>
      <c r="S717">
        <v>711</v>
      </c>
    </row>
    <row r="718" spans="18:19">
      <c r="R718" s="5">
        <v>23933.615379999999</v>
      </c>
      <c r="S718">
        <v>712</v>
      </c>
    </row>
    <row r="719" spans="18:19">
      <c r="R719" s="5">
        <v>23986.884620000001</v>
      </c>
      <c r="S719">
        <v>713</v>
      </c>
    </row>
    <row r="720" spans="18:19">
      <c r="R720" s="5">
        <v>24040.153849999999</v>
      </c>
      <c r="S720">
        <v>714</v>
      </c>
    </row>
    <row r="721" spans="18:19">
      <c r="R721" s="5">
        <v>24093.42308</v>
      </c>
      <c r="S721">
        <v>715</v>
      </c>
    </row>
    <row r="722" spans="18:19">
      <c r="R722" s="5">
        <v>24146.692309999999</v>
      </c>
      <c r="S722">
        <v>716</v>
      </c>
    </row>
    <row r="723" spans="18:19">
      <c r="R723" s="5">
        <v>24199.96154</v>
      </c>
      <c r="S723">
        <v>717</v>
      </c>
    </row>
    <row r="724" spans="18:19">
      <c r="R724" s="5">
        <v>24253.230769999998</v>
      </c>
      <c r="S724">
        <v>718</v>
      </c>
    </row>
    <row r="725" spans="18:19">
      <c r="R725" s="5">
        <v>24306.5</v>
      </c>
      <c r="S725">
        <v>719</v>
      </c>
    </row>
    <row r="726" spans="18:19">
      <c r="R726" s="5">
        <v>24359.769230000002</v>
      </c>
      <c r="S726">
        <v>720</v>
      </c>
    </row>
    <row r="727" spans="18:19">
      <c r="R727" s="5">
        <v>24413.03846</v>
      </c>
      <c r="S727">
        <v>721</v>
      </c>
    </row>
    <row r="728" spans="18:19">
      <c r="R728" s="5">
        <v>24466.307690000001</v>
      </c>
      <c r="S728">
        <v>722</v>
      </c>
    </row>
    <row r="729" spans="18:19">
      <c r="R729" s="5">
        <v>24519.57692</v>
      </c>
      <c r="S729">
        <v>723</v>
      </c>
    </row>
    <row r="730" spans="18:19">
      <c r="R730" s="5">
        <v>24572.846150000001</v>
      </c>
      <c r="S730">
        <v>724</v>
      </c>
    </row>
    <row r="731" spans="18:19">
      <c r="R731" s="5">
        <v>24626.115379999999</v>
      </c>
      <c r="S731">
        <v>725</v>
      </c>
    </row>
    <row r="732" spans="18:19">
      <c r="R732" s="5">
        <v>24679.384620000001</v>
      </c>
      <c r="S732">
        <v>726</v>
      </c>
    </row>
    <row r="733" spans="18:19">
      <c r="R733" s="5">
        <v>24732.653849999999</v>
      </c>
      <c r="S733">
        <v>727</v>
      </c>
    </row>
    <row r="734" spans="18:19">
      <c r="R734" s="5">
        <v>24785.92308</v>
      </c>
      <c r="S734">
        <v>728</v>
      </c>
    </row>
    <row r="735" spans="18:19">
      <c r="R735" s="5">
        <v>24839.192309999999</v>
      </c>
      <c r="S735">
        <v>729</v>
      </c>
    </row>
    <row r="736" spans="18:19">
      <c r="R736" s="5">
        <v>24892.46154</v>
      </c>
      <c r="S736">
        <v>730</v>
      </c>
    </row>
    <row r="737" spans="18:19">
      <c r="R737" s="5">
        <v>24945.730769999998</v>
      </c>
      <c r="S737">
        <v>731</v>
      </c>
    </row>
    <row r="738" spans="18:19">
      <c r="R738" s="5">
        <v>24999</v>
      </c>
      <c r="S738">
        <v>732</v>
      </c>
    </row>
    <row r="739" spans="18:19">
      <c r="R739" s="5">
        <v>25052.269230000002</v>
      </c>
      <c r="S739">
        <v>733</v>
      </c>
    </row>
    <row r="740" spans="18:19">
      <c r="R740" s="5">
        <v>25105.53846</v>
      </c>
      <c r="S740">
        <v>734</v>
      </c>
    </row>
    <row r="741" spans="18:19">
      <c r="R741" s="5">
        <v>25158.807690000001</v>
      </c>
      <c r="S741">
        <v>735</v>
      </c>
    </row>
    <row r="742" spans="18:19">
      <c r="R742" s="5">
        <v>25212.07692</v>
      </c>
      <c r="S742">
        <v>736</v>
      </c>
    </row>
    <row r="743" spans="18:19">
      <c r="R743" s="5">
        <v>25265.346150000001</v>
      </c>
      <c r="S743">
        <v>737</v>
      </c>
    </row>
    <row r="744" spans="18:19">
      <c r="R744" s="5">
        <v>25318.615379999999</v>
      </c>
      <c r="S744">
        <v>738</v>
      </c>
    </row>
    <row r="745" spans="18:19">
      <c r="R745" s="5">
        <v>25371.884620000001</v>
      </c>
      <c r="S745">
        <v>739</v>
      </c>
    </row>
    <row r="746" spans="18:19">
      <c r="R746" s="5">
        <v>25425.153849999999</v>
      </c>
      <c r="S746">
        <v>740</v>
      </c>
    </row>
    <row r="747" spans="18:19">
      <c r="R747" s="5">
        <v>25478.42308</v>
      </c>
      <c r="S747">
        <v>741</v>
      </c>
    </row>
    <row r="748" spans="18:19">
      <c r="R748" s="5">
        <v>25531.692309999999</v>
      </c>
      <c r="S748">
        <v>742</v>
      </c>
    </row>
    <row r="749" spans="18:19">
      <c r="R749" s="5">
        <v>25584.96154</v>
      </c>
      <c r="S749">
        <v>743</v>
      </c>
    </row>
    <row r="750" spans="18:19">
      <c r="R750" s="5">
        <v>25638.230769999998</v>
      </c>
      <c r="S750">
        <v>744</v>
      </c>
    </row>
    <row r="751" spans="18:19">
      <c r="R751" s="5">
        <v>25691.5</v>
      </c>
      <c r="S751">
        <v>745</v>
      </c>
    </row>
    <row r="752" spans="18:19">
      <c r="R752" s="5">
        <v>25744.769230000002</v>
      </c>
      <c r="S752">
        <v>746</v>
      </c>
    </row>
    <row r="753" spans="18:19">
      <c r="R753" s="5">
        <v>25798.03846</v>
      </c>
      <c r="S753">
        <v>747</v>
      </c>
    </row>
    <row r="754" spans="18:19">
      <c r="R754" s="5">
        <v>25851.307690000001</v>
      </c>
      <c r="S754">
        <v>748</v>
      </c>
    </row>
    <row r="755" spans="18:19">
      <c r="R755" s="5">
        <v>25904.57692</v>
      </c>
      <c r="S755">
        <v>749</v>
      </c>
    </row>
    <row r="756" spans="18:19">
      <c r="R756" s="5">
        <v>25957.846150000001</v>
      </c>
      <c r="S756">
        <v>750</v>
      </c>
    </row>
    <row r="757" spans="18:19">
      <c r="R757" s="5">
        <v>26011.115379999999</v>
      </c>
      <c r="S757">
        <v>751</v>
      </c>
    </row>
    <row r="758" spans="18:19">
      <c r="R758" s="5">
        <v>26064.384620000001</v>
      </c>
      <c r="S758">
        <v>752</v>
      </c>
    </row>
    <row r="759" spans="18:19">
      <c r="R759" s="5">
        <v>26117.653849999999</v>
      </c>
      <c r="S759">
        <v>753</v>
      </c>
    </row>
    <row r="760" spans="18:19">
      <c r="R760" s="5">
        <v>26170.92308</v>
      </c>
      <c r="S760">
        <v>754</v>
      </c>
    </row>
    <row r="761" spans="18:19">
      <c r="R761" s="5">
        <v>26224.192309999999</v>
      </c>
      <c r="S761">
        <v>755</v>
      </c>
    </row>
    <row r="762" spans="18:19">
      <c r="R762" s="5">
        <v>26277.46154</v>
      </c>
      <c r="S762">
        <v>756</v>
      </c>
    </row>
    <row r="763" spans="18:19">
      <c r="R763" s="5">
        <v>26330.730769999998</v>
      </c>
      <c r="S763">
        <v>757</v>
      </c>
    </row>
    <row r="764" spans="18:19">
      <c r="R764" s="5">
        <v>26384</v>
      </c>
      <c r="S764">
        <v>758</v>
      </c>
    </row>
    <row r="765" spans="18:19">
      <c r="R765" s="5">
        <v>26437.269230000002</v>
      </c>
      <c r="S765">
        <v>759</v>
      </c>
    </row>
    <row r="766" spans="18:19">
      <c r="R766" s="5">
        <v>26490.53846</v>
      </c>
      <c r="S766">
        <v>760</v>
      </c>
    </row>
    <row r="767" spans="18:19">
      <c r="R767" s="5">
        <v>26543.807690000001</v>
      </c>
      <c r="S767">
        <v>761</v>
      </c>
    </row>
    <row r="768" spans="18:19">
      <c r="R768" s="5">
        <v>26597.07692</v>
      </c>
      <c r="S768">
        <v>762</v>
      </c>
    </row>
    <row r="769" spans="18:19">
      <c r="R769" s="5">
        <v>26650.346150000001</v>
      </c>
      <c r="S769">
        <v>763</v>
      </c>
    </row>
    <row r="770" spans="18:19">
      <c r="R770" s="5">
        <v>26703.615379999999</v>
      </c>
      <c r="S770">
        <v>764</v>
      </c>
    </row>
    <row r="771" spans="18:19">
      <c r="R771" s="5">
        <v>26756.884620000001</v>
      </c>
      <c r="S771">
        <v>765</v>
      </c>
    </row>
    <row r="772" spans="18:19">
      <c r="R772" s="5">
        <v>26810.153849999999</v>
      </c>
      <c r="S772">
        <v>766</v>
      </c>
    </row>
    <row r="773" spans="18:19">
      <c r="R773" s="5">
        <v>26863.42308</v>
      </c>
      <c r="S773">
        <v>767</v>
      </c>
    </row>
    <row r="774" spans="18:19">
      <c r="R774" s="5">
        <v>26916.692309999999</v>
      </c>
      <c r="S774">
        <v>768</v>
      </c>
    </row>
    <row r="775" spans="18:19">
      <c r="R775" s="5">
        <v>26969.96154</v>
      </c>
      <c r="S775">
        <v>769</v>
      </c>
    </row>
    <row r="776" spans="18:19">
      <c r="R776" s="5">
        <v>27023.230769999998</v>
      </c>
      <c r="S776">
        <v>770</v>
      </c>
    </row>
    <row r="777" spans="18:19">
      <c r="R777" s="5">
        <v>27076.5</v>
      </c>
      <c r="S777">
        <v>771</v>
      </c>
    </row>
    <row r="778" spans="18:19">
      <c r="R778" s="5">
        <v>27129.769230000002</v>
      </c>
      <c r="S778">
        <v>772</v>
      </c>
    </row>
    <row r="779" spans="18:19">
      <c r="R779" s="5">
        <v>27183.03846</v>
      </c>
      <c r="S779">
        <v>773</v>
      </c>
    </row>
    <row r="780" spans="18:19">
      <c r="R780" s="5">
        <v>27236.307690000001</v>
      </c>
      <c r="S780">
        <v>774</v>
      </c>
    </row>
    <row r="781" spans="18:19">
      <c r="R781" s="5">
        <v>27289.57692</v>
      </c>
      <c r="S781">
        <v>775</v>
      </c>
    </row>
    <row r="782" spans="18:19">
      <c r="R782" s="5">
        <v>27342.846150000001</v>
      </c>
      <c r="S782">
        <v>776</v>
      </c>
    </row>
    <row r="783" spans="18:19">
      <c r="R783" s="5">
        <v>27396.115379999999</v>
      </c>
      <c r="S783">
        <v>777</v>
      </c>
    </row>
    <row r="784" spans="18:19">
      <c r="R784" s="5">
        <v>27449.384620000001</v>
      </c>
      <c r="S784">
        <v>778</v>
      </c>
    </row>
    <row r="785" spans="18:19">
      <c r="R785" s="5">
        <v>27502.653849999999</v>
      </c>
      <c r="S785">
        <v>779</v>
      </c>
    </row>
    <row r="786" spans="18:19">
      <c r="R786" s="5">
        <v>27555.92308</v>
      </c>
      <c r="S786">
        <v>780</v>
      </c>
    </row>
    <row r="787" spans="18:19">
      <c r="R787" s="5">
        <v>27609.192309999999</v>
      </c>
      <c r="S787">
        <v>781</v>
      </c>
    </row>
    <row r="788" spans="18:19">
      <c r="R788" s="5">
        <v>27662.46154</v>
      </c>
      <c r="S788">
        <v>782</v>
      </c>
    </row>
    <row r="789" spans="18:19">
      <c r="R789" s="5">
        <v>27715.730769999998</v>
      </c>
      <c r="S789">
        <v>783</v>
      </c>
    </row>
    <row r="790" spans="18:19">
      <c r="R790" s="5">
        <v>27769</v>
      </c>
      <c r="S790">
        <v>784</v>
      </c>
    </row>
    <row r="791" spans="18:19">
      <c r="R791" s="5">
        <v>27796.702130000001</v>
      </c>
      <c r="S791">
        <v>785</v>
      </c>
    </row>
    <row r="792" spans="18:19">
      <c r="R792" s="5">
        <v>27824.404259999999</v>
      </c>
      <c r="S792">
        <v>786</v>
      </c>
    </row>
    <row r="793" spans="18:19">
      <c r="R793" s="5">
        <v>27852.106380000001</v>
      </c>
      <c r="S793">
        <v>787</v>
      </c>
    </row>
    <row r="794" spans="18:19">
      <c r="R794" s="5">
        <v>27879.808509999999</v>
      </c>
      <c r="S794">
        <v>788</v>
      </c>
    </row>
    <row r="795" spans="18:19">
      <c r="R795" s="5">
        <v>27907.51064</v>
      </c>
      <c r="S795">
        <v>789</v>
      </c>
    </row>
    <row r="796" spans="18:19">
      <c r="R796" s="5">
        <v>27935.212769999998</v>
      </c>
      <c r="S796">
        <v>790</v>
      </c>
    </row>
    <row r="797" spans="18:19">
      <c r="R797" s="5">
        <v>27962.91489</v>
      </c>
      <c r="S797">
        <v>791</v>
      </c>
    </row>
    <row r="798" spans="18:19">
      <c r="R798" s="5">
        <v>27990.617020000002</v>
      </c>
      <c r="S798">
        <v>792</v>
      </c>
    </row>
    <row r="799" spans="18:19">
      <c r="R799" s="5">
        <v>28018.319149999999</v>
      </c>
      <c r="S799">
        <v>793</v>
      </c>
    </row>
    <row r="800" spans="18:19">
      <c r="R800" s="5">
        <v>28046.021280000001</v>
      </c>
      <c r="S800">
        <v>794</v>
      </c>
    </row>
    <row r="801" spans="18:19">
      <c r="R801" s="5">
        <v>28073.723399999999</v>
      </c>
      <c r="S801">
        <v>795</v>
      </c>
    </row>
    <row r="802" spans="18:19">
      <c r="R802" s="5">
        <v>28101.42553</v>
      </c>
      <c r="S802">
        <v>796</v>
      </c>
    </row>
    <row r="803" spans="18:19">
      <c r="R803" s="5">
        <v>28129.127659999998</v>
      </c>
      <c r="S803">
        <v>797</v>
      </c>
    </row>
    <row r="804" spans="18:19">
      <c r="R804" s="5">
        <v>28156.82979</v>
      </c>
      <c r="S804">
        <v>798</v>
      </c>
    </row>
    <row r="805" spans="18:19">
      <c r="R805" s="5">
        <v>28184.531910000002</v>
      </c>
      <c r="S805">
        <v>799</v>
      </c>
    </row>
    <row r="806" spans="18:19">
      <c r="R806" s="5">
        <v>28212.234039999999</v>
      </c>
      <c r="S806">
        <v>800</v>
      </c>
    </row>
    <row r="807" spans="18:19">
      <c r="R807" s="5">
        <v>28239.936170000001</v>
      </c>
      <c r="S807">
        <v>801</v>
      </c>
    </row>
    <row r="808" spans="18:19">
      <c r="R808" s="5">
        <v>28267.638299999999</v>
      </c>
      <c r="S808">
        <v>802</v>
      </c>
    </row>
    <row r="809" spans="18:19">
      <c r="R809" s="5">
        <v>28295.34043</v>
      </c>
      <c r="S809">
        <v>803</v>
      </c>
    </row>
    <row r="810" spans="18:19">
      <c r="R810" s="5">
        <v>28323.042549999998</v>
      </c>
      <c r="S810">
        <v>804</v>
      </c>
    </row>
    <row r="811" spans="18:19">
      <c r="R811" s="5">
        <v>28350.74468</v>
      </c>
      <c r="S811">
        <v>805</v>
      </c>
    </row>
    <row r="812" spans="18:19">
      <c r="R812" s="5">
        <v>28378.446810000001</v>
      </c>
      <c r="S812">
        <v>806</v>
      </c>
    </row>
    <row r="813" spans="18:19">
      <c r="R813" s="5">
        <v>28406.148939999999</v>
      </c>
      <c r="S813">
        <v>807</v>
      </c>
    </row>
    <row r="814" spans="18:19">
      <c r="R814" s="5">
        <v>28433.851060000001</v>
      </c>
      <c r="S814">
        <v>808</v>
      </c>
    </row>
    <row r="815" spans="18:19">
      <c r="R815" s="5">
        <v>28461.553189999999</v>
      </c>
      <c r="S815">
        <v>809</v>
      </c>
    </row>
    <row r="816" spans="18:19">
      <c r="R816" s="5">
        <v>28489.25532</v>
      </c>
      <c r="S816">
        <v>810</v>
      </c>
    </row>
    <row r="817" spans="18:19">
      <c r="R817" s="5">
        <v>28516.957450000002</v>
      </c>
      <c r="S817">
        <v>811</v>
      </c>
    </row>
    <row r="818" spans="18:19">
      <c r="R818" s="5">
        <v>28544.65957</v>
      </c>
      <c r="S818">
        <v>812</v>
      </c>
    </row>
    <row r="819" spans="18:19">
      <c r="R819" s="5">
        <v>28572.361700000001</v>
      </c>
      <c r="S819">
        <v>813</v>
      </c>
    </row>
    <row r="820" spans="18:19">
      <c r="R820" s="5">
        <v>28600.063829999999</v>
      </c>
      <c r="S820">
        <v>814</v>
      </c>
    </row>
    <row r="821" spans="18:19">
      <c r="R821" s="5">
        <v>28627.765960000001</v>
      </c>
      <c r="S821">
        <v>815</v>
      </c>
    </row>
    <row r="822" spans="18:19">
      <c r="R822" s="5">
        <v>28655.468089999998</v>
      </c>
      <c r="S822">
        <v>816</v>
      </c>
    </row>
    <row r="823" spans="18:19">
      <c r="R823" s="5">
        <v>28683.17021</v>
      </c>
      <c r="S823">
        <v>817</v>
      </c>
    </row>
    <row r="824" spans="18:19">
      <c r="R824" s="5">
        <v>28710.872340000002</v>
      </c>
      <c r="S824">
        <v>818</v>
      </c>
    </row>
    <row r="825" spans="18:19">
      <c r="R825" s="5">
        <v>28738.57447</v>
      </c>
      <c r="S825">
        <v>819</v>
      </c>
    </row>
    <row r="826" spans="18:19">
      <c r="R826" s="5">
        <v>28766.276600000001</v>
      </c>
      <c r="S826">
        <v>820</v>
      </c>
    </row>
    <row r="827" spans="18:19">
      <c r="R827" s="5">
        <v>28793.978719999999</v>
      </c>
      <c r="S827">
        <v>821</v>
      </c>
    </row>
    <row r="828" spans="18:19">
      <c r="R828" s="5">
        <v>28821.680850000001</v>
      </c>
      <c r="S828">
        <v>822</v>
      </c>
    </row>
    <row r="829" spans="18:19">
      <c r="R829" s="5">
        <v>28849.382979999998</v>
      </c>
      <c r="S829">
        <v>823</v>
      </c>
    </row>
    <row r="830" spans="18:19">
      <c r="R830" s="5">
        <v>28877.08511</v>
      </c>
      <c r="S830">
        <v>824</v>
      </c>
    </row>
    <row r="831" spans="18:19">
      <c r="R831" s="5">
        <v>28904.787230000002</v>
      </c>
      <c r="S831">
        <v>825</v>
      </c>
    </row>
    <row r="832" spans="18:19">
      <c r="R832" s="5">
        <v>28932.48936</v>
      </c>
      <c r="S832">
        <v>826</v>
      </c>
    </row>
    <row r="833" spans="18:19">
      <c r="R833" s="5">
        <v>28960.191490000001</v>
      </c>
      <c r="S833">
        <v>827</v>
      </c>
    </row>
    <row r="834" spans="18:19">
      <c r="R834" s="5">
        <v>28987.893619999999</v>
      </c>
      <c r="S834">
        <v>828</v>
      </c>
    </row>
    <row r="835" spans="18:19">
      <c r="R835" s="5">
        <v>29015.595740000001</v>
      </c>
      <c r="S835">
        <v>829</v>
      </c>
    </row>
    <row r="836" spans="18:19">
      <c r="R836" s="5">
        <v>29043.297869999999</v>
      </c>
      <c r="S836">
        <v>830</v>
      </c>
    </row>
    <row r="837" spans="18:19">
      <c r="R837" s="5">
        <v>29071</v>
      </c>
      <c r="S837">
        <v>831</v>
      </c>
    </row>
    <row r="838" spans="18:19">
      <c r="R838" s="5">
        <v>29098.702130000001</v>
      </c>
      <c r="S838">
        <v>832</v>
      </c>
    </row>
    <row r="839" spans="18:19">
      <c r="R839" s="5">
        <v>29126.404259999999</v>
      </c>
      <c r="S839">
        <v>833</v>
      </c>
    </row>
    <row r="840" spans="18:19">
      <c r="R840" s="5">
        <v>29154.106380000001</v>
      </c>
      <c r="S840">
        <v>834</v>
      </c>
    </row>
    <row r="841" spans="18:19">
      <c r="R841" s="5">
        <v>29181.808509999999</v>
      </c>
      <c r="S841">
        <v>835</v>
      </c>
    </row>
    <row r="842" spans="18:19">
      <c r="R842" s="5">
        <v>29209.51064</v>
      </c>
      <c r="S842">
        <v>836</v>
      </c>
    </row>
    <row r="843" spans="18:19">
      <c r="R843" s="5">
        <v>29237.212769999998</v>
      </c>
      <c r="S843">
        <v>837</v>
      </c>
    </row>
    <row r="844" spans="18:19">
      <c r="R844" s="5">
        <v>29264.91489</v>
      </c>
      <c r="S844">
        <v>838</v>
      </c>
    </row>
    <row r="845" spans="18:19">
      <c r="R845" s="5">
        <v>29292.617020000002</v>
      </c>
      <c r="S845">
        <v>839</v>
      </c>
    </row>
    <row r="846" spans="18:19">
      <c r="R846" s="5">
        <v>29320.319149999999</v>
      </c>
      <c r="S846">
        <v>840</v>
      </c>
    </row>
    <row r="847" spans="18:19">
      <c r="R847" s="5">
        <v>29348.021280000001</v>
      </c>
      <c r="S847">
        <v>841</v>
      </c>
    </row>
    <row r="848" spans="18:19">
      <c r="R848" s="5">
        <v>29375.723399999999</v>
      </c>
      <c r="S848">
        <v>842</v>
      </c>
    </row>
    <row r="849" spans="18:19">
      <c r="R849" s="5">
        <v>29403.42553</v>
      </c>
      <c r="S849">
        <v>843</v>
      </c>
    </row>
    <row r="850" spans="18:19">
      <c r="R850" s="5">
        <v>29431.127659999998</v>
      </c>
      <c r="S850">
        <v>844</v>
      </c>
    </row>
    <row r="851" spans="18:19">
      <c r="R851" s="5">
        <v>29458.82979</v>
      </c>
      <c r="S851">
        <v>845</v>
      </c>
    </row>
    <row r="852" spans="18:19">
      <c r="R852" s="5">
        <v>29486.531910000002</v>
      </c>
      <c r="S852">
        <v>846</v>
      </c>
    </row>
    <row r="853" spans="18:19">
      <c r="R853" s="5">
        <v>29514.234039999999</v>
      </c>
      <c r="S853">
        <v>847</v>
      </c>
    </row>
    <row r="854" spans="18:19">
      <c r="R854" s="5">
        <v>29541.936170000001</v>
      </c>
      <c r="S854">
        <v>848</v>
      </c>
    </row>
    <row r="855" spans="18:19">
      <c r="R855" s="5">
        <v>29569.638299999999</v>
      </c>
      <c r="S855">
        <v>849</v>
      </c>
    </row>
    <row r="856" spans="18:19">
      <c r="R856" s="5">
        <v>29597.34043</v>
      </c>
      <c r="S856">
        <v>850</v>
      </c>
    </row>
    <row r="857" spans="18:19">
      <c r="R857" s="5">
        <v>29625.042549999998</v>
      </c>
      <c r="S857">
        <v>851</v>
      </c>
    </row>
    <row r="858" spans="18:19">
      <c r="R858" s="5">
        <v>29652.74468</v>
      </c>
      <c r="S858">
        <v>852</v>
      </c>
    </row>
    <row r="859" spans="18:19">
      <c r="R859" s="5">
        <v>29680.446810000001</v>
      </c>
      <c r="S859">
        <v>853</v>
      </c>
    </row>
    <row r="860" spans="18:19">
      <c r="R860" s="5">
        <v>29708.148939999999</v>
      </c>
      <c r="S860">
        <v>854</v>
      </c>
    </row>
    <row r="861" spans="18:19">
      <c r="R861" s="5">
        <v>29735.851060000001</v>
      </c>
      <c r="S861">
        <v>855</v>
      </c>
    </row>
    <row r="862" spans="18:19">
      <c r="R862" s="5">
        <v>29763.553189999999</v>
      </c>
      <c r="S862">
        <v>856</v>
      </c>
    </row>
    <row r="863" spans="18:19">
      <c r="R863" s="5">
        <v>29791.25532</v>
      </c>
      <c r="S863">
        <v>857</v>
      </c>
    </row>
    <row r="864" spans="18:19">
      <c r="R864" s="5">
        <v>29818.957450000002</v>
      </c>
      <c r="S864">
        <v>858</v>
      </c>
    </row>
    <row r="865" spans="18:19">
      <c r="R865" s="5">
        <v>29846.65957</v>
      </c>
      <c r="S865">
        <v>859</v>
      </c>
    </row>
    <row r="866" spans="18:19">
      <c r="R866" s="5">
        <v>29874.361700000001</v>
      </c>
      <c r="S866">
        <v>860</v>
      </c>
    </row>
    <row r="867" spans="18:19">
      <c r="R867" s="5">
        <v>29902.063829999999</v>
      </c>
      <c r="S867">
        <v>861</v>
      </c>
    </row>
    <row r="868" spans="18:19">
      <c r="R868" s="5">
        <v>29929.765960000001</v>
      </c>
      <c r="S868">
        <v>862</v>
      </c>
    </row>
    <row r="869" spans="18:19">
      <c r="R869" s="5">
        <v>29957.468089999998</v>
      </c>
      <c r="S869">
        <v>863</v>
      </c>
    </row>
    <row r="870" spans="18:19">
      <c r="R870" s="5">
        <v>29985.17021</v>
      </c>
      <c r="S870">
        <v>864</v>
      </c>
    </row>
    <row r="871" spans="18:19">
      <c r="R871" s="5">
        <v>30012.872340000002</v>
      </c>
      <c r="S871">
        <v>865</v>
      </c>
    </row>
    <row r="872" spans="18:19">
      <c r="R872" s="5">
        <v>30040.57447</v>
      </c>
      <c r="S872">
        <v>866</v>
      </c>
    </row>
    <row r="873" spans="18:19">
      <c r="R873" s="5">
        <v>30068.276600000001</v>
      </c>
      <c r="S873">
        <v>867</v>
      </c>
    </row>
    <row r="874" spans="18:19">
      <c r="R874" s="5">
        <v>30095.978719999999</v>
      </c>
      <c r="S874">
        <v>868</v>
      </c>
    </row>
    <row r="875" spans="18:19">
      <c r="R875" s="5">
        <v>30123.680850000001</v>
      </c>
      <c r="S875">
        <v>869</v>
      </c>
    </row>
    <row r="876" spans="18:19">
      <c r="R876" s="5">
        <v>30151.382979999998</v>
      </c>
      <c r="S876">
        <v>870</v>
      </c>
    </row>
    <row r="877" spans="18:19">
      <c r="R877" s="5">
        <v>30179.08511</v>
      </c>
      <c r="S877">
        <v>871</v>
      </c>
    </row>
    <row r="878" spans="18:19">
      <c r="R878" s="5">
        <v>30206.787230000002</v>
      </c>
      <c r="S878">
        <v>872</v>
      </c>
    </row>
    <row r="879" spans="18:19">
      <c r="R879" s="5">
        <v>30234.48936</v>
      </c>
      <c r="S879">
        <v>873</v>
      </c>
    </row>
    <row r="880" spans="18:19">
      <c r="R880" s="5">
        <v>30262.191490000001</v>
      </c>
      <c r="S880">
        <v>874</v>
      </c>
    </row>
    <row r="881" spans="18:19">
      <c r="R881" s="5">
        <v>30289.893619999999</v>
      </c>
      <c r="S881">
        <v>875</v>
      </c>
    </row>
    <row r="882" spans="18:19">
      <c r="R882" s="5">
        <v>30317.595740000001</v>
      </c>
      <c r="S882">
        <v>876</v>
      </c>
    </row>
    <row r="883" spans="18:19">
      <c r="R883" s="5">
        <v>30345.297869999999</v>
      </c>
      <c r="S883">
        <v>877</v>
      </c>
    </row>
    <row r="884" spans="18:19">
      <c r="R884" s="5">
        <v>30373</v>
      </c>
      <c r="S884">
        <v>878</v>
      </c>
    </row>
    <row r="885" spans="18:19">
      <c r="R885" s="5">
        <v>30384.99048</v>
      </c>
      <c r="S885">
        <v>879</v>
      </c>
    </row>
    <row r="886" spans="18:19">
      <c r="R886" s="5">
        <v>30396.980950000001</v>
      </c>
      <c r="S886">
        <v>880</v>
      </c>
    </row>
    <row r="887" spans="18:19">
      <c r="R887" s="5">
        <v>30408.971430000001</v>
      </c>
      <c r="S887">
        <v>881</v>
      </c>
    </row>
    <row r="888" spans="18:19">
      <c r="R888" s="5">
        <v>30420.961899999998</v>
      </c>
      <c r="S888">
        <v>882</v>
      </c>
    </row>
    <row r="889" spans="18:19">
      <c r="R889" s="5">
        <v>30432.952379999999</v>
      </c>
      <c r="S889">
        <v>883</v>
      </c>
    </row>
    <row r="890" spans="18:19">
      <c r="R890" s="5">
        <v>30444.942859999999</v>
      </c>
      <c r="S890">
        <v>884</v>
      </c>
    </row>
    <row r="891" spans="18:19">
      <c r="R891" s="5">
        <v>30456.93333</v>
      </c>
      <c r="S891">
        <v>885</v>
      </c>
    </row>
    <row r="892" spans="18:19">
      <c r="R892" s="5">
        <v>30468.92381</v>
      </c>
      <c r="S892">
        <v>886</v>
      </c>
    </row>
    <row r="893" spans="18:19">
      <c r="R893" s="5">
        <v>30480.914290000001</v>
      </c>
      <c r="S893">
        <v>887</v>
      </c>
    </row>
    <row r="894" spans="18:19">
      <c r="R894" s="5">
        <v>30492.904760000001</v>
      </c>
      <c r="S894">
        <v>888</v>
      </c>
    </row>
    <row r="895" spans="18:19">
      <c r="R895" s="5">
        <v>30504.895240000002</v>
      </c>
      <c r="S895">
        <v>889</v>
      </c>
    </row>
    <row r="896" spans="18:19">
      <c r="R896" s="5">
        <v>30516.885709999999</v>
      </c>
      <c r="S896">
        <v>890</v>
      </c>
    </row>
    <row r="897" spans="18:19">
      <c r="R897" s="5">
        <v>30528.876189999999</v>
      </c>
      <c r="S897">
        <v>891</v>
      </c>
    </row>
    <row r="898" spans="18:19">
      <c r="R898" s="5">
        <v>30540.866669999999</v>
      </c>
      <c r="S898">
        <v>892</v>
      </c>
    </row>
    <row r="899" spans="18:19">
      <c r="R899" s="5">
        <v>30552.85714</v>
      </c>
      <c r="S899">
        <v>893</v>
      </c>
    </row>
    <row r="900" spans="18:19">
      <c r="R900" s="5">
        <v>30564.84762</v>
      </c>
      <c r="S900">
        <v>894</v>
      </c>
    </row>
    <row r="901" spans="18:19">
      <c r="R901" s="5">
        <v>30576.838100000001</v>
      </c>
      <c r="S901">
        <v>895</v>
      </c>
    </row>
    <row r="902" spans="18:19">
      <c r="R902" s="5">
        <v>30588.828570000001</v>
      </c>
      <c r="S902">
        <v>896</v>
      </c>
    </row>
    <row r="903" spans="18:19">
      <c r="R903" s="5">
        <v>30600.819049999998</v>
      </c>
      <c r="S903">
        <v>897</v>
      </c>
    </row>
    <row r="904" spans="18:19">
      <c r="R904" s="5">
        <v>30612.809519999999</v>
      </c>
      <c r="S904">
        <v>898</v>
      </c>
    </row>
    <row r="905" spans="18:19">
      <c r="R905" s="5">
        <v>30624.799999999999</v>
      </c>
      <c r="S905">
        <v>899</v>
      </c>
    </row>
    <row r="906" spans="18:19">
      <c r="R906" s="5">
        <v>30636.79048</v>
      </c>
      <c r="S906">
        <v>900</v>
      </c>
    </row>
    <row r="907" spans="18:19">
      <c r="R907" s="5">
        <v>30648.78095</v>
      </c>
      <c r="S907">
        <v>901</v>
      </c>
    </row>
    <row r="908" spans="18:19">
      <c r="R908" s="5">
        <v>30660.771430000001</v>
      </c>
      <c r="S908">
        <v>902</v>
      </c>
    </row>
    <row r="909" spans="18:19">
      <c r="R909" s="5">
        <v>30672.761900000001</v>
      </c>
      <c r="S909">
        <v>903</v>
      </c>
    </row>
    <row r="910" spans="18:19">
      <c r="R910" s="5">
        <v>30684.752380000002</v>
      </c>
      <c r="S910">
        <v>904</v>
      </c>
    </row>
    <row r="911" spans="18:19">
      <c r="R911" s="5">
        <v>30696.742859999998</v>
      </c>
      <c r="S911">
        <v>905</v>
      </c>
    </row>
    <row r="912" spans="18:19">
      <c r="R912" s="5">
        <v>30708.733329999999</v>
      </c>
      <c r="S912">
        <v>906</v>
      </c>
    </row>
    <row r="913" spans="18:19">
      <c r="R913" s="5">
        <v>30720.72381</v>
      </c>
      <c r="S913">
        <v>907</v>
      </c>
    </row>
    <row r="914" spans="18:19">
      <c r="R914" s="5">
        <v>30732.71429</v>
      </c>
      <c r="S914">
        <v>908</v>
      </c>
    </row>
    <row r="915" spans="18:19">
      <c r="R915" s="5">
        <v>30744.704760000001</v>
      </c>
      <c r="S915">
        <v>909</v>
      </c>
    </row>
    <row r="916" spans="18:19">
      <c r="R916" s="5">
        <v>30756.695240000001</v>
      </c>
      <c r="S916">
        <v>910</v>
      </c>
    </row>
    <row r="917" spans="18:19">
      <c r="R917" s="5">
        <v>30768.685710000002</v>
      </c>
      <c r="S917">
        <v>911</v>
      </c>
    </row>
    <row r="918" spans="18:19">
      <c r="R918" s="5">
        <v>30780.676189999998</v>
      </c>
      <c r="S918">
        <v>912</v>
      </c>
    </row>
    <row r="919" spans="18:19">
      <c r="R919" s="5">
        <v>30792.666669999999</v>
      </c>
      <c r="S919">
        <v>913</v>
      </c>
    </row>
    <row r="920" spans="18:19">
      <c r="R920" s="5">
        <v>30804.657139999999</v>
      </c>
      <c r="S920">
        <v>914</v>
      </c>
    </row>
    <row r="921" spans="18:19">
      <c r="R921" s="5">
        <v>30816.64762</v>
      </c>
      <c r="S921">
        <v>915</v>
      </c>
    </row>
    <row r="922" spans="18:19">
      <c r="R922" s="5">
        <v>30828.6381</v>
      </c>
      <c r="S922">
        <v>916</v>
      </c>
    </row>
    <row r="923" spans="18:19">
      <c r="R923" s="5">
        <v>30840.628570000001</v>
      </c>
      <c r="S923">
        <v>917</v>
      </c>
    </row>
    <row r="924" spans="18:19">
      <c r="R924" s="5">
        <v>30852.619050000001</v>
      </c>
      <c r="S924">
        <v>918</v>
      </c>
    </row>
    <row r="925" spans="18:19">
      <c r="R925" s="5">
        <v>30864.609520000002</v>
      </c>
      <c r="S925">
        <v>919</v>
      </c>
    </row>
    <row r="926" spans="18:19">
      <c r="R926" s="5">
        <v>30876.6</v>
      </c>
      <c r="S926">
        <v>920</v>
      </c>
    </row>
    <row r="927" spans="18:19">
      <c r="R927" s="5">
        <v>30888.590479999999</v>
      </c>
      <c r="S927">
        <v>921</v>
      </c>
    </row>
    <row r="928" spans="18:19">
      <c r="R928" s="5">
        <v>30900.58095</v>
      </c>
      <c r="S928">
        <v>922</v>
      </c>
    </row>
    <row r="929" spans="18:19">
      <c r="R929" s="5">
        <v>30912.57143</v>
      </c>
      <c r="S929">
        <v>923</v>
      </c>
    </row>
    <row r="930" spans="18:19">
      <c r="R930" s="5">
        <v>30924.561900000001</v>
      </c>
      <c r="S930">
        <v>924</v>
      </c>
    </row>
    <row r="931" spans="18:19">
      <c r="R931" s="5">
        <v>30936.552380000001</v>
      </c>
      <c r="S931">
        <v>925</v>
      </c>
    </row>
    <row r="932" spans="18:19">
      <c r="R932" s="5">
        <v>30948.542860000001</v>
      </c>
      <c r="S932">
        <v>926</v>
      </c>
    </row>
    <row r="933" spans="18:19">
      <c r="R933" s="5">
        <v>30960.533329999998</v>
      </c>
      <c r="S933">
        <v>927</v>
      </c>
    </row>
    <row r="934" spans="18:19">
      <c r="R934" s="5">
        <v>30972.523809999999</v>
      </c>
      <c r="S934">
        <v>928</v>
      </c>
    </row>
    <row r="935" spans="18:19">
      <c r="R935" s="5">
        <v>30984.514289999999</v>
      </c>
      <c r="S935">
        <v>929</v>
      </c>
    </row>
    <row r="936" spans="18:19">
      <c r="R936" s="5">
        <v>30996.50476</v>
      </c>
      <c r="S936">
        <v>930</v>
      </c>
    </row>
    <row r="937" spans="18:19">
      <c r="R937" s="5">
        <v>31008.49524</v>
      </c>
      <c r="S937">
        <v>931</v>
      </c>
    </row>
    <row r="938" spans="18:19">
      <c r="R938" s="5">
        <v>31020.485710000001</v>
      </c>
      <c r="S938">
        <v>932</v>
      </c>
    </row>
    <row r="939" spans="18:19">
      <c r="R939" s="5">
        <v>31032.476190000001</v>
      </c>
      <c r="S939">
        <v>933</v>
      </c>
    </row>
    <row r="940" spans="18:19">
      <c r="R940" s="5">
        <v>31044.466670000002</v>
      </c>
      <c r="S940">
        <v>934</v>
      </c>
    </row>
    <row r="941" spans="18:19">
      <c r="R941" s="5">
        <v>31056.457139999999</v>
      </c>
      <c r="S941">
        <v>935</v>
      </c>
    </row>
    <row r="942" spans="18:19">
      <c r="R942" s="5">
        <v>31068.447619999999</v>
      </c>
      <c r="S942">
        <v>936</v>
      </c>
    </row>
    <row r="943" spans="18:19">
      <c r="R943" s="5">
        <v>31080.438099999999</v>
      </c>
      <c r="S943">
        <v>937</v>
      </c>
    </row>
    <row r="944" spans="18:19">
      <c r="R944" s="5">
        <v>31092.42857</v>
      </c>
      <c r="S944">
        <v>938</v>
      </c>
    </row>
    <row r="945" spans="18:19">
      <c r="R945" s="5">
        <v>31104.41905</v>
      </c>
      <c r="S945">
        <v>939</v>
      </c>
    </row>
    <row r="946" spans="18:19">
      <c r="R946" s="5">
        <v>31116.409520000001</v>
      </c>
      <c r="S946">
        <v>940</v>
      </c>
    </row>
    <row r="947" spans="18:19">
      <c r="R947" s="5">
        <v>31128.400000000001</v>
      </c>
      <c r="S947">
        <v>941</v>
      </c>
    </row>
    <row r="948" spans="18:19">
      <c r="R948" s="5">
        <v>31140.390479999998</v>
      </c>
      <c r="S948">
        <v>942</v>
      </c>
    </row>
    <row r="949" spans="18:19">
      <c r="R949" s="5">
        <v>31152.380949999999</v>
      </c>
      <c r="S949">
        <v>943</v>
      </c>
    </row>
    <row r="950" spans="18:19">
      <c r="R950" s="5">
        <v>31164.371429999999</v>
      </c>
      <c r="S950">
        <v>944</v>
      </c>
    </row>
    <row r="951" spans="18:19">
      <c r="R951" s="5">
        <v>31176.3619</v>
      </c>
      <c r="S951">
        <v>945</v>
      </c>
    </row>
    <row r="952" spans="18:19">
      <c r="R952" s="5">
        <v>31188.35238</v>
      </c>
      <c r="S952">
        <v>946</v>
      </c>
    </row>
    <row r="953" spans="18:19">
      <c r="R953" s="5">
        <v>31200.342860000001</v>
      </c>
      <c r="S953">
        <v>947</v>
      </c>
    </row>
    <row r="954" spans="18:19">
      <c r="R954" s="5">
        <v>31212.333330000001</v>
      </c>
      <c r="S954">
        <v>948</v>
      </c>
    </row>
    <row r="955" spans="18:19">
      <c r="R955" s="5">
        <v>31224.323810000002</v>
      </c>
      <c r="S955">
        <v>949</v>
      </c>
    </row>
    <row r="956" spans="18:19">
      <c r="R956" s="5">
        <v>31236.314289999998</v>
      </c>
      <c r="S956">
        <v>950</v>
      </c>
    </row>
    <row r="957" spans="18:19">
      <c r="R957" s="5">
        <v>31248.304759999999</v>
      </c>
      <c r="S957">
        <v>951</v>
      </c>
    </row>
    <row r="958" spans="18:19">
      <c r="R958" s="5">
        <v>31260.295239999999</v>
      </c>
      <c r="S958">
        <v>952</v>
      </c>
    </row>
    <row r="959" spans="18:19">
      <c r="R959" s="5">
        <v>31272.28571</v>
      </c>
      <c r="S959">
        <v>953</v>
      </c>
    </row>
    <row r="960" spans="18:19">
      <c r="R960" s="5">
        <v>31284.27619</v>
      </c>
      <c r="S960">
        <v>954</v>
      </c>
    </row>
    <row r="961" spans="18:19">
      <c r="R961" s="5">
        <v>31296.266670000001</v>
      </c>
      <c r="S961">
        <v>955</v>
      </c>
    </row>
    <row r="962" spans="18:19">
      <c r="R962" s="5">
        <v>31308.257140000002</v>
      </c>
      <c r="S962">
        <v>956</v>
      </c>
    </row>
    <row r="963" spans="18:19">
      <c r="R963" s="5">
        <v>31320.247619999998</v>
      </c>
      <c r="S963">
        <v>957</v>
      </c>
    </row>
    <row r="964" spans="18:19">
      <c r="R964" s="5">
        <v>31332.238099999999</v>
      </c>
      <c r="S964">
        <v>958</v>
      </c>
    </row>
    <row r="965" spans="18:19">
      <c r="R965" s="5">
        <v>31344.228569999999</v>
      </c>
      <c r="S965">
        <v>959</v>
      </c>
    </row>
    <row r="966" spans="18:19">
      <c r="R966" s="5">
        <v>31356.21905</v>
      </c>
      <c r="S966">
        <v>960</v>
      </c>
    </row>
    <row r="967" spans="18:19">
      <c r="R967" s="5">
        <v>31368.20952</v>
      </c>
      <c r="S967">
        <v>961</v>
      </c>
    </row>
    <row r="968" spans="18:19">
      <c r="R968" s="5">
        <v>31380.2</v>
      </c>
      <c r="S968">
        <v>962</v>
      </c>
    </row>
    <row r="969" spans="18:19">
      <c r="R969" s="5">
        <v>31392.190480000001</v>
      </c>
      <c r="S969">
        <v>963</v>
      </c>
    </row>
    <row r="970" spans="18:19">
      <c r="R970" s="5">
        <v>31404.180950000002</v>
      </c>
      <c r="S970">
        <v>964</v>
      </c>
    </row>
    <row r="971" spans="18:19">
      <c r="R971" s="5">
        <v>31416.171429999999</v>
      </c>
      <c r="S971">
        <v>965</v>
      </c>
    </row>
    <row r="972" spans="18:19">
      <c r="R972" s="5">
        <v>31428.161899999999</v>
      </c>
      <c r="S972">
        <v>966</v>
      </c>
    </row>
    <row r="973" spans="18:19">
      <c r="R973" s="5">
        <v>31440.15238</v>
      </c>
      <c r="S973">
        <v>967</v>
      </c>
    </row>
    <row r="974" spans="18:19">
      <c r="R974" s="5">
        <v>31452.14286</v>
      </c>
      <c r="S974">
        <v>968</v>
      </c>
    </row>
    <row r="975" spans="18:19">
      <c r="R975" s="5">
        <v>31464.133330000001</v>
      </c>
      <c r="S975">
        <v>969</v>
      </c>
    </row>
    <row r="976" spans="18:19">
      <c r="R976" s="5">
        <v>31476.123810000001</v>
      </c>
      <c r="S976">
        <v>970</v>
      </c>
    </row>
    <row r="977" spans="18:19">
      <c r="R977" s="5">
        <v>31488.114290000001</v>
      </c>
      <c r="S977">
        <v>971</v>
      </c>
    </row>
    <row r="978" spans="18:19">
      <c r="R978" s="5">
        <v>31500.104759999998</v>
      </c>
      <c r="S978">
        <v>972</v>
      </c>
    </row>
    <row r="979" spans="18:19">
      <c r="R979" s="5">
        <v>31512.095239999999</v>
      </c>
      <c r="S979">
        <v>973</v>
      </c>
    </row>
    <row r="980" spans="18:19">
      <c r="R980" s="5">
        <v>31524.085709999999</v>
      </c>
      <c r="S980">
        <v>974</v>
      </c>
    </row>
    <row r="981" spans="18:19">
      <c r="R981" s="5">
        <v>31536.07619</v>
      </c>
      <c r="S981">
        <v>975</v>
      </c>
    </row>
    <row r="982" spans="18:19">
      <c r="R982" s="5">
        <v>31548.06667</v>
      </c>
      <c r="S982">
        <v>976</v>
      </c>
    </row>
    <row r="983" spans="18:19">
      <c r="R983" s="5">
        <v>31560.057140000001</v>
      </c>
      <c r="S983">
        <v>977</v>
      </c>
    </row>
    <row r="984" spans="18:19">
      <c r="R984" s="5">
        <v>31572.047620000001</v>
      </c>
      <c r="S984">
        <v>978</v>
      </c>
    </row>
    <row r="985" spans="18:19">
      <c r="R985" s="5">
        <v>31584.038100000002</v>
      </c>
      <c r="S985">
        <v>979</v>
      </c>
    </row>
    <row r="986" spans="18:19">
      <c r="R986" s="5">
        <v>31596.028569999999</v>
      </c>
      <c r="S986">
        <v>980</v>
      </c>
    </row>
    <row r="987" spans="18:19">
      <c r="R987" s="5">
        <v>31608.019049999999</v>
      </c>
      <c r="S987">
        <v>981</v>
      </c>
    </row>
    <row r="988" spans="18:19">
      <c r="R988" s="5">
        <v>31620.00952</v>
      </c>
      <c r="S988">
        <v>982</v>
      </c>
    </row>
    <row r="989" spans="18:19">
      <c r="R989" s="5">
        <v>31632</v>
      </c>
      <c r="S989">
        <v>983</v>
      </c>
    </row>
    <row r="990" spans="18:19">
      <c r="R990" s="5">
        <v>31660.309089999999</v>
      </c>
      <c r="S990">
        <v>984</v>
      </c>
    </row>
    <row r="991" spans="18:19">
      <c r="R991" s="5">
        <v>31688.618180000001</v>
      </c>
      <c r="S991">
        <v>985</v>
      </c>
    </row>
    <row r="992" spans="18:19">
      <c r="R992" s="5">
        <v>31716.92727</v>
      </c>
      <c r="S992">
        <v>986</v>
      </c>
    </row>
    <row r="993" spans="18:19">
      <c r="R993" s="5">
        <v>31745.236359999999</v>
      </c>
      <c r="S993">
        <v>987</v>
      </c>
    </row>
    <row r="994" spans="18:19">
      <c r="R994" s="5">
        <v>31773.545450000001</v>
      </c>
      <c r="S994">
        <v>988</v>
      </c>
    </row>
    <row r="995" spans="18:19">
      <c r="R995" s="5">
        <v>31801.85455</v>
      </c>
      <c r="S995">
        <v>989</v>
      </c>
    </row>
    <row r="996" spans="18:19">
      <c r="R996" s="5">
        <v>31830.163639999999</v>
      </c>
      <c r="S996">
        <v>990</v>
      </c>
    </row>
    <row r="997" spans="18:19">
      <c r="R997" s="5">
        <v>31858.472730000001</v>
      </c>
      <c r="S997">
        <v>991</v>
      </c>
    </row>
    <row r="998" spans="18:19">
      <c r="R998" s="5">
        <v>31886.78182</v>
      </c>
      <c r="S998">
        <v>992</v>
      </c>
    </row>
    <row r="999" spans="18:19">
      <c r="R999" s="5">
        <v>31915.090909999999</v>
      </c>
      <c r="S999">
        <v>993</v>
      </c>
    </row>
    <row r="1000" spans="18:19">
      <c r="R1000" s="5">
        <v>31943.4</v>
      </c>
      <c r="S1000">
        <v>994</v>
      </c>
    </row>
    <row r="1001" spans="18:19">
      <c r="R1001" s="5">
        <v>31971.70909</v>
      </c>
      <c r="S1001">
        <v>995</v>
      </c>
    </row>
    <row r="1002" spans="18:19">
      <c r="R1002" s="5">
        <v>32000.018179999999</v>
      </c>
      <c r="S1002">
        <v>996</v>
      </c>
    </row>
    <row r="1003" spans="18:19">
      <c r="R1003" s="5">
        <v>32028.327270000002</v>
      </c>
      <c r="S1003">
        <v>997</v>
      </c>
    </row>
    <row r="1004" spans="18:19">
      <c r="R1004" s="5">
        <v>32056.63636</v>
      </c>
      <c r="S1004">
        <v>998</v>
      </c>
    </row>
    <row r="1005" spans="18:19">
      <c r="R1005" s="5">
        <v>32084.945449999999</v>
      </c>
      <c r="S1005">
        <v>999</v>
      </c>
    </row>
    <row r="1006" spans="18:19">
      <c r="R1006" s="5">
        <v>32113.254550000001</v>
      </c>
      <c r="S1006">
        <v>1000</v>
      </c>
    </row>
    <row r="1007" spans="18:19">
      <c r="R1007" s="5">
        <v>32141.56364</v>
      </c>
      <c r="S1007">
        <v>1001</v>
      </c>
    </row>
    <row r="1008" spans="18:19">
      <c r="R1008" s="5">
        <v>32169.872729999999</v>
      </c>
      <c r="S1008">
        <v>1002</v>
      </c>
    </row>
    <row r="1009" spans="18:19">
      <c r="R1009" s="5">
        <v>32198.181820000002</v>
      </c>
      <c r="S1009">
        <v>1003</v>
      </c>
    </row>
    <row r="1010" spans="18:19">
      <c r="R1010" s="5">
        <v>32226.49091</v>
      </c>
      <c r="S1010">
        <v>1004</v>
      </c>
    </row>
    <row r="1011" spans="18:19">
      <c r="R1011" s="5">
        <v>32254.799999999999</v>
      </c>
      <c r="S1011">
        <v>1005</v>
      </c>
    </row>
    <row r="1012" spans="18:19">
      <c r="R1012" s="5">
        <v>32283.109090000002</v>
      </c>
      <c r="S1012">
        <v>1006</v>
      </c>
    </row>
    <row r="1013" spans="18:19">
      <c r="R1013" s="5">
        <v>32311.418180000001</v>
      </c>
      <c r="S1013">
        <v>1007</v>
      </c>
    </row>
    <row r="1014" spans="18:19">
      <c r="R1014" s="5">
        <v>32339.727269999999</v>
      </c>
      <c r="S1014">
        <v>1008</v>
      </c>
    </row>
    <row r="1015" spans="18:19">
      <c r="R1015" s="5">
        <v>32368.036359999998</v>
      </c>
      <c r="S1015">
        <v>1009</v>
      </c>
    </row>
    <row r="1016" spans="18:19">
      <c r="R1016" s="5">
        <v>32396.345450000001</v>
      </c>
      <c r="S1016">
        <v>1010</v>
      </c>
    </row>
    <row r="1017" spans="18:19">
      <c r="R1017" s="5">
        <v>32424.654549999999</v>
      </c>
      <c r="S1017">
        <v>1011</v>
      </c>
    </row>
    <row r="1018" spans="18:19">
      <c r="R1018" s="5">
        <v>32452.963640000002</v>
      </c>
      <c r="S1018">
        <v>1012</v>
      </c>
    </row>
    <row r="1019" spans="18:19">
      <c r="R1019" s="5">
        <v>32481.272730000001</v>
      </c>
      <c r="S1019">
        <v>1013</v>
      </c>
    </row>
    <row r="1020" spans="18:19">
      <c r="R1020" s="5">
        <v>32509.581819999999</v>
      </c>
      <c r="S1020">
        <v>1014</v>
      </c>
    </row>
    <row r="1021" spans="18:19">
      <c r="R1021" s="5">
        <v>32537.890909999998</v>
      </c>
      <c r="S1021">
        <v>1015</v>
      </c>
    </row>
    <row r="1022" spans="18:19">
      <c r="R1022" s="5">
        <v>32566.2</v>
      </c>
      <c r="S1022">
        <v>1016</v>
      </c>
    </row>
    <row r="1023" spans="18:19">
      <c r="R1023" s="5">
        <v>32594.50909</v>
      </c>
      <c r="S1023">
        <v>1017</v>
      </c>
    </row>
    <row r="1024" spans="18:19">
      <c r="R1024" s="5">
        <v>32622.818179999998</v>
      </c>
      <c r="S1024">
        <v>1018</v>
      </c>
    </row>
    <row r="1025" spans="18:19">
      <c r="R1025" s="5">
        <v>32651.127270000001</v>
      </c>
      <c r="S1025">
        <v>1019</v>
      </c>
    </row>
    <row r="1026" spans="18:19">
      <c r="R1026" s="5">
        <v>32679.43636</v>
      </c>
      <c r="S1026">
        <v>1020</v>
      </c>
    </row>
    <row r="1027" spans="18:19">
      <c r="R1027" s="5">
        <v>32707.745449999999</v>
      </c>
      <c r="S1027">
        <v>1021</v>
      </c>
    </row>
    <row r="1028" spans="18:19">
      <c r="R1028" s="5">
        <v>32736.054550000001</v>
      </c>
      <c r="S1028">
        <v>1022</v>
      </c>
    </row>
    <row r="1029" spans="18:19">
      <c r="R1029" s="5">
        <v>32764.36364</v>
      </c>
      <c r="S1029">
        <v>1023</v>
      </c>
    </row>
    <row r="1030" spans="18:19">
      <c r="R1030" s="5">
        <v>32792.672729999998</v>
      </c>
      <c r="S1030">
        <v>1024</v>
      </c>
    </row>
    <row r="1031" spans="18:19">
      <c r="R1031" s="5">
        <v>32820.981820000001</v>
      </c>
      <c r="S1031">
        <v>1025</v>
      </c>
    </row>
    <row r="1032" spans="18:19">
      <c r="R1032" s="5">
        <v>32849.290910000003</v>
      </c>
      <c r="S1032">
        <v>1026</v>
      </c>
    </row>
    <row r="1033" spans="18:19">
      <c r="R1033" s="5">
        <v>32877.599999999999</v>
      </c>
      <c r="S1033">
        <v>1027</v>
      </c>
    </row>
    <row r="1034" spans="18:19">
      <c r="R1034" s="5">
        <v>32905.909090000001</v>
      </c>
      <c r="S1034">
        <v>1028</v>
      </c>
    </row>
    <row r="1035" spans="18:19">
      <c r="R1035" s="5">
        <v>32934.218180000003</v>
      </c>
      <c r="S1035">
        <v>1029</v>
      </c>
    </row>
    <row r="1036" spans="18:19">
      <c r="R1036" s="5">
        <v>32962.527269999999</v>
      </c>
      <c r="S1036">
        <v>1030</v>
      </c>
    </row>
    <row r="1037" spans="18:19">
      <c r="R1037" s="5">
        <v>32990.836360000001</v>
      </c>
      <c r="S1037">
        <v>1031</v>
      </c>
    </row>
    <row r="1038" spans="18:19">
      <c r="R1038" s="5">
        <v>33019.145450000004</v>
      </c>
      <c r="S1038">
        <v>1032</v>
      </c>
    </row>
    <row r="1039" spans="18:19">
      <c r="R1039" s="5">
        <v>33047.454550000002</v>
      </c>
      <c r="S1039">
        <v>1033</v>
      </c>
    </row>
    <row r="1040" spans="18:19">
      <c r="R1040" s="5">
        <v>33075.763639999997</v>
      </c>
      <c r="S1040">
        <v>1034</v>
      </c>
    </row>
    <row r="1041" spans="18:19">
      <c r="R1041" s="5">
        <v>33104.07273</v>
      </c>
      <c r="S1041">
        <v>1035</v>
      </c>
    </row>
    <row r="1042" spans="18:19">
      <c r="R1042" s="5">
        <v>33132.381820000002</v>
      </c>
      <c r="S1042">
        <v>1036</v>
      </c>
    </row>
    <row r="1043" spans="18:19">
      <c r="R1043" s="5">
        <v>33160.690909999998</v>
      </c>
      <c r="S1043">
        <v>1037</v>
      </c>
    </row>
    <row r="1044" spans="18:19">
      <c r="R1044" s="5">
        <v>33189</v>
      </c>
      <c r="S1044">
        <v>1038</v>
      </c>
    </row>
    <row r="1045" spans="18:19">
      <c r="R1045" s="5">
        <v>33217.309090000002</v>
      </c>
      <c r="S1045">
        <v>1039</v>
      </c>
    </row>
    <row r="1046" spans="18:19">
      <c r="R1046" s="5">
        <v>33245.618179999998</v>
      </c>
      <c r="S1046">
        <v>1040</v>
      </c>
    </row>
    <row r="1047" spans="18:19">
      <c r="R1047" s="5">
        <v>33273.92727</v>
      </c>
      <c r="S1047">
        <v>1041</v>
      </c>
    </row>
    <row r="1048" spans="18:19">
      <c r="R1048" s="5">
        <v>33302.236360000003</v>
      </c>
      <c r="S1048">
        <v>1042</v>
      </c>
    </row>
    <row r="1049" spans="18:19">
      <c r="R1049" s="5">
        <v>33330.545449999998</v>
      </c>
      <c r="S1049">
        <v>1043</v>
      </c>
    </row>
    <row r="1050" spans="18:19">
      <c r="R1050" s="5">
        <v>33358.854549999996</v>
      </c>
      <c r="S1050">
        <v>1044</v>
      </c>
    </row>
    <row r="1051" spans="18:19">
      <c r="R1051" s="5">
        <v>33387.163639999999</v>
      </c>
      <c r="S1051">
        <v>1045</v>
      </c>
    </row>
    <row r="1052" spans="18:19">
      <c r="R1052" s="5">
        <v>33415.472730000001</v>
      </c>
      <c r="S1052">
        <v>1046</v>
      </c>
    </row>
    <row r="1053" spans="18:19">
      <c r="R1053" s="5">
        <v>33443.781819999997</v>
      </c>
      <c r="S1053">
        <v>1047</v>
      </c>
    </row>
    <row r="1054" spans="18:19">
      <c r="R1054" s="5">
        <v>33472.090909999999</v>
      </c>
      <c r="S1054">
        <v>1048</v>
      </c>
    </row>
    <row r="1055" spans="18:19">
      <c r="R1055" s="5">
        <v>33500.400000000001</v>
      </c>
      <c r="S1055">
        <v>1049</v>
      </c>
    </row>
    <row r="1056" spans="18:19">
      <c r="R1056" s="5">
        <v>33528.709089999997</v>
      </c>
      <c r="S1056">
        <v>1050</v>
      </c>
    </row>
    <row r="1057" spans="18:19">
      <c r="R1057" s="5">
        <v>33557.018179999999</v>
      </c>
      <c r="S1057">
        <v>1051</v>
      </c>
    </row>
    <row r="1058" spans="18:19">
      <c r="R1058" s="5">
        <v>33585.327270000002</v>
      </c>
      <c r="S1058">
        <v>1052</v>
      </c>
    </row>
    <row r="1059" spans="18:19">
      <c r="R1059" s="5">
        <v>33613.636359999997</v>
      </c>
      <c r="S1059">
        <v>1053</v>
      </c>
    </row>
    <row r="1060" spans="18:19">
      <c r="R1060" s="5">
        <v>33641.945449999999</v>
      </c>
      <c r="S1060">
        <v>1054</v>
      </c>
    </row>
    <row r="1061" spans="18:19">
      <c r="R1061" s="5">
        <v>33670.254549999998</v>
      </c>
      <c r="S1061">
        <v>1055</v>
      </c>
    </row>
    <row r="1062" spans="18:19">
      <c r="R1062" s="5">
        <v>33698.56364</v>
      </c>
      <c r="S1062">
        <v>1056</v>
      </c>
    </row>
    <row r="1063" spans="18:19">
      <c r="R1063" s="5">
        <v>33726.872730000003</v>
      </c>
      <c r="S1063">
        <v>1057</v>
      </c>
    </row>
    <row r="1064" spans="18:19">
      <c r="R1064" s="5">
        <v>33755.181819999998</v>
      </c>
      <c r="S1064">
        <v>1058</v>
      </c>
    </row>
    <row r="1065" spans="18:19">
      <c r="R1065" s="5">
        <v>33783.49091</v>
      </c>
      <c r="S1065">
        <v>1059</v>
      </c>
    </row>
    <row r="1066" spans="18:19">
      <c r="R1066" s="5">
        <v>33811.800000000003</v>
      </c>
      <c r="S1066">
        <v>1060</v>
      </c>
    </row>
    <row r="1067" spans="18:19">
      <c r="R1067" s="5">
        <v>33840.109089999998</v>
      </c>
      <c r="S1067">
        <v>1061</v>
      </c>
    </row>
    <row r="1068" spans="18:19">
      <c r="R1068" s="5">
        <v>33868.418180000001</v>
      </c>
      <c r="S1068">
        <v>1062</v>
      </c>
    </row>
    <row r="1069" spans="18:19">
      <c r="R1069" s="5">
        <v>33896.727270000003</v>
      </c>
      <c r="S1069">
        <v>1063</v>
      </c>
    </row>
    <row r="1070" spans="18:19">
      <c r="R1070" s="5">
        <v>33925.036359999998</v>
      </c>
      <c r="S1070">
        <v>1064</v>
      </c>
    </row>
    <row r="1071" spans="18:19">
      <c r="R1071" s="5">
        <v>33953.345450000001</v>
      </c>
      <c r="S1071">
        <v>1065</v>
      </c>
    </row>
    <row r="1072" spans="18:19">
      <c r="R1072" s="5">
        <v>33981.654549999999</v>
      </c>
      <c r="S1072">
        <v>1066</v>
      </c>
    </row>
    <row r="1073" spans="18:19">
      <c r="R1073" s="5">
        <v>34009.963640000002</v>
      </c>
      <c r="S1073">
        <v>1067</v>
      </c>
    </row>
    <row r="1074" spans="18:19">
      <c r="R1074" s="5">
        <v>34038.272729999997</v>
      </c>
      <c r="S1074">
        <v>1068</v>
      </c>
    </row>
    <row r="1075" spans="18:19">
      <c r="R1075" s="5">
        <v>34066.581819999999</v>
      </c>
      <c r="S1075">
        <v>1069</v>
      </c>
    </row>
    <row r="1076" spans="18:19">
      <c r="R1076" s="5">
        <v>34094.890910000002</v>
      </c>
      <c r="S1076">
        <v>1070</v>
      </c>
    </row>
    <row r="1077" spans="18:19">
      <c r="R1077" s="5">
        <v>34123.199999999997</v>
      </c>
      <c r="S1077">
        <v>1071</v>
      </c>
    </row>
    <row r="1078" spans="18:19">
      <c r="R1078" s="5">
        <v>34151.50909</v>
      </c>
      <c r="S1078">
        <v>1072</v>
      </c>
    </row>
    <row r="1079" spans="18:19">
      <c r="R1079" s="5">
        <v>34179.818180000002</v>
      </c>
      <c r="S1079">
        <v>1073</v>
      </c>
    </row>
    <row r="1080" spans="18:19">
      <c r="R1080" s="5">
        <v>34208.127269999997</v>
      </c>
      <c r="S1080">
        <v>1074</v>
      </c>
    </row>
    <row r="1081" spans="18:19">
      <c r="R1081" s="5">
        <v>34236.43636</v>
      </c>
      <c r="S1081">
        <v>1075</v>
      </c>
    </row>
    <row r="1082" spans="18:19">
      <c r="R1082" s="5">
        <v>34264.745450000002</v>
      </c>
      <c r="S1082">
        <v>1076</v>
      </c>
    </row>
    <row r="1083" spans="18:19">
      <c r="R1083" s="5">
        <v>34293.054550000001</v>
      </c>
      <c r="S1083">
        <v>1077</v>
      </c>
    </row>
    <row r="1084" spans="18:19">
      <c r="R1084" s="5">
        <v>34321.363640000003</v>
      </c>
      <c r="S1084">
        <v>1078</v>
      </c>
    </row>
    <row r="1085" spans="18:19">
      <c r="R1085" s="5">
        <v>34349.672729999998</v>
      </c>
      <c r="S1085">
        <v>1079</v>
      </c>
    </row>
    <row r="1086" spans="18:19">
      <c r="R1086" s="5">
        <v>34377.981820000001</v>
      </c>
      <c r="S1086">
        <v>1080</v>
      </c>
    </row>
    <row r="1087" spans="18:19">
      <c r="R1087" s="5">
        <v>34406.290910000003</v>
      </c>
      <c r="S1087">
        <v>1081</v>
      </c>
    </row>
    <row r="1088" spans="18:19">
      <c r="R1088" s="5">
        <v>34434.6</v>
      </c>
      <c r="S1088">
        <v>1082</v>
      </c>
    </row>
    <row r="1089" spans="18:19">
      <c r="R1089" s="5">
        <v>34462.909090000001</v>
      </c>
      <c r="S1089">
        <v>1083</v>
      </c>
    </row>
    <row r="1090" spans="18:19">
      <c r="R1090" s="5">
        <v>34491.218180000003</v>
      </c>
      <c r="S1090">
        <v>1084</v>
      </c>
    </row>
    <row r="1091" spans="18:19">
      <c r="R1091" s="5">
        <v>34519.527269999999</v>
      </c>
      <c r="S1091">
        <v>1085</v>
      </c>
    </row>
    <row r="1092" spans="18:19">
      <c r="R1092" s="5">
        <v>34547.836360000001</v>
      </c>
      <c r="S1092">
        <v>1086</v>
      </c>
    </row>
    <row r="1093" spans="18:19">
      <c r="R1093" s="5">
        <v>34576.145450000004</v>
      </c>
      <c r="S1093">
        <v>1087</v>
      </c>
    </row>
    <row r="1094" spans="18:19">
      <c r="R1094" s="5">
        <v>34604.454550000002</v>
      </c>
      <c r="S1094">
        <v>1088</v>
      </c>
    </row>
    <row r="1095" spans="18:19">
      <c r="R1095" s="5">
        <v>34632.763639999997</v>
      </c>
      <c r="S1095">
        <v>1089</v>
      </c>
    </row>
    <row r="1096" spans="18:19">
      <c r="R1096" s="5">
        <v>34661.07273</v>
      </c>
      <c r="S1096">
        <v>1090</v>
      </c>
    </row>
    <row r="1097" spans="18:19">
      <c r="R1097" s="5">
        <v>34689.381820000002</v>
      </c>
      <c r="S1097">
        <v>1091</v>
      </c>
    </row>
    <row r="1098" spans="18:19">
      <c r="R1098" s="5">
        <v>34717.690909999998</v>
      </c>
      <c r="S1098">
        <v>1092</v>
      </c>
    </row>
    <row r="1099" spans="18:19">
      <c r="R1099" s="5">
        <v>34746</v>
      </c>
      <c r="S1099">
        <v>1093</v>
      </c>
    </row>
    <row r="1100" spans="18:19">
      <c r="R1100" s="5">
        <v>34774.309090000002</v>
      </c>
      <c r="S1100">
        <v>1094</v>
      </c>
    </row>
    <row r="1101" spans="18:19">
      <c r="R1101" s="5">
        <v>34802.618179999998</v>
      </c>
      <c r="S1101">
        <v>1095</v>
      </c>
    </row>
    <row r="1102" spans="18:19">
      <c r="R1102" s="5">
        <v>34830.92727</v>
      </c>
      <c r="S1102">
        <v>1096</v>
      </c>
    </row>
    <row r="1103" spans="18:19">
      <c r="R1103" s="5">
        <v>34859.236360000003</v>
      </c>
      <c r="S1103">
        <v>1097</v>
      </c>
    </row>
    <row r="1104" spans="18:19">
      <c r="R1104" s="5">
        <v>34887.545449999998</v>
      </c>
      <c r="S1104">
        <v>1098</v>
      </c>
    </row>
    <row r="1105" spans="18:19">
      <c r="R1105" s="5">
        <v>34915.854549999996</v>
      </c>
      <c r="S1105">
        <v>1099</v>
      </c>
    </row>
    <row r="1106" spans="18:19">
      <c r="R1106" s="5">
        <v>34944.163639999999</v>
      </c>
      <c r="S1106">
        <v>1100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9"/>
  <sheetViews>
    <sheetView tabSelected="1" topLeftCell="G1" workbookViewId="0">
      <selection activeCell="L2" sqref="L2"/>
    </sheetView>
  </sheetViews>
  <sheetFormatPr defaultColWidth="11.42578125" defaultRowHeight="12.75"/>
  <sheetData>
    <row r="1" spans="1:13">
      <c r="A1" s="40" t="s">
        <v>153</v>
      </c>
      <c r="B1" s="10"/>
      <c r="C1" s="10"/>
      <c r="D1" s="10"/>
      <c r="E1" s="41"/>
      <c r="F1" s="41"/>
      <c r="G1" s="10"/>
      <c r="H1" s="41" t="s">
        <v>228</v>
      </c>
      <c r="I1" s="41"/>
      <c r="J1" s="3"/>
      <c r="K1" s="10"/>
    </row>
    <row r="2" spans="1:13">
      <c r="A2" s="10" t="s">
        <v>154</v>
      </c>
      <c r="B2" s="10" t="s">
        <v>155</v>
      </c>
      <c r="C2" s="10" t="s">
        <v>156</v>
      </c>
      <c r="D2" s="10"/>
      <c r="E2" s="41" t="s">
        <v>157</v>
      </c>
      <c r="F2" s="41" t="s">
        <v>6</v>
      </c>
      <c r="G2" s="10" t="s">
        <v>156</v>
      </c>
      <c r="H2" s="42" t="s">
        <v>149</v>
      </c>
      <c r="I2" s="42" t="s">
        <v>229</v>
      </c>
      <c r="J2" s="3" t="s">
        <v>158</v>
      </c>
      <c r="K2" s="10"/>
      <c r="L2" t="s">
        <v>159</v>
      </c>
      <c r="M2" t="s">
        <v>160</v>
      </c>
    </row>
    <row r="3" spans="1:13">
      <c r="A3" s="10">
        <v>10</v>
      </c>
      <c r="B3">
        <v>49</v>
      </c>
      <c r="E3" s="42">
        <v>7.0000000000000007E-2</v>
      </c>
      <c r="F3" s="5">
        <f>E3*100</f>
        <v>7.0000000000000009</v>
      </c>
      <c r="G3">
        <v>0</v>
      </c>
      <c r="H3" s="42">
        <v>8799</v>
      </c>
      <c r="I3" s="42">
        <f>H3/1000</f>
        <v>8.7989999999999995</v>
      </c>
      <c r="J3" s="2">
        <v>8.33</v>
      </c>
      <c r="K3" t="s">
        <v>161</v>
      </c>
    </row>
    <row r="4" spans="1:13">
      <c r="A4" s="10">
        <v>10</v>
      </c>
      <c r="B4" s="10" t="s">
        <v>162</v>
      </c>
      <c r="C4" s="10">
        <v>15</v>
      </c>
      <c r="D4" s="10"/>
      <c r="E4" s="42">
        <v>0.31</v>
      </c>
      <c r="F4" s="5">
        <f t="shared" ref="F4:F67" si="0">E4*100</f>
        <v>31</v>
      </c>
      <c r="G4" s="10">
        <v>15</v>
      </c>
      <c r="H4" s="42">
        <v>9181.7368420000003</v>
      </c>
      <c r="I4" s="42">
        <f t="shared" ref="I4:I67" si="1">H4/1000</f>
        <v>9.1817368419999994</v>
      </c>
      <c r="J4" s="2">
        <f>(E4-0.07)/1.71*2.04+8.33</f>
        <v>8.6163157894736848</v>
      </c>
      <c r="K4" s="42"/>
      <c r="L4">
        <v>-2.58</v>
      </c>
      <c r="M4">
        <v>1.02</v>
      </c>
    </row>
    <row r="5" spans="1:13">
      <c r="A5" s="10">
        <v>9</v>
      </c>
      <c r="B5" s="10" t="s">
        <v>163</v>
      </c>
      <c r="C5" s="10">
        <v>19</v>
      </c>
      <c r="D5" s="10"/>
      <c r="E5" s="42">
        <v>0.78</v>
      </c>
      <c r="F5" s="5">
        <f t="shared" si="0"/>
        <v>78</v>
      </c>
      <c r="G5" s="10">
        <v>19</v>
      </c>
      <c r="H5" s="42">
        <v>9931.2631579999997</v>
      </c>
      <c r="I5" s="42">
        <f t="shared" si="1"/>
        <v>9.9312631580000001</v>
      </c>
      <c r="J5" s="2">
        <f>(E5-0.07)/1.71*2.04+8.33</f>
        <v>9.17701754385965</v>
      </c>
      <c r="K5" s="42"/>
      <c r="L5">
        <v>-2.93</v>
      </c>
      <c r="M5">
        <v>0.53</v>
      </c>
    </row>
    <row r="6" spans="1:13">
      <c r="A6" s="10">
        <v>9</v>
      </c>
      <c r="B6" s="10" t="s">
        <v>164</v>
      </c>
      <c r="C6" s="10">
        <v>8</v>
      </c>
      <c r="D6" s="10"/>
      <c r="E6" s="42">
        <v>1.35</v>
      </c>
      <c r="F6" s="5">
        <f t="shared" si="0"/>
        <v>135</v>
      </c>
      <c r="G6" s="10">
        <v>8</v>
      </c>
      <c r="H6" s="42">
        <v>10840.26316</v>
      </c>
      <c r="I6" s="42">
        <f t="shared" si="1"/>
        <v>10.840263160000001</v>
      </c>
      <c r="J6" s="2">
        <f>(E6-0.07)/1.71*2.04+8.33</f>
        <v>9.8570175438596497</v>
      </c>
      <c r="K6" s="42"/>
      <c r="L6">
        <v>-2.4300000000000002</v>
      </c>
      <c r="M6">
        <v>1.17</v>
      </c>
    </row>
    <row r="7" spans="1:13">
      <c r="A7" s="10">
        <v>9</v>
      </c>
      <c r="B7" s="10" t="s">
        <v>165</v>
      </c>
      <c r="C7" s="10">
        <v>21</v>
      </c>
      <c r="D7" s="10"/>
      <c r="E7" s="42">
        <v>1.6</v>
      </c>
      <c r="F7" s="5">
        <f t="shared" si="0"/>
        <v>160</v>
      </c>
      <c r="G7" s="10">
        <v>21</v>
      </c>
      <c r="H7" s="42">
        <v>11238.94737</v>
      </c>
      <c r="I7" s="42">
        <f t="shared" si="1"/>
        <v>11.23894737</v>
      </c>
      <c r="J7" s="2">
        <f>(E7-0.07)/1.71*2.04+8.33</f>
        <v>10.155263157894737</v>
      </c>
      <c r="K7" s="42"/>
      <c r="L7">
        <v>-1.96</v>
      </c>
      <c r="M7">
        <v>1.2</v>
      </c>
    </row>
    <row r="8" spans="1:13">
      <c r="A8" s="10">
        <v>9</v>
      </c>
      <c r="B8" s="10" t="s">
        <v>166</v>
      </c>
      <c r="C8" s="10">
        <v>26</v>
      </c>
      <c r="D8" s="10"/>
      <c r="E8" s="42">
        <v>1.6950000000000001</v>
      </c>
      <c r="F8" s="5">
        <f t="shared" si="0"/>
        <v>169.5</v>
      </c>
      <c r="G8" s="10">
        <v>26</v>
      </c>
      <c r="H8" s="42">
        <v>11398.421050000001</v>
      </c>
      <c r="I8" s="42">
        <f t="shared" si="1"/>
        <v>11.398421050000001</v>
      </c>
      <c r="J8" s="2">
        <f>(E8-0.07)/1.71*2.04+8.33</f>
        <v>10.26859649122807</v>
      </c>
      <c r="K8" s="42"/>
      <c r="L8">
        <v>-2.0699999999999998</v>
      </c>
      <c r="M8">
        <v>1.1399999999999999</v>
      </c>
    </row>
    <row r="9" spans="1:13">
      <c r="A9" s="10">
        <v>9</v>
      </c>
      <c r="B9" s="43" t="s">
        <v>167</v>
      </c>
      <c r="C9" s="10">
        <v>18</v>
      </c>
      <c r="D9" s="10"/>
      <c r="E9" s="42">
        <v>1.95</v>
      </c>
      <c r="F9" s="5">
        <f t="shared" si="0"/>
        <v>195</v>
      </c>
      <c r="G9" s="10">
        <v>18</v>
      </c>
      <c r="H9" s="42">
        <v>11842.563109999999</v>
      </c>
      <c r="I9" s="42">
        <f t="shared" si="1"/>
        <v>11.842563109999999</v>
      </c>
      <c r="J9" s="2">
        <f>(E9-1.78)/1.48*0.99+10.37</f>
        <v>10.483716216216216</v>
      </c>
      <c r="K9" s="42"/>
      <c r="L9">
        <v>-1.83</v>
      </c>
      <c r="M9">
        <v>1.06</v>
      </c>
    </row>
    <row r="10" spans="1:13">
      <c r="A10" s="10">
        <v>8</v>
      </c>
      <c r="B10" s="10">
        <v>120</v>
      </c>
      <c r="C10" s="10">
        <v>17</v>
      </c>
      <c r="D10" s="10"/>
      <c r="E10" s="42">
        <v>2.36</v>
      </c>
      <c r="F10" s="5">
        <f t="shared" si="0"/>
        <v>236</v>
      </c>
      <c r="G10" s="10">
        <v>17</v>
      </c>
      <c r="H10" s="42">
        <v>12509.85492</v>
      </c>
      <c r="I10" s="42">
        <f t="shared" si="1"/>
        <v>12.50985492</v>
      </c>
      <c r="J10" s="2">
        <f t="shared" ref="J10:J15" si="2">(E10-1.78)/1.48*0.99+10.37</f>
        <v>10.757972972972972</v>
      </c>
      <c r="K10" s="42"/>
      <c r="L10">
        <v>-2.04</v>
      </c>
      <c r="M10">
        <v>0.87</v>
      </c>
    </row>
    <row r="11" spans="1:13">
      <c r="A11" s="10">
        <v>8</v>
      </c>
      <c r="B11" s="10" t="s">
        <v>168</v>
      </c>
      <c r="C11" s="10">
        <v>11</v>
      </c>
      <c r="D11" s="10"/>
      <c r="E11" s="42">
        <v>2.58</v>
      </c>
      <c r="F11" s="5">
        <f t="shared" si="0"/>
        <v>258</v>
      </c>
      <c r="G11" s="10">
        <v>11</v>
      </c>
      <c r="H11" s="42">
        <v>12593.97927</v>
      </c>
      <c r="I11" s="42">
        <f t="shared" si="1"/>
        <v>12.59397927</v>
      </c>
      <c r="J11" s="2">
        <f t="shared" si="2"/>
        <v>10.905135135135135</v>
      </c>
      <c r="K11" s="42"/>
      <c r="L11">
        <v>-1.97</v>
      </c>
      <c r="M11">
        <v>1.07</v>
      </c>
    </row>
    <row r="12" spans="1:13">
      <c r="A12" s="10">
        <v>8</v>
      </c>
      <c r="B12" s="10">
        <v>85</v>
      </c>
      <c r="C12" s="10">
        <v>23</v>
      </c>
      <c r="D12" s="10"/>
      <c r="E12" s="42">
        <v>2.71</v>
      </c>
      <c r="F12" s="5">
        <f t="shared" si="0"/>
        <v>271</v>
      </c>
      <c r="G12" s="10">
        <v>23</v>
      </c>
      <c r="H12" s="42">
        <v>12643.689119999999</v>
      </c>
      <c r="I12" s="42">
        <f t="shared" si="1"/>
        <v>12.643689119999999</v>
      </c>
      <c r="J12" s="2">
        <f t="shared" si="2"/>
        <v>10.992094594594594</v>
      </c>
      <c r="K12" s="42"/>
      <c r="L12">
        <v>-1.81</v>
      </c>
      <c r="M12">
        <v>1.03</v>
      </c>
    </row>
    <row r="13" spans="1:13">
      <c r="A13" s="10">
        <v>8</v>
      </c>
      <c r="B13" s="10" t="s">
        <v>169</v>
      </c>
      <c r="C13" s="10">
        <v>26</v>
      </c>
      <c r="D13" s="10"/>
      <c r="E13" s="42">
        <v>2.81</v>
      </c>
      <c r="F13" s="5">
        <f t="shared" si="0"/>
        <v>281</v>
      </c>
      <c r="G13" s="10">
        <v>26</v>
      </c>
      <c r="H13" s="42">
        <v>12681.927460000001</v>
      </c>
      <c r="I13" s="42">
        <f t="shared" si="1"/>
        <v>12.681927460000001</v>
      </c>
      <c r="J13" s="2">
        <f t="shared" si="2"/>
        <v>11.058986486486486</v>
      </c>
      <c r="K13" s="42"/>
      <c r="L13">
        <v>-1.67</v>
      </c>
      <c r="M13">
        <v>0.93</v>
      </c>
    </row>
    <row r="14" spans="1:13">
      <c r="A14" s="10">
        <v>8</v>
      </c>
      <c r="B14" s="10" t="s">
        <v>170</v>
      </c>
      <c r="C14" s="10">
        <v>28</v>
      </c>
      <c r="D14" s="10"/>
      <c r="E14" s="42">
        <v>2.95</v>
      </c>
      <c r="F14" s="5">
        <f t="shared" si="0"/>
        <v>295</v>
      </c>
      <c r="G14" s="10">
        <v>28</v>
      </c>
      <c r="H14" s="42">
        <v>12735.461139999999</v>
      </c>
      <c r="I14" s="42">
        <f t="shared" si="1"/>
        <v>12.73546114</v>
      </c>
      <c r="J14" s="2">
        <f t="shared" si="2"/>
        <v>11.152635135135135</v>
      </c>
      <c r="K14" s="42"/>
      <c r="L14">
        <v>-1.63</v>
      </c>
      <c r="M14">
        <v>1.1399999999999999</v>
      </c>
    </row>
    <row r="15" spans="1:13">
      <c r="A15" s="10">
        <v>8</v>
      </c>
      <c r="B15" s="10">
        <v>40</v>
      </c>
      <c r="C15" s="10">
        <v>29</v>
      </c>
      <c r="D15" s="10"/>
      <c r="E15" s="42">
        <v>3.16</v>
      </c>
      <c r="F15" s="5">
        <f t="shared" si="0"/>
        <v>316</v>
      </c>
      <c r="G15" s="10">
        <v>29</v>
      </c>
      <c r="H15" s="42">
        <v>12815.76166</v>
      </c>
      <c r="I15" s="42">
        <f t="shared" si="1"/>
        <v>12.81576166</v>
      </c>
      <c r="J15" s="2">
        <f t="shared" si="2"/>
        <v>11.293108108108108</v>
      </c>
      <c r="K15" s="42"/>
      <c r="L15">
        <v>-1.5</v>
      </c>
      <c r="M15">
        <v>0.83</v>
      </c>
    </row>
    <row r="16" spans="1:13">
      <c r="A16" s="10">
        <v>8</v>
      </c>
      <c r="B16" s="10">
        <v>30</v>
      </c>
      <c r="C16" s="10">
        <v>27</v>
      </c>
      <c r="D16" s="10"/>
      <c r="E16" s="42">
        <v>3.26</v>
      </c>
      <c r="F16" s="5">
        <f t="shared" si="0"/>
        <v>326</v>
      </c>
      <c r="G16" s="10">
        <v>27</v>
      </c>
      <c r="H16" s="42">
        <v>12854</v>
      </c>
      <c r="I16" s="42">
        <f t="shared" si="1"/>
        <v>12.853999999999999</v>
      </c>
      <c r="J16" s="2">
        <v>11.36</v>
      </c>
      <c r="K16" t="s">
        <v>171</v>
      </c>
      <c r="L16">
        <v>-1.54</v>
      </c>
      <c r="M16">
        <v>1</v>
      </c>
    </row>
    <row r="17" spans="1:13">
      <c r="A17" s="10">
        <v>8</v>
      </c>
      <c r="B17" s="10">
        <v>20</v>
      </c>
      <c r="C17" s="10">
        <v>29</v>
      </c>
      <c r="D17" s="10"/>
      <c r="E17" s="42">
        <v>3.36</v>
      </c>
      <c r="F17" s="5">
        <f t="shared" si="0"/>
        <v>336</v>
      </c>
      <c r="G17" s="10">
        <v>29</v>
      </c>
      <c r="H17" s="42">
        <v>12904.34014</v>
      </c>
      <c r="I17" s="42">
        <f t="shared" si="1"/>
        <v>12.90434014</v>
      </c>
      <c r="J17" s="2">
        <f>(E17-3.26)/1.53*0.55+11.36</f>
        <v>11.3959477124183</v>
      </c>
      <c r="K17" s="42"/>
      <c r="L17">
        <v>-1.27</v>
      </c>
      <c r="M17">
        <v>0.78</v>
      </c>
    </row>
    <row r="18" spans="1:13">
      <c r="A18" s="10">
        <v>8</v>
      </c>
      <c r="B18" s="43" t="s">
        <v>172</v>
      </c>
      <c r="C18" s="10">
        <v>30</v>
      </c>
      <c r="D18" s="10"/>
      <c r="E18" s="42">
        <v>3.46</v>
      </c>
      <c r="F18" s="5">
        <f t="shared" si="0"/>
        <v>346</v>
      </c>
      <c r="G18" s="10">
        <v>30</v>
      </c>
      <c r="H18" s="42">
        <v>12954.680270000001</v>
      </c>
      <c r="I18" s="42">
        <f t="shared" si="1"/>
        <v>12.954680270000001</v>
      </c>
      <c r="J18" s="2">
        <f t="shared" ref="J18:J30" si="3">(E18-3.26)/1.53*0.55+11.36</f>
        <v>11.4318954248366</v>
      </c>
      <c r="K18" s="42"/>
      <c r="L18">
        <v>-1.39</v>
      </c>
      <c r="M18">
        <v>0.91</v>
      </c>
    </row>
    <row r="19" spans="1:13">
      <c r="A19" s="10">
        <v>7</v>
      </c>
      <c r="B19" s="10" t="s">
        <v>173</v>
      </c>
      <c r="C19" s="10">
        <v>30</v>
      </c>
      <c r="D19" s="10"/>
      <c r="E19" s="42">
        <v>3.62</v>
      </c>
      <c r="F19" s="5">
        <f t="shared" si="0"/>
        <v>362</v>
      </c>
      <c r="G19" s="10">
        <v>30</v>
      </c>
      <c r="H19" s="42">
        <v>13035.224490000001</v>
      </c>
      <c r="I19" s="42">
        <f t="shared" si="1"/>
        <v>13.035224490000001</v>
      </c>
      <c r="J19" s="2">
        <f t="shared" si="3"/>
        <v>11.489411764705881</v>
      </c>
      <c r="K19" s="42"/>
      <c r="L19">
        <v>-1.19</v>
      </c>
      <c r="M19">
        <v>0.96</v>
      </c>
    </row>
    <row r="20" spans="1:13">
      <c r="A20" s="10">
        <v>7</v>
      </c>
      <c r="B20" s="10" t="s">
        <v>174</v>
      </c>
      <c r="C20" s="10">
        <v>26</v>
      </c>
      <c r="D20" s="10"/>
      <c r="E20" s="42">
        <v>3.72</v>
      </c>
      <c r="F20" s="5">
        <f t="shared" si="0"/>
        <v>372</v>
      </c>
      <c r="G20" s="10">
        <v>26</v>
      </c>
      <c r="H20" s="42">
        <v>13085.564630000001</v>
      </c>
      <c r="I20" s="42">
        <f t="shared" si="1"/>
        <v>13.08556463</v>
      </c>
      <c r="J20" s="2">
        <f t="shared" si="3"/>
        <v>11.525359477124182</v>
      </c>
      <c r="K20" s="42"/>
      <c r="L20">
        <v>-1.2</v>
      </c>
      <c r="M20">
        <v>0.71</v>
      </c>
    </row>
    <row r="21" spans="1:13">
      <c r="A21" s="10">
        <v>7</v>
      </c>
      <c r="B21" s="10" t="s">
        <v>175</v>
      </c>
      <c r="C21" s="10">
        <v>30</v>
      </c>
      <c r="D21" s="10"/>
      <c r="E21" s="42">
        <v>3.84</v>
      </c>
      <c r="F21" s="5">
        <f t="shared" si="0"/>
        <v>384</v>
      </c>
      <c r="G21" s="10">
        <v>30</v>
      </c>
      <c r="H21" s="42">
        <v>13145.97279</v>
      </c>
      <c r="I21" s="42">
        <f t="shared" si="1"/>
        <v>13.14597279</v>
      </c>
      <c r="J21" s="2">
        <f t="shared" si="3"/>
        <v>11.568496732026142</v>
      </c>
      <c r="K21" s="42"/>
      <c r="L21">
        <v>-0.88</v>
      </c>
      <c r="M21">
        <v>1.03</v>
      </c>
    </row>
    <row r="22" spans="1:13">
      <c r="A22" s="10">
        <v>7</v>
      </c>
      <c r="B22" s="10" t="s">
        <v>176</v>
      </c>
      <c r="C22" s="10">
        <v>32</v>
      </c>
      <c r="D22" s="10"/>
      <c r="E22" s="42">
        <v>3.92</v>
      </c>
      <c r="F22" s="5">
        <f t="shared" si="0"/>
        <v>392</v>
      </c>
      <c r="G22" s="10">
        <v>32</v>
      </c>
      <c r="H22" s="42">
        <v>13186.2449</v>
      </c>
      <c r="I22" s="42">
        <f t="shared" si="1"/>
        <v>13.1862449</v>
      </c>
      <c r="J22" s="2">
        <f t="shared" si="3"/>
        <v>11.597254901960785</v>
      </c>
      <c r="K22" s="42"/>
      <c r="L22">
        <v>-0.92</v>
      </c>
      <c r="M22">
        <v>0.98</v>
      </c>
    </row>
    <row r="23" spans="1:13">
      <c r="A23" s="10">
        <v>7</v>
      </c>
      <c r="B23" s="10" t="s">
        <v>177</v>
      </c>
      <c r="C23" s="10">
        <v>30</v>
      </c>
      <c r="D23" s="10"/>
      <c r="E23" s="42">
        <v>3.97</v>
      </c>
      <c r="F23" s="5">
        <f t="shared" si="0"/>
        <v>397</v>
      </c>
      <c r="G23" s="10">
        <v>30</v>
      </c>
      <c r="H23" s="42">
        <v>13211.41497</v>
      </c>
      <c r="I23" s="42">
        <f t="shared" si="1"/>
        <v>13.21141497</v>
      </c>
      <c r="J23" s="2">
        <f t="shared" si="3"/>
        <v>11.615228758169934</v>
      </c>
      <c r="K23" s="42"/>
      <c r="L23">
        <v>-0.84</v>
      </c>
      <c r="M23">
        <v>0.88</v>
      </c>
    </row>
    <row r="24" spans="1:13">
      <c r="A24" s="10">
        <v>7</v>
      </c>
      <c r="B24" s="10" t="s">
        <v>178</v>
      </c>
      <c r="C24" s="10">
        <v>23</v>
      </c>
      <c r="D24" s="10"/>
      <c r="E24" s="42">
        <v>4.07</v>
      </c>
      <c r="F24" s="5">
        <f t="shared" si="0"/>
        <v>407</v>
      </c>
      <c r="G24" s="10">
        <v>23</v>
      </c>
      <c r="H24" s="42">
        <v>13234.95</v>
      </c>
      <c r="I24" s="42">
        <f t="shared" si="1"/>
        <v>13.234950000000001</v>
      </c>
      <c r="J24" s="2">
        <f t="shared" si="3"/>
        <v>11.651176470588235</v>
      </c>
      <c r="K24" s="42"/>
      <c r="L24">
        <v>-1.01</v>
      </c>
      <c r="M24">
        <v>1.1299999999999999</v>
      </c>
    </row>
    <row r="25" spans="1:13">
      <c r="A25" s="10">
        <v>7</v>
      </c>
      <c r="B25" s="10" t="s">
        <v>179</v>
      </c>
      <c r="C25" s="10">
        <v>21</v>
      </c>
      <c r="D25" s="10"/>
      <c r="E25" s="42">
        <v>4.22</v>
      </c>
      <c r="F25" s="5">
        <f t="shared" si="0"/>
        <v>422</v>
      </c>
      <c r="G25" s="10">
        <v>21</v>
      </c>
      <c r="H25" s="42">
        <v>13256.85</v>
      </c>
      <c r="I25" s="42">
        <f t="shared" si="1"/>
        <v>13.25685</v>
      </c>
      <c r="J25" s="2">
        <f t="shared" si="3"/>
        <v>11.705098039215686</v>
      </c>
      <c r="K25" s="42"/>
      <c r="L25">
        <v>-1.1000000000000001</v>
      </c>
      <c r="M25">
        <v>1.02</v>
      </c>
    </row>
    <row r="26" spans="1:13">
      <c r="A26" s="10">
        <v>7</v>
      </c>
      <c r="B26" s="10">
        <v>75</v>
      </c>
      <c r="C26" s="10">
        <v>25</v>
      </c>
      <c r="D26" s="10"/>
      <c r="E26" s="42">
        <v>4.32</v>
      </c>
      <c r="F26" s="5">
        <f t="shared" si="0"/>
        <v>432</v>
      </c>
      <c r="G26" s="10">
        <v>25</v>
      </c>
      <c r="H26" s="42">
        <v>13271.45</v>
      </c>
      <c r="I26" s="42">
        <f t="shared" si="1"/>
        <v>13.271450000000002</v>
      </c>
      <c r="J26" s="2">
        <f t="shared" si="3"/>
        <v>11.741045751633987</v>
      </c>
      <c r="K26" s="42"/>
      <c r="L26">
        <v>-1.31</v>
      </c>
      <c r="M26">
        <v>1.1200000000000001</v>
      </c>
    </row>
    <row r="27" spans="1:13">
      <c r="A27" s="10">
        <v>7</v>
      </c>
      <c r="B27" s="10" t="s">
        <v>180</v>
      </c>
      <c r="C27" s="10">
        <v>32</v>
      </c>
      <c r="D27" s="10"/>
      <c r="E27" s="42">
        <v>4.42</v>
      </c>
      <c r="F27" s="5">
        <f t="shared" si="0"/>
        <v>442</v>
      </c>
      <c r="G27" s="10">
        <v>32</v>
      </c>
      <c r="H27" s="42">
        <v>13286.05</v>
      </c>
      <c r="I27" s="42">
        <f t="shared" si="1"/>
        <v>13.286049999999999</v>
      </c>
      <c r="J27" s="2">
        <f t="shared" si="3"/>
        <v>11.776993464052287</v>
      </c>
      <c r="K27" s="42"/>
      <c r="L27">
        <v>-1.29</v>
      </c>
      <c r="M27">
        <v>0.93</v>
      </c>
    </row>
    <row r="28" spans="1:13">
      <c r="A28" s="10">
        <v>7</v>
      </c>
      <c r="B28" s="10" t="s">
        <v>181</v>
      </c>
      <c r="C28" s="10">
        <v>33</v>
      </c>
      <c r="D28" s="10"/>
      <c r="E28" s="42">
        <v>4.5199999999999996</v>
      </c>
      <c r="F28" s="5">
        <f t="shared" si="0"/>
        <v>451.99999999999994</v>
      </c>
      <c r="G28" s="10">
        <v>33</v>
      </c>
      <c r="H28" s="42">
        <v>13301.491529999999</v>
      </c>
      <c r="I28" s="42">
        <f t="shared" si="1"/>
        <v>13.30149153</v>
      </c>
      <c r="J28" s="2">
        <f t="shared" si="3"/>
        <v>11.812941176470588</v>
      </c>
      <c r="K28" s="42"/>
      <c r="L28">
        <v>-1.41</v>
      </c>
      <c r="M28">
        <v>1.18</v>
      </c>
    </row>
    <row r="29" spans="1:13">
      <c r="A29" s="10">
        <v>7</v>
      </c>
      <c r="B29" s="10" t="s">
        <v>182</v>
      </c>
      <c r="C29" s="10">
        <v>32</v>
      </c>
      <c r="D29" s="10"/>
      <c r="E29" s="42">
        <v>4.57</v>
      </c>
      <c r="F29" s="5">
        <f t="shared" si="0"/>
        <v>457</v>
      </c>
      <c r="G29" s="10">
        <v>32</v>
      </c>
      <c r="H29" s="42">
        <v>13310.47458</v>
      </c>
      <c r="I29" s="42">
        <f t="shared" si="1"/>
        <v>13.310474579999999</v>
      </c>
      <c r="J29" s="2">
        <f t="shared" si="3"/>
        <v>11.830915032679739</v>
      </c>
      <c r="K29" s="42"/>
      <c r="L29">
        <v>-1.37</v>
      </c>
      <c r="M29">
        <v>1.02</v>
      </c>
    </row>
    <row r="30" spans="1:13">
      <c r="A30" s="10">
        <v>7</v>
      </c>
      <c r="B30" s="10" t="s">
        <v>183</v>
      </c>
      <c r="C30" s="10">
        <v>13</v>
      </c>
      <c r="D30" s="10"/>
      <c r="E30" s="42">
        <v>4.67</v>
      </c>
      <c r="F30" s="5">
        <f t="shared" si="0"/>
        <v>467</v>
      </c>
      <c r="G30" s="10">
        <v>13</v>
      </c>
      <c r="H30" s="42">
        <v>13328.44068</v>
      </c>
      <c r="I30" s="42">
        <f t="shared" si="1"/>
        <v>13.32844068</v>
      </c>
      <c r="J30" s="2">
        <f t="shared" si="3"/>
        <v>11.86686274509804</v>
      </c>
      <c r="K30" s="42"/>
      <c r="L30">
        <v>-1.19</v>
      </c>
      <c r="M30">
        <v>0.88</v>
      </c>
    </row>
    <row r="31" spans="1:13">
      <c r="A31" s="10">
        <v>7</v>
      </c>
      <c r="B31" s="10">
        <v>25</v>
      </c>
      <c r="C31" s="10">
        <v>29</v>
      </c>
      <c r="D31" s="10"/>
      <c r="E31" s="42">
        <v>4.82</v>
      </c>
      <c r="F31" s="5">
        <f t="shared" si="0"/>
        <v>482</v>
      </c>
      <c r="G31" s="10">
        <v>29</v>
      </c>
      <c r="H31" s="42">
        <v>13411.5</v>
      </c>
      <c r="I31" s="42">
        <f t="shared" si="1"/>
        <v>13.4115</v>
      </c>
      <c r="J31" s="2">
        <f>(E31-4.79)/1.3*2.99+11.91</f>
        <v>11.979000000000001</v>
      </c>
      <c r="K31" s="42"/>
      <c r="L31">
        <v>-1.1599999999999999</v>
      </c>
      <c r="M31">
        <v>0.98</v>
      </c>
    </row>
    <row r="32" spans="1:13">
      <c r="A32" s="10">
        <v>7</v>
      </c>
      <c r="B32" s="10" t="s">
        <v>184</v>
      </c>
      <c r="C32" s="10">
        <v>20</v>
      </c>
      <c r="D32" s="10"/>
      <c r="E32" s="42">
        <v>4.88</v>
      </c>
      <c r="F32" s="5">
        <f t="shared" si="0"/>
        <v>488</v>
      </c>
      <c r="G32" s="10">
        <v>20</v>
      </c>
      <c r="H32" s="42">
        <v>13534.5</v>
      </c>
      <c r="I32" s="42">
        <f t="shared" si="1"/>
        <v>13.5345</v>
      </c>
      <c r="J32" s="2">
        <f t="shared" ref="J32:J47" si="4">(E32-4.79)/1.3*2.99+11.91</f>
        <v>12.116999999999999</v>
      </c>
      <c r="K32" s="42"/>
      <c r="L32">
        <v>-1.07</v>
      </c>
      <c r="M32">
        <v>1.22</v>
      </c>
    </row>
    <row r="33" spans="1:13">
      <c r="A33" s="10">
        <v>7</v>
      </c>
      <c r="B33" s="10">
        <v>15</v>
      </c>
      <c r="C33" s="10">
        <v>26</v>
      </c>
      <c r="D33" s="10"/>
      <c r="E33" s="42">
        <v>4.92</v>
      </c>
      <c r="F33" s="5">
        <f t="shared" si="0"/>
        <v>492</v>
      </c>
      <c r="G33" s="10">
        <v>26</v>
      </c>
      <c r="H33" s="42">
        <v>13616.5</v>
      </c>
      <c r="I33" s="42">
        <f t="shared" si="1"/>
        <v>13.6165</v>
      </c>
      <c r="J33" s="2">
        <f t="shared" si="4"/>
        <v>12.209</v>
      </c>
      <c r="K33" s="42"/>
      <c r="L33">
        <v>-1.1599999999999999</v>
      </c>
      <c r="M33">
        <v>0.95</v>
      </c>
    </row>
    <row r="34" spans="1:13">
      <c r="A34" s="10">
        <v>7</v>
      </c>
      <c r="B34" s="44" t="s">
        <v>185</v>
      </c>
      <c r="C34" s="10">
        <v>19</v>
      </c>
      <c r="D34" s="10"/>
      <c r="E34" s="42">
        <v>4.9800000000000004</v>
      </c>
      <c r="F34" s="5">
        <f t="shared" si="0"/>
        <v>498.00000000000006</v>
      </c>
      <c r="G34" s="10">
        <v>19</v>
      </c>
      <c r="H34" s="42">
        <v>13739.5</v>
      </c>
      <c r="I34" s="42">
        <f t="shared" si="1"/>
        <v>13.7395</v>
      </c>
      <c r="J34" s="2">
        <f t="shared" si="4"/>
        <v>12.347000000000001</v>
      </c>
      <c r="K34" s="42"/>
      <c r="L34">
        <v>-1.39</v>
      </c>
      <c r="M34">
        <v>1.19</v>
      </c>
    </row>
    <row r="35" spans="1:13">
      <c r="A35" s="10">
        <v>7</v>
      </c>
      <c r="B35" s="10">
        <v>5</v>
      </c>
      <c r="C35" s="10">
        <v>30</v>
      </c>
      <c r="D35" s="10"/>
      <c r="E35" s="42">
        <v>5.0199999999999996</v>
      </c>
      <c r="F35" s="5">
        <f t="shared" si="0"/>
        <v>501.99999999999994</v>
      </c>
      <c r="G35" s="10">
        <v>30</v>
      </c>
      <c r="H35" s="42">
        <v>13821.5</v>
      </c>
      <c r="I35" s="42">
        <f t="shared" si="1"/>
        <v>13.8215</v>
      </c>
      <c r="J35" s="2">
        <f t="shared" si="4"/>
        <v>12.439</v>
      </c>
      <c r="K35" s="42"/>
      <c r="L35">
        <v>-1.33</v>
      </c>
      <c r="M35">
        <v>0.6</v>
      </c>
    </row>
    <row r="36" spans="1:13">
      <c r="A36" s="10" t="s">
        <v>186</v>
      </c>
      <c r="B36" s="10">
        <v>75</v>
      </c>
      <c r="C36" s="10">
        <v>26</v>
      </c>
      <c r="D36" s="10"/>
      <c r="E36" s="42">
        <v>5.42</v>
      </c>
      <c r="F36" s="5">
        <f t="shared" si="0"/>
        <v>542</v>
      </c>
      <c r="G36" s="10">
        <v>26</v>
      </c>
      <c r="H36" s="42">
        <v>15297.74545</v>
      </c>
      <c r="I36" s="42">
        <f t="shared" si="1"/>
        <v>15.297745450000001</v>
      </c>
      <c r="J36" s="2">
        <f t="shared" si="4"/>
        <v>13.359</v>
      </c>
      <c r="K36" s="42"/>
      <c r="L36">
        <v>-0.92</v>
      </c>
      <c r="M36">
        <v>0.65</v>
      </c>
    </row>
    <row r="37" spans="1:13">
      <c r="A37" s="10" t="s">
        <v>186</v>
      </c>
      <c r="B37" s="10" t="s">
        <v>187</v>
      </c>
      <c r="C37" s="10">
        <v>9</v>
      </c>
      <c r="D37" s="10"/>
      <c r="E37" s="42">
        <v>5.47</v>
      </c>
      <c r="F37" s="5">
        <f t="shared" si="0"/>
        <v>547</v>
      </c>
      <c r="G37" s="10">
        <v>9</v>
      </c>
      <c r="H37" s="42">
        <v>15488.92727</v>
      </c>
      <c r="I37" s="42">
        <f t="shared" si="1"/>
        <v>15.48892727</v>
      </c>
      <c r="J37" s="2">
        <f t="shared" si="4"/>
        <v>13.474</v>
      </c>
      <c r="K37" s="42"/>
      <c r="L37">
        <v>-1.2</v>
      </c>
      <c r="M37">
        <v>0.94</v>
      </c>
    </row>
    <row r="38" spans="1:13">
      <c r="A38" s="10" t="s">
        <v>186</v>
      </c>
      <c r="B38" s="10">
        <v>65</v>
      </c>
      <c r="C38" s="10">
        <v>30</v>
      </c>
      <c r="D38" s="10"/>
      <c r="E38" s="42">
        <v>5.52</v>
      </c>
      <c r="F38" s="5">
        <f t="shared" si="0"/>
        <v>552</v>
      </c>
      <c r="G38" s="10">
        <v>30</v>
      </c>
      <c r="H38" s="42">
        <v>15680.10909</v>
      </c>
      <c r="I38" s="42">
        <f t="shared" si="1"/>
        <v>15.68010909</v>
      </c>
      <c r="J38" s="2">
        <f t="shared" si="4"/>
        <v>13.588999999999999</v>
      </c>
      <c r="K38" s="42"/>
      <c r="L38">
        <v>-0.76</v>
      </c>
      <c r="M38">
        <v>0.82</v>
      </c>
    </row>
    <row r="39" spans="1:13">
      <c r="A39" s="10" t="s">
        <v>186</v>
      </c>
      <c r="B39" s="10">
        <v>57</v>
      </c>
      <c r="C39" s="10">
        <v>30</v>
      </c>
      <c r="D39" s="10"/>
      <c r="E39" s="42">
        <v>5.6</v>
      </c>
      <c r="F39" s="5">
        <f t="shared" si="0"/>
        <v>560</v>
      </c>
      <c r="G39" s="10">
        <v>30</v>
      </c>
      <c r="H39" s="42">
        <v>15986</v>
      </c>
      <c r="I39" s="42">
        <f t="shared" si="1"/>
        <v>15.986000000000001</v>
      </c>
      <c r="J39" s="2">
        <f t="shared" si="4"/>
        <v>13.773</v>
      </c>
      <c r="K39" s="42"/>
      <c r="L39">
        <v>-0.59</v>
      </c>
      <c r="M39">
        <v>0.71</v>
      </c>
    </row>
    <row r="40" spans="1:13">
      <c r="A40" s="10" t="s">
        <v>186</v>
      </c>
      <c r="B40" s="10" t="s">
        <v>181</v>
      </c>
      <c r="C40" s="10">
        <v>18</v>
      </c>
      <c r="D40" s="10"/>
      <c r="E40" s="42">
        <v>5.62</v>
      </c>
      <c r="F40" s="5">
        <f t="shared" si="0"/>
        <v>562</v>
      </c>
      <c r="G40" s="10">
        <v>18</v>
      </c>
      <c r="H40" s="42">
        <v>16057.2</v>
      </c>
      <c r="I40" s="42">
        <f t="shared" si="1"/>
        <v>16.057200000000002</v>
      </c>
      <c r="J40" s="2">
        <f t="shared" si="4"/>
        <v>13.819000000000001</v>
      </c>
      <c r="K40" s="42"/>
      <c r="L40">
        <v>-0.81</v>
      </c>
      <c r="M40">
        <v>1.1599999999999999</v>
      </c>
    </row>
    <row r="41" spans="1:13">
      <c r="A41" s="10" t="s">
        <v>186</v>
      </c>
      <c r="B41" s="10" t="s">
        <v>188</v>
      </c>
      <c r="C41" s="10">
        <v>13</v>
      </c>
      <c r="D41" s="10"/>
      <c r="E41" s="42">
        <v>5.68</v>
      </c>
      <c r="F41" s="5">
        <f t="shared" si="0"/>
        <v>568</v>
      </c>
      <c r="G41" s="10">
        <v>13</v>
      </c>
      <c r="H41" s="42">
        <v>16270.8</v>
      </c>
      <c r="I41" s="42">
        <f t="shared" si="1"/>
        <v>16.270799999999998</v>
      </c>
      <c r="J41" s="2">
        <f t="shared" si="4"/>
        <v>13.956999999999999</v>
      </c>
      <c r="K41" s="42"/>
      <c r="L41">
        <v>-0.78</v>
      </c>
      <c r="M41">
        <v>1.1499999999999999</v>
      </c>
    </row>
    <row r="42" spans="1:13">
      <c r="A42" s="10" t="s">
        <v>186</v>
      </c>
      <c r="B42" s="10">
        <v>45</v>
      </c>
      <c r="C42" s="10">
        <v>30</v>
      </c>
      <c r="D42" s="10"/>
      <c r="E42" s="42">
        <v>5.72</v>
      </c>
      <c r="F42" s="5">
        <f t="shared" si="0"/>
        <v>572</v>
      </c>
      <c r="G42" s="10">
        <v>30</v>
      </c>
      <c r="H42" s="42">
        <v>16486.22222</v>
      </c>
      <c r="I42" s="42">
        <f t="shared" si="1"/>
        <v>16.486222219999998</v>
      </c>
      <c r="J42" s="2">
        <f t="shared" si="4"/>
        <v>14.048999999999999</v>
      </c>
      <c r="K42" s="42"/>
      <c r="L42">
        <v>-0.66</v>
      </c>
      <c r="M42">
        <v>0.9</v>
      </c>
    </row>
    <row r="43" spans="1:13">
      <c r="A43" s="10" t="s">
        <v>186</v>
      </c>
      <c r="B43" s="10">
        <v>40</v>
      </c>
      <c r="C43" s="10">
        <v>28</v>
      </c>
      <c r="D43" s="10"/>
      <c r="E43" s="42">
        <v>5.77</v>
      </c>
      <c r="F43" s="5">
        <f t="shared" si="0"/>
        <v>577</v>
      </c>
      <c r="G43" s="10">
        <v>28</v>
      </c>
      <c r="H43" s="42">
        <v>16846.77778</v>
      </c>
      <c r="I43" s="42">
        <f t="shared" si="1"/>
        <v>16.84677778</v>
      </c>
      <c r="J43" s="2">
        <f t="shared" si="4"/>
        <v>14.164</v>
      </c>
      <c r="K43" s="42"/>
      <c r="L43">
        <v>-0.71</v>
      </c>
      <c r="M43">
        <v>0.96</v>
      </c>
    </row>
    <row r="44" spans="1:13">
      <c r="A44" s="10" t="s">
        <v>186</v>
      </c>
      <c r="B44" s="10" t="s">
        <v>189</v>
      </c>
      <c r="C44" s="10">
        <v>20</v>
      </c>
      <c r="D44" s="10"/>
      <c r="E44" s="42">
        <v>5.84</v>
      </c>
      <c r="F44" s="5">
        <f t="shared" si="0"/>
        <v>584</v>
      </c>
      <c r="G44" s="10">
        <v>20</v>
      </c>
      <c r="H44" s="42">
        <v>17105.166669999999</v>
      </c>
      <c r="I44" s="42">
        <f t="shared" si="1"/>
        <v>17.105166669999999</v>
      </c>
      <c r="J44" s="2">
        <f t="shared" si="4"/>
        <v>14.324999999999999</v>
      </c>
      <c r="K44" s="42"/>
      <c r="L44">
        <v>-0.64</v>
      </c>
      <c r="M44">
        <v>0.89</v>
      </c>
    </row>
    <row r="45" spans="1:13">
      <c r="A45" s="10" t="s">
        <v>186</v>
      </c>
      <c r="B45" s="10" t="s">
        <v>190</v>
      </c>
      <c r="C45" s="10">
        <v>27</v>
      </c>
      <c r="D45" s="10"/>
      <c r="E45" s="42">
        <v>5.8949999999999996</v>
      </c>
      <c r="F45" s="5">
        <f t="shared" si="0"/>
        <v>589.5</v>
      </c>
      <c r="G45" s="10">
        <v>27</v>
      </c>
      <c r="H45" s="42">
        <v>17242.166669999999</v>
      </c>
      <c r="I45" s="42">
        <f t="shared" si="1"/>
        <v>17.24216667</v>
      </c>
      <c r="J45" s="2">
        <f t="shared" si="4"/>
        <v>14.451499999999999</v>
      </c>
      <c r="K45" s="42"/>
      <c r="L45">
        <v>-0.53</v>
      </c>
      <c r="M45">
        <v>0.61</v>
      </c>
    </row>
    <row r="46" spans="1:13">
      <c r="A46" s="10" t="s">
        <v>186</v>
      </c>
      <c r="B46" s="10" t="s">
        <v>191</v>
      </c>
      <c r="C46" s="10">
        <v>36</v>
      </c>
      <c r="D46" s="10"/>
      <c r="E46" s="42">
        <v>5.92</v>
      </c>
      <c r="F46" s="5">
        <f t="shared" si="0"/>
        <v>592</v>
      </c>
      <c r="G46" s="10">
        <v>36</v>
      </c>
      <c r="H46" s="42">
        <v>17287.833330000001</v>
      </c>
      <c r="I46" s="42">
        <f t="shared" si="1"/>
        <v>17.287833330000002</v>
      </c>
      <c r="J46" s="2">
        <f t="shared" si="4"/>
        <v>14.509</v>
      </c>
      <c r="K46" s="42"/>
      <c r="L46">
        <v>-0.39</v>
      </c>
      <c r="M46">
        <v>0.67</v>
      </c>
    </row>
    <row r="47" spans="1:13">
      <c r="A47" s="10" t="s">
        <v>186</v>
      </c>
      <c r="B47" s="10">
        <v>20</v>
      </c>
      <c r="C47" s="10">
        <v>23</v>
      </c>
      <c r="D47" s="10"/>
      <c r="E47" s="42">
        <v>5.97</v>
      </c>
      <c r="F47" s="5">
        <f t="shared" si="0"/>
        <v>597</v>
      </c>
      <c r="G47" s="10">
        <v>23</v>
      </c>
      <c r="H47" s="42">
        <v>17402</v>
      </c>
      <c r="I47" s="42">
        <f t="shared" si="1"/>
        <v>17.402000000000001</v>
      </c>
      <c r="J47" s="2">
        <f t="shared" si="4"/>
        <v>14.623999999999999</v>
      </c>
      <c r="K47" s="42"/>
      <c r="L47">
        <v>-0.8</v>
      </c>
      <c r="M47">
        <v>0.95</v>
      </c>
    </row>
    <row r="48" spans="1:13">
      <c r="A48" s="10" t="s">
        <v>186</v>
      </c>
      <c r="B48" s="44" t="s">
        <v>192</v>
      </c>
      <c r="C48" s="10">
        <v>28</v>
      </c>
      <c r="D48" s="10"/>
      <c r="E48" s="42">
        <v>6.04</v>
      </c>
      <c r="F48" s="5">
        <f t="shared" si="0"/>
        <v>604</v>
      </c>
      <c r="G48" s="10">
        <v>28</v>
      </c>
      <c r="H48" s="42">
        <v>17561.833330000001</v>
      </c>
      <c r="I48" s="42">
        <f t="shared" si="1"/>
        <v>17.561833330000002</v>
      </c>
      <c r="J48" s="2">
        <f>(E48-4.79)/1.3*2.99+11.91</f>
        <v>14.785</v>
      </c>
      <c r="K48" s="42"/>
      <c r="L48">
        <v>-0.6</v>
      </c>
      <c r="M48">
        <v>0.94</v>
      </c>
    </row>
    <row r="49" spans="1:13">
      <c r="A49" s="10" t="s">
        <v>186</v>
      </c>
      <c r="B49" s="43" t="s">
        <v>193</v>
      </c>
      <c r="C49" s="10">
        <v>25</v>
      </c>
      <c r="D49" s="10"/>
      <c r="E49" s="42">
        <v>6.07</v>
      </c>
      <c r="F49" s="5">
        <f t="shared" si="0"/>
        <v>607</v>
      </c>
      <c r="G49" s="10">
        <v>25</v>
      </c>
      <c r="H49" s="42">
        <v>17630.333330000001</v>
      </c>
      <c r="I49" s="42">
        <f t="shared" si="1"/>
        <v>17.630333330000003</v>
      </c>
      <c r="J49" s="2">
        <f>(E49-4.79)/1.3*2.99+11.91</f>
        <v>14.854000000000001</v>
      </c>
      <c r="K49" s="42"/>
      <c r="L49">
        <v>-0.62</v>
      </c>
      <c r="M49">
        <v>0.81</v>
      </c>
    </row>
    <row r="50" spans="1:13">
      <c r="A50" s="10" t="s">
        <v>186</v>
      </c>
      <c r="B50" s="44" t="s">
        <v>194</v>
      </c>
      <c r="C50" s="10">
        <v>23</v>
      </c>
      <c r="D50" s="10"/>
      <c r="E50" s="42">
        <v>6.12</v>
      </c>
      <c r="F50" s="5">
        <f t="shared" si="0"/>
        <v>612</v>
      </c>
      <c r="G50" s="10">
        <v>23</v>
      </c>
      <c r="H50" s="42">
        <v>17874.185570000001</v>
      </c>
      <c r="I50" s="42">
        <f t="shared" si="1"/>
        <v>17.874185570000002</v>
      </c>
      <c r="J50" s="2">
        <f>(E50-6.09)/0.97*5.5+14.9</f>
        <v>15.070103092783507</v>
      </c>
      <c r="K50" s="42"/>
      <c r="L50">
        <v>-0.52</v>
      </c>
      <c r="M50">
        <v>0.75</v>
      </c>
    </row>
    <row r="51" spans="1:13">
      <c r="A51" s="10" t="s">
        <v>186</v>
      </c>
      <c r="B51" s="45" t="s">
        <v>195</v>
      </c>
      <c r="C51" s="10">
        <v>30</v>
      </c>
      <c r="D51" s="10"/>
      <c r="E51" s="42">
        <v>6.1449999999999996</v>
      </c>
      <c r="F51" s="5">
        <f t="shared" si="0"/>
        <v>614.5</v>
      </c>
      <c r="G51" s="10">
        <v>30</v>
      </c>
      <c r="H51" s="42">
        <v>18072.37113</v>
      </c>
      <c r="I51" s="42">
        <f t="shared" si="1"/>
        <v>18.072371130000001</v>
      </c>
      <c r="J51" s="2">
        <f t="shared" ref="J51:J82" si="5">(E51-6.09)/0.97*5.5+14.9</f>
        <v>15.211855670103091</v>
      </c>
      <c r="K51" s="42"/>
      <c r="L51">
        <v>-0.64</v>
      </c>
      <c r="M51">
        <v>0.83</v>
      </c>
    </row>
    <row r="52" spans="1:13">
      <c r="A52" s="10">
        <v>6</v>
      </c>
      <c r="B52" s="10" t="s">
        <v>196</v>
      </c>
      <c r="C52" s="10">
        <v>28</v>
      </c>
      <c r="D52" s="10"/>
      <c r="E52" s="42">
        <v>6.19</v>
      </c>
      <c r="F52" s="5">
        <f t="shared" si="0"/>
        <v>619</v>
      </c>
      <c r="G52" s="10">
        <v>28</v>
      </c>
      <c r="H52" s="42">
        <v>18336.618559999999</v>
      </c>
      <c r="I52" s="42">
        <f t="shared" si="1"/>
        <v>18.336618559999998</v>
      </c>
      <c r="J52" s="2">
        <f t="shared" si="5"/>
        <v>15.467010309278354</v>
      </c>
      <c r="K52" s="42"/>
      <c r="L52">
        <v>-0.48</v>
      </c>
      <c r="M52">
        <v>0.85</v>
      </c>
    </row>
    <row r="53" spans="1:13">
      <c r="A53" s="10">
        <v>6</v>
      </c>
      <c r="B53" s="10">
        <v>145</v>
      </c>
      <c r="C53" s="10">
        <v>29</v>
      </c>
      <c r="D53" s="10"/>
      <c r="E53" s="42">
        <v>6.21</v>
      </c>
      <c r="F53" s="5">
        <f t="shared" si="0"/>
        <v>621</v>
      </c>
      <c r="G53" s="10">
        <v>29</v>
      </c>
      <c r="H53" s="42">
        <v>18468.742269999999</v>
      </c>
      <c r="I53" s="42">
        <f t="shared" si="1"/>
        <v>18.46874227</v>
      </c>
      <c r="J53" s="2">
        <f t="shared" si="5"/>
        <v>15.580412371134022</v>
      </c>
      <c r="K53" s="42"/>
      <c r="L53">
        <v>-0.03</v>
      </c>
      <c r="M53">
        <v>1.0900000000000001</v>
      </c>
    </row>
    <row r="54" spans="1:13">
      <c r="A54" s="10">
        <v>6</v>
      </c>
      <c r="B54" s="10" t="s">
        <v>197</v>
      </c>
      <c r="C54" s="10">
        <v>30</v>
      </c>
      <c r="D54" s="10"/>
      <c r="E54" s="42">
        <v>6.26</v>
      </c>
      <c r="F54" s="5">
        <f t="shared" si="0"/>
        <v>626</v>
      </c>
      <c r="G54" s="10">
        <v>30</v>
      </c>
      <c r="H54" s="42">
        <v>18799.05155</v>
      </c>
      <c r="I54" s="42">
        <f t="shared" si="1"/>
        <v>18.799051550000001</v>
      </c>
      <c r="J54" s="2">
        <f t="shared" si="5"/>
        <v>15.863917525773196</v>
      </c>
      <c r="K54" s="42"/>
      <c r="L54">
        <v>-0.33</v>
      </c>
      <c r="M54">
        <v>0.99</v>
      </c>
    </row>
    <row r="55" spans="1:13">
      <c r="A55" s="10">
        <v>6</v>
      </c>
      <c r="B55" s="10" t="s">
        <v>198</v>
      </c>
      <c r="C55" s="10">
        <v>28</v>
      </c>
      <c r="D55" s="10"/>
      <c r="E55" s="42">
        <v>6.2850000000000001</v>
      </c>
      <c r="F55" s="5">
        <f t="shared" si="0"/>
        <v>628.5</v>
      </c>
      <c r="G55" s="10">
        <v>28</v>
      </c>
      <c r="H55" s="42">
        <v>18997.237109999998</v>
      </c>
      <c r="I55" s="42">
        <f t="shared" si="1"/>
        <v>18.997237109999997</v>
      </c>
      <c r="J55" s="2">
        <f t="shared" si="5"/>
        <v>16.005670103092786</v>
      </c>
      <c r="K55" s="42"/>
      <c r="L55">
        <v>-0.17</v>
      </c>
      <c r="M55">
        <v>0.74</v>
      </c>
    </row>
    <row r="56" spans="1:13">
      <c r="A56" s="10">
        <v>6</v>
      </c>
      <c r="B56" s="10">
        <v>135</v>
      </c>
      <c r="C56" s="10">
        <v>22</v>
      </c>
      <c r="D56" s="10"/>
      <c r="E56" s="42">
        <v>6.31</v>
      </c>
      <c r="F56" s="5">
        <f t="shared" si="0"/>
        <v>631</v>
      </c>
      <c r="G56" s="10">
        <v>22</v>
      </c>
      <c r="H56" s="42">
        <v>19129.360820000002</v>
      </c>
      <c r="I56" s="42">
        <f t="shared" si="1"/>
        <v>19.129360820000002</v>
      </c>
      <c r="J56" s="2">
        <f t="shared" si="5"/>
        <v>16.147422680412369</v>
      </c>
      <c r="K56" s="42"/>
      <c r="L56">
        <v>-0.54</v>
      </c>
      <c r="M56">
        <v>1.1499999999999999</v>
      </c>
    </row>
    <row r="57" spans="1:13">
      <c r="A57" s="10">
        <v>6</v>
      </c>
      <c r="B57" s="10" t="s">
        <v>199</v>
      </c>
      <c r="C57" s="10">
        <v>30</v>
      </c>
      <c r="D57" s="10"/>
      <c r="E57" s="42">
        <v>6.33</v>
      </c>
      <c r="F57" s="5">
        <f t="shared" si="0"/>
        <v>633</v>
      </c>
      <c r="G57" s="10">
        <v>30</v>
      </c>
      <c r="H57" s="42">
        <v>19261.484540000001</v>
      </c>
      <c r="I57" s="42">
        <f t="shared" si="1"/>
        <v>19.261484540000001</v>
      </c>
      <c r="J57" s="2">
        <f t="shared" si="5"/>
        <v>16.260824742268042</v>
      </c>
      <c r="K57" s="42"/>
      <c r="L57">
        <v>-0.19</v>
      </c>
      <c r="M57">
        <v>0.93</v>
      </c>
    </row>
    <row r="58" spans="1:13">
      <c r="A58" s="10">
        <v>6</v>
      </c>
      <c r="B58" s="10" t="s">
        <v>200</v>
      </c>
      <c r="C58" s="10">
        <v>15</v>
      </c>
      <c r="D58" s="10"/>
      <c r="E58" s="42">
        <v>6.36</v>
      </c>
      <c r="F58" s="5">
        <f t="shared" si="0"/>
        <v>636</v>
      </c>
      <c r="G58" s="10">
        <v>15</v>
      </c>
      <c r="H58" s="42">
        <v>19459.670099999999</v>
      </c>
      <c r="I58" s="42">
        <f t="shared" si="1"/>
        <v>19.4596701</v>
      </c>
      <c r="J58" s="2">
        <f t="shared" si="5"/>
        <v>16.430927835051548</v>
      </c>
      <c r="K58" s="42"/>
      <c r="L58">
        <v>-0.34</v>
      </c>
      <c r="M58">
        <v>0.93</v>
      </c>
    </row>
    <row r="59" spans="1:13">
      <c r="A59" s="10">
        <v>6</v>
      </c>
      <c r="B59" s="10" t="s">
        <v>201</v>
      </c>
      <c r="C59" s="10">
        <v>30</v>
      </c>
      <c r="D59" s="10"/>
      <c r="E59" s="42">
        <v>6.3949999999999996</v>
      </c>
      <c r="F59" s="5">
        <f t="shared" si="0"/>
        <v>639.5</v>
      </c>
      <c r="G59" s="10">
        <v>30</v>
      </c>
      <c r="H59" s="42">
        <v>19723.917529999999</v>
      </c>
      <c r="I59" s="42">
        <f t="shared" si="1"/>
        <v>19.723917529999998</v>
      </c>
      <c r="J59" s="2">
        <f t="shared" si="5"/>
        <v>16.629381443298968</v>
      </c>
      <c r="K59" s="42"/>
      <c r="L59">
        <v>-0.18</v>
      </c>
      <c r="M59">
        <v>0.98</v>
      </c>
    </row>
    <row r="60" spans="1:13">
      <c r="A60" s="10">
        <v>6</v>
      </c>
      <c r="B60" s="10">
        <v>125</v>
      </c>
      <c r="C60" s="10">
        <v>30</v>
      </c>
      <c r="D60" s="10"/>
      <c r="E60" s="42">
        <v>6.41</v>
      </c>
      <c r="F60" s="5">
        <f t="shared" si="0"/>
        <v>641</v>
      </c>
      <c r="G60" s="10">
        <v>30</v>
      </c>
      <c r="H60" s="42">
        <v>19789.979380000001</v>
      </c>
      <c r="I60" s="42">
        <f t="shared" si="1"/>
        <v>19.789979380000002</v>
      </c>
      <c r="J60" s="2">
        <f t="shared" si="5"/>
        <v>16.714432989690724</v>
      </c>
      <c r="K60" s="42"/>
      <c r="L60">
        <v>-0.11</v>
      </c>
      <c r="M60">
        <v>1.1200000000000001</v>
      </c>
    </row>
    <row r="61" spans="1:13">
      <c r="A61" s="10">
        <v>6</v>
      </c>
      <c r="B61" s="10" t="s">
        <v>202</v>
      </c>
      <c r="C61" s="10">
        <v>27</v>
      </c>
      <c r="D61" s="10"/>
      <c r="E61" s="42">
        <v>6.4349999999999996</v>
      </c>
      <c r="F61" s="5">
        <f t="shared" si="0"/>
        <v>643.5</v>
      </c>
      <c r="G61" s="10">
        <v>27</v>
      </c>
      <c r="H61" s="42">
        <v>19988.164949999998</v>
      </c>
      <c r="I61" s="42">
        <f t="shared" si="1"/>
        <v>19.988164949999998</v>
      </c>
      <c r="J61" s="2">
        <f t="shared" si="5"/>
        <v>16.856185567010307</v>
      </c>
      <c r="K61" s="42"/>
      <c r="L61">
        <v>-0.26</v>
      </c>
      <c r="M61">
        <v>0.93</v>
      </c>
    </row>
    <row r="62" spans="1:13">
      <c r="A62" s="10">
        <v>6</v>
      </c>
      <c r="B62" s="10" t="s">
        <v>203</v>
      </c>
      <c r="C62" s="10">
        <v>22</v>
      </c>
      <c r="D62" s="10"/>
      <c r="E62" s="42">
        <v>6.46</v>
      </c>
      <c r="F62" s="5">
        <f t="shared" si="0"/>
        <v>646</v>
      </c>
      <c r="G62" s="10">
        <v>22</v>
      </c>
      <c r="H62" s="42">
        <v>20120.288659999998</v>
      </c>
      <c r="I62" s="42">
        <f t="shared" si="1"/>
        <v>20.12028866</v>
      </c>
      <c r="J62" s="2">
        <f t="shared" si="5"/>
        <v>16.997938144329897</v>
      </c>
      <c r="K62" s="42"/>
      <c r="L62">
        <v>-0.11</v>
      </c>
      <c r="M62">
        <v>0.92</v>
      </c>
    </row>
    <row r="63" spans="1:13">
      <c r="A63" s="10">
        <v>6</v>
      </c>
      <c r="B63" s="10" t="s">
        <v>204</v>
      </c>
      <c r="C63" s="10">
        <v>18</v>
      </c>
      <c r="D63" s="10"/>
      <c r="E63" s="42">
        <v>6.4850000000000003</v>
      </c>
      <c r="F63" s="5">
        <f t="shared" si="0"/>
        <v>648.5</v>
      </c>
      <c r="G63" s="10">
        <v>18</v>
      </c>
      <c r="H63" s="42">
        <v>20318.47423</v>
      </c>
      <c r="I63" s="42">
        <f t="shared" si="1"/>
        <v>20.31847423</v>
      </c>
      <c r="J63" s="2">
        <f t="shared" si="5"/>
        <v>17.139690721649487</v>
      </c>
      <c r="K63" s="42"/>
      <c r="L63">
        <v>-0.28000000000000003</v>
      </c>
      <c r="M63">
        <v>0.96</v>
      </c>
    </row>
    <row r="64" spans="1:13">
      <c r="A64" s="10">
        <v>6</v>
      </c>
      <c r="B64" s="10" t="s">
        <v>176</v>
      </c>
      <c r="C64" s="10">
        <v>17</v>
      </c>
      <c r="D64" s="10"/>
      <c r="E64" s="42">
        <v>6.51</v>
      </c>
      <c r="F64" s="5">
        <f t="shared" si="0"/>
        <v>651</v>
      </c>
      <c r="G64" s="10">
        <v>17</v>
      </c>
      <c r="H64" s="42">
        <v>20450.59794</v>
      </c>
      <c r="I64" s="42">
        <f t="shared" si="1"/>
        <v>20.450597939999998</v>
      </c>
      <c r="J64" s="2">
        <f t="shared" si="5"/>
        <v>17.281443298969073</v>
      </c>
      <c r="K64" s="42"/>
      <c r="L64">
        <v>-0.28999999999999998</v>
      </c>
      <c r="M64">
        <v>1.08</v>
      </c>
    </row>
    <row r="65" spans="1:13">
      <c r="A65" s="10">
        <v>6</v>
      </c>
      <c r="B65" s="10" t="s">
        <v>205</v>
      </c>
      <c r="C65" s="10">
        <v>16</v>
      </c>
      <c r="D65" s="10"/>
      <c r="E65" s="42">
        <v>6.5350000000000001</v>
      </c>
      <c r="F65" s="5">
        <f t="shared" si="0"/>
        <v>653.5</v>
      </c>
      <c r="G65" s="10">
        <v>16</v>
      </c>
      <c r="H65" s="42">
        <v>20648.783510000001</v>
      </c>
      <c r="I65" s="42">
        <f t="shared" si="1"/>
        <v>20.648783510000001</v>
      </c>
      <c r="J65" s="2">
        <f t="shared" si="5"/>
        <v>17.423195876288663</v>
      </c>
      <c r="K65" s="42"/>
      <c r="L65">
        <v>-0.46</v>
      </c>
      <c r="M65">
        <v>1.24</v>
      </c>
    </row>
    <row r="66" spans="1:13">
      <c r="A66" s="10">
        <v>6</v>
      </c>
      <c r="B66" s="10">
        <v>110</v>
      </c>
      <c r="C66" s="10">
        <v>26</v>
      </c>
      <c r="D66" s="10"/>
      <c r="E66" s="42">
        <v>6.56</v>
      </c>
      <c r="F66" s="5">
        <f t="shared" si="0"/>
        <v>656</v>
      </c>
      <c r="G66" s="10">
        <v>26</v>
      </c>
      <c r="H66" s="42">
        <v>20780.907220000001</v>
      </c>
      <c r="I66" s="42">
        <f t="shared" si="1"/>
        <v>20.78090722</v>
      </c>
      <c r="J66" s="2">
        <f t="shared" si="5"/>
        <v>17.564948453608245</v>
      </c>
      <c r="K66" s="42"/>
      <c r="L66">
        <v>-0.21</v>
      </c>
      <c r="M66">
        <v>1.19</v>
      </c>
    </row>
    <row r="67" spans="1:13">
      <c r="A67" s="10">
        <v>6</v>
      </c>
      <c r="B67" s="10" t="s">
        <v>206</v>
      </c>
      <c r="C67" s="10">
        <v>20</v>
      </c>
      <c r="D67" s="10"/>
      <c r="E67" s="42">
        <v>6.585</v>
      </c>
      <c r="F67" s="5">
        <f t="shared" si="0"/>
        <v>658.5</v>
      </c>
      <c r="G67" s="10">
        <v>20</v>
      </c>
      <c r="H67" s="42">
        <v>20979.092779999999</v>
      </c>
      <c r="I67" s="42">
        <f t="shared" si="1"/>
        <v>20.979092779999998</v>
      </c>
      <c r="J67" s="2">
        <f t="shared" si="5"/>
        <v>17.706701030927835</v>
      </c>
      <c r="K67" s="42"/>
      <c r="L67">
        <v>-0.36</v>
      </c>
      <c r="M67">
        <v>1.25</v>
      </c>
    </row>
    <row r="68" spans="1:13">
      <c r="A68" s="10">
        <v>6</v>
      </c>
      <c r="B68" s="10" t="s">
        <v>207</v>
      </c>
      <c r="C68" s="10">
        <v>10</v>
      </c>
      <c r="D68" s="10"/>
      <c r="E68" s="42">
        <v>6.61</v>
      </c>
      <c r="F68" s="5">
        <f t="shared" ref="F68:F109" si="6">E68*100</f>
        <v>661</v>
      </c>
      <c r="G68" s="10">
        <v>10</v>
      </c>
      <c r="H68" s="42">
        <v>21111.216489999999</v>
      </c>
      <c r="I68" s="42">
        <f t="shared" ref="I68:I109" si="7">H68/1000</f>
        <v>21.11121649</v>
      </c>
      <c r="J68" s="2">
        <f t="shared" si="5"/>
        <v>17.848453608247425</v>
      </c>
      <c r="K68" s="42"/>
      <c r="L68">
        <v>-0.44</v>
      </c>
      <c r="M68">
        <v>1.1599999999999999</v>
      </c>
    </row>
    <row r="69" spans="1:13">
      <c r="A69" s="10">
        <v>6</v>
      </c>
      <c r="B69" s="10" t="s">
        <v>208</v>
      </c>
      <c r="C69" s="10">
        <v>23</v>
      </c>
      <c r="D69" s="10"/>
      <c r="E69" s="42">
        <v>6.6349999999999998</v>
      </c>
      <c r="F69" s="5">
        <f t="shared" si="6"/>
        <v>663.5</v>
      </c>
      <c r="G69" s="10">
        <v>23</v>
      </c>
      <c r="H69" s="42">
        <v>21309.40206</v>
      </c>
      <c r="I69" s="42">
        <f t="shared" si="7"/>
        <v>21.30940206</v>
      </c>
      <c r="J69" s="2">
        <f t="shared" si="5"/>
        <v>17.990206185567011</v>
      </c>
      <c r="K69" s="42"/>
      <c r="L69">
        <v>-0.06</v>
      </c>
      <c r="M69">
        <v>0.91</v>
      </c>
    </row>
    <row r="70" spans="1:13">
      <c r="A70" s="10">
        <v>6</v>
      </c>
      <c r="B70" s="10">
        <v>100</v>
      </c>
      <c r="C70" s="10">
        <v>28</v>
      </c>
      <c r="D70" s="10"/>
      <c r="E70" s="42">
        <v>6.66</v>
      </c>
      <c r="F70" s="5">
        <f t="shared" si="6"/>
        <v>666</v>
      </c>
      <c r="G70" s="10">
        <v>28</v>
      </c>
      <c r="H70" s="42">
        <v>21441.52577</v>
      </c>
      <c r="I70" s="42">
        <f t="shared" si="7"/>
        <v>21.441525770000002</v>
      </c>
      <c r="J70" s="2">
        <f t="shared" si="5"/>
        <v>18.131958762886601</v>
      </c>
      <c r="K70" s="42"/>
      <c r="L70">
        <v>-0.5</v>
      </c>
      <c r="M70">
        <v>1.27</v>
      </c>
    </row>
    <row r="71" spans="1:13">
      <c r="A71" s="10">
        <v>6</v>
      </c>
      <c r="B71" s="10" t="s">
        <v>209</v>
      </c>
      <c r="C71" s="10">
        <v>21</v>
      </c>
      <c r="D71" s="10"/>
      <c r="E71" s="42">
        <v>6.6849999999999996</v>
      </c>
      <c r="F71" s="5">
        <f t="shared" si="6"/>
        <v>668.5</v>
      </c>
      <c r="G71" s="10">
        <v>21</v>
      </c>
      <c r="H71" s="42">
        <v>21639.711340000002</v>
      </c>
      <c r="I71" s="42">
        <f t="shared" si="7"/>
        <v>21.639711340000002</v>
      </c>
      <c r="J71" s="2">
        <f t="shared" si="5"/>
        <v>18.273711340206184</v>
      </c>
      <c r="K71" s="42"/>
      <c r="L71">
        <v>-0.23</v>
      </c>
      <c r="M71">
        <v>1.25</v>
      </c>
    </row>
    <row r="72" spans="1:13">
      <c r="A72" s="10">
        <v>6</v>
      </c>
      <c r="B72" s="10" t="s">
        <v>210</v>
      </c>
      <c r="C72" s="10">
        <v>16</v>
      </c>
      <c r="D72" s="10"/>
      <c r="E72" s="42">
        <v>6.71</v>
      </c>
      <c r="F72" s="5">
        <f t="shared" si="6"/>
        <v>671</v>
      </c>
      <c r="G72" s="10">
        <v>16</v>
      </c>
      <c r="H72" s="42">
        <v>21771.835050000002</v>
      </c>
      <c r="I72" s="42">
        <f t="shared" si="7"/>
        <v>21.77183505</v>
      </c>
      <c r="J72" s="2">
        <f t="shared" si="5"/>
        <v>18.415463917525773</v>
      </c>
      <c r="K72" s="42"/>
      <c r="L72">
        <v>-0.31</v>
      </c>
      <c r="M72">
        <v>1.4</v>
      </c>
    </row>
    <row r="73" spans="1:13">
      <c r="A73" s="10">
        <v>6</v>
      </c>
      <c r="B73" s="10" t="s">
        <v>211</v>
      </c>
      <c r="C73" s="10">
        <v>26</v>
      </c>
      <c r="D73" s="10"/>
      <c r="E73" s="42">
        <v>6.7350000000000003</v>
      </c>
      <c r="F73" s="5">
        <f t="shared" si="6"/>
        <v>673.5</v>
      </c>
      <c r="G73" s="10">
        <v>26</v>
      </c>
      <c r="H73" s="42">
        <v>21970.020619999999</v>
      </c>
      <c r="I73" s="42">
        <f t="shared" si="7"/>
        <v>21.97002062</v>
      </c>
      <c r="J73" s="2">
        <f t="shared" si="5"/>
        <v>18.557216494845363</v>
      </c>
      <c r="K73" s="42"/>
      <c r="L73">
        <v>-0.37</v>
      </c>
      <c r="M73">
        <v>1.32</v>
      </c>
    </row>
    <row r="74" spans="1:13">
      <c r="A74" s="10">
        <v>6</v>
      </c>
      <c r="B74" s="10">
        <v>90</v>
      </c>
      <c r="C74" s="10">
        <v>20</v>
      </c>
      <c r="D74" s="10"/>
      <c r="E74" s="42">
        <v>6.76</v>
      </c>
      <c r="F74" s="5">
        <f t="shared" si="6"/>
        <v>676</v>
      </c>
      <c r="G74" s="10">
        <v>20</v>
      </c>
      <c r="H74" s="42">
        <v>22102.144329999999</v>
      </c>
      <c r="I74" s="42">
        <f t="shared" si="7"/>
        <v>22.102144329999998</v>
      </c>
      <c r="J74" s="2">
        <f t="shared" si="5"/>
        <v>18.69896907216495</v>
      </c>
      <c r="K74" s="42"/>
      <c r="L74">
        <v>-0.13</v>
      </c>
      <c r="M74">
        <v>1.05</v>
      </c>
    </row>
    <row r="75" spans="1:13">
      <c r="A75" s="10">
        <v>6</v>
      </c>
      <c r="B75" s="10" t="s">
        <v>212</v>
      </c>
      <c r="C75" s="10">
        <v>24</v>
      </c>
      <c r="D75" s="10"/>
      <c r="E75" s="42">
        <v>6.7850000000000001</v>
      </c>
      <c r="F75" s="5">
        <f t="shared" si="6"/>
        <v>678.5</v>
      </c>
      <c r="G75" s="10">
        <v>24</v>
      </c>
      <c r="H75" s="42">
        <v>22300.329900000001</v>
      </c>
      <c r="I75" s="42">
        <f t="shared" si="7"/>
        <v>22.300329900000001</v>
      </c>
      <c r="J75" s="2">
        <f t="shared" si="5"/>
        <v>18.840721649484539</v>
      </c>
      <c r="K75" s="42"/>
      <c r="L75">
        <v>-7.0000000000000007E-2</v>
      </c>
      <c r="M75">
        <v>1.05</v>
      </c>
    </row>
    <row r="76" spans="1:13">
      <c r="A76" s="10">
        <v>6</v>
      </c>
      <c r="B76" s="10" t="s">
        <v>213</v>
      </c>
      <c r="C76" s="10">
        <v>23</v>
      </c>
      <c r="D76" s="10"/>
      <c r="E76" s="42">
        <v>6.8049999999999997</v>
      </c>
      <c r="F76" s="5">
        <f t="shared" si="6"/>
        <v>680.5</v>
      </c>
      <c r="G76" s="10">
        <v>23</v>
      </c>
      <c r="H76" s="42">
        <v>22432.45361</v>
      </c>
      <c r="I76" s="42">
        <f t="shared" si="7"/>
        <v>22.43245361</v>
      </c>
      <c r="J76" s="2">
        <f t="shared" si="5"/>
        <v>18.954123711340205</v>
      </c>
      <c r="K76" s="42"/>
      <c r="L76">
        <v>-0.28999999999999998</v>
      </c>
      <c r="M76">
        <v>1.18</v>
      </c>
    </row>
    <row r="77" spans="1:13">
      <c r="A77" s="10">
        <v>6</v>
      </c>
      <c r="B77" s="10" t="s">
        <v>214</v>
      </c>
      <c r="C77" s="10">
        <v>20</v>
      </c>
      <c r="D77" s="10"/>
      <c r="E77" s="42">
        <v>6.835</v>
      </c>
      <c r="F77" s="5">
        <f t="shared" si="6"/>
        <v>683.5</v>
      </c>
      <c r="G77" s="10">
        <v>20</v>
      </c>
      <c r="H77" s="42">
        <v>22630.639179999998</v>
      </c>
      <c r="I77" s="42">
        <f t="shared" si="7"/>
        <v>22.630639179999999</v>
      </c>
      <c r="J77" s="2">
        <f t="shared" si="5"/>
        <v>19.124226804123712</v>
      </c>
      <c r="K77" s="42"/>
      <c r="L77">
        <v>-0.21</v>
      </c>
      <c r="M77">
        <v>1.17</v>
      </c>
    </row>
    <row r="78" spans="1:13">
      <c r="A78" s="10">
        <v>6</v>
      </c>
      <c r="B78" s="10">
        <v>80</v>
      </c>
      <c r="C78" s="10">
        <v>23</v>
      </c>
      <c r="D78" s="10"/>
      <c r="E78" s="42">
        <v>6.86</v>
      </c>
      <c r="F78" s="5">
        <f t="shared" si="6"/>
        <v>686</v>
      </c>
      <c r="G78" s="10">
        <v>23</v>
      </c>
      <c r="H78" s="42">
        <v>22762.762890000002</v>
      </c>
      <c r="I78" s="42">
        <f t="shared" si="7"/>
        <v>22.762762890000001</v>
      </c>
      <c r="J78" s="2">
        <f t="shared" si="5"/>
        <v>19.265979381443302</v>
      </c>
      <c r="K78" s="42"/>
      <c r="L78">
        <v>-0.31</v>
      </c>
      <c r="M78">
        <v>1.0900000000000001</v>
      </c>
    </row>
    <row r="79" spans="1:13">
      <c r="A79" s="10">
        <v>6</v>
      </c>
      <c r="B79" s="10" t="s">
        <v>215</v>
      </c>
      <c r="C79" s="10">
        <v>24</v>
      </c>
      <c r="D79" s="10"/>
      <c r="E79" s="42">
        <v>6.8849999999999998</v>
      </c>
      <c r="F79" s="5">
        <f t="shared" si="6"/>
        <v>688.5</v>
      </c>
      <c r="G79" s="10">
        <v>24</v>
      </c>
      <c r="H79" s="42">
        <v>22960.94845</v>
      </c>
      <c r="I79" s="42">
        <f t="shared" si="7"/>
        <v>22.96094845</v>
      </c>
      <c r="J79" s="2">
        <f t="shared" si="5"/>
        <v>19.407731958762888</v>
      </c>
      <c r="K79" s="42"/>
      <c r="L79">
        <v>-0.26</v>
      </c>
      <c r="M79">
        <v>1.21</v>
      </c>
    </row>
    <row r="80" spans="1:13">
      <c r="A80" s="10">
        <v>6</v>
      </c>
      <c r="B80" s="10" t="s">
        <v>216</v>
      </c>
      <c r="C80" s="10">
        <v>29</v>
      </c>
      <c r="D80" s="10"/>
      <c r="E80" s="42">
        <v>6.91</v>
      </c>
      <c r="F80" s="5">
        <f t="shared" si="6"/>
        <v>691</v>
      </c>
      <c r="G80" s="10">
        <v>29</v>
      </c>
      <c r="H80" s="42">
        <v>23093.07216</v>
      </c>
      <c r="I80" s="42">
        <f t="shared" si="7"/>
        <v>23.093072159999998</v>
      </c>
      <c r="J80" s="2">
        <f t="shared" si="5"/>
        <v>19.549484536082478</v>
      </c>
      <c r="K80" s="42"/>
      <c r="L80">
        <v>-0.17</v>
      </c>
      <c r="M80">
        <v>1.07</v>
      </c>
    </row>
    <row r="81" spans="1:13">
      <c r="A81" s="10">
        <v>6</v>
      </c>
      <c r="B81" s="10" t="s">
        <v>217</v>
      </c>
      <c r="C81" s="10">
        <v>23</v>
      </c>
      <c r="D81" s="10"/>
      <c r="E81" s="42">
        <v>6.9349999999999996</v>
      </c>
      <c r="F81" s="5">
        <f t="shared" si="6"/>
        <v>693.5</v>
      </c>
      <c r="G81" s="10">
        <v>23</v>
      </c>
      <c r="H81" s="42">
        <v>23291.257730000001</v>
      </c>
      <c r="I81" s="42">
        <f t="shared" si="7"/>
        <v>23.291257730000002</v>
      </c>
      <c r="J81" s="2">
        <f t="shared" si="5"/>
        <v>19.69123711340206</v>
      </c>
      <c r="K81" s="42"/>
      <c r="L81">
        <v>-0.27</v>
      </c>
      <c r="M81">
        <v>1.04</v>
      </c>
    </row>
    <row r="82" spans="1:13">
      <c r="A82" s="10">
        <v>6</v>
      </c>
      <c r="B82" s="10">
        <v>70</v>
      </c>
      <c r="C82" s="10">
        <v>22</v>
      </c>
      <c r="D82" s="10"/>
      <c r="E82" s="42">
        <v>6.96</v>
      </c>
      <c r="F82" s="5">
        <f t="shared" si="6"/>
        <v>696</v>
      </c>
      <c r="G82" s="10">
        <v>22</v>
      </c>
      <c r="H82" s="42">
        <v>23423.381440000001</v>
      </c>
      <c r="I82" s="42">
        <f t="shared" si="7"/>
        <v>23.42338144</v>
      </c>
      <c r="J82" s="2">
        <f t="shared" si="5"/>
        <v>19.83298969072165</v>
      </c>
      <c r="K82" s="42"/>
      <c r="L82">
        <v>-0.16</v>
      </c>
      <c r="M82">
        <v>1.04</v>
      </c>
    </row>
    <row r="83" spans="1:13">
      <c r="A83" s="10">
        <v>6</v>
      </c>
      <c r="B83" s="10" t="s">
        <v>218</v>
      </c>
      <c r="C83" s="10">
        <v>18</v>
      </c>
      <c r="D83" s="10"/>
      <c r="E83" s="42">
        <v>6.9850000000000003</v>
      </c>
      <c r="F83" s="5">
        <f t="shared" si="6"/>
        <v>698.5</v>
      </c>
      <c r="G83" s="10">
        <v>18</v>
      </c>
      <c r="H83" s="42">
        <v>23621.567009999999</v>
      </c>
      <c r="I83" s="42">
        <f t="shared" si="7"/>
        <v>23.62156701</v>
      </c>
      <c r="J83" s="2">
        <f>(E83-6.09)/0.97*5.5+14.9</f>
        <v>19.97474226804124</v>
      </c>
      <c r="K83" s="42"/>
      <c r="L83">
        <v>-0.34</v>
      </c>
      <c r="M83">
        <v>1.05</v>
      </c>
    </row>
    <row r="84" spans="1:13">
      <c r="A84" s="10">
        <v>6</v>
      </c>
      <c r="B84" s="10" t="s">
        <v>219</v>
      </c>
      <c r="C84" s="10">
        <v>20</v>
      </c>
      <c r="D84" s="10"/>
      <c r="E84" s="42">
        <v>7.0149999999999997</v>
      </c>
      <c r="F84" s="5">
        <f t="shared" si="6"/>
        <v>701.5</v>
      </c>
      <c r="G84" s="10">
        <v>20</v>
      </c>
      <c r="H84" s="42">
        <v>23819.75258</v>
      </c>
      <c r="I84" s="42">
        <f t="shared" si="7"/>
        <v>23.819752579999999</v>
      </c>
      <c r="J84" s="2">
        <f>(E84-6.09)/0.97*5.5+14.9</f>
        <v>20.144845360824743</v>
      </c>
      <c r="K84" s="42"/>
      <c r="L84">
        <v>-0.15</v>
      </c>
      <c r="M84">
        <v>1.32</v>
      </c>
    </row>
    <row r="85" spans="1:13">
      <c r="A85" s="10">
        <v>6</v>
      </c>
      <c r="B85" s="10" t="s">
        <v>220</v>
      </c>
      <c r="C85" s="10">
        <v>21</v>
      </c>
      <c r="D85" s="10"/>
      <c r="E85" s="42">
        <v>7.0350000000000001</v>
      </c>
      <c r="F85" s="5">
        <f t="shared" si="6"/>
        <v>703.5</v>
      </c>
      <c r="G85" s="10">
        <v>21</v>
      </c>
      <c r="H85" s="42">
        <v>23951.87629</v>
      </c>
      <c r="I85" s="42">
        <f t="shared" si="7"/>
        <v>23.951876290000001</v>
      </c>
      <c r="J85" s="2">
        <f>(E85-6.09)/0.97*5.5+14.9</f>
        <v>20.258247422680412</v>
      </c>
      <c r="K85" s="42"/>
      <c r="L85">
        <v>-0.06</v>
      </c>
      <c r="M85">
        <v>1.0900000000000001</v>
      </c>
    </row>
    <row r="86" spans="1:13">
      <c r="A86" s="10">
        <v>6</v>
      </c>
      <c r="B86" s="10">
        <v>60</v>
      </c>
      <c r="C86" s="10">
        <v>16</v>
      </c>
      <c r="D86" s="10"/>
      <c r="E86" s="42">
        <v>7.06</v>
      </c>
      <c r="F86" s="5">
        <f t="shared" si="6"/>
        <v>706</v>
      </c>
      <c r="G86" s="10">
        <v>16</v>
      </c>
      <c r="H86" s="42">
        <v>24084</v>
      </c>
      <c r="I86" s="42">
        <f t="shared" si="7"/>
        <v>24.084</v>
      </c>
      <c r="J86" s="2">
        <v>20.399999999999999</v>
      </c>
      <c r="K86" t="s">
        <v>221</v>
      </c>
      <c r="L86">
        <v>-0.11</v>
      </c>
      <c r="M86">
        <v>0.98</v>
      </c>
    </row>
    <row r="87" spans="1:13">
      <c r="A87" s="10">
        <v>6</v>
      </c>
      <c r="B87" s="10">
        <v>49</v>
      </c>
      <c r="C87" s="10">
        <v>22</v>
      </c>
      <c r="D87" s="10"/>
      <c r="E87" s="42">
        <v>7.17</v>
      </c>
      <c r="F87" s="5">
        <f t="shared" si="6"/>
        <v>717</v>
      </c>
      <c r="G87" s="10">
        <v>22</v>
      </c>
      <c r="H87" s="42">
        <v>24650.07692</v>
      </c>
      <c r="I87" s="42">
        <f t="shared" si="7"/>
        <v>24.65007692</v>
      </c>
      <c r="J87" s="2">
        <f>(E87-7.06)/0.78*4+20.4</f>
        <v>20.964102564102564</v>
      </c>
      <c r="K87" s="42"/>
      <c r="L87">
        <v>-0.12</v>
      </c>
      <c r="M87">
        <v>0.92</v>
      </c>
    </row>
    <row r="88" spans="1:13">
      <c r="A88" s="10">
        <v>6</v>
      </c>
      <c r="B88" s="10">
        <v>30</v>
      </c>
      <c r="C88" s="10">
        <v>23</v>
      </c>
      <c r="D88" s="10"/>
      <c r="E88" s="42">
        <v>7.36</v>
      </c>
      <c r="F88" s="5">
        <f t="shared" si="6"/>
        <v>736</v>
      </c>
      <c r="G88" s="10">
        <v>23</v>
      </c>
      <c r="H88" s="42">
        <v>25627.846150000001</v>
      </c>
      <c r="I88" s="42">
        <f t="shared" si="7"/>
        <v>25.62784615</v>
      </c>
      <c r="J88" s="2">
        <f>(E88-7.06)/0.78*4+20.4</f>
        <v>21.938461538461542</v>
      </c>
      <c r="K88" s="42"/>
      <c r="L88">
        <v>-0.12</v>
      </c>
      <c r="M88">
        <v>0.96</v>
      </c>
    </row>
    <row r="89" spans="1:13">
      <c r="A89" s="10">
        <v>6</v>
      </c>
      <c r="B89" s="10">
        <v>20</v>
      </c>
      <c r="C89" s="10">
        <v>27</v>
      </c>
      <c r="D89" s="10"/>
      <c r="E89" s="42">
        <v>7.46</v>
      </c>
      <c r="F89" s="5">
        <f t="shared" si="6"/>
        <v>746</v>
      </c>
      <c r="G89" s="10">
        <v>27</v>
      </c>
      <c r="H89" s="42">
        <v>26142.46154</v>
      </c>
      <c r="I89" s="42">
        <f t="shared" si="7"/>
        <v>26.142461539999999</v>
      </c>
      <c r="J89" s="2">
        <f>(E89-7.06)/0.78*4+20.4</f>
        <v>22.45128205128205</v>
      </c>
      <c r="K89" s="42"/>
      <c r="L89">
        <v>-0.2</v>
      </c>
      <c r="M89">
        <v>1.01</v>
      </c>
    </row>
    <row r="90" spans="1:13">
      <c r="A90" s="10">
        <v>6</v>
      </c>
      <c r="B90" s="10">
        <v>5</v>
      </c>
      <c r="C90" s="10">
        <v>28</v>
      </c>
      <c r="D90" s="10"/>
      <c r="E90" s="42">
        <v>7.61</v>
      </c>
      <c r="F90" s="5">
        <f t="shared" si="6"/>
        <v>761</v>
      </c>
      <c r="G90" s="10">
        <v>28</v>
      </c>
      <c r="H90" s="42">
        <v>26914.384620000001</v>
      </c>
      <c r="I90" s="42">
        <f t="shared" si="7"/>
        <v>26.91438462</v>
      </c>
      <c r="J90" s="2">
        <f>(E90-7.06)/0.78*4+20.4</f>
        <v>23.220512820512823</v>
      </c>
      <c r="K90" s="42"/>
      <c r="L90">
        <v>-0.53</v>
      </c>
      <c r="M90">
        <v>0.88</v>
      </c>
    </row>
    <row r="91" spans="1:13">
      <c r="A91" s="10">
        <v>5</v>
      </c>
      <c r="B91" s="10">
        <v>50</v>
      </c>
      <c r="C91" s="10">
        <v>25</v>
      </c>
      <c r="D91" s="10"/>
      <c r="E91" s="42">
        <v>7.79</v>
      </c>
      <c r="F91" s="5">
        <f t="shared" si="6"/>
        <v>779</v>
      </c>
      <c r="G91" s="10">
        <v>25</v>
      </c>
      <c r="H91" s="42">
        <v>27840.692309999999</v>
      </c>
      <c r="I91" s="42">
        <f t="shared" si="7"/>
        <v>27.840692309999998</v>
      </c>
      <c r="J91" s="2">
        <f>(E91-7.06)/0.78*4+20.4</f>
        <v>24.143589743589743</v>
      </c>
      <c r="K91" s="42"/>
      <c r="L91">
        <v>-0.39</v>
      </c>
      <c r="M91">
        <v>1.1000000000000001</v>
      </c>
    </row>
    <row r="92" spans="1:13">
      <c r="A92" s="10">
        <v>5</v>
      </c>
      <c r="B92" s="10">
        <v>42</v>
      </c>
      <c r="C92" s="10">
        <v>23</v>
      </c>
      <c r="D92" s="10"/>
      <c r="E92" s="42">
        <v>7.87</v>
      </c>
      <c r="F92" s="5">
        <f t="shared" si="6"/>
        <v>787</v>
      </c>
      <c r="G92" s="10">
        <v>23</v>
      </c>
      <c r="H92" s="42">
        <v>28182.382979999998</v>
      </c>
      <c r="I92" s="42">
        <f t="shared" si="7"/>
        <v>28.18238298</v>
      </c>
      <c r="J92" s="2">
        <f t="shared" ref="J92:J97" si="8">(E92-7.84)/0.94*2.6+24.4</f>
        <v>24.482978723404255</v>
      </c>
      <c r="K92" s="42"/>
      <c r="L92">
        <v>-0.65</v>
      </c>
      <c r="M92">
        <v>1.24</v>
      </c>
    </row>
    <row r="93" spans="1:13">
      <c r="A93" s="10">
        <v>5</v>
      </c>
      <c r="B93" s="10">
        <v>30</v>
      </c>
      <c r="C93" s="10">
        <v>21</v>
      </c>
      <c r="D93" s="10"/>
      <c r="E93" s="42">
        <v>7.99</v>
      </c>
      <c r="F93" s="5">
        <f t="shared" si="6"/>
        <v>799</v>
      </c>
      <c r="G93" s="10">
        <v>21</v>
      </c>
      <c r="H93" s="42">
        <v>28519.91489</v>
      </c>
      <c r="I93" s="42">
        <f t="shared" si="7"/>
        <v>28.519914889999999</v>
      </c>
      <c r="J93" s="2">
        <f t="shared" si="8"/>
        <v>24.814893617021276</v>
      </c>
      <c r="K93" s="42"/>
      <c r="L93">
        <v>-0.42</v>
      </c>
      <c r="M93">
        <v>1.4</v>
      </c>
    </row>
    <row r="94" spans="1:13">
      <c r="A94" s="10">
        <v>5</v>
      </c>
      <c r="B94" s="10">
        <v>10</v>
      </c>
      <c r="C94" s="10">
        <v>26</v>
      </c>
      <c r="D94" s="10"/>
      <c r="E94" s="42">
        <v>8.19</v>
      </c>
      <c r="F94" s="5">
        <f t="shared" si="6"/>
        <v>819</v>
      </c>
      <c r="G94" s="10">
        <v>26</v>
      </c>
      <c r="H94" s="42">
        <v>29082.468089999998</v>
      </c>
      <c r="I94" s="42">
        <f t="shared" si="7"/>
        <v>29.082468089999999</v>
      </c>
      <c r="J94" s="2">
        <f t="shared" si="8"/>
        <v>25.368085106382978</v>
      </c>
      <c r="K94" s="42"/>
      <c r="L94">
        <v>-0.37</v>
      </c>
      <c r="M94">
        <v>1.43</v>
      </c>
    </row>
    <row r="95" spans="1:13">
      <c r="A95" s="10">
        <v>4</v>
      </c>
      <c r="B95" s="10">
        <v>60</v>
      </c>
      <c r="C95" s="10">
        <v>29</v>
      </c>
      <c r="D95" s="10"/>
      <c r="E95" s="42">
        <v>8.33</v>
      </c>
      <c r="F95" s="5">
        <f t="shared" si="6"/>
        <v>833</v>
      </c>
      <c r="G95" s="10">
        <v>29</v>
      </c>
      <c r="H95" s="42">
        <v>29476.25532</v>
      </c>
      <c r="I95" s="42">
        <f t="shared" si="7"/>
        <v>29.47625532</v>
      </c>
      <c r="J95" s="2">
        <f t="shared" si="8"/>
        <v>25.75531914893617</v>
      </c>
      <c r="K95" s="42"/>
      <c r="L95">
        <v>-0.51</v>
      </c>
      <c r="M95">
        <v>1.21</v>
      </c>
    </row>
    <row r="96" spans="1:13">
      <c r="A96" s="10">
        <v>4</v>
      </c>
      <c r="B96" s="10">
        <v>40</v>
      </c>
      <c r="C96" s="10">
        <v>25</v>
      </c>
      <c r="D96" s="10"/>
      <c r="E96" s="42">
        <v>8.5299999999999994</v>
      </c>
      <c r="F96" s="5">
        <f t="shared" si="6"/>
        <v>852.99999999999989</v>
      </c>
      <c r="G96" s="10">
        <v>25</v>
      </c>
      <c r="H96" s="42">
        <v>30038.808509999999</v>
      </c>
      <c r="I96" s="42">
        <f t="shared" si="7"/>
        <v>30.038808509999999</v>
      </c>
      <c r="J96" s="2">
        <f t="shared" si="8"/>
        <v>26.308510638297868</v>
      </c>
      <c r="K96" s="42"/>
      <c r="L96">
        <v>-0.43</v>
      </c>
      <c r="M96">
        <v>1.1599999999999999</v>
      </c>
    </row>
    <row r="97" spans="1:13">
      <c r="A97" s="10">
        <v>4</v>
      </c>
      <c r="B97" s="10">
        <v>22</v>
      </c>
      <c r="C97" s="10">
        <v>25</v>
      </c>
      <c r="D97" s="10"/>
      <c r="E97" s="42">
        <v>8.7100000000000009</v>
      </c>
      <c r="F97" s="5">
        <f t="shared" si="6"/>
        <v>871.00000000000011</v>
      </c>
      <c r="G97" s="10">
        <v>25</v>
      </c>
      <c r="H97" s="42">
        <v>30545.106380000001</v>
      </c>
      <c r="I97" s="42">
        <f t="shared" si="7"/>
        <v>30.54510638</v>
      </c>
      <c r="J97" s="2">
        <f t="shared" si="8"/>
        <v>26.806382978723406</v>
      </c>
      <c r="K97" s="42"/>
      <c r="L97">
        <v>-0.46</v>
      </c>
      <c r="M97">
        <v>1.19</v>
      </c>
    </row>
    <row r="98" spans="1:13">
      <c r="A98" s="10">
        <v>4</v>
      </c>
      <c r="B98" s="10">
        <v>10</v>
      </c>
      <c r="C98" s="10">
        <v>30</v>
      </c>
      <c r="D98" s="10"/>
      <c r="E98" s="42">
        <v>8.83</v>
      </c>
      <c r="F98" s="5">
        <f t="shared" si="6"/>
        <v>883</v>
      </c>
      <c r="G98" s="10">
        <v>30</v>
      </c>
      <c r="H98" s="42">
        <v>30802.809519999999</v>
      </c>
      <c r="I98" s="42">
        <f t="shared" si="7"/>
        <v>30.80280952</v>
      </c>
      <c r="J98" s="2">
        <f t="shared" ref="J98:J103" si="9">(E98-8.78)/1.05*1.4+27</f>
        <v>27.066666666666666</v>
      </c>
      <c r="K98" s="42"/>
      <c r="L98">
        <v>-0.54</v>
      </c>
      <c r="M98">
        <v>1.22</v>
      </c>
    </row>
    <row r="99" spans="1:13">
      <c r="A99" s="10">
        <v>4</v>
      </c>
      <c r="B99" s="10">
        <v>5</v>
      </c>
      <c r="C99" s="10">
        <v>26</v>
      </c>
      <c r="D99" s="10"/>
      <c r="E99" s="42">
        <v>8.8800000000000008</v>
      </c>
      <c r="F99" s="5">
        <f t="shared" si="6"/>
        <v>888.00000000000011</v>
      </c>
      <c r="G99" s="10">
        <v>26</v>
      </c>
      <c r="H99" s="42">
        <v>30863.619050000001</v>
      </c>
      <c r="I99" s="42">
        <f t="shared" si="7"/>
        <v>30.86361905</v>
      </c>
      <c r="J99" s="2">
        <f t="shared" si="9"/>
        <v>27.133333333333336</v>
      </c>
      <c r="K99" s="42"/>
      <c r="L99">
        <v>-0.44</v>
      </c>
      <c r="M99">
        <v>1.39</v>
      </c>
    </row>
    <row r="100" spans="1:13">
      <c r="A100" s="10">
        <v>3</v>
      </c>
      <c r="B100" s="10">
        <v>70</v>
      </c>
      <c r="C100" s="10">
        <v>26</v>
      </c>
      <c r="D100" s="10"/>
      <c r="E100" s="42">
        <v>9.01</v>
      </c>
      <c r="F100" s="5">
        <f t="shared" si="6"/>
        <v>901</v>
      </c>
      <c r="G100" s="10">
        <v>26</v>
      </c>
      <c r="H100" s="42">
        <v>31021.72381</v>
      </c>
      <c r="I100" s="42">
        <f t="shared" si="7"/>
        <v>31.021723810000001</v>
      </c>
      <c r="J100" s="2">
        <f t="shared" si="9"/>
        <v>27.306666666666668</v>
      </c>
      <c r="K100" s="42"/>
      <c r="L100">
        <v>-0.75</v>
      </c>
      <c r="M100">
        <v>1.32</v>
      </c>
    </row>
    <row r="101" spans="1:13">
      <c r="A101" s="10">
        <v>3</v>
      </c>
      <c r="B101" s="10">
        <v>57</v>
      </c>
      <c r="C101" s="10">
        <v>16</v>
      </c>
      <c r="D101" s="10"/>
      <c r="E101" s="42">
        <v>9.14</v>
      </c>
      <c r="F101" s="5">
        <f t="shared" si="6"/>
        <v>914</v>
      </c>
      <c r="G101" s="10">
        <v>16</v>
      </c>
      <c r="H101" s="42">
        <v>31179.828570000001</v>
      </c>
      <c r="I101" s="42">
        <f t="shared" si="7"/>
        <v>31.179828570000002</v>
      </c>
      <c r="J101" s="2">
        <f t="shared" si="9"/>
        <v>27.48</v>
      </c>
      <c r="K101" s="42"/>
      <c r="L101">
        <v>-0.71</v>
      </c>
      <c r="M101">
        <v>1.25</v>
      </c>
    </row>
    <row r="102" spans="1:13">
      <c r="A102" s="10">
        <v>3</v>
      </c>
      <c r="B102" s="10">
        <v>15</v>
      </c>
      <c r="C102" s="10">
        <v>23</v>
      </c>
      <c r="D102" s="10"/>
      <c r="E102" s="42">
        <v>9.56</v>
      </c>
      <c r="F102" s="5">
        <f t="shared" si="6"/>
        <v>956</v>
      </c>
      <c r="G102" s="10">
        <v>23</v>
      </c>
      <c r="H102" s="42">
        <v>31690.628570000001</v>
      </c>
      <c r="I102" s="42">
        <f t="shared" si="7"/>
        <v>31.690628570000001</v>
      </c>
      <c r="J102" s="2">
        <f t="shared" si="9"/>
        <v>28.040000000000003</v>
      </c>
      <c r="K102" s="42"/>
      <c r="L102">
        <v>-0.55000000000000004</v>
      </c>
      <c r="M102">
        <v>1.35</v>
      </c>
    </row>
    <row r="103" spans="1:13">
      <c r="A103" s="10">
        <v>3</v>
      </c>
      <c r="B103" s="10">
        <v>5</v>
      </c>
      <c r="C103" s="10">
        <v>24</v>
      </c>
      <c r="D103" s="10"/>
      <c r="E103" s="42">
        <v>9.66</v>
      </c>
      <c r="F103" s="5">
        <f t="shared" si="6"/>
        <v>966</v>
      </c>
      <c r="G103" s="10">
        <v>24</v>
      </c>
      <c r="H103" s="42">
        <v>31812.247619999998</v>
      </c>
      <c r="I103" s="42">
        <f t="shared" si="7"/>
        <v>31.812247619999997</v>
      </c>
      <c r="J103" s="2">
        <f t="shared" si="9"/>
        <v>28.173333333333336</v>
      </c>
      <c r="K103" s="42"/>
      <c r="L103">
        <v>-0.57999999999999996</v>
      </c>
      <c r="M103">
        <v>1.52</v>
      </c>
    </row>
    <row r="104" spans="1:13">
      <c r="A104" s="10">
        <v>2</v>
      </c>
      <c r="B104" s="10">
        <v>63</v>
      </c>
      <c r="C104" s="10">
        <v>22</v>
      </c>
      <c r="D104" s="10"/>
      <c r="E104" s="42">
        <v>9.83</v>
      </c>
      <c r="F104" s="5">
        <f t="shared" si="6"/>
        <v>983</v>
      </c>
      <c r="G104" s="10">
        <v>22</v>
      </c>
      <c r="H104" s="42">
        <v>32019</v>
      </c>
      <c r="I104" s="42">
        <f t="shared" si="7"/>
        <v>32.018999999999998</v>
      </c>
      <c r="J104" s="2">
        <v>28.4</v>
      </c>
      <c r="K104" t="s">
        <v>222</v>
      </c>
      <c r="L104">
        <v>-0.68</v>
      </c>
      <c r="M104">
        <v>1.19</v>
      </c>
    </row>
    <row r="105" spans="1:13">
      <c r="A105" s="10">
        <v>2</v>
      </c>
      <c r="B105" s="10">
        <v>55</v>
      </c>
      <c r="C105" s="10">
        <v>23</v>
      </c>
      <c r="D105" s="10"/>
      <c r="E105" s="42">
        <v>9.91</v>
      </c>
      <c r="F105" s="5">
        <f t="shared" si="6"/>
        <v>991</v>
      </c>
      <c r="G105" s="10">
        <v>23</v>
      </c>
      <c r="H105" s="42">
        <v>32251</v>
      </c>
      <c r="I105" s="42">
        <f t="shared" si="7"/>
        <v>32.250999999999998</v>
      </c>
      <c r="J105" s="2">
        <f>(E105-9.83)/0.55*1.5+28.4</f>
        <v>28.618181818181817</v>
      </c>
      <c r="K105" s="42"/>
      <c r="L105">
        <v>-0.74</v>
      </c>
      <c r="M105">
        <v>1.44</v>
      </c>
    </row>
    <row r="106" spans="1:13">
      <c r="A106" s="10">
        <v>2</v>
      </c>
      <c r="B106" s="10">
        <v>45</v>
      </c>
      <c r="C106" s="10">
        <v>23</v>
      </c>
      <c r="D106" s="10"/>
      <c r="E106" s="42">
        <v>10.01</v>
      </c>
      <c r="F106" s="5">
        <f t="shared" si="6"/>
        <v>1001</v>
      </c>
      <c r="G106" s="10">
        <v>23</v>
      </c>
      <c r="H106" s="42">
        <v>32541</v>
      </c>
      <c r="I106" s="42">
        <f t="shared" si="7"/>
        <v>32.540999999999997</v>
      </c>
      <c r="J106" s="2">
        <f>(E106-9.83)/0.55*1.5+28.4</f>
        <v>28.890909090909087</v>
      </c>
      <c r="K106" s="42"/>
      <c r="L106">
        <v>-0.6</v>
      </c>
      <c r="M106">
        <v>1.37</v>
      </c>
    </row>
    <row r="107" spans="1:13">
      <c r="A107" s="10">
        <v>2</v>
      </c>
      <c r="B107" s="10">
        <v>25</v>
      </c>
      <c r="C107" s="10">
        <v>25</v>
      </c>
      <c r="D107" s="10"/>
      <c r="E107" s="42">
        <v>10.210000000000001</v>
      </c>
      <c r="F107" s="5">
        <f t="shared" si="6"/>
        <v>1021.0000000000001</v>
      </c>
      <c r="G107" s="10">
        <v>25</v>
      </c>
      <c r="H107" s="42">
        <v>33121</v>
      </c>
      <c r="I107" s="42">
        <f t="shared" si="7"/>
        <v>33.121000000000002</v>
      </c>
      <c r="J107" s="2">
        <f>(E107-9.83)/0.55*1.5+28.4</f>
        <v>29.436363636363637</v>
      </c>
      <c r="K107" s="42"/>
      <c r="L107">
        <v>-0.63</v>
      </c>
      <c r="M107">
        <v>1.39</v>
      </c>
    </row>
    <row r="108" spans="1:13">
      <c r="A108" s="10">
        <v>2</v>
      </c>
      <c r="B108" s="10">
        <v>15</v>
      </c>
      <c r="C108" s="10">
        <v>25</v>
      </c>
      <c r="D108" s="10"/>
      <c r="E108" s="42">
        <v>10.31</v>
      </c>
      <c r="F108" s="5">
        <f t="shared" si="6"/>
        <v>1031</v>
      </c>
      <c r="G108" s="10">
        <v>25</v>
      </c>
      <c r="H108" s="42">
        <v>33411</v>
      </c>
      <c r="I108" s="42">
        <f t="shared" si="7"/>
        <v>33.411000000000001</v>
      </c>
      <c r="J108" s="2">
        <f>(E108-9.83)/0.55*1.5+28.4</f>
        <v>29.709090909090907</v>
      </c>
      <c r="K108" s="42"/>
      <c r="L108">
        <v>-0.8</v>
      </c>
      <c r="M108">
        <v>1.48</v>
      </c>
    </row>
    <row r="109" spans="1:13">
      <c r="A109" s="10">
        <v>2</v>
      </c>
      <c r="B109" s="10">
        <v>5</v>
      </c>
      <c r="C109" s="10">
        <v>28</v>
      </c>
      <c r="D109" s="10"/>
      <c r="E109" s="42">
        <v>10.41</v>
      </c>
      <c r="F109" s="5">
        <f t="shared" si="6"/>
        <v>1041</v>
      </c>
      <c r="G109" s="10">
        <v>28</v>
      </c>
      <c r="H109">
        <v>33701</v>
      </c>
      <c r="I109" s="42">
        <f t="shared" si="7"/>
        <v>33.701000000000001</v>
      </c>
      <c r="J109" s="2">
        <f>(E109-9.83)/0.55*1.5+28.4</f>
        <v>29.981818181818181</v>
      </c>
      <c r="K109" s="42"/>
      <c r="L109">
        <v>-0.71</v>
      </c>
      <c r="M109">
        <v>1.37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4B95A-AE8A-AF4A-9BE4-8FD413EF3906}">
  <sheetPr>
    <pageSetUpPr fitToPage="1"/>
  </sheetPr>
  <dimension ref="A1:I47"/>
  <sheetViews>
    <sheetView workbookViewId="0">
      <selection activeCell="G15" sqref="G15"/>
    </sheetView>
  </sheetViews>
  <sheetFormatPr defaultColWidth="11.42578125" defaultRowHeight="12.75"/>
  <cols>
    <col min="1" max="1" width="6.7109375" customWidth="1"/>
    <col min="2" max="2" width="9.7109375" customWidth="1"/>
    <col min="3" max="5" width="6.7109375" customWidth="1"/>
    <col min="6" max="6" width="9.7109375" customWidth="1"/>
    <col min="7" max="9" width="6.7109375" customWidth="1"/>
  </cols>
  <sheetData>
    <row r="1" spans="1:9">
      <c r="A1" s="40" t="s">
        <v>676</v>
      </c>
      <c r="B1" s="103" t="s">
        <v>677</v>
      </c>
    </row>
    <row r="2" spans="1:9">
      <c r="A2" s="10" t="s">
        <v>154</v>
      </c>
      <c r="B2" s="10" t="s">
        <v>155</v>
      </c>
      <c r="E2" s="10" t="s">
        <v>154</v>
      </c>
      <c r="F2" s="10" t="s">
        <v>155</v>
      </c>
    </row>
    <row r="3" spans="1:9">
      <c r="A3" s="10">
        <v>10</v>
      </c>
      <c r="B3" s="103" t="s">
        <v>679</v>
      </c>
      <c r="E3" s="10" t="s">
        <v>186</v>
      </c>
      <c r="F3" s="10" t="s">
        <v>187</v>
      </c>
      <c r="I3" s="55" t="s">
        <v>678</v>
      </c>
    </row>
    <row r="4" spans="1:9">
      <c r="A4" s="10">
        <v>10</v>
      </c>
      <c r="B4" s="103" t="s">
        <v>680</v>
      </c>
      <c r="E4" s="10" t="s">
        <v>186</v>
      </c>
      <c r="F4" s="10" t="s">
        <v>181</v>
      </c>
    </row>
    <row r="5" spans="1:9">
      <c r="A5" s="10">
        <v>10</v>
      </c>
      <c r="B5" s="103" t="s">
        <v>681</v>
      </c>
      <c r="E5" s="10" t="s">
        <v>186</v>
      </c>
      <c r="F5" s="10" t="s">
        <v>188</v>
      </c>
    </row>
    <row r="6" spans="1:9">
      <c r="A6" s="10">
        <v>10</v>
      </c>
      <c r="B6" s="103" t="s">
        <v>682</v>
      </c>
      <c r="E6" s="10" t="s">
        <v>186</v>
      </c>
      <c r="F6" s="103" t="s">
        <v>183</v>
      </c>
    </row>
    <row r="7" spans="1:9">
      <c r="A7" s="10">
        <v>10</v>
      </c>
      <c r="B7" s="119" t="s">
        <v>683</v>
      </c>
      <c r="E7" s="10" t="s">
        <v>186</v>
      </c>
      <c r="F7" s="10" t="s">
        <v>189</v>
      </c>
    </row>
    <row r="8" spans="1:9">
      <c r="A8" s="10">
        <v>10</v>
      </c>
      <c r="B8" s="119" t="s">
        <v>684</v>
      </c>
      <c r="E8" s="10" t="s">
        <v>186</v>
      </c>
      <c r="F8" s="10" t="s">
        <v>190</v>
      </c>
    </row>
    <row r="9" spans="1:9">
      <c r="A9" s="10">
        <v>9</v>
      </c>
      <c r="B9" s="103" t="s">
        <v>685</v>
      </c>
      <c r="E9" s="10" t="s">
        <v>186</v>
      </c>
      <c r="F9" s="10" t="s">
        <v>191</v>
      </c>
    </row>
    <row r="10" spans="1:9">
      <c r="A10" s="10">
        <v>9</v>
      </c>
      <c r="B10" s="103" t="s">
        <v>686</v>
      </c>
      <c r="E10" s="10" t="s">
        <v>186</v>
      </c>
      <c r="F10" s="44" t="s">
        <v>192</v>
      </c>
    </row>
    <row r="11" spans="1:9">
      <c r="A11" s="10">
        <v>9</v>
      </c>
      <c r="B11" s="10" t="s">
        <v>163</v>
      </c>
      <c r="E11" s="10" t="s">
        <v>186</v>
      </c>
      <c r="F11" s="43" t="s">
        <v>193</v>
      </c>
    </row>
    <row r="12" spans="1:9">
      <c r="A12" s="10">
        <v>9</v>
      </c>
      <c r="B12" s="10" t="s">
        <v>175</v>
      </c>
      <c r="E12" s="10" t="s">
        <v>186</v>
      </c>
      <c r="F12" s="44" t="s">
        <v>194</v>
      </c>
    </row>
    <row r="13" spans="1:9">
      <c r="A13" s="10">
        <v>9</v>
      </c>
      <c r="B13" s="10" t="s">
        <v>687</v>
      </c>
      <c r="E13" s="10" t="s">
        <v>186</v>
      </c>
      <c r="F13" s="45" t="s">
        <v>195</v>
      </c>
    </row>
    <row r="14" spans="1:9">
      <c r="A14" s="10">
        <v>9</v>
      </c>
      <c r="B14" s="10" t="s">
        <v>688</v>
      </c>
      <c r="E14" s="10">
        <v>6</v>
      </c>
      <c r="F14" s="10" t="s">
        <v>196</v>
      </c>
    </row>
    <row r="15" spans="1:9">
      <c r="A15" s="10">
        <v>9</v>
      </c>
      <c r="B15" s="10" t="s">
        <v>689</v>
      </c>
      <c r="E15" s="10">
        <v>6</v>
      </c>
      <c r="F15" s="103" t="s">
        <v>700</v>
      </c>
    </row>
    <row r="16" spans="1:9">
      <c r="A16" s="10">
        <v>9</v>
      </c>
      <c r="B16" s="10" t="s">
        <v>690</v>
      </c>
      <c r="E16" s="10">
        <v>6</v>
      </c>
      <c r="F16" s="10" t="s">
        <v>197</v>
      </c>
    </row>
    <row r="17" spans="1:6">
      <c r="A17" s="10">
        <v>9</v>
      </c>
      <c r="B17" s="10" t="s">
        <v>691</v>
      </c>
      <c r="E17" s="10">
        <v>6</v>
      </c>
      <c r="F17" s="10" t="s">
        <v>198</v>
      </c>
    </row>
    <row r="18" spans="1:6">
      <c r="A18" s="10">
        <v>9</v>
      </c>
      <c r="B18" s="10" t="s">
        <v>692</v>
      </c>
      <c r="E18" s="10">
        <v>6</v>
      </c>
      <c r="F18" s="103" t="s">
        <v>701</v>
      </c>
    </row>
    <row r="19" spans="1:6">
      <c r="A19" s="10">
        <v>9</v>
      </c>
      <c r="B19" s="10" t="s">
        <v>164</v>
      </c>
      <c r="E19" s="10">
        <v>6</v>
      </c>
      <c r="F19" s="10" t="s">
        <v>200</v>
      </c>
    </row>
    <row r="20" spans="1:6">
      <c r="A20" s="10">
        <v>9</v>
      </c>
      <c r="B20" s="103" t="s">
        <v>693</v>
      </c>
      <c r="E20" s="10">
        <v>6</v>
      </c>
      <c r="F20" s="10" t="s">
        <v>201</v>
      </c>
    </row>
    <row r="21" spans="1:6">
      <c r="A21" s="10">
        <v>9</v>
      </c>
      <c r="B21">
        <v>55</v>
      </c>
      <c r="E21" s="10">
        <v>6</v>
      </c>
      <c r="F21" s="10" t="s">
        <v>202</v>
      </c>
    </row>
    <row r="22" spans="1:6">
      <c r="A22" s="10">
        <v>9</v>
      </c>
      <c r="B22" s="103" t="s">
        <v>694</v>
      </c>
      <c r="E22" s="10">
        <v>6</v>
      </c>
      <c r="F22" s="10" t="s">
        <v>203</v>
      </c>
    </row>
    <row r="23" spans="1:6">
      <c r="A23" s="10">
        <v>9</v>
      </c>
      <c r="B23" s="10" t="s">
        <v>165</v>
      </c>
      <c r="E23" s="10">
        <v>6</v>
      </c>
      <c r="F23" s="10" t="s">
        <v>204</v>
      </c>
    </row>
    <row r="24" spans="1:6">
      <c r="A24" s="10">
        <v>9</v>
      </c>
      <c r="B24" s="10" t="s">
        <v>166</v>
      </c>
      <c r="E24" s="120">
        <v>6</v>
      </c>
      <c r="F24" s="120" t="s">
        <v>176</v>
      </c>
    </row>
    <row r="25" spans="1:6">
      <c r="A25" s="10">
        <v>9</v>
      </c>
      <c r="B25" s="10" t="s">
        <v>695</v>
      </c>
      <c r="E25" s="10">
        <v>6</v>
      </c>
      <c r="F25" s="10" t="s">
        <v>205</v>
      </c>
    </row>
    <row r="26" spans="1:6">
      <c r="A26" s="10">
        <v>9</v>
      </c>
      <c r="B26" s="43" t="s">
        <v>167</v>
      </c>
      <c r="E26" s="10">
        <v>6</v>
      </c>
      <c r="F26" s="10" t="s">
        <v>206</v>
      </c>
    </row>
    <row r="27" spans="1:6">
      <c r="A27" s="10">
        <v>9</v>
      </c>
      <c r="B27" s="119" t="s">
        <v>194</v>
      </c>
      <c r="E27" s="10">
        <v>6</v>
      </c>
      <c r="F27" s="10" t="s">
        <v>207</v>
      </c>
    </row>
    <row r="28" spans="1:6">
      <c r="A28" s="10">
        <v>8</v>
      </c>
      <c r="B28" s="119" t="s">
        <v>696</v>
      </c>
      <c r="E28" s="10">
        <v>6</v>
      </c>
      <c r="F28" s="10" t="s">
        <v>208</v>
      </c>
    </row>
    <row r="29" spans="1:6">
      <c r="A29" s="10">
        <v>8</v>
      </c>
      <c r="B29" s="119" t="s">
        <v>174</v>
      </c>
      <c r="E29" s="10">
        <v>6</v>
      </c>
      <c r="F29" s="10" t="s">
        <v>209</v>
      </c>
    </row>
    <row r="30" spans="1:6">
      <c r="A30" s="10">
        <v>8</v>
      </c>
      <c r="B30" s="119" t="s">
        <v>697</v>
      </c>
      <c r="E30" s="10">
        <v>6</v>
      </c>
      <c r="F30" s="10" t="s">
        <v>210</v>
      </c>
    </row>
    <row r="31" spans="1:6">
      <c r="A31" s="10">
        <v>8</v>
      </c>
      <c r="B31" s="10" t="s">
        <v>168</v>
      </c>
      <c r="E31" s="10">
        <v>6</v>
      </c>
      <c r="F31" s="10" t="s">
        <v>211</v>
      </c>
    </row>
    <row r="32" spans="1:6">
      <c r="A32" s="10">
        <v>8</v>
      </c>
      <c r="B32" s="10" t="s">
        <v>169</v>
      </c>
      <c r="E32" s="10">
        <v>6</v>
      </c>
      <c r="F32" s="10" t="s">
        <v>212</v>
      </c>
    </row>
    <row r="33" spans="1:6">
      <c r="A33" s="10">
        <v>8</v>
      </c>
      <c r="B33" s="103" t="s">
        <v>698</v>
      </c>
      <c r="E33" s="10">
        <v>6</v>
      </c>
      <c r="F33" s="10" t="s">
        <v>213</v>
      </c>
    </row>
    <row r="34" spans="1:6">
      <c r="A34" s="10">
        <v>8</v>
      </c>
      <c r="B34" s="43" t="s">
        <v>172</v>
      </c>
      <c r="E34" s="10">
        <v>6</v>
      </c>
      <c r="F34" s="10" t="s">
        <v>214</v>
      </c>
    </row>
    <row r="35" spans="1:6">
      <c r="A35" s="10">
        <v>7</v>
      </c>
      <c r="B35" s="10" t="s">
        <v>173</v>
      </c>
      <c r="E35" s="10">
        <v>6</v>
      </c>
      <c r="F35" s="10" t="s">
        <v>215</v>
      </c>
    </row>
    <row r="36" spans="1:6">
      <c r="A36" s="10">
        <v>7</v>
      </c>
      <c r="B36" s="10" t="s">
        <v>174</v>
      </c>
      <c r="E36" s="10">
        <v>6</v>
      </c>
      <c r="F36" s="10" t="s">
        <v>216</v>
      </c>
    </row>
    <row r="37" spans="1:6">
      <c r="A37" s="10">
        <v>7</v>
      </c>
      <c r="B37" s="10" t="s">
        <v>175</v>
      </c>
      <c r="E37" s="10">
        <v>6</v>
      </c>
      <c r="F37" s="10" t="s">
        <v>217</v>
      </c>
    </row>
    <row r="38" spans="1:6">
      <c r="A38" s="10">
        <v>7</v>
      </c>
      <c r="B38" s="10" t="s">
        <v>176</v>
      </c>
      <c r="E38" s="10">
        <v>6</v>
      </c>
      <c r="F38">
        <v>69</v>
      </c>
    </row>
    <row r="39" spans="1:6">
      <c r="A39" s="10">
        <v>7</v>
      </c>
      <c r="B39" s="10" t="s">
        <v>177</v>
      </c>
      <c r="E39" s="10">
        <v>6</v>
      </c>
      <c r="F39" s="10" t="s">
        <v>218</v>
      </c>
    </row>
    <row r="40" spans="1:6">
      <c r="A40" s="10">
        <v>7</v>
      </c>
      <c r="B40" s="10" t="s">
        <v>178</v>
      </c>
      <c r="E40" s="10">
        <v>6</v>
      </c>
      <c r="F40" s="10" t="s">
        <v>219</v>
      </c>
    </row>
    <row r="41" spans="1:6">
      <c r="A41" s="10">
        <v>7</v>
      </c>
      <c r="B41" s="103" t="s">
        <v>699</v>
      </c>
      <c r="E41" s="10">
        <v>6</v>
      </c>
      <c r="F41" s="10" t="s">
        <v>220</v>
      </c>
    </row>
    <row r="42" spans="1:6">
      <c r="A42" s="10">
        <v>7</v>
      </c>
      <c r="B42" s="10" t="s">
        <v>180</v>
      </c>
    </row>
    <row r="43" spans="1:6">
      <c r="A43" s="10">
        <v>7</v>
      </c>
      <c r="B43" s="10" t="s">
        <v>181</v>
      </c>
    </row>
    <row r="44" spans="1:6">
      <c r="A44" s="10">
        <v>7</v>
      </c>
      <c r="B44" s="10" t="s">
        <v>182</v>
      </c>
    </row>
    <row r="45" spans="1:6">
      <c r="A45" s="10">
        <v>7</v>
      </c>
      <c r="B45" s="10" t="s">
        <v>183</v>
      </c>
    </row>
    <row r="46" spans="1:6">
      <c r="A46" s="10">
        <v>7</v>
      </c>
      <c r="B46" s="10" t="s">
        <v>184</v>
      </c>
    </row>
    <row r="47" spans="1:6">
      <c r="A47" s="10">
        <v>7</v>
      </c>
      <c r="B47" s="44" t="s">
        <v>185</v>
      </c>
    </row>
  </sheetData>
  <printOptions gridLines="1"/>
  <pageMargins left="0.45" right="0.2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728A1-1F55-5641-8C01-DE2A0D1CCEBC}">
  <dimension ref="A1:J135"/>
  <sheetViews>
    <sheetView workbookViewId="0">
      <selection activeCell="G2" sqref="G2"/>
    </sheetView>
  </sheetViews>
  <sheetFormatPr defaultColWidth="11.42578125" defaultRowHeight="12.75"/>
  <cols>
    <col min="3" max="3" width="24.42578125" customWidth="1"/>
    <col min="7" max="7" width="13.85546875" customWidth="1"/>
  </cols>
  <sheetData>
    <row r="1" spans="1:9">
      <c r="A1" t="s">
        <v>241</v>
      </c>
      <c r="C1" t="s">
        <v>242</v>
      </c>
      <c r="D1" s="16"/>
      <c r="E1" s="16"/>
      <c r="F1" s="16"/>
      <c r="G1" s="16"/>
      <c r="H1" s="16"/>
      <c r="I1" s="16"/>
    </row>
    <row r="2" spans="1:9" ht="18">
      <c r="A2" t="s">
        <v>243</v>
      </c>
      <c r="B2" t="s">
        <v>244</v>
      </c>
      <c r="C2" t="s">
        <v>245</v>
      </c>
      <c r="D2" s="16" t="s">
        <v>246</v>
      </c>
      <c r="E2" s="16" t="s">
        <v>247</v>
      </c>
      <c r="F2" s="16" t="s">
        <v>248</v>
      </c>
      <c r="G2" s="16" t="s">
        <v>249</v>
      </c>
      <c r="H2" s="16" t="s">
        <v>248</v>
      </c>
      <c r="I2" s="16" t="s">
        <v>250</v>
      </c>
    </row>
    <row r="3" spans="1:9">
      <c r="A3" t="s">
        <v>251</v>
      </c>
      <c r="B3" t="s">
        <v>252</v>
      </c>
      <c r="C3" t="s">
        <v>253</v>
      </c>
      <c r="D3" s="16">
        <v>502</v>
      </c>
      <c r="E3" s="15">
        <v>-1.252856756524463</v>
      </c>
      <c r="F3" s="15">
        <v>7.1515732534876572E-2</v>
      </c>
      <c r="G3" s="15">
        <v>0.56169664471294878</v>
      </c>
      <c r="H3" s="15">
        <v>0.14646311632777878</v>
      </c>
      <c r="I3" s="16">
        <v>736</v>
      </c>
    </row>
    <row r="4" spans="1:9">
      <c r="A4" t="s">
        <v>251</v>
      </c>
      <c r="B4" t="s">
        <v>254</v>
      </c>
      <c r="C4" t="s">
        <v>255</v>
      </c>
      <c r="D4" s="16">
        <v>706</v>
      </c>
      <c r="E4" s="15">
        <v>-0.53629722203613739</v>
      </c>
      <c r="F4" s="15">
        <v>9.6492227666273758E-2</v>
      </c>
      <c r="G4" s="15">
        <v>1.6548139452627697</v>
      </c>
      <c r="H4" s="15">
        <v>6.5447391935134533E-2</v>
      </c>
      <c r="I4" s="16">
        <v>1916</v>
      </c>
    </row>
    <row r="5" spans="1:9">
      <c r="A5" t="s">
        <v>256</v>
      </c>
      <c r="B5" t="s">
        <v>257</v>
      </c>
      <c r="C5" t="s">
        <v>258</v>
      </c>
      <c r="D5" s="16">
        <v>706</v>
      </c>
      <c r="E5" s="15">
        <v>-0.57897895790561615</v>
      </c>
      <c r="F5" s="15">
        <v>3.5935513230105826E-2</v>
      </c>
      <c r="G5" s="15">
        <v>1.2811592380936307</v>
      </c>
      <c r="H5" s="15">
        <v>0.1185052741442338</v>
      </c>
      <c r="I5" s="16">
        <v>1509</v>
      </c>
    </row>
    <row r="6" spans="1:9">
      <c r="A6" t="s">
        <v>256</v>
      </c>
      <c r="B6" t="s">
        <v>259</v>
      </c>
      <c r="C6" t="s">
        <v>260</v>
      </c>
      <c r="D6" s="16">
        <v>706</v>
      </c>
      <c r="E6" s="15">
        <v>-0.63892801987564118</v>
      </c>
      <c r="F6" s="15">
        <v>4.8098279017490801E-2</v>
      </c>
      <c r="G6" s="15">
        <v>1.3424901372678228</v>
      </c>
      <c r="H6" s="15">
        <v>7.9522184186412923E-2</v>
      </c>
      <c r="I6" s="16">
        <v>1994</v>
      </c>
    </row>
    <row r="7" spans="1:9">
      <c r="A7" t="s">
        <v>256</v>
      </c>
      <c r="B7" t="s">
        <v>261</v>
      </c>
      <c r="C7" t="s">
        <v>262</v>
      </c>
      <c r="D7" s="16">
        <v>870</v>
      </c>
      <c r="E7" s="15">
        <v>-0.52253379522360932</v>
      </c>
      <c r="F7" s="15">
        <v>3.2984845004941275E-2</v>
      </c>
      <c r="G7" s="15">
        <v>0.6532803662680009</v>
      </c>
      <c r="H7" s="15">
        <v>9.2173748974423472E-2</v>
      </c>
      <c r="I7" s="16">
        <v>1373</v>
      </c>
    </row>
    <row r="8" spans="1:9">
      <c r="A8" t="s">
        <v>256</v>
      </c>
      <c r="B8" t="s">
        <v>263</v>
      </c>
      <c r="C8" t="s">
        <v>264</v>
      </c>
      <c r="D8" s="16">
        <v>870</v>
      </c>
      <c r="E8" s="15">
        <v>-0.38764423222294742</v>
      </c>
      <c r="F8" s="15">
        <v>6.9960306206051232E-2</v>
      </c>
      <c r="G8" s="15">
        <v>1.3810845375083483</v>
      </c>
      <c r="H8" s="15">
        <v>8.5056517158364209E-2</v>
      </c>
      <c r="I8" s="16">
        <v>1386</v>
      </c>
    </row>
    <row r="9" spans="1:9">
      <c r="A9" t="s">
        <v>251</v>
      </c>
      <c r="B9" t="s">
        <v>265</v>
      </c>
      <c r="C9" t="s">
        <v>266</v>
      </c>
      <c r="D9" s="16">
        <v>870</v>
      </c>
      <c r="E9" s="15">
        <v>-1.0166868654081398</v>
      </c>
      <c r="F9" s="15">
        <v>6.3845734217547995E-2</v>
      </c>
      <c r="G9" s="15">
        <v>0.45969193620644205</v>
      </c>
      <c r="H9" s="15">
        <v>9.8648365419808245E-2</v>
      </c>
      <c r="I9" s="16">
        <v>1614</v>
      </c>
    </row>
    <row r="10" spans="1:9">
      <c r="A10" t="s">
        <v>256</v>
      </c>
      <c r="B10" t="s">
        <v>267</v>
      </c>
      <c r="C10" t="s">
        <v>268</v>
      </c>
      <c r="D10" s="16">
        <v>674</v>
      </c>
      <c r="E10" s="15">
        <v>-0.68641449557372103</v>
      </c>
      <c r="F10" s="15">
        <v>8.0801368250241395E-2</v>
      </c>
      <c r="G10" s="15">
        <v>1.5782836429083351</v>
      </c>
      <c r="H10" s="15">
        <v>4.9749651031718585E-2</v>
      </c>
      <c r="I10" s="16">
        <v>1627</v>
      </c>
    </row>
    <row r="11" spans="1:9">
      <c r="A11" t="s">
        <v>251</v>
      </c>
      <c r="B11" t="s">
        <v>269</v>
      </c>
      <c r="C11" t="s">
        <v>270</v>
      </c>
      <c r="D11" s="16">
        <v>674</v>
      </c>
      <c r="E11" s="15">
        <v>-0.78315535218232268</v>
      </c>
      <c r="F11" s="15">
        <v>9.6366487950946517E-2</v>
      </c>
      <c r="G11" s="15">
        <v>0.99393817460467937</v>
      </c>
      <c r="H11" s="15">
        <v>8.1344090818639747E-2</v>
      </c>
      <c r="I11" s="16">
        <v>1672</v>
      </c>
    </row>
    <row r="12" spans="1:9">
      <c r="A12" t="s">
        <v>256</v>
      </c>
      <c r="B12" t="s">
        <v>271</v>
      </c>
      <c r="C12" t="s">
        <v>272</v>
      </c>
      <c r="D12" s="16">
        <v>674</v>
      </c>
      <c r="E12" s="15">
        <v>-1.1556197221081923</v>
      </c>
      <c r="F12" s="15">
        <v>0.10673031954937354</v>
      </c>
      <c r="G12" s="15">
        <v>0.75636310434759324</v>
      </c>
      <c r="H12" s="15">
        <v>0.11700937759190262</v>
      </c>
      <c r="I12" s="16">
        <v>1452</v>
      </c>
    </row>
    <row r="13" spans="1:9">
      <c r="A13" t="s">
        <v>251</v>
      </c>
      <c r="B13" t="s">
        <v>273</v>
      </c>
      <c r="C13" t="s">
        <v>274</v>
      </c>
      <c r="D13" s="16">
        <v>853</v>
      </c>
      <c r="E13" s="15">
        <v>-0.39167236274754119</v>
      </c>
      <c r="F13" s="15">
        <v>7.3902713827782435E-2</v>
      </c>
      <c r="G13" s="15">
        <v>0.6880213421297362</v>
      </c>
      <c r="H13" s="15">
        <v>9.8409151561788394E-2</v>
      </c>
      <c r="I13" s="16">
        <v>2162</v>
      </c>
    </row>
    <row r="14" spans="1:9">
      <c r="A14" t="s">
        <v>251</v>
      </c>
      <c r="B14" t="s">
        <v>275</v>
      </c>
      <c r="C14" t="s">
        <v>276</v>
      </c>
      <c r="D14" s="16">
        <v>853</v>
      </c>
      <c r="E14" s="15">
        <v>0.32982187201280211</v>
      </c>
      <c r="F14" s="15">
        <v>0.14476916491819336</v>
      </c>
      <c r="G14" s="15">
        <v>0.9195750028914248</v>
      </c>
      <c r="H14" s="15">
        <v>0.18934888433788072</v>
      </c>
      <c r="I14" s="16">
        <v>1606</v>
      </c>
    </row>
    <row r="15" spans="1:9">
      <c r="A15" t="s">
        <v>256</v>
      </c>
      <c r="B15" t="s">
        <v>277</v>
      </c>
      <c r="C15" t="s">
        <v>278</v>
      </c>
      <c r="D15" s="16">
        <v>853</v>
      </c>
      <c r="E15" s="15">
        <v>-0.91568712337057101</v>
      </c>
      <c r="F15" s="15">
        <v>0.16175684769980458</v>
      </c>
      <c r="G15" s="15">
        <v>0.55750664082454437</v>
      </c>
      <c r="H15" s="15">
        <v>0.15047046590979632</v>
      </c>
      <c r="I15" s="16">
        <v>1564</v>
      </c>
    </row>
    <row r="16" spans="1:9">
      <c r="A16" t="s">
        <v>251</v>
      </c>
      <c r="B16" t="s">
        <v>279</v>
      </c>
      <c r="C16" t="s">
        <v>280</v>
      </c>
      <c r="D16" s="16">
        <v>1041</v>
      </c>
      <c r="E16" s="15">
        <v>0.12176606836984044</v>
      </c>
      <c r="F16" s="15">
        <v>0.17908036681271847</v>
      </c>
      <c r="G16" s="15">
        <v>1.1578641228594038</v>
      </c>
      <c r="H16" s="15">
        <v>0.19266097165746887</v>
      </c>
      <c r="I16" s="16">
        <v>1779</v>
      </c>
    </row>
    <row r="17" spans="1:9">
      <c r="A17" t="s">
        <v>251</v>
      </c>
      <c r="B17" t="s">
        <v>281</v>
      </c>
      <c r="C17" t="s">
        <v>282</v>
      </c>
      <c r="D17" s="16">
        <v>1041</v>
      </c>
      <c r="E17" s="15">
        <v>0.24309956792209403</v>
      </c>
      <c r="F17" s="15">
        <v>0.198599541232546</v>
      </c>
      <c r="G17" s="15">
        <v>1.3215294241295488</v>
      </c>
      <c r="H17" s="15">
        <v>0.23392294552789042</v>
      </c>
      <c r="I17" s="16">
        <v>1865</v>
      </c>
    </row>
    <row r="18" spans="1:9">
      <c r="A18" t="s">
        <v>251</v>
      </c>
      <c r="B18" t="s">
        <v>283</v>
      </c>
      <c r="C18" t="s">
        <v>284</v>
      </c>
      <c r="D18" s="16">
        <v>1041</v>
      </c>
      <c r="E18" s="15">
        <v>0.20241105969388784</v>
      </c>
      <c r="F18" s="15">
        <v>0.23490642344937643</v>
      </c>
      <c r="G18" s="15">
        <v>1.4336052147232412</v>
      </c>
      <c r="H18" s="15">
        <v>0.28571008032619227</v>
      </c>
      <c r="I18" s="16">
        <v>1698</v>
      </c>
    </row>
    <row r="19" spans="1:9">
      <c r="A19" t="s">
        <v>256</v>
      </c>
      <c r="B19" t="s">
        <v>285</v>
      </c>
      <c r="C19" t="s">
        <v>286</v>
      </c>
      <c r="D19" s="16">
        <v>956</v>
      </c>
      <c r="E19" s="15">
        <v>0.42595337354054891</v>
      </c>
      <c r="F19" s="15">
        <v>0.26789073228546878</v>
      </c>
      <c r="G19" s="15">
        <v>1.3402574837410692</v>
      </c>
      <c r="H19" s="15">
        <v>0.32831273201019778</v>
      </c>
      <c r="I19" s="16">
        <v>1595</v>
      </c>
    </row>
    <row r="20" spans="1:9">
      <c r="A20" t="s">
        <v>251</v>
      </c>
      <c r="B20" t="s">
        <v>287</v>
      </c>
      <c r="C20" t="s">
        <v>288</v>
      </c>
      <c r="D20" s="16">
        <v>956</v>
      </c>
      <c r="E20" s="15">
        <v>0.40511616759789881</v>
      </c>
      <c r="F20" s="15">
        <v>0.35874925474177333</v>
      </c>
      <c r="G20" s="15">
        <v>1.7607628909401658</v>
      </c>
      <c r="H20" s="15">
        <v>0.42369577660287305</v>
      </c>
      <c r="I20" s="16">
        <v>1870</v>
      </c>
    </row>
    <row r="21" spans="1:9">
      <c r="A21" t="s">
        <v>251</v>
      </c>
      <c r="B21" t="s">
        <v>289</v>
      </c>
      <c r="C21" t="s">
        <v>290</v>
      </c>
      <c r="D21" s="16">
        <v>956</v>
      </c>
      <c r="E21" s="15">
        <v>-0.24904462924908144</v>
      </c>
      <c r="F21" s="15">
        <v>0.1908179760924007</v>
      </c>
      <c r="G21" s="15">
        <v>1.0251863482481074</v>
      </c>
      <c r="H21" s="15">
        <v>0.22361574184301031</v>
      </c>
      <c r="I21" s="16">
        <v>1957</v>
      </c>
    </row>
    <row r="22" spans="1:9">
      <c r="A22" t="s">
        <v>251</v>
      </c>
      <c r="B22" t="s">
        <v>291</v>
      </c>
      <c r="C22" t="s">
        <v>292</v>
      </c>
      <c r="D22" s="16">
        <v>736</v>
      </c>
      <c r="E22" s="15">
        <v>-0.82163660174182285</v>
      </c>
      <c r="F22" s="15">
        <v>0.17058852377708289</v>
      </c>
      <c r="G22" s="15">
        <v>1.3555686781316207</v>
      </c>
      <c r="H22" s="15">
        <v>0.19262708647654941</v>
      </c>
      <c r="I22" s="16">
        <v>2344</v>
      </c>
    </row>
    <row r="23" spans="1:9">
      <c r="A23" t="s">
        <v>256</v>
      </c>
      <c r="B23" t="s">
        <v>293</v>
      </c>
      <c r="C23" t="s">
        <v>294</v>
      </c>
      <c r="D23" s="16">
        <v>736</v>
      </c>
      <c r="E23" s="15">
        <v>-0.71002977790923616</v>
      </c>
      <c r="F23" s="15">
        <v>0.17936725205876078</v>
      </c>
      <c r="G23" s="15">
        <v>1.5530331234194876</v>
      </c>
      <c r="H23" s="15">
        <v>0.16244623042033679</v>
      </c>
      <c r="I23" s="16">
        <v>2123</v>
      </c>
    </row>
    <row r="24" spans="1:9">
      <c r="A24" t="s">
        <v>256</v>
      </c>
      <c r="B24" t="s">
        <v>295</v>
      </c>
      <c r="C24" t="s">
        <v>296</v>
      </c>
      <c r="D24" s="16">
        <v>736</v>
      </c>
      <c r="E24" s="15">
        <v>-0.43942767811747252</v>
      </c>
      <c r="F24" s="15">
        <v>0.13727172971073745</v>
      </c>
      <c r="G24" s="15">
        <v>0.52342829578717209</v>
      </c>
      <c r="H24" s="15">
        <v>0.14151040401484435</v>
      </c>
      <c r="I24" s="16">
        <v>2188</v>
      </c>
    </row>
    <row r="25" spans="1:9">
      <c r="A25" t="s">
        <v>251</v>
      </c>
      <c r="B25" t="s">
        <v>297</v>
      </c>
      <c r="C25" t="s">
        <v>298</v>
      </c>
      <c r="D25" s="16">
        <v>966</v>
      </c>
      <c r="E25" s="15">
        <v>-0.25949058616191689</v>
      </c>
      <c r="F25" s="15">
        <v>0.1702751042023205</v>
      </c>
      <c r="G25" s="15">
        <v>0.26693695488846292</v>
      </c>
      <c r="H25" s="15">
        <v>0.18894443627691188</v>
      </c>
      <c r="I25" s="16">
        <v>1764</v>
      </c>
    </row>
    <row r="26" spans="1:9">
      <c r="A26" t="s">
        <v>251</v>
      </c>
      <c r="B26" t="s">
        <v>299</v>
      </c>
      <c r="C26" t="s">
        <v>300</v>
      </c>
      <c r="D26" s="16">
        <v>966</v>
      </c>
      <c r="E26" s="15">
        <v>-0.12035179677835882</v>
      </c>
      <c r="F26" s="15">
        <v>0.17726048002241721</v>
      </c>
      <c r="G26" s="15">
        <v>0.6329548358134085</v>
      </c>
      <c r="H26" s="15">
        <v>0.16919646699752458</v>
      </c>
      <c r="I26" s="16">
        <v>1889</v>
      </c>
    </row>
    <row r="27" spans="1:9">
      <c r="A27" t="s">
        <v>251</v>
      </c>
      <c r="B27" t="s">
        <v>301</v>
      </c>
      <c r="C27" t="s">
        <v>302</v>
      </c>
      <c r="D27" s="16">
        <v>966</v>
      </c>
      <c r="E27" s="15">
        <v>-0.6559204353302226</v>
      </c>
      <c r="F27" s="15">
        <v>0.15581782454021234</v>
      </c>
      <c r="G27" s="15">
        <v>0.90394877834577747</v>
      </c>
      <c r="H27" s="15">
        <v>0.18942200095143258</v>
      </c>
      <c r="I27" s="16">
        <v>1780</v>
      </c>
    </row>
    <row r="28" spans="1:9">
      <c r="A28" t="s">
        <v>251</v>
      </c>
      <c r="B28" t="s">
        <v>303</v>
      </c>
      <c r="C28" t="s">
        <v>304</v>
      </c>
      <c r="D28" s="16">
        <v>1001</v>
      </c>
      <c r="E28" s="15">
        <v>-0.63968648690399132</v>
      </c>
      <c r="F28" s="15">
        <v>0.3026584066420609</v>
      </c>
      <c r="G28" s="15">
        <v>0.62431306910017836</v>
      </c>
      <c r="H28" s="15">
        <v>0.36645463566449793</v>
      </c>
      <c r="I28" s="16">
        <v>1506</v>
      </c>
    </row>
    <row r="29" spans="1:9">
      <c r="A29" t="s">
        <v>251</v>
      </c>
      <c r="B29" t="s">
        <v>305</v>
      </c>
      <c r="C29" t="s">
        <v>306</v>
      </c>
      <c r="D29" s="16">
        <v>1001</v>
      </c>
      <c r="E29" s="15">
        <v>-0.8501163624245649</v>
      </c>
      <c r="F29" s="15">
        <v>0.20053677966896746</v>
      </c>
      <c r="G29" s="15">
        <v>0.32711916999118251</v>
      </c>
      <c r="H29" s="15">
        <v>0.2607165340194425</v>
      </c>
      <c r="I29" s="16">
        <v>1686</v>
      </c>
    </row>
    <row r="30" spans="1:9">
      <c r="A30" t="s">
        <v>256</v>
      </c>
      <c r="B30" t="s">
        <v>307</v>
      </c>
      <c r="C30" t="s">
        <v>308</v>
      </c>
      <c r="D30" s="16">
        <v>1001</v>
      </c>
      <c r="E30" s="15">
        <v>-0.76730418131276412</v>
      </c>
      <c r="F30" s="15">
        <v>0.26545150216188296</v>
      </c>
      <c r="G30" s="15">
        <v>0.45865709075139421</v>
      </c>
      <c r="H30" s="15">
        <v>0.32814673208456269</v>
      </c>
      <c r="I30" s="16">
        <v>1828</v>
      </c>
    </row>
    <row r="31" spans="1:9">
      <c r="A31" t="s">
        <v>251</v>
      </c>
      <c r="B31" t="s">
        <v>309</v>
      </c>
      <c r="C31" t="s">
        <v>310</v>
      </c>
      <c r="D31" s="16">
        <v>592</v>
      </c>
      <c r="E31" s="15">
        <v>-1.6517400718813984</v>
      </c>
      <c r="F31" s="15">
        <v>0.23120541612264098</v>
      </c>
      <c r="G31" s="15">
        <v>0.74805572436544965</v>
      </c>
      <c r="H31" s="15">
        <v>0.24950851688870249</v>
      </c>
      <c r="I31" s="16">
        <v>1077</v>
      </c>
    </row>
    <row r="32" spans="1:9">
      <c r="A32" t="s">
        <v>256</v>
      </c>
      <c r="B32" t="s">
        <v>311</v>
      </c>
      <c r="C32" t="s">
        <v>312</v>
      </c>
      <c r="D32" s="16">
        <v>592</v>
      </c>
      <c r="E32" s="15">
        <v>-2.2770182941698822</v>
      </c>
      <c r="F32" s="15">
        <v>0.29335336105871329</v>
      </c>
      <c r="G32" s="15">
        <v>6.1365515533256809E-2</v>
      </c>
      <c r="H32" s="15">
        <v>0.33518581082405285</v>
      </c>
      <c r="I32" s="16">
        <v>1042</v>
      </c>
    </row>
    <row r="33" spans="1:9">
      <c r="A33" t="s">
        <v>251</v>
      </c>
      <c r="B33" t="s">
        <v>313</v>
      </c>
      <c r="C33" t="s">
        <v>314</v>
      </c>
      <c r="D33" s="16">
        <v>592</v>
      </c>
      <c r="E33" s="15">
        <v>-1.8810384120881873</v>
      </c>
      <c r="F33" s="15">
        <v>0.25241885384768192</v>
      </c>
      <c r="G33" s="15">
        <v>0.21966792724993892</v>
      </c>
      <c r="H33" s="15">
        <v>0.27682038902107226</v>
      </c>
      <c r="I33" s="16">
        <v>1093</v>
      </c>
    </row>
    <row r="34" spans="1:9">
      <c r="A34" t="s">
        <v>256</v>
      </c>
      <c r="B34" t="s">
        <v>315</v>
      </c>
      <c r="C34" t="s">
        <v>316</v>
      </c>
      <c r="D34" s="16">
        <v>542</v>
      </c>
      <c r="E34" s="15">
        <v>-1.3925006953366046</v>
      </c>
      <c r="F34" s="15">
        <v>0.21686311606889502</v>
      </c>
      <c r="G34" s="15">
        <v>0.68699590190240156</v>
      </c>
      <c r="H34" s="15">
        <v>0.23083477737213803</v>
      </c>
      <c r="I34" s="16">
        <v>1097</v>
      </c>
    </row>
    <row r="35" spans="1:9">
      <c r="A35" t="s">
        <v>251</v>
      </c>
      <c r="B35" t="s">
        <v>317</v>
      </c>
      <c r="C35" t="s">
        <v>318</v>
      </c>
      <c r="D35" s="16">
        <v>542</v>
      </c>
      <c r="E35" s="15">
        <v>-1.3068975574032815</v>
      </c>
      <c r="F35" s="15">
        <v>0.22537191484299857</v>
      </c>
      <c r="G35" s="15">
        <v>1.0391061741551466</v>
      </c>
      <c r="H35" s="15">
        <v>0.2577353293594033</v>
      </c>
      <c r="I35" s="16">
        <v>1045</v>
      </c>
    </row>
    <row r="36" spans="1:9">
      <c r="A36" t="s">
        <v>251</v>
      </c>
      <c r="B36" t="s">
        <v>319</v>
      </c>
      <c r="C36" t="s">
        <v>320</v>
      </c>
      <c r="D36" s="16">
        <v>542</v>
      </c>
      <c r="E36" s="15">
        <v>-0.74223698315768005</v>
      </c>
      <c r="F36" s="15">
        <v>0.1563570522163229</v>
      </c>
      <c r="G36" s="15">
        <v>1.2686317554516817</v>
      </c>
      <c r="H36" s="15">
        <v>0.15270541720726413</v>
      </c>
      <c r="I36" s="16">
        <v>954</v>
      </c>
    </row>
    <row r="37" spans="1:9">
      <c r="A37" t="s">
        <v>251</v>
      </c>
      <c r="B37" t="s">
        <v>321</v>
      </c>
      <c r="C37" t="s">
        <v>322</v>
      </c>
      <c r="D37" s="16">
        <v>787</v>
      </c>
      <c r="E37" s="15">
        <v>-0.35573249240609095</v>
      </c>
      <c r="F37" s="15">
        <v>0.19316903938721075</v>
      </c>
      <c r="G37" s="15">
        <v>0.60025685467705503</v>
      </c>
      <c r="H37" s="15">
        <v>0.2229894118064302</v>
      </c>
      <c r="I37" s="16">
        <v>1862</v>
      </c>
    </row>
    <row r="38" spans="1:9">
      <c r="A38" t="s">
        <v>256</v>
      </c>
      <c r="B38" t="s">
        <v>323</v>
      </c>
      <c r="C38" t="s">
        <v>324</v>
      </c>
      <c r="D38" s="16">
        <v>787</v>
      </c>
      <c r="E38" s="15">
        <v>-1.0384684454165709</v>
      </c>
      <c r="F38" s="15">
        <v>0.25834569862879453</v>
      </c>
      <c r="G38" s="15">
        <v>0.76112952803969469</v>
      </c>
      <c r="H38" s="15">
        <v>0.33514118086429062</v>
      </c>
      <c r="I38" s="16">
        <v>1478</v>
      </c>
    </row>
    <row r="39" spans="1:9">
      <c r="A39" t="s">
        <v>251</v>
      </c>
      <c r="B39" t="s">
        <v>325</v>
      </c>
      <c r="C39" t="s">
        <v>326</v>
      </c>
      <c r="D39" s="16">
        <v>787</v>
      </c>
      <c r="E39" s="15">
        <v>-0.89610191594481681</v>
      </c>
      <c r="F39" s="15">
        <v>0.33637330452935732</v>
      </c>
      <c r="G39" s="15">
        <v>1.281690553321938</v>
      </c>
      <c r="H39" s="15">
        <v>0.3795829216975446</v>
      </c>
      <c r="I39" s="16">
        <v>1548</v>
      </c>
    </row>
    <row r="40" spans="1:9">
      <c r="A40" t="s">
        <v>256</v>
      </c>
      <c r="B40" t="s">
        <v>327</v>
      </c>
      <c r="C40" t="s">
        <v>328</v>
      </c>
      <c r="D40" s="16">
        <v>879</v>
      </c>
      <c r="E40" s="15">
        <v>-0.62437951246438672</v>
      </c>
      <c r="F40" s="15">
        <v>0.41962364089741183</v>
      </c>
      <c r="G40" s="15">
        <v>1.4564488137817533</v>
      </c>
      <c r="H40" s="15">
        <v>0.4485937595543551</v>
      </c>
      <c r="I40" s="16">
        <v>1731</v>
      </c>
    </row>
    <row r="41" spans="1:9">
      <c r="A41" t="s">
        <v>256</v>
      </c>
      <c r="B41" t="s">
        <v>329</v>
      </c>
      <c r="C41" t="s">
        <v>330</v>
      </c>
      <c r="D41" s="16">
        <v>879</v>
      </c>
      <c r="E41" s="15">
        <v>-0.71175310738426678</v>
      </c>
      <c r="F41" s="15">
        <v>0.43917046171668278</v>
      </c>
      <c r="G41" s="15">
        <v>-4.0243362256898146E-2</v>
      </c>
      <c r="H41" s="15">
        <v>0.4733568949534801</v>
      </c>
      <c r="I41" s="16">
        <v>1674</v>
      </c>
    </row>
    <row r="42" spans="1:9">
      <c r="A42" t="s">
        <v>251</v>
      </c>
      <c r="B42" t="s">
        <v>331</v>
      </c>
      <c r="C42" t="s">
        <v>332</v>
      </c>
      <c r="D42" s="16">
        <v>879</v>
      </c>
      <c r="E42" s="15">
        <v>0.11721974723309897</v>
      </c>
      <c r="F42" s="15">
        <v>0.50869255067389285</v>
      </c>
      <c r="G42" s="15">
        <v>1.3342230944411826</v>
      </c>
      <c r="H42" s="15">
        <v>0.56128604808758387</v>
      </c>
      <c r="I42" s="16">
        <v>1588</v>
      </c>
    </row>
    <row r="43" spans="1:9">
      <c r="A43" t="s">
        <v>251</v>
      </c>
      <c r="B43" t="s">
        <v>333</v>
      </c>
      <c r="C43" t="s">
        <v>334</v>
      </c>
      <c r="D43" s="16">
        <v>633</v>
      </c>
      <c r="E43" s="15">
        <v>0.21712615717048994</v>
      </c>
      <c r="F43" s="15">
        <v>0.45212547422639698</v>
      </c>
      <c r="G43" s="15">
        <v>1.6172183804785125</v>
      </c>
      <c r="H43" s="15">
        <v>0.53334364573363413</v>
      </c>
      <c r="I43" s="16">
        <v>2107</v>
      </c>
    </row>
    <row r="44" spans="1:9">
      <c r="A44" t="s">
        <v>256</v>
      </c>
      <c r="B44" t="s">
        <v>335</v>
      </c>
      <c r="C44" t="s">
        <v>336</v>
      </c>
      <c r="D44" s="16">
        <v>633</v>
      </c>
      <c r="E44" s="15">
        <v>0.427875742310938</v>
      </c>
      <c r="F44" s="15">
        <v>0.40543919944233864</v>
      </c>
      <c r="G44" s="15">
        <v>2.0428151257773335</v>
      </c>
      <c r="H44" s="15">
        <v>0.47873621245014425</v>
      </c>
      <c r="I44" s="16">
        <v>2122</v>
      </c>
    </row>
    <row r="45" spans="1:9">
      <c r="A45" t="s">
        <v>256</v>
      </c>
      <c r="B45" t="s">
        <v>337</v>
      </c>
      <c r="C45" t="s">
        <v>338</v>
      </c>
      <c r="D45" s="16">
        <v>633</v>
      </c>
      <c r="E45" s="15">
        <v>-0.67184799900236714</v>
      </c>
      <c r="F45" s="15">
        <v>0.30230452821249282</v>
      </c>
      <c r="G45" s="15">
        <v>1.2119194793767218</v>
      </c>
      <c r="H45" s="15">
        <v>0.30351418601296265</v>
      </c>
      <c r="I45" s="16">
        <v>1977</v>
      </c>
    </row>
    <row r="46" spans="1:9">
      <c r="A46" t="s">
        <v>251</v>
      </c>
      <c r="B46" t="s">
        <v>339</v>
      </c>
      <c r="C46" t="s">
        <v>340</v>
      </c>
      <c r="D46" s="16">
        <v>362</v>
      </c>
      <c r="E46" s="15"/>
      <c r="F46" s="15"/>
      <c r="G46" s="15"/>
      <c r="H46" s="15"/>
      <c r="I46" s="16">
        <v>114</v>
      </c>
    </row>
    <row r="47" spans="1:9">
      <c r="A47" t="s">
        <v>251</v>
      </c>
      <c r="B47" t="s">
        <v>341</v>
      </c>
      <c r="C47" t="s">
        <v>342</v>
      </c>
      <c r="D47" s="16">
        <v>362</v>
      </c>
      <c r="E47" s="15">
        <v>-1.6523135022896285</v>
      </c>
      <c r="F47" s="15">
        <v>0.30526140892320047</v>
      </c>
      <c r="G47" s="15">
        <v>-0.53494831049577951</v>
      </c>
      <c r="H47" s="15">
        <v>0.3613090782142071</v>
      </c>
      <c r="I47" s="16">
        <v>1592</v>
      </c>
    </row>
    <row r="48" spans="1:9">
      <c r="A48" t="s">
        <v>251</v>
      </c>
      <c r="B48" t="s">
        <v>343</v>
      </c>
      <c r="C48" t="s">
        <v>344</v>
      </c>
      <c r="D48" s="16">
        <v>362</v>
      </c>
      <c r="E48" s="15">
        <v>-1.8325707572399532</v>
      </c>
      <c r="F48" s="15">
        <v>6.5051902354965802E-2</v>
      </c>
      <c r="G48" s="15">
        <v>-0.48500428816828689</v>
      </c>
      <c r="H48" s="15">
        <v>0.10525564117898872</v>
      </c>
      <c r="I48" s="16">
        <v>1016</v>
      </c>
    </row>
    <row r="49" spans="1:9">
      <c r="A49" t="s">
        <v>256</v>
      </c>
      <c r="B49" t="s">
        <v>345</v>
      </c>
      <c r="C49" t="s">
        <v>346</v>
      </c>
      <c r="D49" s="16">
        <v>833</v>
      </c>
      <c r="E49" s="15">
        <v>-0.32305231781514404</v>
      </c>
      <c r="F49" s="15">
        <v>0.22576468821417675</v>
      </c>
      <c r="G49" s="15">
        <v>0.72421046077958673</v>
      </c>
      <c r="H49" s="15">
        <v>0.22434738688025765</v>
      </c>
      <c r="I49" s="16">
        <v>1838</v>
      </c>
    </row>
    <row r="50" spans="1:9">
      <c r="A50" t="s">
        <v>256</v>
      </c>
      <c r="B50" t="s">
        <v>347</v>
      </c>
      <c r="C50" t="s">
        <v>348</v>
      </c>
      <c r="D50" s="16">
        <v>833</v>
      </c>
      <c r="E50" s="15">
        <v>-0.3333318549677966</v>
      </c>
      <c r="F50" s="15">
        <v>0.29624651896689014</v>
      </c>
      <c r="G50" s="15">
        <v>0.6831970007395356</v>
      </c>
      <c r="H50" s="15">
        <v>0.34010676428308689</v>
      </c>
      <c r="I50" s="16">
        <v>1882</v>
      </c>
    </row>
    <row r="51" spans="1:9">
      <c r="A51" t="s">
        <v>256</v>
      </c>
      <c r="B51" t="s">
        <v>349</v>
      </c>
      <c r="C51" t="s">
        <v>350</v>
      </c>
      <c r="D51" s="16">
        <v>833</v>
      </c>
      <c r="E51" s="15">
        <v>-0.30511468780791284</v>
      </c>
      <c r="F51" s="15">
        <v>0.13033812864153674</v>
      </c>
      <c r="G51" s="15">
        <v>0.42255287951402731</v>
      </c>
      <c r="H51" s="15">
        <v>0.14436277605778838</v>
      </c>
      <c r="I51" s="16">
        <v>2231</v>
      </c>
    </row>
    <row r="52" spans="1:9">
      <c r="A52" t="s">
        <v>256</v>
      </c>
      <c r="B52" t="s">
        <v>351</v>
      </c>
      <c r="C52" t="s">
        <v>352</v>
      </c>
      <c r="D52" s="16">
        <v>914</v>
      </c>
      <c r="E52" s="15">
        <v>-0.48121524782568081</v>
      </c>
      <c r="F52" s="15">
        <v>0.16578902255577735</v>
      </c>
      <c r="G52" s="15">
        <v>0.19687030528945515</v>
      </c>
      <c r="H52" s="15">
        <v>0.1822949380658839</v>
      </c>
      <c r="I52" s="16">
        <v>1948</v>
      </c>
    </row>
    <row r="53" spans="1:9">
      <c r="A53" t="s">
        <v>256</v>
      </c>
      <c r="B53" t="s">
        <v>353</v>
      </c>
      <c r="C53" t="s">
        <v>354</v>
      </c>
      <c r="D53" s="16">
        <v>914</v>
      </c>
      <c r="E53" s="15">
        <v>-0.48719698962666375</v>
      </c>
      <c r="F53" s="15">
        <v>0.23262565302314456</v>
      </c>
      <c r="G53" s="15">
        <v>0.26858647294471005</v>
      </c>
      <c r="H53" s="15">
        <v>0.23970073934897329</v>
      </c>
      <c r="I53" s="16">
        <v>1794</v>
      </c>
    </row>
    <row r="54" spans="1:9">
      <c r="A54" t="s">
        <v>256</v>
      </c>
      <c r="B54" t="s">
        <v>355</v>
      </c>
      <c r="C54" t="s">
        <v>356</v>
      </c>
      <c r="D54" s="16">
        <v>914</v>
      </c>
      <c r="E54" s="15">
        <v>-0.19114944704636846</v>
      </c>
      <c r="F54" s="15">
        <v>0.13737276941875262</v>
      </c>
      <c r="G54" s="15">
        <v>0.56601721204734345</v>
      </c>
      <c r="H54" s="15">
        <v>0.17508743847321315</v>
      </c>
      <c r="I54" s="16">
        <v>2164</v>
      </c>
    </row>
    <row r="55" spans="1:9">
      <c r="A55" t="s">
        <v>251</v>
      </c>
      <c r="B55" t="s">
        <v>357</v>
      </c>
      <c r="C55" t="s">
        <v>358</v>
      </c>
      <c r="D55" s="16">
        <v>633.5</v>
      </c>
      <c r="E55" s="15">
        <v>-0.3243963298808667</v>
      </c>
      <c r="F55" s="15">
        <v>0.11905087614591971</v>
      </c>
      <c r="G55" s="15">
        <v>1.0961386087707727</v>
      </c>
      <c r="H55" s="15">
        <v>0.16251828956903414</v>
      </c>
      <c r="I55" s="16">
        <v>2027</v>
      </c>
    </row>
    <row r="56" spans="1:9">
      <c r="A56" t="s">
        <v>256</v>
      </c>
      <c r="B56" t="s">
        <v>359</v>
      </c>
      <c r="C56" t="s">
        <v>360</v>
      </c>
      <c r="D56" s="16">
        <v>633.5</v>
      </c>
      <c r="E56" s="15">
        <v>-0.5873234071718757</v>
      </c>
      <c r="F56" s="15">
        <v>0.17358787400046125</v>
      </c>
      <c r="G56" s="15">
        <v>1.3538637057567628</v>
      </c>
      <c r="H56" s="15">
        <v>0.21844113114928196</v>
      </c>
      <c r="I56" s="16">
        <v>2451</v>
      </c>
    </row>
    <row r="57" spans="1:9">
      <c r="A57" t="s">
        <v>256</v>
      </c>
      <c r="B57" t="s">
        <v>361</v>
      </c>
      <c r="C57" t="s">
        <v>362</v>
      </c>
      <c r="D57" s="16">
        <v>633.5</v>
      </c>
      <c r="E57" s="15">
        <v>-0.96393862024976595</v>
      </c>
      <c r="F57" s="15">
        <v>0.14720686502711497</v>
      </c>
      <c r="G57" s="15">
        <v>1.0551364868294479</v>
      </c>
      <c r="H57" s="15">
        <v>0.21615008931552851</v>
      </c>
      <c r="I57" s="16">
        <v>1945</v>
      </c>
    </row>
    <row r="58" spans="1:9">
      <c r="A58" t="s">
        <v>256</v>
      </c>
      <c r="B58" t="s">
        <v>363</v>
      </c>
      <c r="C58" t="s">
        <v>364</v>
      </c>
      <c r="D58" s="16">
        <v>761</v>
      </c>
      <c r="E58" s="15">
        <v>-1.284338703211287</v>
      </c>
      <c r="F58" s="15">
        <v>0.26160418574632949</v>
      </c>
      <c r="G58" s="15">
        <v>0.72673181959361943</v>
      </c>
      <c r="H58" s="15">
        <v>0.26158671814736928</v>
      </c>
      <c r="I58" s="16">
        <v>1729</v>
      </c>
    </row>
    <row r="59" spans="1:9">
      <c r="A59" t="s">
        <v>251</v>
      </c>
      <c r="B59" t="s">
        <v>365</v>
      </c>
      <c r="C59" t="s">
        <v>366</v>
      </c>
      <c r="D59" s="16">
        <v>761</v>
      </c>
      <c r="E59" s="15">
        <v>-1.2341216306686194</v>
      </c>
      <c r="F59" s="15">
        <v>0.15083996302188712</v>
      </c>
      <c r="G59" s="15">
        <v>0.3795632776547001</v>
      </c>
      <c r="H59" s="15">
        <v>0.18698871029497408</v>
      </c>
      <c r="I59" s="16">
        <v>1713</v>
      </c>
    </row>
    <row r="60" spans="1:9">
      <c r="A60" t="s">
        <v>256</v>
      </c>
      <c r="B60" t="s">
        <v>367</v>
      </c>
      <c r="C60" t="s">
        <v>368</v>
      </c>
      <c r="D60" s="16">
        <v>761</v>
      </c>
      <c r="E60" s="15">
        <v>-1.9742038129805839</v>
      </c>
      <c r="F60" s="15">
        <v>0.22420829848850679</v>
      </c>
      <c r="G60" s="15">
        <v>6.628167844248431E-2</v>
      </c>
      <c r="H60" s="15">
        <v>0.33091955215731816</v>
      </c>
      <c r="I60" s="16">
        <v>1144</v>
      </c>
    </row>
    <row r="61" spans="1:9">
      <c r="A61" t="s">
        <v>256</v>
      </c>
      <c r="B61" t="s">
        <v>369</v>
      </c>
      <c r="C61" t="s">
        <v>370</v>
      </c>
      <c r="D61" s="16">
        <v>572</v>
      </c>
      <c r="E61" s="15">
        <v>-2.1687901417481013</v>
      </c>
      <c r="F61" s="15">
        <v>0.20482499304962215</v>
      </c>
      <c r="G61" s="15">
        <v>-8.8936135660738103E-2</v>
      </c>
      <c r="H61" s="15">
        <v>0.25798891018370879</v>
      </c>
      <c r="I61" s="16">
        <v>942</v>
      </c>
    </row>
    <row r="62" spans="1:9">
      <c r="A62" t="s">
        <v>256</v>
      </c>
      <c r="B62" t="s">
        <v>371</v>
      </c>
      <c r="C62" t="s">
        <v>372</v>
      </c>
      <c r="D62" s="16">
        <v>572</v>
      </c>
      <c r="E62" s="15">
        <v>-1.7246360412408039</v>
      </c>
      <c r="F62" s="15">
        <v>0.30285053152412345</v>
      </c>
      <c r="G62" s="15">
        <v>0.28644162397941864</v>
      </c>
      <c r="H62" s="15">
        <v>0.3546461068602208</v>
      </c>
      <c r="I62" s="16">
        <v>974</v>
      </c>
    </row>
    <row r="63" spans="1:9">
      <c r="A63" t="s">
        <v>256</v>
      </c>
      <c r="B63" t="s">
        <v>373</v>
      </c>
      <c r="C63" t="s">
        <v>374</v>
      </c>
      <c r="D63" s="16">
        <v>572</v>
      </c>
      <c r="E63" s="15">
        <v>-2.1083262968364465</v>
      </c>
      <c r="F63" s="15">
        <v>0.29016551789931516</v>
      </c>
      <c r="G63" s="15">
        <v>-0.28869300343109405</v>
      </c>
      <c r="H63" s="15">
        <v>0.33423823007616049</v>
      </c>
      <c r="I63" s="16">
        <v>987</v>
      </c>
    </row>
    <row r="64" spans="1:9">
      <c r="A64" t="s">
        <v>256</v>
      </c>
      <c r="B64" t="s">
        <v>375</v>
      </c>
      <c r="C64" t="s">
        <v>376</v>
      </c>
      <c r="D64" s="16">
        <v>649</v>
      </c>
      <c r="E64" s="15">
        <v>-4.8889167850845155E-2</v>
      </c>
      <c r="F64" s="15">
        <v>0.13316604088296852</v>
      </c>
      <c r="G64" s="15">
        <v>1.9777425728392133</v>
      </c>
      <c r="H64" s="15">
        <v>0.13758734599438199</v>
      </c>
      <c r="I64" s="16">
        <v>2075</v>
      </c>
    </row>
    <row r="65" spans="1:10">
      <c r="A65" t="s">
        <v>256</v>
      </c>
      <c r="B65" t="s">
        <v>377</v>
      </c>
      <c r="C65" t="s">
        <v>378</v>
      </c>
      <c r="D65" s="16">
        <v>649</v>
      </c>
      <c r="E65" s="15">
        <v>1.2263353202374733E-2</v>
      </c>
      <c r="F65" s="15">
        <v>0.10519149205140116</v>
      </c>
      <c r="G65" s="15">
        <v>1.4548777141185771</v>
      </c>
      <c r="H65" s="15">
        <v>0.15888972416252989</v>
      </c>
      <c r="I65" s="16">
        <v>1940</v>
      </c>
    </row>
    <row r="66" spans="1:10">
      <c r="A66" t="s">
        <v>256</v>
      </c>
      <c r="B66" t="s">
        <v>379</v>
      </c>
      <c r="C66" t="s">
        <v>380</v>
      </c>
      <c r="D66" s="16">
        <v>649</v>
      </c>
      <c r="E66" s="15">
        <v>-2.6844222898724013E-2</v>
      </c>
      <c r="F66" s="15">
        <v>0.16981534088532757</v>
      </c>
      <c r="G66" s="15">
        <v>2.1367958391864383</v>
      </c>
      <c r="H66" s="15">
        <v>0.21873449151374763</v>
      </c>
      <c r="I66" s="16">
        <v>2040</v>
      </c>
    </row>
    <row r="67" spans="1:10">
      <c r="A67" t="s">
        <v>251</v>
      </c>
      <c r="B67" t="s">
        <v>381</v>
      </c>
      <c r="C67" t="s">
        <v>382</v>
      </c>
      <c r="D67" s="16">
        <v>607</v>
      </c>
      <c r="E67" s="15">
        <v>-2.2341652743316862</v>
      </c>
      <c r="F67" s="15">
        <v>0.30246822606312945</v>
      </c>
      <c r="G67" s="15">
        <v>-0.23423135790862526</v>
      </c>
      <c r="H67" s="15">
        <v>0.28775442848218891</v>
      </c>
      <c r="I67" s="16">
        <v>1198</v>
      </c>
    </row>
    <row r="68" spans="1:10">
      <c r="A68" t="s">
        <v>251</v>
      </c>
      <c r="B68" t="s">
        <v>383</v>
      </c>
      <c r="C68" t="s">
        <v>384</v>
      </c>
      <c r="D68" s="16">
        <v>607</v>
      </c>
      <c r="E68" s="15">
        <v>-2.1597925387132357</v>
      </c>
      <c r="F68" s="15">
        <v>0.26950391668974177</v>
      </c>
      <c r="G68" s="15">
        <v>0.21218731100723728</v>
      </c>
      <c r="H68" s="15">
        <v>0.34765276418352331</v>
      </c>
      <c r="I68" s="16">
        <v>954</v>
      </c>
    </row>
    <row r="69" spans="1:10">
      <c r="A69" t="s">
        <v>251</v>
      </c>
      <c r="B69" t="s">
        <v>385</v>
      </c>
      <c r="C69" t="s">
        <v>386</v>
      </c>
      <c r="D69" s="16">
        <v>607</v>
      </c>
      <c r="E69" s="15">
        <v>-1.5324748417078613</v>
      </c>
      <c r="F69" s="15">
        <v>0.70926395729031022</v>
      </c>
      <c r="G69" s="15">
        <v>0.99372319404859977</v>
      </c>
      <c r="H69" s="15">
        <v>0.80024652451603939</v>
      </c>
      <c r="I69" s="16">
        <v>1263</v>
      </c>
    </row>
    <row r="70" spans="1:10">
      <c r="A70" t="s">
        <v>251</v>
      </c>
      <c r="B70" t="s">
        <v>387</v>
      </c>
      <c r="C70" t="s">
        <v>388</v>
      </c>
      <c r="D70" s="16">
        <v>626</v>
      </c>
      <c r="E70" s="15">
        <v>-0.63763086996965956</v>
      </c>
      <c r="F70" s="15">
        <v>0.18822659217018187</v>
      </c>
      <c r="G70" s="15">
        <v>0.67820269840367065</v>
      </c>
      <c r="H70" s="15">
        <v>0.23600606159823759</v>
      </c>
      <c r="I70" s="16">
        <v>2271</v>
      </c>
    </row>
    <row r="71" spans="1:10">
      <c r="A71" t="s">
        <v>251</v>
      </c>
      <c r="B71" t="s">
        <v>389</v>
      </c>
      <c r="C71" t="s">
        <v>390</v>
      </c>
      <c r="D71" s="16">
        <v>626</v>
      </c>
      <c r="E71" s="15">
        <v>-0.65252006339008617</v>
      </c>
      <c r="F71" s="15">
        <v>0.17364915138801479</v>
      </c>
      <c r="G71" s="15">
        <v>1.1011477064493624</v>
      </c>
      <c r="H71" s="15">
        <v>0.18811883064819468</v>
      </c>
      <c r="I71" s="16">
        <v>2015</v>
      </c>
    </row>
    <row r="72" spans="1:10">
      <c r="A72" t="s">
        <v>251</v>
      </c>
      <c r="B72" t="s">
        <v>391</v>
      </c>
      <c r="C72" t="s">
        <v>392</v>
      </c>
      <c r="D72" s="16">
        <v>482</v>
      </c>
      <c r="E72" s="15">
        <v>-2.127023449725904</v>
      </c>
      <c r="F72" s="15">
        <v>0.705866665879612</v>
      </c>
      <c r="G72" s="15">
        <v>-0.68159973067709034</v>
      </c>
      <c r="H72" s="15">
        <v>0.81541139923353989</v>
      </c>
      <c r="I72" s="16">
        <v>844</v>
      </c>
    </row>
    <row r="73" spans="1:10">
      <c r="A73" t="s">
        <v>256</v>
      </c>
      <c r="B73" t="s">
        <v>393</v>
      </c>
      <c r="C73" t="s">
        <v>394</v>
      </c>
      <c r="D73" s="16">
        <v>482</v>
      </c>
      <c r="E73" s="15">
        <v>-1.7842377951938295</v>
      </c>
      <c r="F73" s="15">
        <v>0.73777256733434404</v>
      </c>
      <c r="G73" s="15">
        <v>-0.24097035055412208</v>
      </c>
      <c r="H73" s="15">
        <v>0.88971331212800109</v>
      </c>
      <c r="I73" s="16">
        <v>893</v>
      </c>
    </row>
    <row r="74" spans="1:10">
      <c r="A74" t="s">
        <v>256</v>
      </c>
      <c r="B74" t="s">
        <v>395</v>
      </c>
      <c r="C74" t="s">
        <v>396</v>
      </c>
      <c r="D74" s="16">
        <v>482</v>
      </c>
      <c r="E74" s="15">
        <v>-2.1213084342343103</v>
      </c>
      <c r="F74" s="15">
        <v>1.0126318158365579</v>
      </c>
      <c r="G74" s="15">
        <v>-0.36024649765512429</v>
      </c>
      <c r="H74" s="15">
        <v>1.1484307771912072</v>
      </c>
      <c r="I74" s="16">
        <v>524</v>
      </c>
    </row>
    <row r="75" spans="1:10">
      <c r="D75" s="16">
        <v>482</v>
      </c>
      <c r="E75" s="48">
        <v>-2.0099999999999998</v>
      </c>
      <c r="F75" s="48">
        <v>0.77010000000000001</v>
      </c>
      <c r="G75" s="48">
        <v>-0.42670000000000002</v>
      </c>
      <c r="H75" s="48">
        <v>0.8931</v>
      </c>
      <c r="I75" s="16"/>
      <c r="J75" s="2"/>
    </row>
    <row r="76" spans="1:10">
      <c r="D76" s="16"/>
      <c r="E76" s="15"/>
      <c r="F76" s="15"/>
      <c r="G76" s="15"/>
      <c r="H76" s="15"/>
      <c r="I76" s="16"/>
    </row>
    <row r="77" spans="1:10">
      <c r="A77" t="s">
        <v>397</v>
      </c>
      <c r="D77" s="16"/>
      <c r="E77" s="15"/>
      <c r="F77" s="15"/>
      <c r="G77" s="15"/>
      <c r="H77" s="15"/>
      <c r="I77" s="16"/>
    </row>
    <row r="78" spans="1:10">
      <c r="A78" t="s">
        <v>251</v>
      </c>
      <c r="B78" t="s">
        <v>398</v>
      </c>
      <c r="C78" t="s">
        <v>399</v>
      </c>
      <c r="D78" s="16">
        <v>688.5</v>
      </c>
      <c r="E78" s="15">
        <v>-0.77722990824568117</v>
      </c>
      <c r="F78" s="15">
        <v>6.016597414190554E-2</v>
      </c>
      <c r="G78" s="15">
        <v>0.90124983958134286</v>
      </c>
      <c r="H78" s="15">
        <v>7.8158137416678791E-2</v>
      </c>
      <c r="I78" s="16">
        <v>1778</v>
      </c>
      <c r="J78" s="16"/>
    </row>
    <row r="79" spans="1:10">
      <c r="A79" t="s">
        <v>251</v>
      </c>
      <c r="B79" t="s">
        <v>400</v>
      </c>
      <c r="C79" t="s">
        <v>401</v>
      </c>
      <c r="D79" s="16">
        <v>688.5</v>
      </c>
      <c r="E79" s="15">
        <v>-0.91584832897178381</v>
      </c>
      <c r="F79" s="15">
        <v>0.10002624655559086</v>
      </c>
      <c r="G79" s="15">
        <v>1.0068842894060892</v>
      </c>
      <c r="H79" s="15">
        <v>5.4922925794041427E-2</v>
      </c>
      <c r="I79" s="16">
        <v>1986</v>
      </c>
      <c r="J79" s="16"/>
    </row>
    <row r="80" spans="1:10">
      <c r="A80" t="s">
        <v>251</v>
      </c>
      <c r="B80" t="s">
        <v>402</v>
      </c>
      <c r="C80" t="s">
        <v>403</v>
      </c>
      <c r="D80" s="16">
        <v>688.5</v>
      </c>
      <c r="E80" s="15">
        <v>-0.60560644876429381</v>
      </c>
      <c r="F80" s="15">
        <v>5.5286626874056645E-2</v>
      </c>
      <c r="G80" s="15">
        <v>1.5228164183532678</v>
      </c>
      <c r="H80" s="15">
        <v>9.0890043459116068E-2</v>
      </c>
      <c r="I80" s="16">
        <v>2012</v>
      </c>
      <c r="J80" s="16"/>
    </row>
    <row r="81" spans="1:10">
      <c r="A81" t="s">
        <v>251</v>
      </c>
      <c r="B81" t="s">
        <v>404</v>
      </c>
      <c r="C81" t="s">
        <v>405</v>
      </c>
      <c r="D81" s="16">
        <v>614</v>
      </c>
      <c r="E81" s="15">
        <v>-1.1578042980335137</v>
      </c>
      <c r="F81" s="15">
        <v>4.2749593890208777E-2</v>
      </c>
      <c r="G81" s="15">
        <v>0.95017552363190283</v>
      </c>
      <c r="H81" s="15">
        <v>8.9674101302686285E-2</v>
      </c>
      <c r="I81" s="16">
        <v>1567</v>
      </c>
      <c r="J81" s="16"/>
    </row>
    <row r="82" spans="1:10">
      <c r="A82" t="s">
        <v>251</v>
      </c>
      <c r="B82" t="s">
        <v>406</v>
      </c>
      <c r="C82" t="s">
        <v>407</v>
      </c>
      <c r="D82" s="16">
        <v>614</v>
      </c>
      <c r="E82" s="15">
        <v>-1.7230035959592667</v>
      </c>
      <c r="F82" s="15">
        <v>0.27443401352197289</v>
      </c>
      <c r="G82" s="15">
        <v>0.66492005236569907</v>
      </c>
      <c r="H82" s="15">
        <v>0.31763269318157056</v>
      </c>
      <c r="I82" s="16">
        <v>1145</v>
      </c>
      <c r="J82" s="16"/>
    </row>
    <row r="83" spans="1:10">
      <c r="A83" t="s">
        <v>251</v>
      </c>
      <c r="B83" t="s">
        <v>408</v>
      </c>
      <c r="C83" t="s">
        <v>409</v>
      </c>
      <c r="D83" s="16">
        <v>650</v>
      </c>
      <c r="E83" s="15">
        <v>-0.76194131290877265</v>
      </c>
      <c r="F83" s="15">
        <v>0.32178180150185265</v>
      </c>
      <c r="G83" s="15">
        <v>1.0315586020728347</v>
      </c>
      <c r="H83" s="15">
        <v>0.34198517674178663</v>
      </c>
      <c r="I83" s="16">
        <v>1262</v>
      </c>
      <c r="J83" s="16"/>
    </row>
    <row r="84" spans="1:10" ht="15.75">
      <c r="A84" s="49" t="s">
        <v>251</v>
      </c>
      <c r="B84" s="49" t="s">
        <v>410</v>
      </c>
      <c r="C84" s="49" t="s">
        <v>411</v>
      </c>
      <c r="D84" s="49">
        <v>650</v>
      </c>
      <c r="E84" s="50">
        <v>-1.7355981836456431</v>
      </c>
      <c r="F84" s="50">
        <v>0.66370377009961645</v>
      </c>
      <c r="G84" s="50">
        <v>0.79140294792755705</v>
      </c>
      <c r="H84" s="50">
        <v>0.69839870417978278</v>
      </c>
      <c r="I84" s="51">
        <v>728</v>
      </c>
      <c r="J84" s="16"/>
    </row>
    <row r="85" spans="1:10">
      <c r="A85" t="s">
        <v>251</v>
      </c>
      <c r="B85" t="s">
        <v>412</v>
      </c>
      <c r="C85" t="s">
        <v>413</v>
      </c>
      <c r="D85" s="16">
        <v>316</v>
      </c>
      <c r="E85" s="15">
        <v>-1.6559842327108374</v>
      </c>
      <c r="F85" s="15">
        <v>0.18372942061629882</v>
      </c>
      <c r="G85" s="15">
        <v>-0.21934119207371872</v>
      </c>
      <c r="H85" s="15">
        <v>0.22140372876514769</v>
      </c>
      <c r="I85" s="16">
        <v>1001</v>
      </c>
      <c r="J85" s="16"/>
    </row>
    <row r="86" spans="1:10">
      <c r="A86" t="s">
        <v>251</v>
      </c>
      <c r="B86" t="s">
        <v>414</v>
      </c>
      <c r="C86" t="s">
        <v>415</v>
      </c>
      <c r="D86" s="16">
        <v>316</v>
      </c>
      <c r="E86" s="15">
        <v>-1.0494665288529794</v>
      </c>
      <c r="F86" s="15">
        <v>0.26521977259958984</v>
      </c>
      <c r="G86" s="15">
        <v>7.3099185939053818E-3</v>
      </c>
      <c r="H86" s="15">
        <v>0.28215869254335896</v>
      </c>
      <c r="I86" s="16">
        <v>971</v>
      </c>
      <c r="J86" s="16"/>
    </row>
    <row r="87" spans="1:10">
      <c r="A87" t="s">
        <v>251</v>
      </c>
      <c r="B87" t="s">
        <v>416</v>
      </c>
      <c r="C87" t="s">
        <v>417</v>
      </c>
      <c r="D87" s="16">
        <v>316</v>
      </c>
      <c r="E87" s="15">
        <v>-1.3360691096445541</v>
      </c>
      <c r="F87" s="15">
        <v>0.27248781828021423</v>
      </c>
      <c r="G87" s="15">
        <v>0.11211436751698578</v>
      </c>
      <c r="H87" s="15">
        <v>0.28322993211248781</v>
      </c>
      <c r="I87" s="16">
        <v>964</v>
      </c>
      <c r="J87" s="16"/>
    </row>
    <row r="88" spans="1:10">
      <c r="C88" s="16"/>
      <c r="D88" s="15"/>
      <c r="E88" s="15"/>
      <c r="F88" s="15"/>
      <c r="G88" s="15"/>
      <c r="H88" s="16"/>
    </row>
    <row r="89" spans="1:10">
      <c r="C89" s="16"/>
      <c r="D89" s="15"/>
      <c r="E89" s="15"/>
      <c r="F89" s="15"/>
      <c r="G89" s="15"/>
      <c r="H89" s="16"/>
    </row>
    <row r="90" spans="1:10">
      <c r="C90" s="16"/>
      <c r="D90" s="15"/>
      <c r="E90" s="15"/>
      <c r="F90" s="15"/>
      <c r="G90" s="15"/>
      <c r="H90" s="16"/>
    </row>
    <row r="91" spans="1:10">
      <c r="A91" s="16" t="s">
        <v>418</v>
      </c>
      <c r="C91" s="16"/>
      <c r="D91" s="16">
        <v>316</v>
      </c>
      <c r="E91" s="16"/>
      <c r="F91" s="16"/>
      <c r="G91" s="16"/>
      <c r="H91" s="16"/>
    </row>
    <row r="92" spans="1:10">
      <c r="C92" s="16"/>
      <c r="D92" s="16">
        <v>362</v>
      </c>
      <c r="E92" s="15"/>
      <c r="F92" s="15"/>
      <c r="G92" s="15"/>
      <c r="H92" s="16"/>
    </row>
    <row r="93" spans="1:10">
      <c r="C93" s="16"/>
      <c r="D93" s="16">
        <v>482</v>
      </c>
      <c r="E93" s="48">
        <v>-2.0099999999999998</v>
      </c>
      <c r="F93" s="48">
        <v>0.77010000000000001</v>
      </c>
      <c r="G93" s="48">
        <v>-0.42670000000000002</v>
      </c>
      <c r="H93" s="48">
        <v>0.8931</v>
      </c>
    </row>
    <row r="94" spans="1:10">
      <c r="C94" s="16"/>
      <c r="D94" s="16">
        <v>502</v>
      </c>
      <c r="E94" s="15">
        <v>-1.252856756524463</v>
      </c>
      <c r="F94" s="15">
        <v>7.1515732534876572E-2</v>
      </c>
      <c r="G94" s="15">
        <v>0.56169664471294878</v>
      </c>
      <c r="H94" s="15">
        <v>0.14646311632777878</v>
      </c>
    </row>
    <row r="95" spans="1:10">
      <c r="C95" s="16"/>
      <c r="D95" s="15">
        <v>542</v>
      </c>
      <c r="E95" s="15"/>
      <c r="F95" s="15"/>
      <c r="G95" s="15"/>
      <c r="H95" s="16"/>
    </row>
    <row r="96" spans="1:10">
      <c r="C96" s="16"/>
      <c r="D96" s="16">
        <v>572</v>
      </c>
      <c r="E96" s="16"/>
      <c r="F96" s="16"/>
      <c r="G96" s="16"/>
      <c r="H96" s="16"/>
    </row>
    <row r="97" spans="3:9">
      <c r="C97" s="16"/>
      <c r="D97" s="16">
        <v>607</v>
      </c>
      <c r="E97" s="16"/>
      <c r="F97" s="16"/>
      <c r="G97" s="16"/>
      <c r="H97" s="16"/>
    </row>
    <row r="98" spans="3:9">
      <c r="D98" s="16">
        <v>614</v>
      </c>
      <c r="E98" s="16"/>
      <c r="F98" s="16"/>
      <c r="G98" s="16"/>
      <c r="H98" s="16"/>
      <c r="I98" s="16"/>
    </row>
    <row r="99" spans="3:9">
      <c r="D99" s="16">
        <v>626</v>
      </c>
      <c r="E99" s="16"/>
      <c r="F99" s="16"/>
      <c r="G99" s="16"/>
      <c r="H99" s="16"/>
      <c r="I99" s="16"/>
    </row>
    <row r="100" spans="3:9">
      <c r="D100" s="16">
        <v>633.5</v>
      </c>
      <c r="E100" s="16"/>
      <c r="F100" s="16"/>
      <c r="G100" s="16"/>
      <c r="H100" s="16"/>
      <c r="I100" s="16"/>
    </row>
    <row r="101" spans="3:9">
      <c r="D101" s="16">
        <v>649</v>
      </c>
      <c r="E101" s="16"/>
      <c r="F101" s="16"/>
      <c r="G101" s="16"/>
      <c r="H101" s="16"/>
      <c r="I101" s="16"/>
    </row>
    <row r="102" spans="3:9">
      <c r="D102" s="16">
        <v>650</v>
      </c>
      <c r="E102" s="16"/>
      <c r="F102" s="16"/>
      <c r="G102" s="16"/>
      <c r="H102" s="16"/>
      <c r="I102" s="16"/>
    </row>
    <row r="103" spans="3:9">
      <c r="D103" s="16">
        <v>688.5</v>
      </c>
      <c r="E103" s="16"/>
      <c r="F103" s="16"/>
      <c r="G103" s="16"/>
      <c r="H103" s="16"/>
      <c r="I103" s="16"/>
    </row>
    <row r="104" spans="3:9">
      <c r="D104" s="16">
        <v>706</v>
      </c>
      <c r="E104" s="16"/>
      <c r="F104" s="16"/>
      <c r="G104" s="16"/>
      <c r="H104" s="16"/>
      <c r="I104" s="16"/>
    </row>
    <row r="105" spans="3:9">
      <c r="D105" s="16">
        <v>736</v>
      </c>
      <c r="E105" s="16"/>
      <c r="F105" s="16"/>
      <c r="G105" s="16"/>
      <c r="H105" s="16"/>
      <c r="I105" s="16"/>
    </row>
    <row r="106" spans="3:9">
      <c r="D106" s="16">
        <v>761</v>
      </c>
      <c r="E106" s="16"/>
      <c r="F106" s="16"/>
      <c r="G106" s="16"/>
      <c r="H106" s="16"/>
      <c r="I106" s="16"/>
    </row>
    <row r="107" spans="3:9">
      <c r="D107" s="16">
        <v>787</v>
      </c>
      <c r="E107" s="16"/>
      <c r="F107" s="16"/>
      <c r="G107" s="16"/>
      <c r="H107" s="16"/>
      <c r="I107" s="16"/>
    </row>
    <row r="108" spans="3:9">
      <c r="D108" s="16">
        <v>833</v>
      </c>
      <c r="E108" s="16"/>
      <c r="F108" s="16"/>
      <c r="G108" s="16"/>
      <c r="H108" s="16"/>
      <c r="I108" s="16"/>
    </row>
    <row r="109" spans="3:9">
      <c r="D109" s="16">
        <v>853</v>
      </c>
      <c r="E109" s="16"/>
      <c r="F109" s="16"/>
      <c r="G109" s="16"/>
      <c r="H109" s="16"/>
      <c r="I109" s="16"/>
    </row>
    <row r="110" spans="3:9">
      <c r="D110" s="16">
        <v>870</v>
      </c>
      <c r="E110" s="16"/>
      <c r="F110" s="16"/>
      <c r="G110" s="16"/>
      <c r="H110" s="16"/>
      <c r="I110" s="16"/>
    </row>
    <row r="111" spans="3:9">
      <c r="D111" s="16">
        <v>879</v>
      </c>
      <c r="E111" s="16"/>
      <c r="F111" s="16"/>
      <c r="G111" s="16"/>
      <c r="H111" s="16"/>
      <c r="I111" s="16"/>
    </row>
    <row r="112" spans="3:9">
      <c r="D112" s="16">
        <v>914</v>
      </c>
      <c r="E112" s="16"/>
      <c r="F112" s="16"/>
      <c r="G112" s="16"/>
      <c r="H112" s="16"/>
      <c r="I112" s="16"/>
    </row>
    <row r="113" spans="1:9">
      <c r="D113" s="16">
        <v>956</v>
      </c>
      <c r="E113" s="16"/>
      <c r="F113" s="16"/>
      <c r="G113" s="16"/>
      <c r="H113" s="16"/>
      <c r="I113" s="16"/>
    </row>
    <row r="114" spans="1:9">
      <c r="D114" s="16">
        <v>966</v>
      </c>
      <c r="E114" s="16"/>
      <c r="F114" s="16"/>
      <c r="G114" s="16"/>
      <c r="H114" s="16"/>
      <c r="I114" s="16"/>
    </row>
    <row r="115" spans="1:9">
      <c r="D115" s="16">
        <v>1001</v>
      </c>
      <c r="E115" s="16"/>
      <c r="F115" s="16"/>
      <c r="G115" s="16"/>
      <c r="H115" s="16"/>
      <c r="I115" s="16"/>
    </row>
    <row r="116" spans="1:9">
      <c r="D116" s="16">
        <v>1041</v>
      </c>
      <c r="E116" s="16"/>
      <c r="F116" s="16"/>
      <c r="G116" s="16"/>
      <c r="H116" s="16"/>
      <c r="I116" s="16"/>
    </row>
    <row r="117" spans="1:9">
      <c r="D117" s="16"/>
      <c r="E117" s="16"/>
      <c r="F117" s="16"/>
      <c r="G117" s="16"/>
      <c r="H117" s="16"/>
      <c r="I117" s="16"/>
    </row>
    <row r="118" spans="1:9">
      <c r="A118" t="s">
        <v>418</v>
      </c>
      <c r="B118" t="s">
        <v>419</v>
      </c>
      <c r="C118" s="52" t="s">
        <v>420</v>
      </c>
      <c r="D118" s="16">
        <v>696</v>
      </c>
      <c r="E118" s="53">
        <v>-0.995</v>
      </c>
      <c r="F118" s="53">
        <v>0.30769999999999997</v>
      </c>
      <c r="G118" s="16"/>
      <c r="H118" s="16"/>
      <c r="I118" s="16"/>
    </row>
    <row r="119" spans="1:9">
      <c r="C119" s="52" t="s">
        <v>421</v>
      </c>
      <c r="D119" s="16">
        <v>696</v>
      </c>
      <c r="E119" s="53">
        <v>0.37</v>
      </c>
      <c r="F119" s="53">
        <v>0.3271</v>
      </c>
      <c r="G119" s="16"/>
      <c r="H119" s="16"/>
      <c r="I119" s="16"/>
    </row>
    <row r="120" spans="1:9">
      <c r="C120" s="52" t="s">
        <v>422</v>
      </c>
      <c r="D120" s="16">
        <v>696</v>
      </c>
      <c r="E120" s="53">
        <v>-0.93500000000000005</v>
      </c>
      <c r="F120" s="53">
        <v>0.35270000000000001</v>
      </c>
      <c r="G120" s="16"/>
      <c r="H120" s="16"/>
      <c r="I120" s="16"/>
    </row>
    <row r="121" spans="1:9">
      <c r="C121" s="52" t="s">
        <v>423</v>
      </c>
      <c r="D121" s="16">
        <v>696</v>
      </c>
      <c r="E121" s="53">
        <v>0.27</v>
      </c>
      <c r="F121" s="53">
        <v>8.2000000000000007E-3</v>
      </c>
      <c r="G121" s="16"/>
      <c r="H121" s="16"/>
    </row>
    <row r="122" spans="1:9">
      <c r="C122" s="52" t="s">
        <v>424</v>
      </c>
      <c r="D122" s="16">
        <v>696</v>
      </c>
      <c r="E122" s="53">
        <v>-1.1924999999999999</v>
      </c>
      <c r="F122" s="53">
        <v>0.28210000000000002</v>
      </c>
      <c r="G122" s="16"/>
      <c r="H122" s="16"/>
    </row>
    <row r="123" spans="1:9">
      <c r="C123" s="52" t="s">
        <v>425</v>
      </c>
      <c r="D123" s="16">
        <v>696</v>
      </c>
      <c r="E123" s="53">
        <v>0.45500000000000002</v>
      </c>
      <c r="F123" s="53">
        <v>0.22489999999999999</v>
      </c>
      <c r="G123" s="16"/>
      <c r="H123" s="16"/>
      <c r="I123" s="16"/>
    </row>
    <row r="124" spans="1:9">
      <c r="C124" s="52" t="s">
        <v>426</v>
      </c>
      <c r="D124" s="16">
        <v>457</v>
      </c>
      <c r="E124" s="53">
        <v>-1.1325000000000001</v>
      </c>
      <c r="F124" s="53">
        <v>0.48049999999999998</v>
      </c>
      <c r="G124" s="16"/>
      <c r="H124" s="16"/>
      <c r="I124" s="16"/>
    </row>
    <row r="125" spans="1:9">
      <c r="C125" s="52" t="s">
        <v>427</v>
      </c>
      <c r="D125" s="16">
        <v>457</v>
      </c>
      <c r="E125" s="53">
        <v>-0.74750000000000005</v>
      </c>
      <c r="F125" s="53">
        <v>0.31209999999999999</v>
      </c>
      <c r="G125" s="16"/>
      <c r="H125" s="16"/>
      <c r="I125" s="16"/>
    </row>
    <row r="126" spans="1:9">
      <c r="C126" s="52" t="s">
        <v>428</v>
      </c>
      <c r="D126" s="16">
        <v>457</v>
      </c>
      <c r="E126" s="53">
        <v>-1.355</v>
      </c>
      <c r="F126" s="53">
        <v>0.24199999999999999</v>
      </c>
      <c r="G126" s="16"/>
      <c r="H126" s="16"/>
    </row>
    <row r="127" spans="1:9">
      <c r="C127" s="52" t="s">
        <v>429</v>
      </c>
      <c r="D127" s="16">
        <v>457</v>
      </c>
      <c r="E127" s="53">
        <v>-0.88</v>
      </c>
      <c r="F127" s="53">
        <v>0.36699999999999999</v>
      </c>
      <c r="G127" s="16"/>
      <c r="H127" s="16"/>
      <c r="I127" s="16"/>
    </row>
    <row r="128" spans="1:9">
      <c r="C128" s="52" t="s">
        <v>430</v>
      </c>
      <c r="D128" s="16">
        <v>452</v>
      </c>
      <c r="E128" s="15">
        <v>9.3252342625616436E-2</v>
      </c>
      <c r="F128" s="15">
        <v>0.40722755036683872</v>
      </c>
      <c r="G128" s="15">
        <v>2.0552987937933014</v>
      </c>
      <c r="H128" s="15">
        <v>0.19913172636334156</v>
      </c>
    </row>
    <row r="129" spans="3:9">
      <c r="C129" s="52" t="s">
        <v>431</v>
      </c>
      <c r="D129" s="16">
        <v>452</v>
      </c>
      <c r="E129" s="53">
        <v>-2.0325000000000002</v>
      </c>
      <c r="F129" s="53">
        <v>0.5262</v>
      </c>
      <c r="G129" s="16"/>
      <c r="H129" s="16"/>
    </row>
    <row r="130" spans="3:9">
      <c r="C130" s="52" t="s">
        <v>432</v>
      </c>
      <c r="D130" s="16">
        <v>452</v>
      </c>
      <c r="E130" s="53">
        <v>-1.1950000000000001</v>
      </c>
      <c r="F130" s="53">
        <v>0.29289999999999999</v>
      </c>
      <c r="G130" s="16"/>
      <c r="H130" s="16"/>
      <c r="I130" s="16"/>
    </row>
    <row r="131" spans="3:9">
      <c r="C131" s="52" t="s">
        <v>433</v>
      </c>
      <c r="D131" s="16">
        <v>452</v>
      </c>
      <c r="E131" s="53">
        <v>-6.7500000000000004E-2</v>
      </c>
      <c r="F131" s="53">
        <v>0.33389999999999997</v>
      </c>
      <c r="G131" s="16"/>
      <c r="H131" s="16"/>
      <c r="I131" s="16"/>
    </row>
    <row r="132" spans="3:9">
      <c r="C132" s="52" t="s">
        <v>434</v>
      </c>
      <c r="D132" s="16">
        <v>454.5</v>
      </c>
      <c r="E132" s="53">
        <v>-2.0724999999999998</v>
      </c>
      <c r="F132" s="53">
        <v>0.49569999999999997</v>
      </c>
      <c r="G132" s="16"/>
      <c r="H132" s="16"/>
      <c r="I132" s="16"/>
    </row>
    <row r="133" spans="3:9">
      <c r="C133" s="52" t="s">
        <v>435</v>
      </c>
      <c r="D133" s="16">
        <v>454.5</v>
      </c>
      <c r="E133" s="53">
        <v>-1.4875</v>
      </c>
      <c r="F133" s="53">
        <v>0.11899999999999999</v>
      </c>
      <c r="G133" s="16"/>
      <c r="H133" s="16"/>
    </row>
    <row r="134" spans="3:9">
      <c r="C134" s="52" t="s">
        <v>436</v>
      </c>
      <c r="D134" s="16">
        <v>454.5</v>
      </c>
      <c r="E134" s="53">
        <v>2.2499999999999999E-2</v>
      </c>
      <c r="F134" s="53">
        <v>0.30869999999999997</v>
      </c>
      <c r="G134" s="16"/>
      <c r="H134" s="16"/>
      <c r="I134" s="16"/>
    </row>
    <row r="135" spans="3:9">
      <c r="D135" s="16"/>
      <c r="E135" s="16"/>
      <c r="F135" s="16"/>
      <c r="G135" s="16"/>
      <c r="H135" s="16"/>
      <c r="I135" s="16"/>
    </row>
  </sheetData>
  <pageMargins left="0.7" right="0.7" top="0.75" bottom="0.75" header="0.3" footer="0.3"/>
  <pageSetup paperSize="9" orientation="portrait" horizontalDpi="0" verticalDpi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plot</vt:lpstr>
      <vt:lpstr>T89-16t</vt:lpstr>
      <vt:lpstr>pteropoda</vt:lpstr>
      <vt:lpstr>CN</vt:lpstr>
      <vt:lpstr>XRF selectie</vt:lpstr>
      <vt:lpstr>XRF samples</vt:lpstr>
      <vt:lpstr>grainsize</vt:lpstr>
      <vt:lpstr>TGA</vt:lpstr>
      <vt:lpstr>agemodel 500</vt:lpstr>
      <vt:lpstr>isotopes rr</vt:lpstr>
      <vt:lpstr>Sheet1</vt:lpstr>
      <vt:lpstr>isotopes bull</vt:lpstr>
      <vt:lpstr>'T89-16t'!Print_Area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Rik Bas</cp:lastModifiedBy>
  <cp:lastPrinted>2024-05-21T16:02:52Z</cp:lastPrinted>
  <dcterms:created xsi:type="dcterms:W3CDTF">2018-04-04T07:28:21Z</dcterms:created>
  <dcterms:modified xsi:type="dcterms:W3CDTF">2026-06-17T19:46:05Z</dcterms:modified>
</cp:coreProperties>
</file>