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Ex1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7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5.xml" ContentType="application/vnd.openxmlformats-officedocument.drawing+xml"/>
  <Override PartName="/xl/charts/chart38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6.xml" ContentType="application/vnd.openxmlformats-officedocument.drawing+xml"/>
  <Override PartName="/xl/charts/chart52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7.xml" ContentType="application/vnd.openxmlformats-officedocument.drawing+xml"/>
  <Override PartName="/xl/charts/chart53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8.xml" ContentType="application/vnd.openxmlformats-officedocument.drawing+xml"/>
  <Override PartName="/xl/charts/chart54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9.xml" ContentType="application/vnd.openxmlformats-officedocument.drawing+xml"/>
  <Override PartName="/xl/charts/chart55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0.xml" ContentType="application/vnd.openxmlformats-officedocument.drawing+xml"/>
  <Override PartName="/xl/charts/chart56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1.xml" ContentType="application/vnd.openxmlformats-officedocument.drawing+xml"/>
  <Override PartName="/xl/charts/chart57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achelor thesis\"/>
    </mc:Choice>
  </mc:AlternateContent>
  <xr:revisionPtr revIDLastSave="0" documentId="13_ncr:1_{2BA71387-EF19-4A4C-A30B-FD05198C46CA}" xr6:coauthVersionLast="47" xr6:coauthVersionMax="47" xr10:uidLastSave="{00000000-0000-0000-0000-000000000000}"/>
  <bookViews>
    <workbookView xWindow="-28920" yWindow="-120" windowWidth="29040" windowHeight="15720" firstSheet="5" activeTab="7" xr2:uid="{7E1E381B-C74A-4BC3-8225-F84294CC8238}"/>
  </bookViews>
  <sheets>
    <sheet name="Total" sheetId="1" r:id="rId1"/>
    <sheet name="250-600 μm" sheetId="2" r:id="rId2"/>
    <sheet name="150-250 μm " sheetId="3" r:id="rId3"/>
    <sheet name="150-600 μm (rest)" sheetId="4" r:id="rId4"/>
    <sheet name="Species" sheetId="7" r:id="rId5"/>
    <sheet name="Species percentage" sheetId="8" r:id="rId6"/>
    <sheet name="Plots" sheetId="9" r:id="rId7"/>
    <sheet name="Stacked chart" sheetId="16" r:id="rId8"/>
    <sheet name="Total + Sam" sheetId="5" r:id="rId9"/>
    <sheet name="Sedimentation speed" sheetId="10" r:id="rId10"/>
    <sheet name="Aragonite%" sheetId="11" r:id="rId11"/>
    <sheet name="OMZ" sheetId="12" r:id="rId12"/>
    <sheet name="SST" sheetId="13" r:id="rId13"/>
    <sheet name="RSL" sheetId="14" r:id="rId14"/>
    <sheet name="Spearman's correlation" sheetId="15" r:id="rId15"/>
    <sheet name="Sheet1" sheetId="6" r:id="rId16"/>
  </sheets>
  <externalReferences>
    <externalReference r:id="rId17"/>
    <externalReference r:id="rId18"/>
  </externalReferences>
  <definedNames>
    <definedName name="_xlchart.v1.0" hidden="1">'Species percentage'!$D$1</definedName>
    <definedName name="_xlchart.v1.1" hidden="1">'Species percentage'!$D$2:$D$16</definedName>
    <definedName name="_xlchart.v1.10" hidden="1">'Species percentage'!$I$1</definedName>
    <definedName name="_xlchart.v1.11" hidden="1">'Species percentage'!$I$2:$I$16</definedName>
    <definedName name="_xlchart.v1.12" hidden="1">'Species percentage'!$J$1</definedName>
    <definedName name="_xlchart.v1.13" hidden="1">'Species percentage'!$J$2:$J$16</definedName>
    <definedName name="_xlchart.v1.14" hidden="1">'Species percentage'!$K$1</definedName>
    <definedName name="_xlchart.v1.15" hidden="1">'Species percentage'!$K$2:$K$16</definedName>
    <definedName name="_xlchart.v1.16" hidden="1">'Species percentage'!$L$1</definedName>
    <definedName name="_xlchart.v1.17" hidden="1">'Species percentage'!$L$2:$L$16</definedName>
    <definedName name="_xlchart.v1.18" hidden="1">'Species percentage'!$M$1</definedName>
    <definedName name="_xlchart.v1.19" hidden="1">'Species percentage'!$M$2:$M$16</definedName>
    <definedName name="_xlchart.v1.2" hidden="1">'Species percentage'!$E$1</definedName>
    <definedName name="_xlchart.v1.20" hidden="1">'Species percentage'!$N$1</definedName>
    <definedName name="_xlchart.v1.21" hidden="1">'Species percentage'!$N$2:$N$16</definedName>
    <definedName name="_xlchart.v1.3" hidden="1">'Species percentage'!$E$2:$E$16</definedName>
    <definedName name="_xlchart.v1.4" hidden="1">'Species percentage'!$F$1</definedName>
    <definedName name="_xlchart.v1.5" hidden="1">'Species percentage'!$F$2:$F$16</definedName>
    <definedName name="_xlchart.v1.6" hidden="1">'Species percentage'!$G$1</definedName>
    <definedName name="_xlchart.v1.7" hidden="1">'Species percentage'!$G$2:$G$16</definedName>
    <definedName name="_xlchart.v1.8" hidden="1">'Species percentage'!$H$1</definedName>
    <definedName name="_xlchart.v1.9" hidden="1">'Species percentage'!$H$2:$H$16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12" l="1"/>
  <c r="G13" i="1"/>
  <c r="C20" i="13" l="1" a="1"/>
  <c r="C20" i="13" s="1"/>
  <c r="I19" i="1" a="1"/>
  <c r="I19" i="1" s="1"/>
  <c r="AT22" i="8"/>
  <c r="AT23" i="8"/>
  <c r="AT24" i="8"/>
  <c r="AT25" i="8"/>
  <c r="AT26" i="8"/>
  <c r="AT27" i="8"/>
  <c r="AT28" i="8"/>
  <c r="AT29" i="8"/>
  <c r="AT30" i="8"/>
  <c r="AT31" i="8"/>
  <c r="AT32" i="8"/>
  <c r="AT33" i="8"/>
  <c r="AT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21" i="8"/>
  <c r="AU3" i="8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2" i="8"/>
  <c r="D2" i="8"/>
  <c r="AS17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2" i="8"/>
  <c r="Q2" i="8"/>
  <c r="E2" i="8"/>
  <c r="F2" i="8"/>
  <c r="E3" i="8"/>
  <c r="F3" i="8"/>
  <c r="E4" i="8"/>
  <c r="F4" i="8"/>
  <c r="E5" i="8"/>
  <c r="F5" i="8"/>
  <c r="E6" i="8"/>
  <c r="F6" i="8"/>
  <c r="E7" i="8"/>
  <c r="F7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R9" i="10"/>
  <c r="G16" i="1" l="1"/>
  <c r="H4" i="14" l="1"/>
  <c r="H14" i="14"/>
  <c r="H13" i="14"/>
  <c r="H12" i="14"/>
  <c r="H11" i="14"/>
  <c r="H10" i="14"/>
  <c r="H9" i="14"/>
  <c r="H8" i="14"/>
  <c r="H7" i="14"/>
  <c r="H6" i="14"/>
  <c r="H5" i="14"/>
  <c r="X2" i="12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5" i="14"/>
  <c r="B4" i="14"/>
  <c r="R15" i="10"/>
  <c r="R13" i="10"/>
  <c r="R12" i="10"/>
  <c r="R11" i="10"/>
  <c r="R14" i="10"/>
  <c r="R10" i="10"/>
  <c r="R8" i="10"/>
  <c r="R7" i="10"/>
  <c r="R6" i="10"/>
  <c r="R5" i="10"/>
  <c r="R4" i="10"/>
  <c r="R3" i="10"/>
  <c r="R2" i="10"/>
  <c r="X5" i="12"/>
  <c r="X4" i="12"/>
  <c r="X3" i="12"/>
  <c r="X15" i="12" l="1"/>
  <c r="X16" i="12"/>
  <c r="X14" i="12"/>
  <c r="X13" i="12"/>
  <c r="X12" i="12"/>
  <c r="X11" i="12"/>
  <c r="X10" i="12"/>
  <c r="X9" i="12"/>
  <c r="X7" i="12"/>
  <c r="X6" i="12"/>
  <c r="L2" i="8"/>
  <c r="Q15" i="8"/>
  <c r="Q16" i="8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J2" i="1"/>
  <c r="AN2" i="7"/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2" i="1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2" i="10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D5" i="1" a="1"/>
  <c r="D5" i="1" s="1"/>
  <c r="E5" i="1" s="1"/>
  <c r="G5" i="8" l="1"/>
  <c r="H5" i="8"/>
  <c r="Q5" i="8" s="1"/>
  <c r="I5" i="8"/>
  <c r="J5" i="8"/>
  <c r="K5" i="8"/>
  <c r="L5" i="8"/>
  <c r="M5" i="8"/>
  <c r="N5" i="8"/>
  <c r="D5" i="8"/>
  <c r="O15" i="8"/>
  <c r="O16" i="8"/>
  <c r="O5" i="8" l="1"/>
  <c r="AN3" i="7" l="1"/>
  <c r="AN4" i="7"/>
  <c r="AN5" i="7"/>
  <c r="AN6" i="7"/>
  <c r="AN7" i="7"/>
  <c r="AN8" i="7"/>
  <c r="AN9" i="7"/>
  <c r="AN10" i="7"/>
  <c r="AN11" i="7"/>
  <c r="AN12" i="7"/>
  <c r="AN13" i="7"/>
  <c r="AN14" i="7"/>
  <c r="AN17" i="7"/>
  <c r="D4" i="7"/>
  <c r="E4" i="7"/>
  <c r="F4" i="7"/>
  <c r="AD4" i="7" s="1"/>
  <c r="G4" i="7"/>
  <c r="H4" i="7"/>
  <c r="I4" i="7"/>
  <c r="J4" i="7"/>
  <c r="K4" i="7"/>
  <c r="L4" i="7"/>
  <c r="M4" i="7"/>
  <c r="N4" i="7"/>
  <c r="AG4" i="7" s="1"/>
  <c r="O4" i="7"/>
  <c r="P4" i="7"/>
  <c r="Q4" i="7"/>
  <c r="R4" i="7"/>
  <c r="S4" i="7"/>
  <c r="T4" i="7"/>
  <c r="U4" i="7"/>
  <c r="V4" i="7"/>
  <c r="AK4" i="7" s="1"/>
  <c r="W4" i="7"/>
  <c r="X4" i="7"/>
  <c r="Y4" i="7"/>
  <c r="Z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AI5" i="7" s="1"/>
  <c r="S5" i="7"/>
  <c r="T5" i="7"/>
  <c r="U5" i="7"/>
  <c r="V5" i="7"/>
  <c r="W5" i="7"/>
  <c r="X5" i="7"/>
  <c r="Y5" i="7"/>
  <c r="Z5" i="7"/>
  <c r="AM5" i="7" s="1"/>
  <c r="D6" i="7"/>
  <c r="E6" i="7"/>
  <c r="F6" i="7"/>
  <c r="G6" i="7"/>
  <c r="H6" i="7"/>
  <c r="AE6" i="7" s="1"/>
  <c r="I6" i="7"/>
  <c r="J6" i="7"/>
  <c r="K6" i="7"/>
  <c r="AF6" i="7" s="1"/>
  <c r="L6" i="7"/>
  <c r="M6" i="7"/>
  <c r="N6" i="7"/>
  <c r="O6" i="7"/>
  <c r="P6" i="7"/>
  <c r="AH6" i="7" s="1"/>
  <c r="Q6" i="7"/>
  <c r="R6" i="7"/>
  <c r="S6" i="7"/>
  <c r="T6" i="7"/>
  <c r="U6" i="7"/>
  <c r="V6" i="7"/>
  <c r="W6" i="7"/>
  <c r="X6" i="7"/>
  <c r="AL6" i="7" s="1"/>
  <c r="Y6" i="7"/>
  <c r="Z6" i="7"/>
  <c r="AM6" i="7" s="1"/>
  <c r="D7" i="7"/>
  <c r="AC7" i="7" s="1"/>
  <c r="E7" i="7"/>
  <c r="F7" i="7"/>
  <c r="G7" i="7"/>
  <c r="AD7" i="7" s="1"/>
  <c r="H7" i="7"/>
  <c r="I7" i="7"/>
  <c r="J7" i="7"/>
  <c r="K7" i="7"/>
  <c r="L7" i="7"/>
  <c r="M7" i="7"/>
  <c r="N7" i="7"/>
  <c r="O7" i="7"/>
  <c r="AG7" i="7" s="1"/>
  <c r="P7" i="7"/>
  <c r="AH7" i="7" s="1"/>
  <c r="Q7" i="7"/>
  <c r="R7" i="7"/>
  <c r="S7" i="7"/>
  <c r="T7" i="7"/>
  <c r="U7" i="7"/>
  <c r="V7" i="7"/>
  <c r="W7" i="7"/>
  <c r="AK7" i="7" s="1"/>
  <c r="X7" i="7"/>
  <c r="AL7" i="7" s="1"/>
  <c r="Y7" i="7"/>
  <c r="Z7" i="7"/>
  <c r="AM7" i="7" s="1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AI8" i="7" s="1"/>
  <c r="S8" i="7"/>
  <c r="T8" i="7"/>
  <c r="U8" i="7"/>
  <c r="V8" i="7"/>
  <c r="W8" i="7"/>
  <c r="X8" i="7"/>
  <c r="Y8" i="7"/>
  <c r="Z8" i="7"/>
  <c r="AM8" i="7" s="1"/>
  <c r="D9" i="7"/>
  <c r="E9" i="7"/>
  <c r="F9" i="7"/>
  <c r="AD9" i="7" s="1"/>
  <c r="G9" i="7"/>
  <c r="H9" i="7"/>
  <c r="I9" i="7"/>
  <c r="J9" i="7"/>
  <c r="K9" i="7"/>
  <c r="AF9" i="7" s="1"/>
  <c r="L9" i="7"/>
  <c r="M9" i="7"/>
  <c r="N9" i="7"/>
  <c r="AG9" i="7" s="1"/>
  <c r="O9" i="7"/>
  <c r="P9" i="7"/>
  <c r="Q9" i="7"/>
  <c r="R9" i="7"/>
  <c r="S9" i="7"/>
  <c r="T9" i="7"/>
  <c r="U9" i="7"/>
  <c r="V9" i="7"/>
  <c r="AK9" i="7" s="1"/>
  <c r="W9" i="7"/>
  <c r="X9" i="7"/>
  <c r="Y9" i="7"/>
  <c r="Z9" i="7"/>
  <c r="AM9" i="7" s="1"/>
  <c r="D10" i="7"/>
  <c r="AC10" i="7" s="1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AJ10" i="7" s="1"/>
  <c r="U10" i="7"/>
  <c r="V10" i="7"/>
  <c r="W10" i="7"/>
  <c r="X10" i="7"/>
  <c r="Y10" i="7"/>
  <c r="Z10" i="7"/>
  <c r="AM10" i="7" s="1"/>
  <c r="D11" i="7"/>
  <c r="E11" i="7"/>
  <c r="F11" i="7"/>
  <c r="G11" i="7"/>
  <c r="H11" i="7"/>
  <c r="AE11" i="7" s="1"/>
  <c r="I11" i="7"/>
  <c r="J11" i="7"/>
  <c r="K11" i="7"/>
  <c r="L11" i="7"/>
  <c r="M11" i="7"/>
  <c r="N11" i="7"/>
  <c r="O11" i="7"/>
  <c r="P11" i="7"/>
  <c r="AH11" i="7" s="1"/>
  <c r="Q11" i="7"/>
  <c r="R11" i="7"/>
  <c r="S11" i="7"/>
  <c r="T11" i="7"/>
  <c r="U11" i="7"/>
  <c r="V11" i="7"/>
  <c r="W11" i="7"/>
  <c r="X11" i="7"/>
  <c r="AL11" i="7" s="1"/>
  <c r="Y11" i="7"/>
  <c r="Z11" i="7"/>
  <c r="AM11" i="7" s="1"/>
  <c r="D12" i="7"/>
  <c r="E12" i="7"/>
  <c r="F12" i="7"/>
  <c r="AD12" i="7" s="1"/>
  <c r="G12" i="7"/>
  <c r="H12" i="7"/>
  <c r="I12" i="7"/>
  <c r="J12" i="7"/>
  <c r="K12" i="7"/>
  <c r="L12" i="7"/>
  <c r="M12" i="7"/>
  <c r="N12" i="7"/>
  <c r="AG12" i="7" s="1"/>
  <c r="O12" i="7"/>
  <c r="P12" i="7"/>
  <c r="Q12" i="7"/>
  <c r="R12" i="7"/>
  <c r="S12" i="7"/>
  <c r="T12" i="7"/>
  <c r="U12" i="7"/>
  <c r="V12" i="7"/>
  <c r="AK12" i="7" s="1"/>
  <c r="W12" i="7"/>
  <c r="X12" i="7"/>
  <c r="Y12" i="7"/>
  <c r="Z12" i="7"/>
  <c r="AM12" i="7" s="1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AI13" i="7" s="1"/>
  <c r="S13" i="7"/>
  <c r="T13" i="7"/>
  <c r="U13" i="7"/>
  <c r="V13" i="7"/>
  <c r="W13" i="7"/>
  <c r="X13" i="7"/>
  <c r="Y13" i="7"/>
  <c r="Z13" i="7"/>
  <c r="AM13" i="7" s="1"/>
  <c r="D14" i="7"/>
  <c r="E14" i="7"/>
  <c r="F14" i="7"/>
  <c r="G14" i="7"/>
  <c r="H14" i="7"/>
  <c r="AE14" i="7" s="1"/>
  <c r="I14" i="7"/>
  <c r="J14" i="7"/>
  <c r="K14" i="7"/>
  <c r="AF14" i="7" s="1"/>
  <c r="L14" i="7"/>
  <c r="M14" i="7"/>
  <c r="N14" i="7"/>
  <c r="O14" i="7"/>
  <c r="P14" i="7"/>
  <c r="AH14" i="7" s="1"/>
  <c r="Q14" i="7"/>
  <c r="R14" i="7"/>
  <c r="S14" i="7"/>
  <c r="T14" i="7"/>
  <c r="U14" i="7"/>
  <c r="V14" i="7"/>
  <c r="W14" i="7"/>
  <c r="X14" i="7"/>
  <c r="AL14" i="7" s="1"/>
  <c r="Y14" i="7"/>
  <c r="Z14" i="7"/>
  <c r="AM14" i="7" s="1"/>
  <c r="D15" i="7"/>
  <c r="AC15" i="7" s="1"/>
  <c r="E15" i="7"/>
  <c r="F15" i="7"/>
  <c r="G15" i="7"/>
  <c r="AD15" i="7" s="1"/>
  <c r="H15" i="7"/>
  <c r="I15" i="7"/>
  <c r="J15" i="7"/>
  <c r="K15" i="7"/>
  <c r="L15" i="7"/>
  <c r="M15" i="7"/>
  <c r="N15" i="7"/>
  <c r="O15" i="7"/>
  <c r="AG15" i="7" s="1"/>
  <c r="P15" i="7"/>
  <c r="Q15" i="7"/>
  <c r="R15" i="7"/>
  <c r="S15" i="7"/>
  <c r="T15" i="7"/>
  <c r="U15" i="7"/>
  <c r="V15" i="7"/>
  <c r="W15" i="7"/>
  <c r="AK15" i="7" s="1"/>
  <c r="X15" i="7"/>
  <c r="Y15" i="7"/>
  <c r="Z15" i="7"/>
  <c r="AM15" i="7" s="1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AI16" i="7" s="1"/>
  <c r="S16" i="7"/>
  <c r="T16" i="7"/>
  <c r="U16" i="7"/>
  <c r="V16" i="7"/>
  <c r="W16" i="7"/>
  <c r="X16" i="7"/>
  <c r="Y16" i="7"/>
  <c r="Z16" i="7"/>
  <c r="AM16" i="7" s="1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AJ3" i="7" s="1"/>
  <c r="U3" i="7"/>
  <c r="V3" i="7"/>
  <c r="W3" i="7"/>
  <c r="X3" i="7"/>
  <c r="Y3" i="7"/>
  <c r="Z3" i="7"/>
  <c r="AM3" i="7" s="1"/>
  <c r="D3" i="7"/>
  <c r="AC3" i="7" s="1"/>
  <c r="E2" i="7"/>
  <c r="F2" i="7"/>
  <c r="G2" i="7"/>
  <c r="H2" i="7"/>
  <c r="AE2" i="7" s="1"/>
  <c r="I2" i="7"/>
  <c r="J2" i="7"/>
  <c r="K2" i="7"/>
  <c r="L2" i="7"/>
  <c r="M2" i="7"/>
  <c r="N2" i="7"/>
  <c r="O2" i="7"/>
  <c r="P2" i="7"/>
  <c r="AH2" i="7" s="1"/>
  <c r="Q2" i="7"/>
  <c r="R2" i="7"/>
  <c r="S2" i="7"/>
  <c r="T2" i="7"/>
  <c r="U2" i="7"/>
  <c r="V2" i="7"/>
  <c r="W2" i="7"/>
  <c r="X2" i="7"/>
  <c r="AL2" i="7" s="1"/>
  <c r="Y2" i="7"/>
  <c r="Z2" i="7"/>
  <c r="AM2" i="7" s="1"/>
  <c r="D2" i="7"/>
  <c r="G5" i="1"/>
  <c r="W17" i="7" l="1"/>
  <c r="O17" i="7"/>
  <c r="G17" i="7"/>
  <c r="G18" i="7" s="1"/>
  <c r="AK3" i="7"/>
  <c r="AG3" i="7"/>
  <c r="AD3" i="7"/>
  <c r="AJ16" i="7"/>
  <c r="AC16" i="7"/>
  <c r="AF15" i="7"/>
  <c r="AI14" i="7"/>
  <c r="AA13" i="7"/>
  <c r="AL12" i="7"/>
  <c r="AH12" i="7"/>
  <c r="AE12" i="7"/>
  <c r="AK10" i="7"/>
  <c r="AG10" i="7"/>
  <c r="AD10" i="7"/>
  <c r="AJ8" i="7"/>
  <c r="AA8" i="7"/>
  <c r="AF7" i="7"/>
  <c r="AI6" i="7"/>
  <c r="AL4" i="7"/>
  <c r="AH4" i="7"/>
  <c r="AE4" i="7"/>
  <c r="AK2" i="7"/>
  <c r="AG2" i="7"/>
  <c r="AD2" i="7"/>
  <c r="AF16" i="7"/>
  <c r="AI15" i="7"/>
  <c r="AL13" i="7"/>
  <c r="AH13" i="7"/>
  <c r="AE13" i="7"/>
  <c r="AK11" i="7"/>
  <c r="AG11" i="7"/>
  <c r="AD11" i="7"/>
  <c r="AJ9" i="7"/>
  <c r="AC9" i="7"/>
  <c r="AF8" i="7"/>
  <c r="AI7" i="7"/>
  <c r="AE7" i="7"/>
  <c r="AL5" i="7"/>
  <c r="AH5" i="7"/>
  <c r="AE5" i="7"/>
  <c r="AL15" i="7"/>
  <c r="AE15" i="7"/>
  <c r="AG13" i="7"/>
  <c r="AJ11" i="7"/>
  <c r="AK5" i="7"/>
  <c r="AD5" i="7"/>
  <c r="AF2" i="7"/>
  <c r="AI3" i="7"/>
  <c r="AH16" i="7"/>
  <c r="AK14" i="7"/>
  <c r="AG14" i="7"/>
  <c r="AJ12" i="7"/>
  <c r="AL8" i="7"/>
  <c r="AE8" i="7"/>
  <c r="AK6" i="7"/>
  <c r="AD6" i="7"/>
  <c r="AJ4" i="7"/>
  <c r="AI2" i="7"/>
  <c r="AJ13" i="7"/>
  <c r="AC13" i="7"/>
  <c r="AF12" i="7"/>
  <c r="AI11" i="7"/>
  <c r="AL9" i="7"/>
  <c r="AH9" i="7"/>
  <c r="AE9" i="7"/>
  <c r="AJ5" i="7"/>
  <c r="AC5" i="7"/>
  <c r="AF4" i="7"/>
  <c r="AF3" i="7"/>
  <c r="AH15" i="7"/>
  <c r="AK13" i="7"/>
  <c r="AD13" i="7"/>
  <c r="AC11" i="7"/>
  <c r="AF10" i="7"/>
  <c r="AI9" i="7"/>
  <c r="AG5" i="7"/>
  <c r="AC2" i="7"/>
  <c r="AL16" i="7"/>
  <c r="AE16" i="7"/>
  <c r="AD14" i="7"/>
  <c r="AC12" i="7"/>
  <c r="AF11" i="7"/>
  <c r="AI10" i="7"/>
  <c r="AH8" i="7"/>
  <c r="AG6" i="7"/>
  <c r="AC4" i="7"/>
  <c r="AL3" i="7"/>
  <c r="AH3" i="7"/>
  <c r="AE3" i="7"/>
  <c r="AK16" i="7"/>
  <c r="AG16" i="7"/>
  <c r="AD16" i="7"/>
  <c r="AJ15" i="7"/>
  <c r="AJ14" i="7"/>
  <c r="AF13" i="7"/>
  <c r="AI12" i="7"/>
  <c r="AL10" i="7"/>
  <c r="AH10" i="7"/>
  <c r="AE10" i="7"/>
  <c r="AK8" i="7"/>
  <c r="AG8" i="7"/>
  <c r="AD8" i="7"/>
  <c r="AJ7" i="7"/>
  <c r="AJ6" i="7"/>
  <c r="T17" i="7"/>
  <c r="Y17" i="7"/>
  <c r="Y18" i="7" s="1"/>
  <c r="Q17" i="7"/>
  <c r="I17" i="7"/>
  <c r="AA15" i="7"/>
  <c r="AA14" i="7"/>
  <c r="AA7" i="7"/>
  <c r="AA6" i="7"/>
  <c r="S17" i="7"/>
  <c r="K17" i="7"/>
  <c r="AF17" i="7" s="1"/>
  <c r="Z17" i="7"/>
  <c r="AM17" i="7" s="1"/>
  <c r="R17" i="7"/>
  <c r="J17" i="7"/>
  <c r="AJ2" i="7"/>
  <c r="W18" i="7"/>
  <c r="X17" i="7"/>
  <c r="P17" i="7"/>
  <c r="H17" i="7"/>
  <c r="AC8" i="7"/>
  <c r="AA16" i="7"/>
  <c r="AA5" i="7"/>
  <c r="V17" i="7"/>
  <c r="AK17" i="7" s="1"/>
  <c r="N17" i="7"/>
  <c r="AG17" i="7" s="1"/>
  <c r="F17" i="7"/>
  <c r="AD17" i="7" s="1"/>
  <c r="AA3" i="7"/>
  <c r="AA12" i="7"/>
  <c r="AA9" i="7"/>
  <c r="AA4" i="7"/>
  <c r="AC14" i="7"/>
  <c r="AC6" i="7"/>
  <c r="U17" i="7"/>
  <c r="M17" i="7"/>
  <c r="AA11" i="7"/>
  <c r="AA10" i="7"/>
  <c r="AF5" i="7"/>
  <c r="L17" i="7"/>
  <c r="D17" i="7"/>
  <c r="AI4" i="7"/>
  <c r="AM4" i="7"/>
  <c r="E17" i="7"/>
  <c r="E18" i="7" s="1"/>
  <c r="AA2" i="7"/>
  <c r="AI17" i="7" l="1"/>
  <c r="J18" i="7"/>
  <c r="M18" i="7"/>
  <c r="AA17" i="7"/>
  <c r="Q18" i="7"/>
  <c r="U18" i="7"/>
  <c r="AC17" i="7"/>
  <c r="AH17" i="7"/>
  <c r="S18" i="7"/>
  <c r="AJ17" i="7"/>
  <c r="AE17" i="7"/>
  <c r="AL17" i="7"/>
  <c r="O18" i="7"/>
  <c r="D3" i="1" l="1" a="1"/>
  <c r="D3" i="1" s="1"/>
  <c r="D4" i="1" a="1"/>
  <c r="D4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E15" i="1" s="1"/>
  <c r="D16" i="1" a="1"/>
  <c r="D16" i="1" s="1"/>
  <c r="D2" i="1" a="1"/>
  <c r="D2" i="1" s="1"/>
  <c r="E2" i="1" s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2" i="2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2" i="3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2" i="4"/>
  <c r="E16" i="1" l="1"/>
  <c r="E8" i="1"/>
  <c r="D8" i="8"/>
  <c r="J8" i="8"/>
  <c r="L8" i="8"/>
  <c r="H8" i="8"/>
  <c r="K8" i="8"/>
  <c r="M8" i="8"/>
  <c r="G8" i="8"/>
  <c r="I8" i="8"/>
  <c r="N8" i="8"/>
  <c r="G8" i="1"/>
  <c r="G7" i="8"/>
  <c r="J7" i="8"/>
  <c r="K7" i="8"/>
  <c r="M7" i="8"/>
  <c r="H7" i="8"/>
  <c r="I7" i="8"/>
  <c r="D7" i="8"/>
  <c r="L7" i="8"/>
  <c r="O7" i="8"/>
  <c r="N7" i="8"/>
  <c r="G7" i="1"/>
  <c r="E7" i="1"/>
  <c r="I11" i="8"/>
  <c r="J11" i="8"/>
  <c r="G11" i="8"/>
  <c r="D11" i="8"/>
  <c r="H11" i="8"/>
  <c r="Q11" i="8" s="1"/>
  <c r="K11" i="8"/>
  <c r="L11" i="8"/>
  <c r="N11" i="8"/>
  <c r="M11" i="8"/>
  <c r="G11" i="1"/>
  <c r="E11" i="1"/>
  <c r="M10" i="8"/>
  <c r="D10" i="8"/>
  <c r="N10" i="8"/>
  <c r="G10" i="8"/>
  <c r="I10" i="8"/>
  <c r="H10" i="8"/>
  <c r="J10" i="8"/>
  <c r="L10" i="8"/>
  <c r="K10" i="8"/>
  <c r="G10" i="1"/>
  <c r="E10" i="1"/>
  <c r="I4" i="8"/>
  <c r="D4" i="8"/>
  <c r="G4" i="8"/>
  <c r="H4" i="8"/>
  <c r="K4" i="8"/>
  <c r="M4" i="8"/>
  <c r="L4" i="8"/>
  <c r="J4" i="8"/>
  <c r="N4" i="8"/>
  <c r="G4" i="1"/>
  <c r="E4" i="1"/>
  <c r="I12" i="8"/>
  <c r="N12" i="8"/>
  <c r="J12" i="8"/>
  <c r="M12" i="8"/>
  <c r="K12" i="8"/>
  <c r="L12" i="8"/>
  <c r="D12" i="8"/>
  <c r="H12" i="8"/>
  <c r="G12" i="8"/>
  <c r="G12" i="1"/>
  <c r="E12" i="1"/>
  <c r="D9" i="8"/>
  <c r="J9" i="8"/>
  <c r="N9" i="8"/>
  <c r="H9" i="8"/>
  <c r="I9" i="8"/>
  <c r="G9" i="8"/>
  <c r="M9" i="8"/>
  <c r="K9" i="8"/>
  <c r="L9" i="8"/>
  <c r="G9" i="1"/>
  <c r="D6" i="8"/>
  <c r="G6" i="8"/>
  <c r="J6" i="8"/>
  <c r="K6" i="8"/>
  <c r="L6" i="8"/>
  <c r="H6" i="8"/>
  <c r="I6" i="8"/>
  <c r="N6" i="8"/>
  <c r="M6" i="8"/>
  <c r="G6" i="1"/>
  <c r="D3" i="8"/>
  <c r="L3" i="8"/>
  <c r="M3" i="8"/>
  <c r="N3" i="8"/>
  <c r="I3" i="8"/>
  <c r="J3" i="8"/>
  <c r="K3" i="8"/>
  <c r="G3" i="8"/>
  <c r="H3" i="8"/>
  <c r="Q3" i="8" s="1"/>
  <c r="G3" i="1"/>
  <c r="E3" i="1"/>
  <c r="J2" i="8"/>
  <c r="J17" i="8" s="1" a="1"/>
  <c r="J17" i="8" s="1"/>
  <c r="K2" i="8"/>
  <c r="K17" i="8" s="1" a="1"/>
  <c r="K17" i="8" s="1"/>
  <c r="M2" i="8"/>
  <c r="G2" i="8"/>
  <c r="H2" i="8"/>
  <c r="I2" i="8"/>
  <c r="N2" i="8"/>
  <c r="G2" i="1"/>
  <c r="E6" i="1"/>
  <c r="E9" i="1"/>
  <c r="G13" i="8"/>
  <c r="K13" i="8"/>
  <c r="M13" i="8"/>
  <c r="H13" i="8"/>
  <c r="J13" i="8"/>
  <c r="D13" i="8"/>
  <c r="I13" i="8"/>
  <c r="N13" i="8"/>
  <c r="L13" i="8"/>
  <c r="M14" i="8"/>
  <c r="N14" i="8"/>
  <c r="G14" i="8"/>
  <c r="L14" i="8"/>
  <c r="D14" i="8"/>
  <c r="H14" i="8"/>
  <c r="I14" i="8"/>
  <c r="J14" i="8"/>
  <c r="K14" i="8"/>
  <c r="G14" i="1"/>
  <c r="E13" i="1"/>
  <c r="E14" i="1"/>
  <c r="O10" i="8" l="1"/>
  <c r="Q4" i="8"/>
  <c r="F17" i="8" a="1"/>
  <c r="F17" i="8" s="1"/>
  <c r="Q14" i="8"/>
  <c r="H17" i="8" a="1"/>
  <c r="H17" i="8" s="1"/>
  <c r="Q12" i="8"/>
  <c r="M17" i="8" a="1"/>
  <c r="M17" i="8" s="1"/>
  <c r="Q13" i="8"/>
  <c r="Q9" i="8"/>
  <c r="I17" i="8" a="1"/>
  <c r="I17" i="8" s="1"/>
  <c r="Q6" i="8"/>
  <c r="Q7" i="8"/>
  <c r="L17" i="8" a="1"/>
  <c r="L17" i="8" s="1"/>
  <c r="N17" i="8" a="1"/>
  <c r="N17" i="8" s="1"/>
  <c r="Q8" i="8"/>
  <c r="G17" i="8" a="1"/>
  <c r="G17" i="8" s="1"/>
  <c r="E17" i="8" a="1"/>
  <c r="E17" i="8" s="1"/>
  <c r="D17" i="8" a="1"/>
  <c r="D17" i="8" s="1"/>
  <c r="O2" i="8"/>
  <c r="Q10" i="8"/>
  <c r="O6" i="8"/>
  <c r="O13" i="8"/>
  <c r="O4" i="8"/>
  <c r="O11" i="8"/>
  <c r="O9" i="8"/>
  <c r="O14" i="8"/>
  <c r="O3" i="8"/>
  <c r="O8" i="8"/>
  <c r="O12" i="8"/>
  <c r="Q17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<sst xmlns="http://schemas.openxmlformats.org/spreadsheetml/2006/main" count="531" uniqueCount="180">
  <si>
    <t>Sample</t>
  </si>
  <si>
    <t>cmbs</t>
  </si>
  <si>
    <t>Age R396 x 1000</t>
  </si>
  <si>
    <t>9-105</t>
  </si>
  <si>
    <t>9-015</t>
  </si>
  <si>
    <t>8-145</t>
  </si>
  <si>
    <t>8-075</t>
  </si>
  <si>
    <t>7-025</t>
  </si>
  <si>
    <t>6a-075</t>
  </si>
  <si>
    <t>6a-010</t>
  </si>
  <si>
    <t>6-125</t>
  </si>
  <si>
    <t>6-090</t>
  </si>
  <si>
    <t>6-020</t>
  </si>
  <si>
    <t>4-060</t>
  </si>
  <si>
    <t>4-005</t>
  </si>
  <si>
    <t>3-031</t>
  </si>
  <si>
    <t>2-025</t>
  </si>
  <si>
    <t>Limacina retroversa</t>
  </si>
  <si>
    <t>Limacina retroversa (transparent)</t>
  </si>
  <si>
    <t>Clio pyramidata</t>
  </si>
  <si>
    <t>Clio pyramidata (transparent)</t>
  </si>
  <si>
    <t>Total</t>
  </si>
  <si>
    <t>Pt counted</t>
  </si>
  <si>
    <t>Pt total</t>
  </si>
  <si>
    <t>8-020</t>
  </si>
  <si>
    <t>Heliconoides inflatus</t>
  </si>
  <si>
    <t>Heliconoides inflatus (transparent)</t>
  </si>
  <si>
    <t xml:space="preserve"> Limacina trochiformis</t>
  </si>
  <si>
    <t>Limacina trochiformis (transparent)</t>
  </si>
  <si>
    <t>Creseis sp.</t>
  </si>
  <si>
    <t>Creisis acicula (transparent)</t>
  </si>
  <si>
    <t>Limacina bulimoides</t>
  </si>
  <si>
    <t>Limacina retroversa (striata)</t>
  </si>
  <si>
    <t>Limacina bulimoides (transparent)</t>
  </si>
  <si>
    <t>Limacina bulimoides (striata)</t>
  </si>
  <si>
    <t>Creisis conica</t>
  </si>
  <si>
    <t>Creseis conica (transparent)</t>
  </si>
  <si>
    <t>Creisis acicula</t>
  </si>
  <si>
    <t>Creisis cuspidata</t>
  </si>
  <si>
    <t>Creisis cuspidata (transparent)</t>
  </si>
  <si>
    <t>Creisis sp. (transparent)</t>
  </si>
  <si>
    <t>Clionidarum</t>
  </si>
  <si>
    <t>Fragments (estimate)</t>
  </si>
  <si>
    <t>Cavolinia sp.</t>
  </si>
  <si>
    <t>Cavolinia sp. (transparent)</t>
  </si>
  <si>
    <t>Clio cuspidata</t>
  </si>
  <si>
    <t>Clio cuspidata (transparent)</t>
  </si>
  <si>
    <t>Fragments count (estimate)</t>
  </si>
  <si>
    <t>Fragment ratio</t>
  </si>
  <si>
    <t>Gram sediment</t>
  </si>
  <si>
    <t>Pt per gram sediment</t>
  </si>
  <si>
    <t>Transparent ratio</t>
  </si>
  <si>
    <t>Total Heliconoides inflatus</t>
  </si>
  <si>
    <t>Total Limacina trochiformis</t>
  </si>
  <si>
    <t>Total Limacina retroversa</t>
  </si>
  <si>
    <t>Total Limacina bulimoides</t>
  </si>
  <si>
    <t>Total Creseis sp.</t>
  </si>
  <si>
    <t>Total Clio cuspidata</t>
  </si>
  <si>
    <t>Total Clio pyramidata</t>
  </si>
  <si>
    <t>Total Cavolinia sp.</t>
  </si>
  <si>
    <t>Total Clionidarum</t>
  </si>
  <si>
    <t>10-055</t>
  </si>
  <si>
    <t>9-140</t>
  </si>
  <si>
    <t>9-080</t>
  </si>
  <si>
    <t>9-030</t>
  </si>
  <si>
    <t>8-110</t>
  </si>
  <si>
    <t>8-040</t>
  </si>
  <si>
    <t>7-125</t>
  </si>
  <si>
    <t>7-065</t>
  </si>
  <si>
    <t>7-040</t>
  </si>
  <si>
    <t>7-005</t>
  </si>
  <si>
    <t>6a-057</t>
  </si>
  <si>
    <t>6-110</t>
  </si>
  <si>
    <t>6-070</t>
  </si>
  <si>
    <t>6-030</t>
  </si>
  <si>
    <t>5-030</t>
  </si>
  <si>
    <t>4-022</t>
  </si>
  <si>
    <t>3-040</t>
  </si>
  <si>
    <t>2-063</t>
  </si>
  <si>
    <t>6a--025</t>
  </si>
  <si>
    <t>My data</t>
  </si>
  <si>
    <t>Sam Poelmans data</t>
  </si>
  <si>
    <t>Cmbs</t>
  </si>
  <si>
    <t xml:space="preserve"> Median R396+/-50</t>
  </si>
  <si>
    <t>Sedimentation rate</t>
  </si>
  <si>
    <t>plf per gram sediment</t>
  </si>
  <si>
    <t>Aragonite/calcite ratio</t>
  </si>
  <si>
    <t>Aragonite %</t>
  </si>
  <si>
    <t>Depth sed (m)</t>
  </si>
  <si>
    <t>Age (ka BP)</t>
  </si>
  <si>
    <t>BWT [°C]</t>
  </si>
  <si>
    <t>BWT e [±]</t>
  </si>
  <si>
    <t>O2 [µmol/kg]</t>
  </si>
  <si>
    <t>O2 std e [±]</t>
  </si>
  <si>
    <t>Forams upw [%]</t>
  </si>
  <si>
    <t>Globobulimina spp, Mg/Ca [mmol/mol]</t>
  </si>
  <si>
    <t>Globobulimina spp, δ18O [‰ PDB]</t>
  </si>
  <si>
    <t>Globobulimina spp, δ13C [‰ PDB]</t>
  </si>
  <si>
    <t>C, wuellerstorfi δ18O [‰ PDB]</t>
  </si>
  <si>
    <t>C, wuellerstorfi δ13C [‰ PDB]</t>
  </si>
  <si>
    <t>At 386 m water depth from core GeoB20911‐1</t>
  </si>
  <si>
    <t>p/pb ratio</t>
  </si>
  <si>
    <t>Age_ka</t>
  </si>
  <si>
    <t xml:space="preserve">SST  (°C) (interpolated) </t>
  </si>
  <si>
    <t>Uk37 (interpolated)</t>
  </si>
  <si>
    <t>Mean</t>
  </si>
  <si>
    <t>0.25</t>
  </si>
  <si>
    <t>0.5625</t>
  </si>
  <si>
    <t>0.3125</t>
  </si>
  <si>
    <t>0.0625</t>
  </si>
  <si>
    <t>0.5</t>
  </si>
  <si>
    <t>0.3699</t>
  </si>
  <si>
    <t>0.5479</t>
  </si>
  <si>
    <t>0.0274</t>
  </si>
  <si>
    <t>0.0411</t>
  </si>
  <si>
    <t>0.0137</t>
  </si>
  <si>
    <t>0.1356</t>
  </si>
  <si>
    <t>0.6441</t>
  </si>
  <si>
    <t>0.0678</t>
  </si>
  <si>
    <t>0.2069</t>
  </si>
  <si>
    <t>0.4828</t>
  </si>
  <si>
    <t>0.1034</t>
  </si>
  <si>
    <t>0.0345</t>
  </si>
  <si>
    <t>0.2034</t>
  </si>
  <si>
    <t>0.5678</t>
  </si>
  <si>
    <t>0.0169</t>
  </si>
  <si>
    <t>0.0085</t>
  </si>
  <si>
    <t>0.2778</t>
  </si>
  <si>
    <t>0.3889</t>
  </si>
  <si>
    <t>0.0556</t>
  </si>
  <si>
    <t>0.1667</t>
  </si>
  <si>
    <t>0.1111</t>
  </si>
  <si>
    <t>0.6711</t>
  </si>
  <si>
    <t>0.1342</t>
  </si>
  <si>
    <t>0.0805</t>
  </si>
  <si>
    <t>0.0201</t>
  </si>
  <si>
    <t>0.2647</t>
  </si>
  <si>
    <t>0.1765</t>
  </si>
  <si>
    <t>0.0294</t>
  </si>
  <si>
    <t>0.4412</t>
  </si>
  <si>
    <t>0.0588</t>
  </si>
  <si>
    <t>0.5161</t>
  </si>
  <si>
    <t>0.0323</t>
  </si>
  <si>
    <t>0.1613</t>
  </si>
  <si>
    <t>0.129</t>
  </si>
  <si>
    <t>0.0968</t>
  </si>
  <si>
    <t>0.5629</t>
  </si>
  <si>
    <t>0.1317</t>
  </si>
  <si>
    <t>0.0719</t>
  </si>
  <si>
    <t>0.1557</t>
  </si>
  <si>
    <t>0.0299</t>
  </si>
  <si>
    <t>0.3333</t>
  </si>
  <si>
    <t>0.6667</t>
  </si>
  <si>
    <t>Data from  https://doi,org/10,1029/2025PA005268</t>
  </si>
  <si>
    <t>Interpolated O2 [µmol/kg]</t>
  </si>
  <si>
    <t>Data from https://doi.org/10.1038/s41467-025-56721-0</t>
  </si>
  <si>
    <t>Age (BP)</t>
  </si>
  <si>
    <t>RSL (m msl)</t>
  </si>
  <si>
    <t>Error (m)</t>
  </si>
  <si>
    <t>Age (Ka BP)</t>
  </si>
  <si>
    <t>Interpolated RSL</t>
  </si>
  <si>
    <t>Total Creseis conica</t>
  </si>
  <si>
    <t>Total Creseis acicula</t>
  </si>
  <si>
    <t>Creseis sp. (transparent)</t>
  </si>
  <si>
    <t>Creseis conica</t>
  </si>
  <si>
    <t>Creseis acicula</t>
  </si>
  <si>
    <t>Creseis acicula (transparent)</t>
  </si>
  <si>
    <t>Pt/g</t>
  </si>
  <si>
    <t>Fragment%</t>
  </si>
  <si>
    <t>Transp%</t>
  </si>
  <si>
    <t>Plf/g</t>
  </si>
  <si>
    <t>SST (°C)</t>
  </si>
  <si>
    <t>LOI330</t>
  </si>
  <si>
    <t>Aragonite/Calcite ratio</t>
  </si>
  <si>
    <t>lnTi/Ca</t>
  </si>
  <si>
    <t>Creseis spp.</t>
  </si>
  <si>
    <t xml:space="preserve">Age </t>
  </si>
  <si>
    <t>H. inflatus</t>
  </si>
  <si>
    <t>L. trochiformis</t>
  </si>
  <si>
    <t>L. retroversa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</si>
</sst>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9" fontId="0" fillId="0" borderId="0" xfId="0" applyNumberFormat="1"/>
    <xf numFmtId="2" fontId="0" fillId="0" borderId="0" xfId="0" applyNumberFormat="1" applyFill="1"/>
    <xf numFmtId="2" fontId="0" fillId="2" borderId="0" xfId="0" applyNumberFormat="1" applyFill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0" borderId="0" xfId="0" applyFill="1"/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0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Pteropods</a:t>
            </a:r>
            <a:r>
              <a:rPr lang="nl-NL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Total!$E$2:$E$16</c:f>
              <c:numCache>
                <c:formatCode>General</c:formatCode>
                <c:ptCount val="15"/>
                <c:pt idx="0">
                  <c:v>4</c:v>
                </c:pt>
                <c:pt idx="1">
                  <c:v>73</c:v>
                </c:pt>
                <c:pt idx="2">
                  <c:v>59</c:v>
                </c:pt>
                <c:pt idx="3">
                  <c:v>99</c:v>
                </c:pt>
                <c:pt idx="4">
                  <c:v>343.27</c:v>
                </c:pt>
                <c:pt idx="5">
                  <c:v>18</c:v>
                </c:pt>
                <c:pt idx="6">
                  <c:v>1230.45</c:v>
                </c:pt>
                <c:pt idx="7">
                  <c:v>16</c:v>
                </c:pt>
                <c:pt idx="8">
                  <c:v>34</c:v>
                </c:pt>
                <c:pt idx="9">
                  <c:v>31</c:v>
                </c:pt>
                <c:pt idx="10">
                  <c:v>167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4-4B04-BB89-AC36FC755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61056"/>
        <c:axId val="251061536"/>
      </c:scatterChart>
      <c:valAx>
        <c:axId val="251061056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1061536"/>
        <c:crosses val="autoZero"/>
        <c:crossBetween val="midCat"/>
      </c:valAx>
      <c:valAx>
        <c:axId val="2510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Pteropod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106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Fragmentation ratio</a:t>
            </a:r>
            <a:r>
              <a:rPr lang="nl-NL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Total!$G$2:$G$16</c:f>
              <c:numCache>
                <c:formatCode>0%</c:formatCode>
                <c:ptCount val="15"/>
                <c:pt idx="0">
                  <c:v>0.33333333333333331</c:v>
                </c:pt>
                <c:pt idx="1">
                  <c:v>0.18888888888888888</c:v>
                </c:pt>
                <c:pt idx="2">
                  <c:v>0.27160493827160492</c:v>
                </c:pt>
                <c:pt idx="3">
                  <c:v>0.21621621621621623</c:v>
                </c:pt>
                <c:pt idx="4">
                  <c:v>0.22368421052631579</c:v>
                </c:pt>
                <c:pt idx="5">
                  <c:v>0.45454545454545453</c:v>
                </c:pt>
                <c:pt idx="6">
                  <c:v>0.24365482233502539</c:v>
                </c:pt>
                <c:pt idx="7">
                  <c:v>0.44827586206896552</c:v>
                </c:pt>
                <c:pt idx="8">
                  <c:v>0.2608695652173913</c:v>
                </c:pt>
                <c:pt idx="9">
                  <c:v>0.39215686274509803</c:v>
                </c:pt>
                <c:pt idx="10">
                  <c:v>0.36015325670498083</c:v>
                </c:pt>
                <c:pt idx="11">
                  <c:v>0.75</c:v>
                </c:pt>
                <c:pt idx="12">
                  <c:v>0.72727272727272729</c:v>
                </c:pt>
                <c:pt idx="13">
                  <c:v>0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F-4192-A42A-E9EBE033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126768"/>
        <c:axId val="323124368"/>
      </c:scatterChart>
      <c:valAx>
        <c:axId val="32312676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23124368"/>
        <c:crosses val="autoZero"/>
        <c:crossBetween val="midCat"/>
      </c:valAx>
      <c:valAx>
        <c:axId val="3231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%fragments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2312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Pteropods per gram sediment</a:t>
            </a:r>
            <a:r>
              <a:rPr lang="nl-NL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Total!$J$2:$J$16</c:f>
              <c:numCache>
                <c:formatCode>General</c:formatCode>
                <c:ptCount val="15"/>
                <c:pt idx="0">
                  <c:v>0.48</c:v>
                </c:pt>
                <c:pt idx="1">
                  <c:v>7.37</c:v>
                </c:pt>
                <c:pt idx="2">
                  <c:v>4.8600000000000003</c:v>
                </c:pt>
                <c:pt idx="3">
                  <c:v>9.4600000000000009</c:v>
                </c:pt>
                <c:pt idx="4">
                  <c:v>25.52</c:v>
                </c:pt>
                <c:pt idx="5">
                  <c:v>1.31</c:v>
                </c:pt>
                <c:pt idx="6">
                  <c:v>90.08</c:v>
                </c:pt>
                <c:pt idx="7">
                  <c:v>1.24</c:v>
                </c:pt>
                <c:pt idx="8">
                  <c:v>2.65</c:v>
                </c:pt>
                <c:pt idx="9">
                  <c:v>1.93</c:v>
                </c:pt>
                <c:pt idx="10">
                  <c:v>8.6</c:v>
                </c:pt>
                <c:pt idx="11">
                  <c:v>0.14000000000000001</c:v>
                </c:pt>
                <c:pt idx="12">
                  <c:v>0.19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F-48BF-AF83-C0BF2907B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61056"/>
        <c:axId val="251061536"/>
      </c:scatterChart>
      <c:valAx>
        <c:axId val="251061056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1061536"/>
        <c:crosses val="autoZero"/>
        <c:crossBetween val="midCat"/>
      </c:valAx>
      <c:valAx>
        <c:axId val="2510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Pteropod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106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Pteropods per</a:t>
            </a:r>
            <a:r>
              <a:rPr lang="en-US" baseline="0"/>
              <a:t> gram sediment </a:t>
            </a:r>
            <a:r>
              <a:rPr lang="en-US"/>
              <a:t>over time</a:t>
            </a:r>
          </a:p>
          <a:p>
            <a:pPr>
              <a:defRPr/>
            </a:pPr>
            <a:r>
              <a:rPr lang="en-US"/>
              <a:t>Data</a:t>
            </a:r>
            <a:r>
              <a:rPr lang="en-US" baseline="0"/>
              <a:t> from me and Sam Poelman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'Total + Sam'!$G$1</c:f>
              <c:strCache>
                <c:ptCount val="1"/>
                <c:pt idx="0">
                  <c:v>Pt per gram sediment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'Total + Sam'!$C$2:$C$35</c:f>
              <c:numCache>
                <c:formatCode>General</c:formatCode>
                <c:ptCount val="34"/>
                <c:pt idx="0">
                  <c:v>8.6999999999999993</c:v>
                </c:pt>
                <c:pt idx="1">
                  <c:v>9.74</c:v>
                </c:pt>
                <c:pt idx="2" formatCode="0.00">
                  <c:v>10.298052630000001</c:v>
                </c:pt>
                <c:pt idx="3">
                  <c:v>10.7</c:v>
                </c:pt>
                <c:pt idx="4">
                  <c:v>11.49</c:v>
                </c:pt>
                <c:pt idx="5" formatCode="0.00">
                  <c:v>11.76807767</c:v>
                </c:pt>
                <c:pt idx="6" formatCode="0.00">
                  <c:v>12.140504849999999</c:v>
                </c:pt>
                <c:pt idx="7">
                  <c:v>12.55</c:v>
                </c:pt>
                <c:pt idx="8" formatCode="0.00">
                  <c:v>12.681927460000001</c:v>
                </c:pt>
                <c:pt idx="9">
                  <c:v>12.82</c:v>
                </c:pt>
                <c:pt idx="10" formatCode="0.00">
                  <c:v>12.90434014</c:v>
                </c:pt>
                <c:pt idx="11">
                  <c:v>13.14</c:v>
                </c:pt>
                <c:pt idx="12">
                  <c:v>13.29</c:v>
                </c:pt>
                <c:pt idx="13">
                  <c:v>13.33</c:v>
                </c:pt>
                <c:pt idx="14" formatCode="0.00">
                  <c:v>13.4115</c:v>
                </c:pt>
                <c:pt idx="15">
                  <c:v>13.82</c:v>
                </c:pt>
                <c:pt idx="16" formatCode="0.00">
                  <c:v>15.297745450000001</c:v>
                </c:pt>
                <c:pt idx="17">
                  <c:v>15.99</c:v>
                </c:pt>
                <c:pt idx="18">
                  <c:v>17.29</c:v>
                </c:pt>
                <c:pt idx="19" formatCode="0.00">
                  <c:v>17.630333330000003</c:v>
                </c:pt>
                <c:pt idx="20" formatCode="0.00">
                  <c:v>19.789979380000002</c:v>
                </c:pt>
                <c:pt idx="21">
                  <c:v>20.78</c:v>
                </c:pt>
                <c:pt idx="22" formatCode="0.00">
                  <c:v>22.102144329999998</c:v>
                </c:pt>
                <c:pt idx="23">
                  <c:v>23.42</c:v>
                </c:pt>
                <c:pt idx="24">
                  <c:v>25.21</c:v>
                </c:pt>
                <c:pt idx="25" formatCode="0.00">
                  <c:v>26.142461539999999</c:v>
                </c:pt>
                <c:pt idx="26">
                  <c:v>28.52</c:v>
                </c:pt>
                <c:pt idx="27" formatCode="0.00">
                  <c:v>29.47625532</c:v>
                </c:pt>
                <c:pt idx="28">
                  <c:v>30.55</c:v>
                </c:pt>
                <c:pt idx="29" formatCode="0.00">
                  <c:v>30.86361905</c:v>
                </c:pt>
                <c:pt idx="30">
                  <c:v>31.39</c:v>
                </c:pt>
                <c:pt idx="31" formatCode="0.00">
                  <c:v>31.4960381</c:v>
                </c:pt>
                <c:pt idx="32" formatCode="0.00">
                  <c:v>32.020000000000003</c:v>
                </c:pt>
                <c:pt idx="33" formatCode="0.00">
                  <c:v>33.121000000000002</c:v>
                </c:pt>
              </c:numCache>
            </c:numRef>
          </c:xVal>
          <c:yVal>
            <c:numRef>
              <c:f>'Total + Sam'!$G$2:$G$35</c:f>
              <c:numCache>
                <c:formatCode>General</c:formatCode>
                <c:ptCount val="34"/>
                <c:pt idx="0">
                  <c:v>0.16</c:v>
                </c:pt>
                <c:pt idx="1">
                  <c:v>0.11</c:v>
                </c:pt>
                <c:pt idx="2">
                  <c:v>0.48</c:v>
                </c:pt>
                <c:pt idx="3">
                  <c:v>0.87</c:v>
                </c:pt>
                <c:pt idx="4">
                  <c:v>1.82</c:v>
                </c:pt>
                <c:pt idx="5">
                  <c:v>7.37</c:v>
                </c:pt>
                <c:pt idx="6">
                  <c:v>4.8600000000000003</c:v>
                </c:pt>
                <c:pt idx="7">
                  <c:v>5.08</c:v>
                </c:pt>
                <c:pt idx="8">
                  <c:v>9.4600000000000009</c:v>
                </c:pt>
                <c:pt idx="9">
                  <c:v>40.869999999999997</c:v>
                </c:pt>
                <c:pt idx="10">
                  <c:v>25.52</c:v>
                </c:pt>
                <c:pt idx="11">
                  <c:v>0.56999999999999995</c:v>
                </c:pt>
                <c:pt idx="12">
                  <c:v>1.96</c:v>
                </c:pt>
                <c:pt idx="13">
                  <c:v>11.03</c:v>
                </c:pt>
                <c:pt idx="14">
                  <c:v>1.31</c:v>
                </c:pt>
                <c:pt idx="15">
                  <c:v>12.54</c:v>
                </c:pt>
                <c:pt idx="16">
                  <c:v>90.08</c:v>
                </c:pt>
                <c:pt idx="17">
                  <c:v>137.94999999999999</c:v>
                </c:pt>
                <c:pt idx="18">
                  <c:v>0</c:v>
                </c:pt>
                <c:pt idx="19">
                  <c:v>1.24</c:v>
                </c:pt>
                <c:pt idx="20">
                  <c:v>2.65</c:v>
                </c:pt>
                <c:pt idx="21">
                  <c:v>0.43</c:v>
                </c:pt>
                <c:pt idx="22">
                  <c:v>1.93</c:v>
                </c:pt>
                <c:pt idx="23">
                  <c:v>1.21</c:v>
                </c:pt>
                <c:pt idx="24">
                  <c:v>0.65</c:v>
                </c:pt>
                <c:pt idx="25">
                  <c:v>8.6</c:v>
                </c:pt>
                <c:pt idx="26">
                  <c:v>7.0000000000000007E-2</c:v>
                </c:pt>
                <c:pt idx="27">
                  <c:v>0.14000000000000001</c:v>
                </c:pt>
                <c:pt idx="28">
                  <c:v>0.8</c:v>
                </c:pt>
                <c:pt idx="29">
                  <c:v>0.19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B-4784-99AE-388F17572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384968"/>
        <c:axId val="995261376"/>
      </c:scatterChart>
      <c:valAx>
        <c:axId val="99238496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95261376"/>
        <c:crosses val="autoZero"/>
        <c:crossBetween val="midCat"/>
      </c:valAx>
      <c:valAx>
        <c:axId val="9952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Pteropods per gram sediment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9238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Dissolution indicators</a:t>
            </a:r>
            <a:r>
              <a:rPr lang="nl-NL" baseline="0"/>
              <a:t> over time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Total!$G$1</c:f>
              <c:strCache>
                <c:ptCount val="1"/>
                <c:pt idx="0">
                  <c:v>Fragment 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Total!$G$2:$G$16</c:f>
              <c:numCache>
                <c:formatCode>0%</c:formatCode>
                <c:ptCount val="15"/>
                <c:pt idx="0">
                  <c:v>0.33333333333333331</c:v>
                </c:pt>
                <c:pt idx="1">
                  <c:v>0.18888888888888888</c:v>
                </c:pt>
                <c:pt idx="2">
                  <c:v>0.27160493827160492</c:v>
                </c:pt>
                <c:pt idx="3">
                  <c:v>0.21621621621621623</c:v>
                </c:pt>
                <c:pt idx="4">
                  <c:v>0.22368421052631579</c:v>
                </c:pt>
                <c:pt idx="5">
                  <c:v>0.45454545454545453</c:v>
                </c:pt>
                <c:pt idx="6">
                  <c:v>0.24365482233502539</c:v>
                </c:pt>
                <c:pt idx="7">
                  <c:v>0.44827586206896552</c:v>
                </c:pt>
                <c:pt idx="8">
                  <c:v>0.2608695652173913</c:v>
                </c:pt>
                <c:pt idx="9">
                  <c:v>0.39215686274509803</c:v>
                </c:pt>
                <c:pt idx="10">
                  <c:v>0.36015325670498083</c:v>
                </c:pt>
                <c:pt idx="11">
                  <c:v>0.75</c:v>
                </c:pt>
                <c:pt idx="12">
                  <c:v>0.72727272727272729</c:v>
                </c:pt>
                <c:pt idx="13">
                  <c:v>0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C-463B-ADEE-7BD903ABB26D}"/>
            </c:ext>
          </c:extLst>
        </c:ser>
        <c:ser>
          <c:idx val="1"/>
          <c:order val="1"/>
          <c:tx>
            <c:strRef>
              <c:f>Total!$H$1</c:f>
              <c:strCache>
                <c:ptCount val="1"/>
                <c:pt idx="0">
                  <c:v>Transparent ratio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Total!$H$2:$H$16</c:f>
              <c:numCache>
                <c:formatCode>0%</c:formatCode>
                <c:ptCount val="15"/>
                <c:pt idx="0">
                  <c:v>0</c:v>
                </c:pt>
                <c:pt idx="1">
                  <c:v>0.20547945205479451</c:v>
                </c:pt>
                <c:pt idx="2">
                  <c:v>6.7796610169491525E-2</c:v>
                </c:pt>
                <c:pt idx="3">
                  <c:v>0.13793103448275862</c:v>
                </c:pt>
                <c:pt idx="4">
                  <c:v>0.24576271186440679</c:v>
                </c:pt>
                <c:pt idx="5">
                  <c:v>5.5555555555555552E-2</c:v>
                </c:pt>
                <c:pt idx="6">
                  <c:v>0.32214765100671139</c:v>
                </c:pt>
                <c:pt idx="7">
                  <c:v>6.25E-2</c:v>
                </c:pt>
                <c:pt idx="8">
                  <c:v>0.23529411764705882</c:v>
                </c:pt>
                <c:pt idx="9">
                  <c:v>0.16129032258064516</c:v>
                </c:pt>
                <c:pt idx="10">
                  <c:v>0.31736526946107785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FC-463B-ADEE-7BD903ABB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059384"/>
        <c:axId val="1184059744"/>
      </c:scatterChart>
      <c:scatterChart>
        <c:scatterStyle val="lineMarker"/>
        <c:varyColors val="0"/>
        <c:ser>
          <c:idx val="2"/>
          <c:order val="2"/>
          <c:tx>
            <c:strRef>
              <c:f>Total!$K$1</c:f>
              <c:strCache>
                <c:ptCount val="1"/>
                <c:pt idx="0">
                  <c:v>p/pb ratio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Total!$K$2:$K$16</c:f>
              <c:numCache>
                <c:formatCode>General</c:formatCode>
                <c:ptCount val="15"/>
                <c:pt idx="0">
                  <c:v>50.6</c:v>
                </c:pt>
                <c:pt idx="1">
                  <c:v>58</c:v>
                </c:pt>
                <c:pt idx="2">
                  <c:v>50.2</c:v>
                </c:pt>
                <c:pt idx="3">
                  <c:v>46.9</c:v>
                </c:pt>
                <c:pt idx="4">
                  <c:v>78.5</c:v>
                </c:pt>
                <c:pt idx="5">
                  <c:v>84.2</c:v>
                </c:pt>
                <c:pt idx="6">
                  <c:v>84.1</c:v>
                </c:pt>
                <c:pt idx="7">
                  <c:v>11</c:v>
                </c:pt>
                <c:pt idx="8">
                  <c:v>64.099999999999994</c:v>
                </c:pt>
                <c:pt idx="9">
                  <c:v>63.3</c:v>
                </c:pt>
                <c:pt idx="10">
                  <c:v>65.599999999999994</c:v>
                </c:pt>
                <c:pt idx="11">
                  <c:v>30.4</c:v>
                </c:pt>
                <c:pt idx="12">
                  <c:v>49.5</c:v>
                </c:pt>
                <c:pt idx="13">
                  <c:v>48.4</c:v>
                </c:pt>
                <c:pt idx="14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FC-463B-ADEE-7BD903ABB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069464"/>
        <c:axId val="1184071264"/>
      </c:scatterChart>
      <c:valAx>
        <c:axId val="1184059384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4059744"/>
        <c:crosses val="autoZero"/>
        <c:crossBetween val="midCat"/>
      </c:valAx>
      <c:valAx>
        <c:axId val="118405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4059384"/>
        <c:crosses val="autoZero"/>
        <c:crossBetween val="midCat"/>
      </c:valAx>
      <c:valAx>
        <c:axId val="1184071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4069464"/>
        <c:crosses val="max"/>
        <c:crossBetween val="midCat"/>
      </c:valAx>
      <c:valAx>
        <c:axId val="118406946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18407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Transparent ratio</a:t>
            </a:r>
            <a:r>
              <a:rPr lang="nl-NL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Total!$H$2:$H$16</c:f>
              <c:numCache>
                <c:formatCode>0%</c:formatCode>
                <c:ptCount val="15"/>
                <c:pt idx="0">
                  <c:v>0</c:v>
                </c:pt>
                <c:pt idx="1">
                  <c:v>0.20547945205479451</c:v>
                </c:pt>
                <c:pt idx="2">
                  <c:v>6.7796610169491525E-2</c:v>
                </c:pt>
                <c:pt idx="3">
                  <c:v>0.13793103448275862</c:v>
                </c:pt>
                <c:pt idx="4">
                  <c:v>0.24576271186440679</c:v>
                </c:pt>
                <c:pt idx="5">
                  <c:v>5.5555555555555552E-2</c:v>
                </c:pt>
                <c:pt idx="6">
                  <c:v>0.32214765100671139</c:v>
                </c:pt>
                <c:pt idx="7">
                  <c:v>6.25E-2</c:v>
                </c:pt>
                <c:pt idx="8">
                  <c:v>0.23529411764705882</c:v>
                </c:pt>
                <c:pt idx="9">
                  <c:v>0.16129032258064516</c:v>
                </c:pt>
                <c:pt idx="10">
                  <c:v>0.31736526946107785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0-413B-A653-67D68A8D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126768"/>
        <c:axId val="323124368"/>
      </c:scatterChart>
      <c:valAx>
        <c:axId val="32312676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23124368"/>
        <c:crosses val="autoZero"/>
        <c:crossBetween val="midCat"/>
      </c:valAx>
      <c:valAx>
        <c:axId val="3231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%transparent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2312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Heliconoides inflatus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Species!$AC$2:$AC$16</c:f>
              <c:numCache>
                <c:formatCode>General</c:formatCode>
                <c:ptCount val="15"/>
                <c:pt idx="0">
                  <c:v>1</c:v>
                </c:pt>
                <c:pt idx="1">
                  <c:v>27</c:v>
                </c:pt>
                <c:pt idx="2">
                  <c:v>8</c:v>
                </c:pt>
                <c:pt idx="3">
                  <c:v>6</c:v>
                </c:pt>
                <c:pt idx="4">
                  <c:v>24</c:v>
                </c:pt>
                <c:pt idx="5">
                  <c:v>5</c:v>
                </c:pt>
                <c:pt idx="6">
                  <c:v>100</c:v>
                </c:pt>
                <c:pt idx="7">
                  <c:v>9</c:v>
                </c:pt>
                <c:pt idx="8">
                  <c:v>9</c:v>
                </c:pt>
                <c:pt idx="9">
                  <c:v>16</c:v>
                </c:pt>
                <c:pt idx="10">
                  <c:v>94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C-49D9-BA08-6E3123942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Limacina trochiformis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Species!$AD$2:$AD$16</c:f>
              <c:numCache>
                <c:formatCode>General</c:formatCode>
                <c:ptCount val="15"/>
                <c:pt idx="0">
                  <c:v>1</c:v>
                </c:pt>
                <c:pt idx="1">
                  <c:v>40</c:v>
                </c:pt>
                <c:pt idx="2">
                  <c:v>38</c:v>
                </c:pt>
                <c:pt idx="3">
                  <c:v>14</c:v>
                </c:pt>
                <c:pt idx="4">
                  <c:v>67</c:v>
                </c:pt>
                <c:pt idx="5">
                  <c:v>7</c:v>
                </c:pt>
                <c:pt idx="6">
                  <c:v>20</c:v>
                </c:pt>
                <c:pt idx="7">
                  <c:v>5</c:v>
                </c:pt>
                <c:pt idx="8">
                  <c:v>6</c:v>
                </c:pt>
                <c:pt idx="9">
                  <c:v>1</c:v>
                </c:pt>
                <c:pt idx="10">
                  <c:v>22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7-4A7C-83E7-B2F2401E0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Limacina retroversa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Species!$AE$2:$AE$16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12</c:v>
                </c:pt>
                <c:pt idx="7">
                  <c:v>0</c:v>
                </c:pt>
                <c:pt idx="8">
                  <c:v>1</c:v>
                </c:pt>
                <c:pt idx="9">
                  <c:v>5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C-4BCF-B0D7-E6A8E9ED2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Limacina bulimoides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Species!$AF$2:$AF$16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A-4270-83B1-F2EF7026C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Creseis sp.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Species!$AG$2:$AG$16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B0-400A-AC86-64D0AE0EA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Creisis conica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Species!$AH$2:$AH$16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14</c:v>
                </c:pt>
                <c:pt idx="5">
                  <c:v>3</c:v>
                </c:pt>
                <c:pt idx="6">
                  <c:v>10</c:v>
                </c:pt>
                <c:pt idx="7">
                  <c:v>0</c:v>
                </c:pt>
                <c:pt idx="8">
                  <c:v>12</c:v>
                </c:pt>
                <c:pt idx="9">
                  <c:v>4</c:v>
                </c:pt>
                <c:pt idx="10">
                  <c:v>20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A-4758-A668-FDC2F1B80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Creisis acicula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Species!$AI$2:$AI$16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6-4220-BF12-403F29C14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Clio cuspidata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Species!$AJ$2:$AJ$16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5-46E8-9232-5505A309A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Clio pyramidata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Species!$AK$2:$AK$16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1-46FB-8851-7A9B0263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Cavolinia sp.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Species!$AL$2:$AL$16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6-4CC2-BBC2-89187C576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Individuals</a:t>
                </a:r>
                <a:r>
                  <a:rPr lang="nl-NL" baseline="0"/>
                  <a:t> counted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Transparent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Species!$C$2:$C$16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Species!$AN$2:$AN$16</c:f>
              <c:numCache>
                <c:formatCode>0%</c:formatCode>
                <c:ptCount val="15"/>
                <c:pt idx="0">
                  <c:v>0</c:v>
                </c:pt>
                <c:pt idx="1">
                  <c:v>0.20547945205479451</c:v>
                </c:pt>
                <c:pt idx="2">
                  <c:v>6.7796610169491525E-2</c:v>
                </c:pt>
                <c:pt idx="3">
                  <c:v>0.13793103448275862</c:v>
                </c:pt>
                <c:pt idx="4">
                  <c:v>0.24576271186440679</c:v>
                </c:pt>
                <c:pt idx="5">
                  <c:v>5.5555555555555552E-2</c:v>
                </c:pt>
                <c:pt idx="6">
                  <c:v>0.32214765100671139</c:v>
                </c:pt>
                <c:pt idx="7">
                  <c:v>6.25E-2</c:v>
                </c:pt>
                <c:pt idx="8">
                  <c:v>0.23529411764705882</c:v>
                </c:pt>
                <c:pt idx="9">
                  <c:v>0.16129032258064516</c:v>
                </c:pt>
                <c:pt idx="10">
                  <c:v>0.31736526946107785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9-4AE9-904C-B12841F01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1392"/>
        <c:axId val="46951872"/>
      </c:scatterChart>
      <c:valAx>
        <c:axId val="469513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872"/>
        <c:crosses val="autoZero"/>
        <c:crossBetween val="midCat"/>
      </c:valAx>
      <c:valAx>
        <c:axId val="469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Percentage of transparent</a:t>
                </a:r>
              </a:p>
              <a:p>
                <a:pPr>
                  <a:defRPr/>
                </a:pPr>
                <a:r>
                  <a:rPr lang="nl-NL" baseline="0"/>
                  <a:t>pteropods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69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Percentage of pteropod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Heliconoides inflatus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percentage'!$D$2:$D$16</c:f>
              <c:numCache>
                <c:formatCode>0%</c:formatCode>
                <c:ptCount val="15"/>
                <c:pt idx="0">
                  <c:v>0.25</c:v>
                </c:pt>
                <c:pt idx="1">
                  <c:v>0.36986301369863012</c:v>
                </c:pt>
                <c:pt idx="2">
                  <c:v>0.13559322033898305</c:v>
                </c:pt>
                <c:pt idx="3">
                  <c:v>0.20689655172413793</c:v>
                </c:pt>
                <c:pt idx="4">
                  <c:v>0.20338983050847459</c:v>
                </c:pt>
                <c:pt idx="5">
                  <c:v>0.27777777777777779</c:v>
                </c:pt>
                <c:pt idx="6">
                  <c:v>0.67114093959731547</c:v>
                </c:pt>
                <c:pt idx="7">
                  <c:v>0.5625</c:v>
                </c:pt>
                <c:pt idx="8">
                  <c:v>0.26470588235294118</c:v>
                </c:pt>
                <c:pt idx="9">
                  <c:v>0.5161290322580645</c:v>
                </c:pt>
                <c:pt idx="10">
                  <c:v>0.56287425149700598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5-4CD4-918C-990DD60052D6}"/>
            </c:ext>
          </c:extLst>
        </c:ser>
        <c:ser>
          <c:idx val="1"/>
          <c:order val="1"/>
          <c:tx>
            <c:v>Limacina trochiformis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percentage'!$E$2:$E$16</c:f>
              <c:numCache>
                <c:formatCode>0%</c:formatCode>
                <c:ptCount val="15"/>
                <c:pt idx="0">
                  <c:v>0.25</c:v>
                </c:pt>
                <c:pt idx="1">
                  <c:v>0.54794520547945202</c:v>
                </c:pt>
                <c:pt idx="2">
                  <c:v>0.64406779661016944</c:v>
                </c:pt>
                <c:pt idx="3">
                  <c:v>0.48275862068965519</c:v>
                </c:pt>
                <c:pt idx="4">
                  <c:v>0.56779661016949157</c:v>
                </c:pt>
                <c:pt idx="5">
                  <c:v>0.3888888888888889</c:v>
                </c:pt>
                <c:pt idx="6">
                  <c:v>0.13422818791946309</c:v>
                </c:pt>
                <c:pt idx="7">
                  <c:v>0.3125</c:v>
                </c:pt>
                <c:pt idx="8">
                  <c:v>0.17647058823529413</c:v>
                </c:pt>
                <c:pt idx="9">
                  <c:v>3.2258064516129031E-2</c:v>
                </c:pt>
                <c:pt idx="10">
                  <c:v>0.1317365269461078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75-4CD4-918C-990DD60052D6}"/>
            </c:ext>
          </c:extLst>
        </c:ser>
        <c:ser>
          <c:idx val="2"/>
          <c:order val="2"/>
          <c:tx>
            <c:v>Limacina retroversa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percentage'!$F$2:$F$16</c:f>
              <c:numCache>
                <c:formatCode>0%</c:formatCode>
                <c:ptCount val="15"/>
                <c:pt idx="0">
                  <c:v>0</c:v>
                </c:pt>
                <c:pt idx="1">
                  <c:v>2.7397260273972601E-2</c:v>
                </c:pt>
                <c:pt idx="2">
                  <c:v>6.7796610169491525E-2</c:v>
                </c:pt>
                <c:pt idx="3">
                  <c:v>0.10344827586206896</c:v>
                </c:pt>
                <c:pt idx="4">
                  <c:v>1.6949152542372881E-2</c:v>
                </c:pt>
                <c:pt idx="5">
                  <c:v>5.5555555555555552E-2</c:v>
                </c:pt>
                <c:pt idx="6">
                  <c:v>8.0536912751677847E-2</c:v>
                </c:pt>
                <c:pt idx="7">
                  <c:v>0</c:v>
                </c:pt>
                <c:pt idx="8">
                  <c:v>2.9411764705882353E-2</c:v>
                </c:pt>
                <c:pt idx="9">
                  <c:v>0.16129032258064516</c:v>
                </c:pt>
                <c:pt idx="10">
                  <c:v>7.1856287425149698E-2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75-4CD4-918C-990DD60052D6}"/>
            </c:ext>
          </c:extLst>
        </c:ser>
        <c:ser>
          <c:idx val="3"/>
          <c:order val="3"/>
          <c:tx>
            <c:v>Limacina bulimoides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percentage'!$G$2:$G$16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3.3898305084745763E-2</c:v>
                </c:pt>
                <c:pt idx="5">
                  <c:v>0</c:v>
                </c:pt>
                <c:pt idx="6">
                  <c:v>6.7114093959731542E-3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1.1976047904191617E-2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75-4CD4-918C-990DD60052D6}"/>
            </c:ext>
          </c:extLst>
        </c:ser>
        <c:ser>
          <c:idx val="4"/>
          <c:order val="4"/>
          <c:tx>
            <c:v>Creseis sp.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percentage'!$H$2:$H$16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6.7114093959731542E-3</c:v>
                </c:pt>
                <c:pt idx="7">
                  <c:v>0</c:v>
                </c:pt>
                <c:pt idx="8">
                  <c:v>8.8235294117647065E-2</c:v>
                </c:pt>
                <c:pt idx="9">
                  <c:v>0</c:v>
                </c:pt>
                <c:pt idx="10">
                  <c:v>2.3952095808383235E-2</c:v>
                </c:pt>
                <c:pt idx="11">
                  <c:v>0</c:v>
                </c:pt>
                <c:pt idx="12">
                  <c:v>0.66666666666666663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75-4CD4-918C-990DD60052D6}"/>
            </c:ext>
          </c:extLst>
        </c:ser>
        <c:ser>
          <c:idx val="5"/>
          <c:order val="5"/>
          <c:tx>
            <c:v>Creisis conica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percentage'!$I$2:$I$16</c:f>
              <c:numCache>
                <c:formatCode>0%</c:formatCode>
                <c:ptCount val="15"/>
                <c:pt idx="0">
                  <c:v>0</c:v>
                </c:pt>
                <c:pt idx="1">
                  <c:v>4.1095890410958902E-2</c:v>
                </c:pt>
                <c:pt idx="2">
                  <c:v>1.6949152542372881E-2</c:v>
                </c:pt>
                <c:pt idx="3">
                  <c:v>0.10344827586206896</c:v>
                </c:pt>
                <c:pt idx="4">
                  <c:v>0.11864406779661017</c:v>
                </c:pt>
                <c:pt idx="5">
                  <c:v>0.16666666666666666</c:v>
                </c:pt>
                <c:pt idx="6">
                  <c:v>6.7114093959731544E-2</c:v>
                </c:pt>
                <c:pt idx="7">
                  <c:v>0</c:v>
                </c:pt>
                <c:pt idx="8">
                  <c:v>0.35294117647058826</c:v>
                </c:pt>
                <c:pt idx="9">
                  <c:v>0.12903225806451613</c:v>
                </c:pt>
                <c:pt idx="10">
                  <c:v>0.11976047904191617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75-4CD4-918C-990DD60052D6}"/>
            </c:ext>
          </c:extLst>
        </c:ser>
        <c:ser>
          <c:idx val="6"/>
          <c:order val="6"/>
          <c:tx>
            <c:v>Creisis acicula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percentage'!$J$2:$J$16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5.0847457627118647E-2</c:v>
                </c:pt>
                <c:pt idx="3">
                  <c:v>0</c:v>
                </c:pt>
                <c:pt idx="4">
                  <c:v>1.6949152542372881E-2</c:v>
                </c:pt>
                <c:pt idx="5">
                  <c:v>0</c:v>
                </c:pt>
                <c:pt idx="6">
                  <c:v>6.7114093959731542E-3</c:v>
                </c:pt>
                <c:pt idx="7">
                  <c:v>6.25E-2</c:v>
                </c:pt>
                <c:pt idx="8">
                  <c:v>0</c:v>
                </c:pt>
                <c:pt idx="9">
                  <c:v>0</c:v>
                </c:pt>
                <c:pt idx="10">
                  <c:v>1.1976047904191617E-2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75-4CD4-918C-990DD60052D6}"/>
            </c:ext>
          </c:extLst>
        </c:ser>
        <c:ser>
          <c:idx val="7"/>
          <c:order val="7"/>
          <c:tx>
            <c:v>Clio cuspidata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percentage'!$K$2:$K$16</c:f>
              <c:numCache>
                <c:formatCode>0%</c:formatCode>
                <c:ptCount val="15"/>
                <c:pt idx="0">
                  <c:v>0.25</c:v>
                </c:pt>
                <c:pt idx="1">
                  <c:v>0</c:v>
                </c:pt>
                <c:pt idx="2">
                  <c:v>1.6949152542372881E-2</c:v>
                </c:pt>
                <c:pt idx="3">
                  <c:v>3.4482758620689655E-2</c:v>
                </c:pt>
                <c:pt idx="4">
                  <c:v>2.5423728813559324E-2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3.2258064516129031E-2</c:v>
                </c:pt>
                <c:pt idx="10">
                  <c:v>1.1976047904191617E-2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75-4CD4-918C-990DD60052D6}"/>
            </c:ext>
          </c:extLst>
        </c:ser>
        <c:ser>
          <c:idx val="8"/>
          <c:order val="8"/>
          <c:tx>
            <c:v>Clio pyramidata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percentage'!$L$2:$L$16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3.4482758620689655E-2</c:v>
                </c:pt>
                <c:pt idx="4">
                  <c:v>8.4745762711864406E-3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2.9411764705882353E-2</c:v>
                </c:pt>
                <c:pt idx="9">
                  <c:v>3.2258064516129031E-2</c:v>
                </c:pt>
                <c:pt idx="10">
                  <c:v>2.3952095808383235E-2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75-4CD4-918C-990DD60052D6}"/>
            </c:ext>
          </c:extLst>
        </c:ser>
        <c:ser>
          <c:idx val="9"/>
          <c:order val="9"/>
          <c:tx>
            <c:v>Cavolinia sp.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percentage'!$M$2:$M$16</c:f>
              <c:numCache>
                <c:formatCode>0%</c:formatCode>
                <c:ptCount val="15"/>
                <c:pt idx="0">
                  <c:v>0.25</c:v>
                </c:pt>
                <c:pt idx="1">
                  <c:v>1.3698630136986301E-2</c:v>
                </c:pt>
                <c:pt idx="2">
                  <c:v>6.7796610169491525E-2</c:v>
                </c:pt>
                <c:pt idx="3">
                  <c:v>3.4482758620689655E-2</c:v>
                </c:pt>
                <c:pt idx="4">
                  <c:v>8.4745762711864406E-3</c:v>
                </c:pt>
                <c:pt idx="5">
                  <c:v>0.1111111111111111</c:v>
                </c:pt>
                <c:pt idx="6">
                  <c:v>2.0134228187919462E-2</c:v>
                </c:pt>
                <c:pt idx="7">
                  <c:v>6.25E-2</c:v>
                </c:pt>
                <c:pt idx="8">
                  <c:v>5.8823529411764705E-2</c:v>
                </c:pt>
                <c:pt idx="9">
                  <c:v>9.6774193548387094E-2</c:v>
                </c:pt>
                <c:pt idx="10">
                  <c:v>2.9940119760479042E-2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75-4CD4-918C-990DD6005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66640"/>
        <c:axId val="1459343784"/>
      </c:scatterChart>
      <c:valAx>
        <c:axId val="87366664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59343784"/>
        <c:crosses val="autoZero"/>
        <c:crossBetween val="midCat"/>
      </c:valAx>
      <c:valAx>
        <c:axId val="145934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Percentage of total pterpods</a:t>
                </a:r>
              </a:p>
              <a:p>
                <a:pPr>
                  <a:defRPr/>
                </a:pPr>
                <a:r>
                  <a:rPr lang="nl-NL"/>
                  <a:t>in</a:t>
                </a:r>
                <a:r>
                  <a:rPr lang="nl-NL" baseline="0"/>
                  <a:t> sample</a:t>
                </a:r>
                <a:endParaRPr lang="nl-NL"/>
              </a:p>
            </c:rich>
          </c:tx>
          <c:layout>
            <c:manualLayout>
              <c:xMode val="edge"/>
              <c:yMode val="edge"/>
              <c:x val="1.4388491019907352E-2"/>
              <c:y val="0.325483834636684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7366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Heliconoides inflatus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percentage'!$D$2:$D$16</c:f>
              <c:numCache>
                <c:formatCode>0%</c:formatCode>
                <c:ptCount val="15"/>
                <c:pt idx="0">
                  <c:v>0.25</c:v>
                </c:pt>
                <c:pt idx="1">
                  <c:v>0.36986301369863012</c:v>
                </c:pt>
                <c:pt idx="2">
                  <c:v>0.13559322033898305</c:v>
                </c:pt>
                <c:pt idx="3">
                  <c:v>0.20689655172413793</c:v>
                </c:pt>
                <c:pt idx="4">
                  <c:v>0.20338983050847459</c:v>
                </c:pt>
                <c:pt idx="5">
                  <c:v>0.27777777777777779</c:v>
                </c:pt>
                <c:pt idx="6">
                  <c:v>0.67114093959731547</c:v>
                </c:pt>
                <c:pt idx="7">
                  <c:v>0.5625</c:v>
                </c:pt>
                <c:pt idx="8">
                  <c:v>0.26470588235294118</c:v>
                </c:pt>
                <c:pt idx="9">
                  <c:v>0.5161290322580645</c:v>
                </c:pt>
                <c:pt idx="10">
                  <c:v>0.56287425149700598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4-4FCA-974D-09E5F20F6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822112"/>
        <c:axId val="801638624"/>
      </c:scatterChart>
      <c:valAx>
        <c:axId val="86582211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01638624"/>
        <c:crosses val="autoZero"/>
        <c:crossBetween val="midCat"/>
      </c:valAx>
      <c:valAx>
        <c:axId val="8016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Percentage of total</a:t>
                </a:r>
                <a:r>
                  <a:rPr lang="nl-NL" baseline="0"/>
                  <a:t> pteropods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582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Limacina trochiformis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percentage'!$E$2:$E$16</c:f>
              <c:numCache>
                <c:formatCode>0%</c:formatCode>
                <c:ptCount val="15"/>
                <c:pt idx="0">
                  <c:v>0.25</c:v>
                </c:pt>
                <c:pt idx="1">
                  <c:v>0.54794520547945202</c:v>
                </c:pt>
                <c:pt idx="2">
                  <c:v>0.64406779661016944</c:v>
                </c:pt>
                <c:pt idx="3">
                  <c:v>0.48275862068965519</c:v>
                </c:pt>
                <c:pt idx="4">
                  <c:v>0.56779661016949157</c:v>
                </c:pt>
                <c:pt idx="5">
                  <c:v>0.3888888888888889</c:v>
                </c:pt>
                <c:pt idx="6">
                  <c:v>0.13422818791946309</c:v>
                </c:pt>
                <c:pt idx="7">
                  <c:v>0.3125</c:v>
                </c:pt>
                <c:pt idx="8">
                  <c:v>0.17647058823529413</c:v>
                </c:pt>
                <c:pt idx="9">
                  <c:v>3.2258064516129031E-2</c:v>
                </c:pt>
                <c:pt idx="10">
                  <c:v>0.1317365269461078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D-4A5B-A047-2CC52AF39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822112"/>
        <c:axId val="801638624"/>
      </c:scatterChart>
      <c:valAx>
        <c:axId val="86582211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01638624"/>
        <c:crosses val="autoZero"/>
        <c:crossBetween val="midCat"/>
      </c:valAx>
      <c:valAx>
        <c:axId val="8016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Percentage of total</a:t>
                </a:r>
                <a:r>
                  <a:rPr lang="nl-NL" baseline="0"/>
                  <a:t> pteropods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582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H. inflatus + L.</a:t>
            </a:r>
            <a:r>
              <a:rPr lang="nl-NL" baseline="0"/>
              <a:t> trochiformis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275223209844395"/>
          <c:y val="0.15448738320622904"/>
          <c:w val="0.64061239829533911"/>
          <c:h val="0.66089704044281028"/>
        </c:manualLayout>
      </c:layout>
      <c:scatterChart>
        <c:scatterStyle val="lineMarker"/>
        <c:varyColors val="0"/>
        <c:ser>
          <c:idx val="0"/>
          <c:order val="0"/>
          <c:tx>
            <c:v>H. inflatus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percentage'!$D$2:$D$16</c:f>
              <c:numCache>
                <c:formatCode>0%</c:formatCode>
                <c:ptCount val="15"/>
                <c:pt idx="0">
                  <c:v>0.25</c:v>
                </c:pt>
                <c:pt idx="1">
                  <c:v>0.36986301369863012</c:v>
                </c:pt>
                <c:pt idx="2">
                  <c:v>0.13559322033898305</c:v>
                </c:pt>
                <c:pt idx="3">
                  <c:v>0.20689655172413793</c:v>
                </c:pt>
                <c:pt idx="4">
                  <c:v>0.20338983050847459</c:v>
                </c:pt>
                <c:pt idx="5">
                  <c:v>0.27777777777777779</c:v>
                </c:pt>
                <c:pt idx="6">
                  <c:v>0.67114093959731547</c:v>
                </c:pt>
                <c:pt idx="7">
                  <c:v>0.5625</c:v>
                </c:pt>
                <c:pt idx="8">
                  <c:v>0.26470588235294118</c:v>
                </c:pt>
                <c:pt idx="9">
                  <c:v>0.5161290322580645</c:v>
                </c:pt>
                <c:pt idx="10">
                  <c:v>0.56287425149700598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D-45E7-8FFD-4C87790648A1}"/>
            </c:ext>
          </c:extLst>
        </c:ser>
        <c:ser>
          <c:idx val="1"/>
          <c:order val="1"/>
          <c:tx>
            <c:v>L.trochiformis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percentage'!$E$2:$E$16</c:f>
              <c:numCache>
                <c:formatCode>0%</c:formatCode>
                <c:ptCount val="15"/>
                <c:pt idx="0">
                  <c:v>0.25</c:v>
                </c:pt>
                <c:pt idx="1">
                  <c:v>0.54794520547945202</c:v>
                </c:pt>
                <c:pt idx="2">
                  <c:v>0.64406779661016944</c:v>
                </c:pt>
                <c:pt idx="3">
                  <c:v>0.48275862068965519</c:v>
                </c:pt>
                <c:pt idx="4">
                  <c:v>0.56779661016949157</c:v>
                </c:pt>
                <c:pt idx="5">
                  <c:v>0.3888888888888889</c:v>
                </c:pt>
                <c:pt idx="6">
                  <c:v>0.13422818791946309</c:v>
                </c:pt>
                <c:pt idx="7">
                  <c:v>0.3125</c:v>
                </c:pt>
                <c:pt idx="8">
                  <c:v>0.17647058823529413</c:v>
                </c:pt>
                <c:pt idx="9">
                  <c:v>3.2258064516129031E-2</c:v>
                </c:pt>
                <c:pt idx="10">
                  <c:v>0.1317365269461078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5D-45E7-8FFD-4C8779064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822112"/>
        <c:axId val="801638624"/>
      </c:scatterChart>
      <c:valAx>
        <c:axId val="86582211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01638624"/>
        <c:crosses val="autoZero"/>
        <c:crossBetween val="midCat"/>
      </c:valAx>
      <c:valAx>
        <c:axId val="8016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Percentage of total</a:t>
                </a:r>
                <a:r>
                  <a:rPr lang="nl-NL" baseline="0"/>
                  <a:t> pteropods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582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661842615399"/>
          <c:y val="0.43406434287689594"/>
          <c:w val="0.19435381814929439"/>
          <c:h val="0.21138504154216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Percentage of pteropod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1"/>
          <c:order val="1"/>
          <c:tx>
            <c:strRef>
              <c:f>'Species percentage'!$D$1</c:f>
              <c:strCache>
                <c:ptCount val="1"/>
                <c:pt idx="0">
                  <c:v>Total Heliconoides inflatus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percentage'!$D$2:$D$16</c15:sqref>
                  </c15:fullRef>
                </c:ext>
              </c:extLst>
              <c:f>'Species percentage'!$D$2:$D$14</c:f>
              <c:numCache>
                <c:formatCode>0%</c:formatCode>
                <c:ptCount val="13"/>
                <c:pt idx="0">
                  <c:v>0.25</c:v>
                </c:pt>
                <c:pt idx="1">
                  <c:v>0.36986301369863012</c:v>
                </c:pt>
                <c:pt idx="2">
                  <c:v>0.13559322033898305</c:v>
                </c:pt>
                <c:pt idx="3">
                  <c:v>0.20689655172413793</c:v>
                </c:pt>
                <c:pt idx="4">
                  <c:v>0.20338983050847459</c:v>
                </c:pt>
                <c:pt idx="5">
                  <c:v>0.27777777777777779</c:v>
                </c:pt>
                <c:pt idx="6">
                  <c:v>0.67114093959731547</c:v>
                </c:pt>
                <c:pt idx="7">
                  <c:v>0.5625</c:v>
                </c:pt>
                <c:pt idx="8">
                  <c:v>0.26470588235294118</c:v>
                </c:pt>
                <c:pt idx="9">
                  <c:v>0.5161290322580645</c:v>
                </c:pt>
                <c:pt idx="10">
                  <c:v>0.56287425149700598</c:v>
                </c:pt>
                <c:pt idx="11">
                  <c:v>0</c:v>
                </c:pt>
                <c:pt idx="1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1-457D-B25D-8B58E614A828}"/>
            </c:ext>
          </c:extLst>
        </c:ser>
        <c:ser>
          <c:idx val="2"/>
          <c:order val="2"/>
          <c:tx>
            <c:strRef>
              <c:f>'Species percentage'!$E$1</c:f>
              <c:strCache>
                <c:ptCount val="1"/>
                <c:pt idx="0">
                  <c:v>Total Heliconoides inflatus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percentage'!$E$2:$E$16</c15:sqref>
                  </c15:fullRef>
                </c:ext>
              </c:extLst>
              <c:f>'Species percentage'!$E$2:$E$14</c:f>
              <c:numCache>
                <c:formatCode>0%</c:formatCode>
                <c:ptCount val="13"/>
                <c:pt idx="0">
                  <c:v>0.25</c:v>
                </c:pt>
                <c:pt idx="1">
                  <c:v>0.54794520547945202</c:v>
                </c:pt>
                <c:pt idx="2">
                  <c:v>0.64406779661016944</c:v>
                </c:pt>
                <c:pt idx="3">
                  <c:v>0.48275862068965519</c:v>
                </c:pt>
                <c:pt idx="4">
                  <c:v>0.56779661016949157</c:v>
                </c:pt>
                <c:pt idx="5">
                  <c:v>0.3888888888888889</c:v>
                </c:pt>
                <c:pt idx="6">
                  <c:v>0.13422818791946309</c:v>
                </c:pt>
                <c:pt idx="7">
                  <c:v>0.3125</c:v>
                </c:pt>
                <c:pt idx="8">
                  <c:v>0.17647058823529413</c:v>
                </c:pt>
                <c:pt idx="9">
                  <c:v>3.2258064516129031E-2</c:v>
                </c:pt>
                <c:pt idx="10">
                  <c:v>0.1317365269461078</c:v>
                </c:pt>
                <c:pt idx="11">
                  <c:v>0.5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1-457D-B25D-8B58E614A828}"/>
            </c:ext>
          </c:extLst>
        </c:ser>
        <c:ser>
          <c:idx val="3"/>
          <c:order val="3"/>
          <c:tx>
            <c:strRef>
              <c:f>'Species percentage'!$F$1</c:f>
              <c:strCache>
                <c:ptCount val="1"/>
                <c:pt idx="0">
                  <c:v>Total Heliconoides inflatus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percentage'!$F$2:$F$16</c15:sqref>
                  </c15:fullRef>
                </c:ext>
              </c:extLst>
              <c:f>'Species percentage'!$F$2:$F$14</c:f>
              <c:numCache>
                <c:formatCode>0%</c:formatCode>
                <c:ptCount val="13"/>
                <c:pt idx="0">
                  <c:v>0</c:v>
                </c:pt>
                <c:pt idx="1">
                  <c:v>2.7397260273972601E-2</c:v>
                </c:pt>
                <c:pt idx="2">
                  <c:v>6.7796610169491525E-2</c:v>
                </c:pt>
                <c:pt idx="3">
                  <c:v>0.10344827586206896</c:v>
                </c:pt>
                <c:pt idx="4">
                  <c:v>1.6949152542372881E-2</c:v>
                </c:pt>
                <c:pt idx="5">
                  <c:v>5.5555555555555552E-2</c:v>
                </c:pt>
                <c:pt idx="6">
                  <c:v>8.0536912751677847E-2</c:v>
                </c:pt>
                <c:pt idx="7">
                  <c:v>0</c:v>
                </c:pt>
                <c:pt idx="8">
                  <c:v>2.9411764705882353E-2</c:v>
                </c:pt>
                <c:pt idx="9">
                  <c:v>0.16129032258064516</c:v>
                </c:pt>
                <c:pt idx="10">
                  <c:v>7.1856287425149698E-2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A1-457D-B25D-8B58E614A828}"/>
            </c:ext>
          </c:extLst>
        </c:ser>
        <c:ser>
          <c:idx val="4"/>
          <c:order val="4"/>
          <c:tx>
            <c:strRef>
              <c:f>'Species percentage'!$G$1</c:f>
              <c:strCache>
                <c:ptCount val="1"/>
                <c:pt idx="0">
                  <c:v>Total Limacina bulimoides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percentage'!$G$2:$G$16</c15:sqref>
                  </c15:fullRef>
                </c:ext>
              </c:extLst>
              <c:f>'Species percentage'!$G$2:$G$14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3.3898305084745763E-2</c:v>
                </c:pt>
                <c:pt idx="5">
                  <c:v>0</c:v>
                </c:pt>
                <c:pt idx="6">
                  <c:v>6.7114093959731542E-3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1.1976047904191617E-2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A1-457D-B25D-8B58E614A828}"/>
            </c:ext>
          </c:extLst>
        </c:ser>
        <c:ser>
          <c:idx val="5"/>
          <c:order val="5"/>
          <c:tx>
            <c:strRef>
              <c:f>'Species percentage'!$H$1</c:f>
              <c:strCache>
                <c:ptCount val="1"/>
                <c:pt idx="0">
                  <c:v>Total Creseis sp.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percentage'!$H$2:$H$16</c15:sqref>
                  </c15:fullRef>
                </c:ext>
              </c:extLst>
              <c:f>'Species percentage'!$H$2:$H$14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6.7114093959731542E-3</c:v>
                </c:pt>
                <c:pt idx="7">
                  <c:v>0</c:v>
                </c:pt>
                <c:pt idx="8">
                  <c:v>8.8235294117647065E-2</c:v>
                </c:pt>
                <c:pt idx="9">
                  <c:v>0</c:v>
                </c:pt>
                <c:pt idx="10">
                  <c:v>2.3952095808383235E-2</c:v>
                </c:pt>
                <c:pt idx="11">
                  <c:v>0</c:v>
                </c:pt>
                <c:pt idx="1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A1-457D-B25D-8B58E614A828}"/>
            </c:ext>
          </c:extLst>
        </c:ser>
        <c:ser>
          <c:idx val="6"/>
          <c:order val="6"/>
          <c:tx>
            <c:strRef>
              <c:f>'Species percentage'!$I$1</c:f>
              <c:strCache>
                <c:ptCount val="1"/>
                <c:pt idx="0">
                  <c:v>Total Creseis conica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percentage'!$I$2:$I$16</c15:sqref>
                  </c15:fullRef>
                </c:ext>
              </c:extLst>
              <c:f>'Species percentage'!$I$2:$I$14</c:f>
              <c:numCache>
                <c:formatCode>0%</c:formatCode>
                <c:ptCount val="13"/>
                <c:pt idx="0">
                  <c:v>0</c:v>
                </c:pt>
                <c:pt idx="1">
                  <c:v>4.1095890410958902E-2</c:v>
                </c:pt>
                <c:pt idx="2">
                  <c:v>1.6949152542372881E-2</c:v>
                </c:pt>
                <c:pt idx="3">
                  <c:v>0.10344827586206896</c:v>
                </c:pt>
                <c:pt idx="4">
                  <c:v>0.11864406779661017</c:v>
                </c:pt>
                <c:pt idx="5">
                  <c:v>0.16666666666666666</c:v>
                </c:pt>
                <c:pt idx="6">
                  <c:v>6.7114093959731544E-2</c:v>
                </c:pt>
                <c:pt idx="7">
                  <c:v>0</c:v>
                </c:pt>
                <c:pt idx="8">
                  <c:v>0.35294117647058826</c:v>
                </c:pt>
                <c:pt idx="9">
                  <c:v>0.12903225806451613</c:v>
                </c:pt>
                <c:pt idx="10">
                  <c:v>0.11976047904191617</c:v>
                </c:pt>
                <c:pt idx="11">
                  <c:v>0.5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A1-457D-B25D-8B58E614A828}"/>
            </c:ext>
          </c:extLst>
        </c:ser>
        <c:ser>
          <c:idx val="7"/>
          <c:order val="7"/>
          <c:tx>
            <c:strRef>
              <c:f>'Species percentage'!$J$1</c:f>
              <c:strCache>
                <c:ptCount val="1"/>
                <c:pt idx="0">
                  <c:v>Total Creseis acicula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percentage'!$J$2:$J$16</c15:sqref>
                  </c15:fullRef>
                </c:ext>
              </c:extLst>
              <c:f>'Species percentage'!$J$2:$J$14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5.0847457627118647E-2</c:v>
                </c:pt>
                <c:pt idx="3">
                  <c:v>0</c:v>
                </c:pt>
                <c:pt idx="4">
                  <c:v>1.6949152542372881E-2</c:v>
                </c:pt>
                <c:pt idx="5">
                  <c:v>0</c:v>
                </c:pt>
                <c:pt idx="6">
                  <c:v>6.7114093959731542E-3</c:v>
                </c:pt>
                <c:pt idx="7">
                  <c:v>6.25E-2</c:v>
                </c:pt>
                <c:pt idx="8">
                  <c:v>0</c:v>
                </c:pt>
                <c:pt idx="9">
                  <c:v>0</c:v>
                </c:pt>
                <c:pt idx="10">
                  <c:v>1.1976047904191617E-2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A1-457D-B25D-8B58E614A828}"/>
            </c:ext>
          </c:extLst>
        </c:ser>
        <c:ser>
          <c:idx val="8"/>
          <c:order val="8"/>
          <c:tx>
            <c:strRef>
              <c:f>'Species percentage'!$K$1</c:f>
              <c:strCache>
                <c:ptCount val="1"/>
                <c:pt idx="0">
                  <c:v>Total Clio cuspidata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percentage'!$K$2:$K$16</c15:sqref>
                  </c15:fullRef>
                </c:ext>
              </c:extLst>
              <c:f>'Species percentage'!$K$2:$K$14</c:f>
              <c:numCache>
                <c:formatCode>0%</c:formatCode>
                <c:ptCount val="13"/>
                <c:pt idx="0">
                  <c:v>0.25</c:v>
                </c:pt>
                <c:pt idx="1">
                  <c:v>0</c:v>
                </c:pt>
                <c:pt idx="2">
                  <c:v>1.6949152542372881E-2</c:v>
                </c:pt>
                <c:pt idx="3">
                  <c:v>3.4482758620689655E-2</c:v>
                </c:pt>
                <c:pt idx="4">
                  <c:v>2.5423728813559324E-2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3.2258064516129031E-2</c:v>
                </c:pt>
                <c:pt idx="10">
                  <c:v>1.1976047904191617E-2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A1-457D-B25D-8B58E614A828}"/>
            </c:ext>
          </c:extLst>
        </c:ser>
        <c:ser>
          <c:idx val="9"/>
          <c:order val="9"/>
          <c:tx>
            <c:strRef>
              <c:f>'Species percentage'!$L$1</c:f>
              <c:strCache>
                <c:ptCount val="1"/>
                <c:pt idx="0">
                  <c:v>Total Clio pyramidata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percentage'!$L$2:$L$16</c15:sqref>
                  </c15:fullRef>
                </c:ext>
              </c:extLst>
              <c:f>'Species percentage'!$L$2:$L$14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3.4482758620689655E-2</c:v>
                </c:pt>
                <c:pt idx="4">
                  <c:v>8.4745762711864406E-3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2.9411764705882353E-2</c:v>
                </c:pt>
                <c:pt idx="9">
                  <c:v>3.2258064516129031E-2</c:v>
                </c:pt>
                <c:pt idx="10">
                  <c:v>2.3952095808383235E-2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A1-457D-B25D-8B58E614A828}"/>
            </c:ext>
          </c:extLst>
        </c:ser>
        <c:ser>
          <c:idx val="10"/>
          <c:order val="10"/>
          <c:tx>
            <c:strRef>
              <c:f>'Species percentage'!$M$1</c:f>
              <c:strCache>
                <c:ptCount val="1"/>
                <c:pt idx="0">
                  <c:v>Total Cavolinia sp.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percentage'!$M$2:$M$16</c15:sqref>
                  </c15:fullRef>
                </c:ext>
              </c:extLst>
              <c:f>'Species percentage'!$M$2:$M$14</c:f>
              <c:numCache>
                <c:formatCode>0%</c:formatCode>
                <c:ptCount val="13"/>
                <c:pt idx="0">
                  <c:v>0.25</c:v>
                </c:pt>
                <c:pt idx="1">
                  <c:v>1.3698630136986301E-2</c:v>
                </c:pt>
                <c:pt idx="2">
                  <c:v>6.7796610169491525E-2</c:v>
                </c:pt>
                <c:pt idx="3">
                  <c:v>3.4482758620689655E-2</c:v>
                </c:pt>
                <c:pt idx="4">
                  <c:v>8.4745762711864406E-3</c:v>
                </c:pt>
                <c:pt idx="5">
                  <c:v>0.1111111111111111</c:v>
                </c:pt>
                <c:pt idx="6">
                  <c:v>2.0134228187919462E-2</c:v>
                </c:pt>
                <c:pt idx="7">
                  <c:v>6.25E-2</c:v>
                </c:pt>
                <c:pt idx="8">
                  <c:v>5.8823529411764705E-2</c:v>
                </c:pt>
                <c:pt idx="9">
                  <c:v>9.6774193548387094E-2</c:v>
                </c:pt>
                <c:pt idx="10">
                  <c:v>2.9940119760479042E-2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A1-457D-B25D-8B58E614A828}"/>
            </c:ext>
          </c:extLst>
        </c:ser>
        <c:ser>
          <c:idx val="11"/>
          <c:order val="11"/>
          <c:tx>
            <c:strRef>
              <c:f>'Species percentage'!$N$1</c:f>
              <c:strCache>
                <c:ptCount val="1"/>
                <c:pt idx="0">
                  <c:v>Total Clionidarum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'Species percentage'!$C$2:$C$16</c15:sqref>
                  </c15:fullRef>
                </c:ext>
              </c:extLst>
              <c:f>'Species percentage'!$C$2:$C$14</c:f>
              <c:numCache>
                <c:formatCode>0.00</c:formatCode>
                <c:ptCount val="13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'Species percentage'!$N$2:$N$16</c15:sqref>
                  </c15:fullRef>
                </c:ext>
              </c:extLst>
              <c:f>'Species percentage'!$N$2:$N$14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6.7114093959731542E-3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A1-457D-B25D-8B58E614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0080056"/>
        <c:axId val="9500804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'Species percentage'!$C$1</c15:sqref>
                        </c15:formulaRef>
                      </c:ext>
                    </c:extLst>
                    <c:strCache>
                      <c:ptCount val="1"/>
                      <c:pt idx="0">
                        <c:v>Age R396 x 1000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'Species percentage'!$C$2:$C$16</c15:sqref>
                        </c15:fullRef>
                        <c15:formulaRef>
                          <c15:sqref>'Species percentage'!$C$2:$C$14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10.298052630000001</c:v>
                      </c:pt>
                      <c:pt idx="1">
                        <c:v>11.76807767</c:v>
                      </c:pt>
                      <c:pt idx="2">
                        <c:v>12.140504849999999</c:v>
                      </c:pt>
                      <c:pt idx="3">
                        <c:v>12.681927460000001</c:v>
                      </c:pt>
                      <c:pt idx="4">
                        <c:v>12.90434014</c:v>
                      </c:pt>
                      <c:pt idx="5">
                        <c:v>13.4115</c:v>
                      </c:pt>
                      <c:pt idx="6">
                        <c:v>15.297745450000001</c:v>
                      </c:pt>
                      <c:pt idx="7">
                        <c:v>17.630333330000003</c:v>
                      </c:pt>
                      <c:pt idx="8">
                        <c:v>19.789979380000002</c:v>
                      </c:pt>
                      <c:pt idx="9">
                        <c:v>22.102144329999998</c:v>
                      </c:pt>
                      <c:pt idx="10">
                        <c:v>26.142461539999999</c:v>
                      </c:pt>
                      <c:pt idx="11">
                        <c:v>29.47625532</c:v>
                      </c:pt>
                      <c:pt idx="12">
                        <c:v>30.86361905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'Species percentage'!$C$2:$C$16</c15:sqref>
                        </c15:fullRef>
                        <c15:formulaRef>
                          <c15:sqref>'Species percentage'!$C$2:$C$14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10.298052630000001</c:v>
                      </c:pt>
                      <c:pt idx="1">
                        <c:v>11.76807767</c:v>
                      </c:pt>
                      <c:pt idx="2">
                        <c:v>12.140504849999999</c:v>
                      </c:pt>
                      <c:pt idx="3">
                        <c:v>12.681927460000001</c:v>
                      </c:pt>
                      <c:pt idx="4">
                        <c:v>12.90434014</c:v>
                      </c:pt>
                      <c:pt idx="5">
                        <c:v>13.4115</c:v>
                      </c:pt>
                      <c:pt idx="6">
                        <c:v>15.297745450000001</c:v>
                      </c:pt>
                      <c:pt idx="7">
                        <c:v>17.630333330000003</c:v>
                      </c:pt>
                      <c:pt idx="8">
                        <c:v>19.789979380000002</c:v>
                      </c:pt>
                      <c:pt idx="9">
                        <c:v>22.102144329999998</c:v>
                      </c:pt>
                      <c:pt idx="10">
                        <c:v>26.142461539999999</c:v>
                      </c:pt>
                      <c:pt idx="11">
                        <c:v>29.47625532</c:v>
                      </c:pt>
                      <c:pt idx="12">
                        <c:v>30.86361905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EA1-457D-B25D-8B58E614A828}"/>
                  </c:ext>
                </c:extLst>
              </c15:ser>
            </c15:filteredBarSeries>
          </c:ext>
        </c:extLst>
      </c:barChart>
      <c:catAx>
        <c:axId val="95008005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0080416"/>
        <c:crosses val="autoZero"/>
        <c:auto val="1"/>
        <c:lblAlgn val="ctr"/>
        <c:lblOffset val="100"/>
        <c:noMultiLvlLbl val="0"/>
      </c:catAx>
      <c:valAx>
        <c:axId val="95008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008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'Species percentage'!$D$1</c:f>
              <c:strCache>
                <c:ptCount val="1"/>
                <c:pt idx="0">
                  <c:v>Total Heliconoides inflatus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percentage'!$D$2:$D$16</c:f>
              <c:numCache>
                <c:formatCode>0%</c:formatCode>
                <c:ptCount val="15"/>
                <c:pt idx="0">
                  <c:v>0.25</c:v>
                </c:pt>
                <c:pt idx="1">
                  <c:v>0.36986301369863012</c:v>
                </c:pt>
                <c:pt idx="2">
                  <c:v>0.13559322033898305</c:v>
                </c:pt>
                <c:pt idx="3">
                  <c:v>0.20689655172413793</c:v>
                </c:pt>
                <c:pt idx="4">
                  <c:v>0.20338983050847459</c:v>
                </c:pt>
                <c:pt idx="5">
                  <c:v>0.27777777777777779</c:v>
                </c:pt>
                <c:pt idx="6">
                  <c:v>0.67114093959731547</c:v>
                </c:pt>
                <c:pt idx="7">
                  <c:v>0.5625</c:v>
                </c:pt>
                <c:pt idx="8">
                  <c:v>0.26470588235294118</c:v>
                </c:pt>
                <c:pt idx="9">
                  <c:v>0.5161290322580645</c:v>
                </c:pt>
                <c:pt idx="10">
                  <c:v>0.56287425149700598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3-4830-B9AB-381EEF88EB24}"/>
            </c:ext>
          </c:extLst>
        </c:ser>
        <c:ser>
          <c:idx val="1"/>
          <c:order val="1"/>
          <c:tx>
            <c:strRef>
              <c:f>'Species percentage'!$E$1</c:f>
              <c:strCache>
                <c:ptCount val="1"/>
                <c:pt idx="0">
                  <c:v>Total Heliconoides inflatus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percentage'!$E$2:$E$16</c:f>
              <c:numCache>
                <c:formatCode>0%</c:formatCode>
                <c:ptCount val="15"/>
                <c:pt idx="0">
                  <c:v>0.25</c:v>
                </c:pt>
                <c:pt idx="1">
                  <c:v>0.54794520547945202</c:v>
                </c:pt>
                <c:pt idx="2">
                  <c:v>0.64406779661016944</c:v>
                </c:pt>
                <c:pt idx="3">
                  <c:v>0.48275862068965519</c:v>
                </c:pt>
                <c:pt idx="4">
                  <c:v>0.56779661016949157</c:v>
                </c:pt>
                <c:pt idx="5">
                  <c:v>0.3888888888888889</c:v>
                </c:pt>
                <c:pt idx="6">
                  <c:v>0.13422818791946309</c:v>
                </c:pt>
                <c:pt idx="7">
                  <c:v>0.3125</c:v>
                </c:pt>
                <c:pt idx="8">
                  <c:v>0.17647058823529413</c:v>
                </c:pt>
                <c:pt idx="9">
                  <c:v>3.2258064516129031E-2</c:v>
                </c:pt>
                <c:pt idx="10">
                  <c:v>0.1317365269461078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83-4830-B9AB-381EEF88EB24}"/>
            </c:ext>
          </c:extLst>
        </c:ser>
        <c:ser>
          <c:idx val="2"/>
          <c:order val="2"/>
          <c:tx>
            <c:strRef>
              <c:f>'Species percentage'!$F$1</c:f>
              <c:strCache>
                <c:ptCount val="1"/>
                <c:pt idx="0">
                  <c:v>Total Heliconoides inflatus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percentage'!$F$2:$F$16</c:f>
              <c:numCache>
                <c:formatCode>0%</c:formatCode>
                <c:ptCount val="15"/>
                <c:pt idx="0">
                  <c:v>0</c:v>
                </c:pt>
                <c:pt idx="1">
                  <c:v>2.7397260273972601E-2</c:v>
                </c:pt>
                <c:pt idx="2">
                  <c:v>6.7796610169491525E-2</c:v>
                </c:pt>
                <c:pt idx="3">
                  <c:v>0.10344827586206896</c:v>
                </c:pt>
                <c:pt idx="4">
                  <c:v>1.6949152542372881E-2</c:v>
                </c:pt>
                <c:pt idx="5">
                  <c:v>5.5555555555555552E-2</c:v>
                </c:pt>
                <c:pt idx="6">
                  <c:v>8.0536912751677847E-2</c:v>
                </c:pt>
                <c:pt idx="7">
                  <c:v>0</c:v>
                </c:pt>
                <c:pt idx="8">
                  <c:v>2.9411764705882353E-2</c:v>
                </c:pt>
                <c:pt idx="9">
                  <c:v>0.16129032258064516</c:v>
                </c:pt>
                <c:pt idx="10">
                  <c:v>7.1856287425149698E-2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83-4830-B9AB-381EEF88EB24}"/>
            </c:ext>
          </c:extLst>
        </c:ser>
        <c:ser>
          <c:idx val="3"/>
          <c:order val="3"/>
          <c:tx>
            <c:strRef>
              <c:f>'Species percentage'!$M$1</c:f>
              <c:strCache>
                <c:ptCount val="1"/>
                <c:pt idx="0">
                  <c:v>Total Cavolinia sp.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percentage'!$M$2:$M$16</c:f>
              <c:numCache>
                <c:formatCode>0%</c:formatCode>
                <c:ptCount val="15"/>
                <c:pt idx="0">
                  <c:v>0.25</c:v>
                </c:pt>
                <c:pt idx="1">
                  <c:v>1.3698630136986301E-2</c:v>
                </c:pt>
                <c:pt idx="2">
                  <c:v>6.7796610169491525E-2</c:v>
                </c:pt>
                <c:pt idx="3">
                  <c:v>3.4482758620689655E-2</c:v>
                </c:pt>
                <c:pt idx="4">
                  <c:v>8.4745762711864406E-3</c:v>
                </c:pt>
                <c:pt idx="5">
                  <c:v>0.1111111111111111</c:v>
                </c:pt>
                <c:pt idx="6">
                  <c:v>2.0134228187919462E-2</c:v>
                </c:pt>
                <c:pt idx="7">
                  <c:v>6.25E-2</c:v>
                </c:pt>
                <c:pt idx="8">
                  <c:v>5.8823529411764705E-2</c:v>
                </c:pt>
                <c:pt idx="9">
                  <c:v>9.6774193548387094E-2</c:v>
                </c:pt>
                <c:pt idx="10">
                  <c:v>2.9940119760479042E-2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83-4830-B9AB-381EEF88EB24}"/>
            </c:ext>
          </c:extLst>
        </c:ser>
        <c:ser>
          <c:idx val="4"/>
          <c:order val="4"/>
          <c:tx>
            <c:strRef>
              <c:f>'Species percentage'!$Q$1</c:f>
              <c:strCache>
                <c:ptCount val="1"/>
                <c:pt idx="0">
                  <c:v>Creseis spp.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percentage'!$Q$2:$Q$16</c:f>
              <c:numCache>
                <c:formatCode>0%</c:formatCode>
                <c:ptCount val="15"/>
                <c:pt idx="0">
                  <c:v>0</c:v>
                </c:pt>
                <c:pt idx="1">
                  <c:v>4.1095890410958902E-2</c:v>
                </c:pt>
                <c:pt idx="2">
                  <c:v>6.7796610169491525E-2</c:v>
                </c:pt>
                <c:pt idx="3">
                  <c:v>0.10344827586206896</c:v>
                </c:pt>
                <c:pt idx="4">
                  <c:v>0.13559322033898305</c:v>
                </c:pt>
                <c:pt idx="5">
                  <c:v>0.16666666666666666</c:v>
                </c:pt>
                <c:pt idx="6">
                  <c:v>8.0536912751677861E-2</c:v>
                </c:pt>
                <c:pt idx="7">
                  <c:v>6.25E-2</c:v>
                </c:pt>
                <c:pt idx="8">
                  <c:v>0.44117647058823534</c:v>
                </c:pt>
                <c:pt idx="9">
                  <c:v>0.12903225806451613</c:v>
                </c:pt>
                <c:pt idx="10">
                  <c:v>0.15568862275449102</c:v>
                </c:pt>
                <c:pt idx="11">
                  <c:v>0.5</c:v>
                </c:pt>
                <c:pt idx="12">
                  <c:v>0.66666666666666663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83-4830-B9AB-381EEF88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023488"/>
        <c:axId val="1217024208"/>
      </c:scatterChart>
      <c:valAx>
        <c:axId val="121702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17024208"/>
        <c:crosses val="autoZero"/>
        <c:crossBetween val="midCat"/>
      </c:valAx>
      <c:valAx>
        <c:axId val="12170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1702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23673144198591"/>
          <c:y val="4.0424088453513425E-2"/>
          <c:w val="0.73257160442920322"/>
          <c:h val="0.78515629314337698"/>
        </c:manualLayout>
      </c:layout>
      <c:areaChart>
        <c:grouping val="percentStacked"/>
        <c:varyColors val="0"/>
        <c:ser>
          <c:idx val="0"/>
          <c:order val="0"/>
          <c:tx>
            <c:strRef>
              <c:f>'Species percentage'!$AP$20</c:f>
              <c:strCache>
                <c:ptCount val="1"/>
                <c:pt idx="0">
                  <c:v>H. inflatus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'Species percentage'!$AO$21:$AO$35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cat>
          <c:val>
            <c:numRef>
              <c:f>'Species percentage'!$AP$21:$AP$35</c:f>
              <c:numCache>
                <c:formatCode>0%</c:formatCode>
                <c:ptCount val="15"/>
                <c:pt idx="0">
                  <c:v>0.33333333333333331</c:v>
                </c:pt>
                <c:pt idx="1">
                  <c:v>0.36986301369863012</c:v>
                </c:pt>
                <c:pt idx="2">
                  <c:v>0.13793103448275862</c:v>
                </c:pt>
                <c:pt idx="3">
                  <c:v>0.22222222222222221</c:v>
                </c:pt>
                <c:pt idx="4">
                  <c:v>0.21818181818181817</c:v>
                </c:pt>
                <c:pt idx="5">
                  <c:v>0.27777777777777779</c:v>
                </c:pt>
                <c:pt idx="6">
                  <c:v>0.68027210884353739</c:v>
                </c:pt>
                <c:pt idx="7">
                  <c:v>0.5625</c:v>
                </c:pt>
                <c:pt idx="8">
                  <c:v>0.27272727272727271</c:v>
                </c:pt>
                <c:pt idx="9">
                  <c:v>0.55172413793103448</c:v>
                </c:pt>
                <c:pt idx="10">
                  <c:v>0.5911949685534591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5-4890-A7BB-E7495D9FEAE0}"/>
            </c:ext>
          </c:extLst>
        </c:ser>
        <c:ser>
          <c:idx val="1"/>
          <c:order val="1"/>
          <c:tx>
            <c:strRef>
              <c:f>'Species percentage'!$AQ$20</c:f>
              <c:strCache>
                <c:ptCount val="1"/>
                <c:pt idx="0">
                  <c:v>L. trochiformis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'Species percentage'!$AO$21:$AO$35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cat>
          <c:val>
            <c:numRef>
              <c:f>'Species percentage'!$AQ$21:$AQ$35</c:f>
              <c:numCache>
                <c:formatCode>0%</c:formatCode>
                <c:ptCount val="15"/>
                <c:pt idx="0">
                  <c:v>0.33333333333333331</c:v>
                </c:pt>
                <c:pt idx="1">
                  <c:v>0.54794520547945202</c:v>
                </c:pt>
                <c:pt idx="2">
                  <c:v>0.65517241379310343</c:v>
                </c:pt>
                <c:pt idx="3">
                  <c:v>0.51851851851851849</c:v>
                </c:pt>
                <c:pt idx="4">
                  <c:v>0.60909090909090913</c:v>
                </c:pt>
                <c:pt idx="5">
                  <c:v>0.3888888888888889</c:v>
                </c:pt>
                <c:pt idx="6">
                  <c:v>0.1360544217687075</c:v>
                </c:pt>
                <c:pt idx="7">
                  <c:v>0.3125</c:v>
                </c:pt>
                <c:pt idx="8">
                  <c:v>0.18181818181818182</c:v>
                </c:pt>
                <c:pt idx="9">
                  <c:v>3.4482758620689655E-2</c:v>
                </c:pt>
                <c:pt idx="10">
                  <c:v>0.13836477987421383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55-4890-A7BB-E7495D9FEAE0}"/>
            </c:ext>
          </c:extLst>
        </c:ser>
        <c:ser>
          <c:idx val="2"/>
          <c:order val="2"/>
          <c:tx>
            <c:strRef>
              <c:f>'Species percentage'!$AR$20</c:f>
              <c:strCache>
                <c:ptCount val="1"/>
                <c:pt idx="0">
                  <c:v>L. retroversa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'Species percentage'!$AO$21:$AO$35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cat>
          <c:val>
            <c:numRef>
              <c:f>'Species percentage'!$AR$21:$AR$35</c:f>
              <c:numCache>
                <c:formatCode>0%</c:formatCode>
                <c:ptCount val="15"/>
                <c:pt idx="0">
                  <c:v>0</c:v>
                </c:pt>
                <c:pt idx="1">
                  <c:v>2.7397260273972601E-2</c:v>
                </c:pt>
                <c:pt idx="2">
                  <c:v>6.8965517241379309E-2</c:v>
                </c:pt>
                <c:pt idx="3">
                  <c:v>0.1111111111111111</c:v>
                </c:pt>
                <c:pt idx="4">
                  <c:v>1.8181818181818181E-2</c:v>
                </c:pt>
                <c:pt idx="5">
                  <c:v>5.5555555555555552E-2</c:v>
                </c:pt>
                <c:pt idx="6">
                  <c:v>8.1632653061224483E-2</c:v>
                </c:pt>
                <c:pt idx="7">
                  <c:v>0</c:v>
                </c:pt>
                <c:pt idx="8">
                  <c:v>3.0303030303030304E-2</c:v>
                </c:pt>
                <c:pt idx="9">
                  <c:v>0.17241379310344829</c:v>
                </c:pt>
                <c:pt idx="10">
                  <c:v>7.5471698113207544E-2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55-4890-A7BB-E7495D9FEAE0}"/>
            </c:ext>
          </c:extLst>
        </c:ser>
        <c:ser>
          <c:idx val="3"/>
          <c:order val="3"/>
          <c:tx>
            <c:strRef>
              <c:f>'Species percentage'!$AS$20</c:f>
              <c:strCache>
                <c:ptCount val="1"/>
                <c:pt idx="0">
                  <c:v>Creseis spp.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'Species percentage'!$AO$21:$AO$35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cat>
          <c:val>
            <c:numRef>
              <c:f>'Species percentage'!$AS$21:$AS$35</c:f>
              <c:numCache>
                <c:formatCode>0%</c:formatCode>
                <c:ptCount val="15"/>
                <c:pt idx="0">
                  <c:v>0</c:v>
                </c:pt>
                <c:pt idx="1">
                  <c:v>4.1095890410958902E-2</c:v>
                </c:pt>
                <c:pt idx="2">
                  <c:v>6.8965517241379309E-2</c:v>
                </c:pt>
                <c:pt idx="3">
                  <c:v>0.1111111111111111</c:v>
                </c:pt>
                <c:pt idx="4">
                  <c:v>0.14545454545454545</c:v>
                </c:pt>
                <c:pt idx="5">
                  <c:v>0.16666666666666666</c:v>
                </c:pt>
                <c:pt idx="6">
                  <c:v>8.1632653061224483E-2</c:v>
                </c:pt>
                <c:pt idx="7">
                  <c:v>6.25E-2</c:v>
                </c:pt>
                <c:pt idx="8">
                  <c:v>0.45454545454545453</c:v>
                </c:pt>
                <c:pt idx="9">
                  <c:v>0.13793103448275862</c:v>
                </c:pt>
                <c:pt idx="10">
                  <c:v>0.16352201257861634</c:v>
                </c:pt>
                <c:pt idx="11">
                  <c:v>0.5</c:v>
                </c:pt>
                <c:pt idx="12">
                  <c:v>0.66666666666666663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55-4890-A7BB-E7495D9FEAE0}"/>
            </c:ext>
          </c:extLst>
        </c:ser>
        <c:ser>
          <c:idx val="4"/>
          <c:order val="4"/>
          <c:tx>
            <c:strRef>
              <c:f>'Species percentage'!$AT$20</c:f>
              <c:strCache>
                <c:ptCount val="1"/>
                <c:pt idx="0">
                  <c:v>Cavolinia sp.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'Species percentage'!$AO$21:$AO$35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cat>
          <c:val>
            <c:numRef>
              <c:f>'Species percentage'!$AT$21:$AT$35</c:f>
              <c:numCache>
                <c:formatCode>0%</c:formatCode>
                <c:ptCount val="15"/>
                <c:pt idx="0">
                  <c:v>0.33333333333333331</c:v>
                </c:pt>
                <c:pt idx="1">
                  <c:v>1.3698630136986301E-2</c:v>
                </c:pt>
                <c:pt idx="2">
                  <c:v>6.8965517241379309E-2</c:v>
                </c:pt>
                <c:pt idx="3">
                  <c:v>3.7037037037037035E-2</c:v>
                </c:pt>
                <c:pt idx="4">
                  <c:v>9.0909090909090905E-3</c:v>
                </c:pt>
                <c:pt idx="5">
                  <c:v>0.1111111111111111</c:v>
                </c:pt>
                <c:pt idx="6">
                  <c:v>2.0408163265306121E-2</c:v>
                </c:pt>
                <c:pt idx="7">
                  <c:v>6.25E-2</c:v>
                </c:pt>
                <c:pt idx="8">
                  <c:v>6.0606060606060608E-2</c:v>
                </c:pt>
                <c:pt idx="9">
                  <c:v>0.10344827586206896</c:v>
                </c:pt>
                <c:pt idx="10">
                  <c:v>3.1446540880503145E-2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55-4890-A7BB-E7495D9F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951368"/>
        <c:axId val="760952448"/>
      </c:areaChart>
      <c:catAx>
        <c:axId val="760951368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60952448"/>
        <c:crosses val="autoZero"/>
        <c:auto val="1"/>
        <c:lblAlgn val="ctr"/>
        <c:lblOffset val="100"/>
        <c:tickLblSkip val="1"/>
        <c:noMultiLvlLbl val="0"/>
      </c:catAx>
      <c:valAx>
        <c:axId val="7609524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Abundance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60951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11261059564726"/>
          <c:y val="0.35603450929670377"/>
          <c:w val="0.13288738940435271"/>
          <c:h val="0.28793074641287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Paleoproductivity</a:t>
            </a:r>
            <a:r>
              <a:rPr lang="nl-NL" baseline="0"/>
              <a:t> using p/p+b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'[1]T89-16t'!$F$6:$F$69</c:f>
              <c:numCache>
                <c:formatCode>General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'[1]T89-16t'!$AT$6:$AT$69</c:f>
              <c:numCache>
                <c:formatCode>General</c:formatCode>
                <c:ptCount val="64"/>
                <c:pt idx="0">
                  <c:v>58.5</c:v>
                </c:pt>
                <c:pt idx="1">
                  <c:v>42.31</c:v>
                </c:pt>
                <c:pt idx="2">
                  <c:v>61.2</c:v>
                </c:pt>
                <c:pt idx="3">
                  <c:v>57.46</c:v>
                </c:pt>
                <c:pt idx="4">
                  <c:v>54.5</c:v>
                </c:pt>
                <c:pt idx="5">
                  <c:v>50.5</c:v>
                </c:pt>
                <c:pt idx="6">
                  <c:v>50.6</c:v>
                </c:pt>
                <c:pt idx="7">
                  <c:v>45.5</c:v>
                </c:pt>
                <c:pt idx="8">
                  <c:v>44.4</c:v>
                </c:pt>
                <c:pt idx="9">
                  <c:v>44.9</c:v>
                </c:pt>
                <c:pt idx="10">
                  <c:v>43.7</c:v>
                </c:pt>
                <c:pt idx="11">
                  <c:v>51.6</c:v>
                </c:pt>
                <c:pt idx="12">
                  <c:v>57.4</c:v>
                </c:pt>
                <c:pt idx="13">
                  <c:v>58</c:v>
                </c:pt>
                <c:pt idx="14">
                  <c:v>50.2</c:v>
                </c:pt>
                <c:pt idx="15">
                  <c:v>40.799999999999997</c:v>
                </c:pt>
                <c:pt idx="16">
                  <c:v>42.7</c:v>
                </c:pt>
                <c:pt idx="17">
                  <c:v>41.7</c:v>
                </c:pt>
                <c:pt idx="18">
                  <c:v>46.9</c:v>
                </c:pt>
                <c:pt idx="19">
                  <c:v>52.1</c:v>
                </c:pt>
                <c:pt idx="20">
                  <c:v>77.900000000000006</c:v>
                </c:pt>
                <c:pt idx="21">
                  <c:v>78.5</c:v>
                </c:pt>
                <c:pt idx="22">
                  <c:v>79.900000000000006</c:v>
                </c:pt>
                <c:pt idx="23">
                  <c:v>18.2</c:v>
                </c:pt>
                <c:pt idx="24">
                  <c:v>26.3</c:v>
                </c:pt>
                <c:pt idx="25">
                  <c:v>42.7</c:v>
                </c:pt>
                <c:pt idx="26">
                  <c:v>33</c:v>
                </c:pt>
                <c:pt idx="27">
                  <c:v>60.6</c:v>
                </c:pt>
                <c:pt idx="28">
                  <c:v>64.2</c:v>
                </c:pt>
                <c:pt idx="29">
                  <c:v>78.2</c:v>
                </c:pt>
                <c:pt idx="30">
                  <c:v>74.8</c:v>
                </c:pt>
                <c:pt idx="31">
                  <c:v>84.2</c:v>
                </c:pt>
                <c:pt idx="32">
                  <c:v>75.599999999999994</c:v>
                </c:pt>
                <c:pt idx="33">
                  <c:v>84.1</c:v>
                </c:pt>
                <c:pt idx="34">
                  <c:v>80.7</c:v>
                </c:pt>
                <c:pt idx="35">
                  <c:v>82.6</c:v>
                </c:pt>
                <c:pt idx="36">
                  <c:v>38.700000000000003</c:v>
                </c:pt>
                <c:pt idx="37">
                  <c:v>11</c:v>
                </c:pt>
                <c:pt idx="38">
                  <c:v>43.8</c:v>
                </c:pt>
                <c:pt idx="39">
                  <c:v>64.099999999999994</c:v>
                </c:pt>
                <c:pt idx="40">
                  <c:v>37.700000000000003</c:v>
                </c:pt>
                <c:pt idx="41">
                  <c:v>63.3</c:v>
                </c:pt>
                <c:pt idx="42">
                  <c:v>65.7</c:v>
                </c:pt>
                <c:pt idx="43">
                  <c:v>68</c:v>
                </c:pt>
                <c:pt idx="44">
                  <c:v>72</c:v>
                </c:pt>
                <c:pt idx="45">
                  <c:v>65.599999999999994</c:v>
                </c:pt>
                <c:pt idx="46">
                  <c:v>72.400000000000006</c:v>
                </c:pt>
                <c:pt idx="47">
                  <c:v>64.5</c:v>
                </c:pt>
                <c:pt idx="48">
                  <c:v>33.200000000000003</c:v>
                </c:pt>
                <c:pt idx="49">
                  <c:v>33.299999999999997</c:v>
                </c:pt>
                <c:pt idx="50">
                  <c:v>30.4</c:v>
                </c:pt>
                <c:pt idx="51">
                  <c:v>63.1</c:v>
                </c:pt>
                <c:pt idx="52">
                  <c:v>65.3</c:v>
                </c:pt>
                <c:pt idx="53">
                  <c:v>49.5</c:v>
                </c:pt>
                <c:pt idx="54">
                  <c:v>33.700000000000003</c:v>
                </c:pt>
                <c:pt idx="55">
                  <c:v>48</c:v>
                </c:pt>
                <c:pt idx="56">
                  <c:v>30.3</c:v>
                </c:pt>
                <c:pt idx="57">
                  <c:v>48.4</c:v>
                </c:pt>
                <c:pt idx="58">
                  <c:v>54.7</c:v>
                </c:pt>
                <c:pt idx="59">
                  <c:v>41.6</c:v>
                </c:pt>
                <c:pt idx="60">
                  <c:v>69.900000000000006</c:v>
                </c:pt>
                <c:pt idx="61">
                  <c:v>65.900000000000006</c:v>
                </c:pt>
                <c:pt idx="62">
                  <c:v>67</c:v>
                </c:pt>
                <c:pt idx="63">
                  <c:v>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7-4286-BCD8-29CFC93F3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461592"/>
        <c:axId val="357460152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Total!$E$2:$E$16</c:f>
              <c:numCache>
                <c:formatCode>General</c:formatCode>
                <c:ptCount val="15"/>
                <c:pt idx="0">
                  <c:v>4</c:v>
                </c:pt>
                <c:pt idx="1">
                  <c:v>73</c:v>
                </c:pt>
                <c:pt idx="2">
                  <c:v>59</c:v>
                </c:pt>
                <c:pt idx="3">
                  <c:v>99</c:v>
                </c:pt>
                <c:pt idx="4">
                  <c:v>343.27</c:v>
                </c:pt>
                <c:pt idx="5">
                  <c:v>18</c:v>
                </c:pt>
                <c:pt idx="6">
                  <c:v>1230.45</c:v>
                </c:pt>
                <c:pt idx="7">
                  <c:v>16</c:v>
                </c:pt>
                <c:pt idx="8">
                  <c:v>34</c:v>
                </c:pt>
                <c:pt idx="9">
                  <c:v>31</c:v>
                </c:pt>
                <c:pt idx="10">
                  <c:v>167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9-413E-B289-60066A9CC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694992"/>
        <c:axId val="1551694512"/>
      </c:scatterChart>
      <c:valAx>
        <c:axId val="3574615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460152"/>
        <c:crosses val="autoZero"/>
        <c:crossBetween val="midCat"/>
      </c:valAx>
      <c:valAx>
        <c:axId val="35746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p/p+b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461592"/>
        <c:crosses val="autoZero"/>
        <c:crossBetween val="midCat"/>
      </c:valAx>
      <c:valAx>
        <c:axId val="15516945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1694992"/>
        <c:crosses val="max"/>
        <c:crossBetween val="midCat"/>
      </c:valAx>
      <c:valAx>
        <c:axId val="155169499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55169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Planktonic forminifera</a:t>
            </a:r>
            <a:r>
              <a:rPr lang="nl-NL" baseline="0"/>
              <a:t> and pteropods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'[1]T89-16t'!$F$6:$F$69</c:f>
              <c:numCache>
                <c:formatCode>General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'[1]T89-16t'!$AR$6:$AR$69</c:f>
              <c:numCache>
                <c:formatCode>General</c:formatCode>
                <c:ptCount val="64"/>
                <c:pt idx="0">
                  <c:v>16.53290529695024</c:v>
                </c:pt>
                <c:pt idx="1">
                  <c:v>2.8156996587030716</c:v>
                </c:pt>
                <c:pt idx="2">
                  <c:v>29.481733220050977</c:v>
                </c:pt>
                <c:pt idx="3">
                  <c:v>23.335826477187734</c:v>
                </c:pt>
                <c:pt idx="4">
                  <c:v>18.965517241379313</c:v>
                </c:pt>
                <c:pt idx="5">
                  <c:v>26.730564430244939</c:v>
                </c:pt>
                <c:pt idx="6">
                  <c:v>15.375302663438257</c:v>
                </c:pt>
                <c:pt idx="7">
                  <c:v>23.642943305186975</c:v>
                </c:pt>
                <c:pt idx="8">
                  <c:v>18.243243243243246</c:v>
                </c:pt>
                <c:pt idx="9">
                  <c:v>21.963070942662782</c:v>
                </c:pt>
                <c:pt idx="10">
                  <c:v>22.107674684994272</c:v>
                </c:pt>
                <c:pt idx="11">
                  <c:v>23.593618807724599</c:v>
                </c:pt>
                <c:pt idx="12">
                  <c:v>22.672064777327932</c:v>
                </c:pt>
                <c:pt idx="13">
                  <c:v>40.867810292633706</c:v>
                </c:pt>
                <c:pt idx="14">
                  <c:v>27.452596867271225</c:v>
                </c:pt>
                <c:pt idx="15">
                  <c:v>26.169064748201439</c:v>
                </c:pt>
                <c:pt idx="16">
                  <c:v>44.339622641509436</c:v>
                </c:pt>
                <c:pt idx="17">
                  <c:v>32.745398773006137</c:v>
                </c:pt>
                <c:pt idx="18">
                  <c:v>42.597898758357211</c:v>
                </c:pt>
                <c:pt idx="19">
                  <c:v>69.409660107334531</c:v>
                </c:pt>
                <c:pt idx="20">
                  <c:v>264.21455938697318</c:v>
                </c:pt>
                <c:pt idx="21">
                  <c:v>262.89962825278809</c:v>
                </c:pt>
                <c:pt idx="22">
                  <c:v>240.10484927916121</c:v>
                </c:pt>
                <c:pt idx="23">
                  <c:v>36.942675159235669</c:v>
                </c:pt>
                <c:pt idx="24">
                  <c:v>61.16642958748222</c:v>
                </c:pt>
                <c:pt idx="25">
                  <c:v>61.661129568106311</c:v>
                </c:pt>
                <c:pt idx="26">
                  <c:v>60.981496379726472</c:v>
                </c:pt>
                <c:pt idx="27">
                  <c:v>101.42671854734111</c:v>
                </c:pt>
                <c:pt idx="28">
                  <c:v>116.84542586750788</c:v>
                </c:pt>
                <c:pt idx="29">
                  <c:v>207.2852233676976</c:v>
                </c:pt>
                <c:pt idx="30">
                  <c:v>205.22875816993465</c:v>
                </c:pt>
                <c:pt idx="31">
                  <c:v>240</c:v>
                </c:pt>
                <c:pt idx="32">
                  <c:v>220.26947861745754</c:v>
                </c:pt>
                <c:pt idx="33">
                  <c:v>534.11420204978037</c:v>
                </c:pt>
                <c:pt idx="34">
                  <c:v>589.11660777385157</c:v>
                </c:pt>
                <c:pt idx="35">
                  <c:v>441.96226415094338</c:v>
                </c:pt>
                <c:pt idx="36">
                  <c:v>104.98141263940521</c:v>
                </c:pt>
                <c:pt idx="37">
                  <c:v>69.51124903025601</c:v>
                </c:pt>
                <c:pt idx="38">
                  <c:v>918.76750700280115</c:v>
                </c:pt>
                <c:pt idx="39">
                  <c:v>783.77535101404055</c:v>
                </c:pt>
                <c:pt idx="40">
                  <c:v>783.71375694016035</c:v>
                </c:pt>
                <c:pt idx="41">
                  <c:v>1317.4129353233832</c:v>
                </c:pt>
                <c:pt idx="42">
                  <c:v>1330.9222423146473</c:v>
                </c:pt>
                <c:pt idx="43">
                  <c:v>1210.6154714850366</c:v>
                </c:pt>
                <c:pt idx="44">
                  <c:v>348.90077243018425</c:v>
                </c:pt>
                <c:pt idx="45">
                  <c:v>367.6455435342607</c:v>
                </c:pt>
                <c:pt idx="46">
                  <c:v>246.69260700389106</c:v>
                </c:pt>
                <c:pt idx="47">
                  <c:v>333.70165745856355</c:v>
                </c:pt>
                <c:pt idx="48">
                  <c:v>855.65217391304338</c:v>
                </c:pt>
                <c:pt idx="49">
                  <c:v>1045.8658346333852</c:v>
                </c:pt>
                <c:pt idx="50">
                  <c:v>454.96598639455783</c:v>
                </c:pt>
                <c:pt idx="51">
                  <c:v>250.74626865671641</c:v>
                </c:pt>
                <c:pt idx="52">
                  <c:v>264.18109187749667</c:v>
                </c:pt>
                <c:pt idx="53">
                  <c:v>362.3800383877159</c:v>
                </c:pt>
                <c:pt idx="54">
                  <c:v>572.11474316210808</c:v>
                </c:pt>
                <c:pt idx="55">
                  <c:v>388.02045288531775</c:v>
                </c:pt>
                <c:pt idx="56">
                  <c:v>180.21390374331548</c:v>
                </c:pt>
                <c:pt idx="57">
                  <c:v>596.36363636363637</c:v>
                </c:pt>
                <c:pt idx="58">
                  <c:v>393.25301204819272</c:v>
                </c:pt>
                <c:pt idx="59">
                  <c:v>427.91788856304981</c:v>
                </c:pt>
                <c:pt idx="60">
                  <c:v>332.46753246753246</c:v>
                </c:pt>
                <c:pt idx="61">
                  <c:v>339.67046894803548</c:v>
                </c:pt>
                <c:pt idx="62">
                  <c:v>385.96491228070175</c:v>
                </c:pt>
                <c:pt idx="63">
                  <c:v>404.22927100723433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44-4053-9E22-0228DDBB4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095880"/>
        <c:axId val="866096240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Total!$J$2:$J$17</c:f>
              <c:numCache>
                <c:formatCode>General</c:formatCode>
                <c:ptCount val="16"/>
                <c:pt idx="0">
                  <c:v>0.48</c:v>
                </c:pt>
                <c:pt idx="1">
                  <c:v>7.37</c:v>
                </c:pt>
                <c:pt idx="2">
                  <c:v>4.8600000000000003</c:v>
                </c:pt>
                <c:pt idx="3">
                  <c:v>9.4600000000000009</c:v>
                </c:pt>
                <c:pt idx="4">
                  <c:v>25.52</c:v>
                </c:pt>
                <c:pt idx="5">
                  <c:v>1.31</c:v>
                </c:pt>
                <c:pt idx="6">
                  <c:v>90.08</c:v>
                </c:pt>
                <c:pt idx="7">
                  <c:v>1.24</c:v>
                </c:pt>
                <c:pt idx="8">
                  <c:v>2.65</c:v>
                </c:pt>
                <c:pt idx="9">
                  <c:v>1.93</c:v>
                </c:pt>
                <c:pt idx="10">
                  <c:v>8.6</c:v>
                </c:pt>
                <c:pt idx="11">
                  <c:v>0.14000000000000001</c:v>
                </c:pt>
                <c:pt idx="12">
                  <c:v>0.19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44-4053-9E22-0228DDBB4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005920"/>
        <c:axId val="1548005560"/>
      </c:scatterChart>
      <c:valAx>
        <c:axId val="86609588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6096240"/>
        <c:crosses val="autoZero"/>
        <c:crossBetween val="midCat"/>
      </c:valAx>
      <c:valAx>
        <c:axId val="8660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∑plf/gram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6095880"/>
        <c:crosses val="autoZero"/>
        <c:crossBetween val="midCat"/>
      </c:valAx>
      <c:valAx>
        <c:axId val="15480055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pteropods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8005920"/>
        <c:crosses val="max"/>
        <c:crossBetween val="midCat"/>
      </c:valAx>
      <c:valAx>
        <c:axId val="15480059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548005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Productivity</a:t>
            </a:r>
            <a:r>
              <a:rPr lang="nl-NL" baseline="0"/>
              <a:t> over time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[1]TGA!$C$3:$C$77</c:f>
              <c:numCache>
                <c:formatCode>General</c:formatCode>
                <c:ptCount val="75"/>
                <c:pt idx="0">
                  <c:v>9.0541578949999995</c:v>
                </c:pt>
                <c:pt idx="1">
                  <c:v>9.3093157889999993</c:v>
                </c:pt>
                <c:pt idx="2">
                  <c:v>9.6123157890000002</c:v>
                </c:pt>
                <c:pt idx="3">
                  <c:v>9.7398947370000002</c:v>
                </c:pt>
                <c:pt idx="4">
                  <c:v>9.8674736840000001</c:v>
                </c:pt>
                <c:pt idx="5">
                  <c:v>10.186421050000002</c:v>
                </c:pt>
                <c:pt idx="6">
                  <c:v>10.53726316</c:v>
                </c:pt>
                <c:pt idx="7">
                  <c:v>10.776473679999999</c:v>
                </c:pt>
                <c:pt idx="8">
                  <c:v>10.935947369999999</c:v>
                </c:pt>
                <c:pt idx="9">
                  <c:v>11.19110526</c:v>
                </c:pt>
                <c:pt idx="10">
                  <c:v>11.99153398</c:v>
                </c:pt>
                <c:pt idx="11">
                  <c:v>12.10326214</c:v>
                </c:pt>
                <c:pt idx="12">
                  <c:v>12.582507769999999</c:v>
                </c:pt>
                <c:pt idx="13">
                  <c:v>12.666632120000001</c:v>
                </c:pt>
                <c:pt idx="14">
                  <c:v>12.704870469999999</c:v>
                </c:pt>
                <c:pt idx="15">
                  <c:v>12.746932640000001</c:v>
                </c:pt>
                <c:pt idx="16">
                  <c:v>12.81958549</c:v>
                </c:pt>
                <c:pt idx="17">
                  <c:v>12.974816329999999</c:v>
                </c:pt>
                <c:pt idx="18">
                  <c:v>13.22148299</c:v>
                </c:pt>
                <c:pt idx="19">
                  <c:v>13.7395</c:v>
                </c:pt>
                <c:pt idx="20">
                  <c:v>13.862500000000001</c:v>
                </c:pt>
                <c:pt idx="21">
                  <c:v>15.106563640000001</c:v>
                </c:pt>
                <c:pt idx="22">
                  <c:v>15.297745450000001</c:v>
                </c:pt>
                <c:pt idx="23">
                  <c:v>15.68010909</c:v>
                </c:pt>
                <c:pt idx="24">
                  <c:v>15.986000000000001</c:v>
                </c:pt>
                <c:pt idx="25">
                  <c:v>16.164000000000001</c:v>
                </c:pt>
                <c:pt idx="26">
                  <c:v>16.486222219999998</c:v>
                </c:pt>
                <c:pt idx="27">
                  <c:v>17.150833330000001</c:v>
                </c:pt>
                <c:pt idx="28">
                  <c:v>17.402000000000001</c:v>
                </c:pt>
                <c:pt idx="29">
                  <c:v>17.607500000000002</c:v>
                </c:pt>
                <c:pt idx="30">
                  <c:v>18.00630928</c:v>
                </c:pt>
                <c:pt idx="31">
                  <c:v>18.336618559999998</c:v>
                </c:pt>
                <c:pt idx="32">
                  <c:v>18.799051550000001</c:v>
                </c:pt>
                <c:pt idx="33">
                  <c:v>19.789979380000002</c:v>
                </c:pt>
                <c:pt idx="34">
                  <c:v>19.988164949999998</c:v>
                </c:pt>
                <c:pt idx="35">
                  <c:v>20.12028866</c:v>
                </c:pt>
                <c:pt idx="36">
                  <c:v>20.78090722</c:v>
                </c:pt>
                <c:pt idx="37">
                  <c:v>21.24334021</c:v>
                </c:pt>
                <c:pt idx="38">
                  <c:v>21.639711340000002</c:v>
                </c:pt>
                <c:pt idx="39">
                  <c:v>22.23426804</c:v>
                </c:pt>
                <c:pt idx="40">
                  <c:v>22.43245361</c:v>
                </c:pt>
                <c:pt idx="41">
                  <c:v>23.819752579999999</c:v>
                </c:pt>
                <c:pt idx="42">
                  <c:v>24.547153849999997</c:v>
                </c:pt>
                <c:pt idx="43">
                  <c:v>25.216153849999998</c:v>
                </c:pt>
                <c:pt idx="44">
                  <c:v>25.73076923</c:v>
                </c:pt>
                <c:pt idx="45">
                  <c:v>26.142461539999999</c:v>
                </c:pt>
                <c:pt idx="46">
                  <c:v>26.39976923</c:v>
                </c:pt>
                <c:pt idx="47">
                  <c:v>27.171692309999997</c:v>
                </c:pt>
                <c:pt idx="48">
                  <c:v>27.326076919999998</c:v>
                </c:pt>
                <c:pt idx="49">
                  <c:v>27.686307690000003</c:v>
                </c:pt>
                <c:pt idx="50">
                  <c:v>28.046538460000001</c:v>
                </c:pt>
                <c:pt idx="51">
                  <c:v>28.857446810000003</c:v>
                </c:pt>
                <c:pt idx="52">
                  <c:v>29.166851060000003</c:v>
                </c:pt>
                <c:pt idx="53">
                  <c:v>29.47625532</c:v>
                </c:pt>
                <c:pt idx="54">
                  <c:v>29.7012766</c:v>
                </c:pt>
                <c:pt idx="55">
                  <c:v>29.89817021</c:v>
                </c:pt>
                <c:pt idx="56">
                  <c:v>30.038808509999999</c:v>
                </c:pt>
                <c:pt idx="57">
                  <c:v>30.207574470000001</c:v>
                </c:pt>
                <c:pt idx="58">
                  <c:v>30.516978720000001</c:v>
                </c:pt>
                <c:pt idx="59">
                  <c:v>30.65761702</c:v>
                </c:pt>
                <c:pt idx="60">
                  <c:v>30.766323810000003</c:v>
                </c:pt>
                <c:pt idx="61">
                  <c:v>30.93659048</c:v>
                </c:pt>
                <c:pt idx="62">
                  <c:v>31.021723810000001</c:v>
                </c:pt>
                <c:pt idx="63">
                  <c:v>31.119019049999999</c:v>
                </c:pt>
                <c:pt idx="64">
                  <c:v>31.21631429</c:v>
                </c:pt>
                <c:pt idx="65">
                  <c:v>31.32577143</c:v>
                </c:pt>
                <c:pt idx="66">
                  <c:v>31.556847619999999</c:v>
                </c:pt>
                <c:pt idx="67">
                  <c:v>32.018999999999998</c:v>
                </c:pt>
                <c:pt idx="68">
                  <c:v>32.308999999999997</c:v>
                </c:pt>
                <c:pt idx="69">
                  <c:v>32.540999999999997</c:v>
                </c:pt>
                <c:pt idx="70">
                  <c:v>32.744</c:v>
                </c:pt>
                <c:pt idx="71">
                  <c:v>32.947000000000003</c:v>
                </c:pt>
                <c:pt idx="72">
                  <c:v>33.265999999999998</c:v>
                </c:pt>
                <c:pt idx="73">
                  <c:v>33.701000000000001</c:v>
                </c:pt>
                <c:pt idx="74">
                  <c:v>33.991</c:v>
                </c:pt>
              </c:numCache>
            </c:numRef>
          </c:xVal>
          <c:yVal>
            <c:numRef>
              <c:f>[1]TGA!$J$3:$J$77</c:f>
              <c:numCache>
                <c:formatCode>General</c:formatCode>
                <c:ptCount val="75"/>
                <c:pt idx="0">
                  <c:v>19.289000000000001</c:v>
                </c:pt>
                <c:pt idx="1">
                  <c:v>19.919999999999998</c:v>
                </c:pt>
                <c:pt idx="2">
                  <c:v>20.058</c:v>
                </c:pt>
                <c:pt idx="3">
                  <c:v>19.387999999999998</c:v>
                </c:pt>
                <c:pt idx="4">
                  <c:v>20.318000000000001</c:v>
                </c:pt>
                <c:pt idx="5">
                  <c:v>20.132999999999999</c:v>
                </c:pt>
                <c:pt idx="6">
                  <c:v>19.323999999999998</c:v>
                </c:pt>
                <c:pt idx="7">
                  <c:v>19.518000000000001</c:v>
                </c:pt>
                <c:pt idx="8">
                  <c:v>19.541</c:v>
                </c:pt>
                <c:pt idx="9">
                  <c:v>19.261000000000003</c:v>
                </c:pt>
                <c:pt idx="10">
                  <c:v>18.881999999999998</c:v>
                </c:pt>
                <c:pt idx="11">
                  <c:v>18.902000000000001</c:v>
                </c:pt>
                <c:pt idx="12">
                  <c:v>19.207000000000001</c:v>
                </c:pt>
                <c:pt idx="13">
                  <c:v>18.640999999999998</c:v>
                </c:pt>
                <c:pt idx="14">
                  <c:v>18.881</c:v>
                </c:pt>
                <c:pt idx="15">
                  <c:v>19.048000000000002</c:v>
                </c:pt>
                <c:pt idx="16">
                  <c:v>19.972999999999999</c:v>
                </c:pt>
                <c:pt idx="17">
                  <c:v>19.414000000000001</c:v>
                </c:pt>
                <c:pt idx="18">
                  <c:v>19.407</c:v>
                </c:pt>
                <c:pt idx="19">
                  <c:v>18.905999999999999</c:v>
                </c:pt>
                <c:pt idx="20">
                  <c:v>18.611000000000001</c:v>
                </c:pt>
                <c:pt idx="21">
                  <c:v>18.752000000000002</c:v>
                </c:pt>
                <c:pt idx="22">
                  <c:v>18.617000000000001</c:v>
                </c:pt>
                <c:pt idx="23">
                  <c:v>18.877000000000002</c:v>
                </c:pt>
                <c:pt idx="24">
                  <c:v>19.058999999999997</c:v>
                </c:pt>
                <c:pt idx="25">
                  <c:v>18.483999999999998</c:v>
                </c:pt>
                <c:pt idx="26">
                  <c:v>19.227</c:v>
                </c:pt>
                <c:pt idx="27">
                  <c:v>21.056000000000001</c:v>
                </c:pt>
                <c:pt idx="28">
                  <c:v>20.863</c:v>
                </c:pt>
                <c:pt idx="29">
                  <c:v>21.158999999999999</c:v>
                </c:pt>
                <c:pt idx="30">
                  <c:v>20.538</c:v>
                </c:pt>
                <c:pt idx="31">
                  <c:v>20.527000000000001</c:v>
                </c:pt>
                <c:pt idx="32">
                  <c:v>21.07</c:v>
                </c:pt>
                <c:pt idx="33">
                  <c:v>20.818999999999999</c:v>
                </c:pt>
                <c:pt idx="34">
                  <c:v>20.986000000000001</c:v>
                </c:pt>
                <c:pt idx="35">
                  <c:v>21.166</c:v>
                </c:pt>
                <c:pt idx="36">
                  <c:v>21.137999999999998</c:v>
                </c:pt>
                <c:pt idx="37">
                  <c:v>21.873000000000001</c:v>
                </c:pt>
                <c:pt idx="38">
                  <c:v>21.755000000000003</c:v>
                </c:pt>
                <c:pt idx="39">
                  <c:v>21.791</c:v>
                </c:pt>
                <c:pt idx="40">
                  <c:v>21.548000000000002</c:v>
                </c:pt>
                <c:pt idx="41">
                  <c:v>21.744</c:v>
                </c:pt>
                <c:pt idx="42">
                  <c:v>21.054000000000002</c:v>
                </c:pt>
                <c:pt idx="43">
                  <c:v>20.794</c:v>
                </c:pt>
                <c:pt idx="44">
                  <c:v>20.996000000000002</c:v>
                </c:pt>
                <c:pt idx="45">
                  <c:v>20.731999999999999</c:v>
                </c:pt>
                <c:pt idx="46">
                  <c:v>20.469000000000001</c:v>
                </c:pt>
                <c:pt idx="47">
                  <c:v>20.009</c:v>
                </c:pt>
                <c:pt idx="48">
                  <c:v>19.445</c:v>
                </c:pt>
                <c:pt idx="49">
                  <c:v>20.780999999999999</c:v>
                </c:pt>
                <c:pt idx="50">
                  <c:v>20.233000000000001</c:v>
                </c:pt>
                <c:pt idx="51">
                  <c:v>19.646000000000001</c:v>
                </c:pt>
                <c:pt idx="52">
                  <c:v>19.925999999999998</c:v>
                </c:pt>
                <c:pt idx="53">
                  <c:v>20.006</c:v>
                </c:pt>
                <c:pt idx="54">
                  <c:v>19.942999999999998</c:v>
                </c:pt>
                <c:pt idx="55">
                  <c:v>20.367999999999999</c:v>
                </c:pt>
                <c:pt idx="56">
                  <c:v>19.944000000000003</c:v>
                </c:pt>
                <c:pt idx="57">
                  <c:v>19.350999999999999</c:v>
                </c:pt>
                <c:pt idx="58">
                  <c:v>19.317999999999998</c:v>
                </c:pt>
                <c:pt idx="59">
                  <c:v>19.311</c:v>
                </c:pt>
                <c:pt idx="60">
                  <c:v>19.824000000000002</c:v>
                </c:pt>
                <c:pt idx="61">
                  <c:v>20.268999999999998</c:v>
                </c:pt>
                <c:pt idx="62">
                  <c:v>19.140999999999998</c:v>
                </c:pt>
                <c:pt idx="63">
                  <c:v>19.377000000000002</c:v>
                </c:pt>
                <c:pt idx="64">
                  <c:v>19.236000000000001</c:v>
                </c:pt>
                <c:pt idx="65">
                  <c:v>19.152000000000001</c:v>
                </c:pt>
                <c:pt idx="66">
                  <c:v>19.344999999999999</c:v>
                </c:pt>
                <c:pt idx="67">
                  <c:v>20.054000000000002</c:v>
                </c:pt>
                <c:pt idx="68">
                  <c:v>20.791</c:v>
                </c:pt>
                <c:pt idx="69">
                  <c:v>19.105</c:v>
                </c:pt>
                <c:pt idx="70">
                  <c:v>19.630000000000003</c:v>
                </c:pt>
                <c:pt idx="71">
                  <c:v>18.78</c:v>
                </c:pt>
                <c:pt idx="72">
                  <c:v>19.132999999999999</c:v>
                </c:pt>
                <c:pt idx="73">
                  <c:v>19.420999999999999</c:v>
                </c:pt>
                <c:pt idx="7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A-4470-9002-831F332A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235520"/>
        <c:axId val="1144236600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Total!$E$2:$E$16</c:f>
              <c:numCache>
                <c:formatCode>General</c:formatCode>
                <c:ptCount val="15"/>
                <c:pt idx="0">
                  <c:v>4</c:v>
                </c:pt>
                <c:pt idx="1">
                  <c:v>73</c:v>
                </c:pt>
                <c:pt idx="2">
                  <c:v>59</c:v>
                </c:pt>
                <c:pt idx="3">
                  <c:v>99</c:v>
                </c:pt>
                <c:pt idx="4">
                  <c:v>343.27</c:v>
                </c:pt>
                <c:pt idx="5">
                  <c:v>18</c:v>
                </c:pt>
                <c:pt idx="6">
                  <c:v>1230.45</c:v>
                </c:pt>
                <c:pt idx="7">
                  <c:v>16</c:v>
                </c:pt>
                <c:pt idx="8">
                  <c:v>34</c:v>
                </c:pt>
                <c:pt idx="9">
                  <c:v>31</c:v>
                </c:pt>
                <c:pt idx="10">
                  <c:v>167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A-4470-9002-831F332A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684232"/>
        <c:axId val="1480693952"/>
      </c:scatterChart>
      <c:valAx>
        <c:axId val="114423552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4236600"/>
        <c:crosses val="autoZero"/>
        <c:crossBetween val="midCat"/>
      </c:valAx>
      <c:valAx>
        <c:axId val="114423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4235520"/>
        <c:crosses val="autoZero"/>
        <c:crossBetween val="midCat"/>
      </c:valAx>
      <c:valAx>
        <c:axId val="14806939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  <a:p>
                <a:pPr>
                  <a:defRPr/>
                </a:pPr>
                <a:r>
                  <a:rPr lang="nl-NL"/>
                  <a:t>Total</a:t>
                </a:r>
                <a:r>
                  <a:rPr lang="nl-NL" baseline="0"/>
                  <a:t> pteropods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80684232"/>
        <c:crosses val="max"/>
        <c:crossBetween val="midCat"/>
      </c:valAx>
      <c:valAx>
        <c:axId val="148068423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8069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Ca from river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[1]TGA!$C$3:$C$77</c:f>
              <c:numCache>
                <c:formatCode>General</c:formatCode>
                <c:ptCount val="75"/>
                <c:pt idx="0">
                  <c:v>9.0541578949999995</c:v>
                </c:pt>
                <c:pt idx="1">
                  <c:v>9.3093157889999993</c:v>
                </c:pt>
                <c:pt idx="2">
                  <c:v>9.6123157890000002</c:v>
                </c:pt>
                <c:pt idx="3">
                  <c:v>9.7398947370000002</c:v>
                </c:pt>
                <c:pt idx="4">
                  <c:v>9.8674736840000001</c:v>
                </c:pt>
                <c:pt idx="5">
                  <c:v>10.186421050000002</c:v>
                </c:pt>
                <c:pt idx="6">
                  <c:v>10.53726316</c:v>
                </c:pt>
                <c:pt idx="7">
                  <c:v>10.776473679999999</c:v>
                </c:pt>
                <c:pt idx="8">
                  <c:v>10.935947369999999</c:v>
                </c:pt>
                <c:pt idx="9">
                  <c:v>11.19110526</c:v>
                </c:pt>
                <c:pt idx="10">
                  <c:v>11.99153398</c:v>
                </c:pt>
                <c:pt idx="11">
                  <c:v>12.10326214</c:v>
                </c:pt>
                <c:pt idx="12">
                  <c:v>12.582507769999999</c:v>
                </c:pt>
                <c:pt idx="13">
                  <c:v>12.666632120000001</c:v>
                </c:pt>
                <c:pt idx="14">
                  <c:v>12.704870469999999</c:v>
                </c:pt>
                <c:pt idx="15">
                  <c:v>12.746932640000001</c:v>
                </c:pt>
                <c:pt idx="16">
                  <c:v>12.81958549</c:v>
                </c:pt>
                <c:pt idx="17">
                  <c:v>12.974816329999999</c:v>
                </c:pt>
                <c:pt idx="18">
                  <c:v>13.22148299</c:v>
                </c:pt>
                <c:pt idx="19">
                  <c:v>13.7395</c:v>
                </c:pt>
                <c:pt idx="20">
                  <c:v>13.862500000000001</c:v>
                </c:pt>
                <c:pt idx="21">
                  <c:v>15.106563640000001</c:v>
                </c:pt>
                <c:pt idx="22">
                  <c:v>15.297745450000001</c:v>
                </c:pt>
                <c:pt idx="23">
                  <c:v>15.68010909</c:v>
                </c:pt>
                <c:pt idx="24">
                  <c:v>15.986000000000001</c:v>
                </c:pt>
                <c:pt idx="25">
                  <c:v>16.164000000000001</c:v>
                </c:pt>
                <c:pt idx="26">
                  <c:v>16.486222219999998</c:v>
                </c:pt>
                <c:pt idx="27">
                  <c:v>17.150833330000001</c:v>
                </c:pt>
                <c:pt idx="28">
                  <c:v>17.402000000000001</c:v>
                </c:pt>
                <c:pt idx="29">
                  <c:v>17.607500000000002</c:v>
                </c:pt>
                <c:pt idx="30">
                  <c:v>18.00630928</c:v>
                </c:pt>
                <c:pt idx="31">
                  <c:v>18.336618559999998</c:v>
                </c:pt>
                <c:pt idx="32">
                  <c:v>18.799051550000001</c:v>
                </c:pt>
                <c:pt idx="33">
                  <c:v>19.789979380000002</c:v>
                </c:pt>
                <c:pt idx="34">
                  <c:v>19.988164949999998</c:v>
                </c:pt>
                <c:pt idx="35">
                  <c:v>20.12028866</c:v>
                </c:pt>
                <c:pt idx="36">
                  <c:v>20.78090722</c:v>
                </c:pt>
                <c:pt idx="37">
                  <c:v>21.24334021</c:v>
                </c:pt>
                <c:pt idx="38">
                  <c:v>21.639711340000002</c:v>
                </c:pt>
                <c:pt idx="39">
                  <c:v>22.23426804</c:v>
                </c:pt>
                <c:pt idx="40">
                  <c:v>22.43245361</c:v>
                </c:pt>
                <c:pt idx="41">
                  <c:v>23.819752579999999</c:v>
                </c:pt>
                <c:pt idx="42">
                  <c:v>24.547153849999997</c:v>
                </c:pt>
                <c:pt idx="43">
                  <c:v>25.216153849999998</c:v>
                </c:pt>
                <c:pt idx="44">
                  <c:v>25.73076923</c:v>
                </c:pt>
                <c:pt idx="45">
                  <c:v>26.142461539999999</c:v>
                </c:pt>
                <c:pt idx="46">
                  <c:v>26.39976923</c:v>
                </c:pt>
                <c:pt idx="47">
                  <c:v>27.171692309999997</c:v>
                </c:pt>
                <c:pt idx="48">
                  <c:v>27.326076919999998</c:v>
                </c:pt>
                <c:pt idx="49">
                  <c:v>27.686307690000003</c:v>
                </c:pt>
                <c:pt idx="50">
                  <c:v>28.046538460000001</c:v>
                </c:pt>
                <c:pt idx="51">
                  <c:v>28.857446810000003</c:v>
                </c:pt>
                <c:pt idx="52">
                  <c:v>29.166851060000003</c:v>
                </c:pt>
                <c:pt idx="53">
                  <c:v>29.47625532</c:v>
                </c:pt>
                <c:pt idx="54">
                  <c:v>29.7012766</c:v>
                </c:pt>
                <c:pt idx="55">
                  <c:v>29.89817021</c:v>
                </c:pt>
                <c:pt idx="56">
                  <c:v>30.038808509999999</c:v>
                </c:pt>
                <c:pt idx="57">
                  <c:v>30.207574470000001</c:v>
                </c:pt>
                <c:pt idx="58">
                  <c:v>30.516978720000001</c:v>
                </c:pt>
                <c:pt idx="59">
                  <c:v>30.65761702</c:v>
                </c:pt>
                <c:pt idx="60">
                  <c:v>30.766323810000003</c:v>
                </c:pt>
                <c:pt idx="61">
                  <c:v>30.93659048</c:v>
                </c:pt>
                <c:pt idx="62">
                  <c:v>31.021723810000001</c:v>
                </c:pt>
                <c:pt idx="63">
                  <c:v>31.119019049999999</c:v>
                </c:pt>
                <c:pt idx="64">
                  <c:v>31.21631429</c:v>
                </c:pt>
                <c:pt idx="65">
                  <c:v>31.32577143</c:v>
                </c:pt>
                <c:pt idx="66">
                  <c:v>31.556847619999999</c:v>
                </c:pt>
                <c:pt idx="67">
                  <c:v>32.018999999999998</c:v>
                </c:pt>
                <c:pt idx="68">
                  <c:v>32.308999999999997</c:v>
                </c:pt>
                <c:pt idx="69">
                  <c:v>32.540999999999997</c:v>
                </c:pt>
                <c:pt idx="70">
                  <c:v>32.744</c:v>
                </c:pt>
                <c:pt idx="71">
                  <c:v>32.947000000000003</c:v>
                </c:pt>
                <c:pt idx="72">
                  <c:v>33.265999999999998</c:v>
                </c:pt>
                <c:pt idx="73">
                  <c:v>33.701000000000001</c:v>
                </c:pt>
                <c:pt idx="74">
                  <c:v>33.991</c:v>
                </c:pt>
              </c:numCache>
            </c:numRef>
          </c:xVal>
          <c:yVal>
            <c:numRef>
              <c:f>[1]TGA!$K$3:$K$77</c:f>
              <c:numCache>
                <c:formatCode>General</c:formatCode>
                <c:ptCount val="75"/>
                <c:pt idx="0">
                  <c:v>62.733999999999995</c:v>
                </c:pt>
                <c:pt idx="1">
                  <c:v>63.756999999999998</c:v>
                </c:pt>
                <c:pt idx="2">
                  <c:v>61.642000000000003</c:v>
                </c:pt>
                <c:pt idx="3">
                  <c:v>60.935000000000002</c:v>
                </c:pt>
                <c:pt idx="4">
                  <c:v>63.643000000000001</c:v>
                </c:pt>
                <c:pt idx="5">
                  <c:v>63.805999999999997</c:v>
                </c:pt>
                <c:pt idx="6">
                  <c:v>64.804000000000002</c:v>
                </c:pt>
                <c:pt idx="7">
                  <c:v>61.881</c:v>
                </c:pt>
                <c:pt idx="8">
                  <c:v>62.366</c:v>
                </c:pt>
                <c:pt idx="9">
                  <c:v>63.623000000000005</c:v>
                </c:pt>
                <c:pt idx="10">
                  <c:v>65.793000000000006</c:v>
                </c:pt>
                <c:pt idx="11">
                  <c:v>62.123000000000005</c:v>
                </c:pt>
                <c:pt idx="12">
                  <c:v>65.515999999999991</c:v>
                </c:pt>
                <c:pt idx="13">
                  <c:v>64.036000000000001</c:v>
                </c:pt>
                <c:pt idx="14">
                  <c:v>66.115000000000009</c:v>
                </c:pt>
                <c:pt idx="15">
                  <c:v>63.62</c:v>
                </c:pt>
                <c:pt idx="16">
                  <c:v>61.115000000000002</c:v>
                </c:pt>
                <c:pt idx="17">
                  <c:v>63.576000000000001</c:v>
                </c:pt>
                <c:pt idx="18">
                  <c:v>63.552</c:v>
                </c:pt>
                <c:pt idx="19">
                  <c:v>64.03</c:v>
                </c:pt>
                <c:pt idx="20">
                  <c:v>64.826999999999998</c:v>
                </c:pt>
                <c:pt idx="21">
                  <c:v>64.784999999999997</c:v>
                </c:pt>
                <c:pt idx="22">
                  <c:v>62.424000000000007</c:v>
                </c:pt>
                <c:pt idx="23">
                  <c:v>63.936999999999998</c:v>
                </c:pt>
                <c:pt idx="24">
                  <c:v>64.137</c:v>
                </c:pt>
                <c:pt idx="25">
                  <c:v>63.924000000000007</c:v>
                </c:pt>
                <c:pt idx="26">
                  <c:v>63.503999999999998</c:v>
                </c:pt>
                <c:pt idx="27">
                  <c:v>61.396000000000001</c:v>
                </c:pt>
                <c:pt idx="28">
                  <c:v>62.401000000000003</c:v>
                </c:pt>
                <c:pt idx="29">
                  <c:v>61.770999999999994</c:v>
                </c:pt>
                <c:pt idx="30">
                  <c:v>62.695</c:v>
                </c:pt>
                <c:pt idx="31">
                  <c:v>64.091000000000008</c:v>
                </c:pt>
                <c:pt idx="32">
                  <c:v>61.882000000000005</c:v>
                </c:pt>
                <c:pt idx="33">
                  <c:v>62.661999999999999</c:v>
                </c:pt>
                <c:pt idx="34">
                  <c:v>62.601999999999997</c:v>
                </c:pt>
                <c:pt idx="35">
                  <c:v>62.146000000000001</c:v>
                </c:pt>
                <c:pt idx="36">
                  <c:v>62.063000000000002</c:v>
                </c:pt>
                <c:pt idx="37">
                  <c:v>58.984999999999999</c:v>
                </c:pt>
                <c:pt idx="38">
                  <c:v>62.870999999999995</c:v>
                </c:pt>
                <c:pt idx="39">
                  <c:v>61.648000000000003</c:v>
                </c:pt>
                <c:pt idx="40">
                  <c:v>62.036000000000001</c:v>
                </c:pt>
                <c:pt idx="41">
                  <c:v>61.292999999999999</c:v>
                </c:pt>
                <c:pt idx="42">
                  <c:v>62.843000000000004</c:v>
                </c:pt>
                <c:pt idx="43">
                  <c:v>63.226999999999997</c:v>
                </c:pt>
                <c:pt idx="44">
                  <c:v>60.457999999999998</c:v>
                </c:pt>
                <c:pt idx="45">
                  <c:v>63.405999999999999</c:v>
                </c:pt>
                <c:pt idx="46">
                  <c:v>63.905000000000001</c:v>
                </c:pt>
                <c:pt idx="47">
                  <c:v>62.716999999999999</c:v>
                </c:pt>
                <c:pt idx="48">
                  <c:v>63.15</c:v>
                </c:pt>
                <c:pt idx="49">
                  <c:v>62.277999999999999</c:v>
                </c:pt>
                <c:pt idx="50">
                  <c:v>63.259</c:v>
                </c:pt>
                <c:pt idx="51">
                  <c:v>63.548999999999999</c:v>
                </c:pt>
                <c:pt idx="52">
                  <c:v>61.421999999999997</c:v>
                </c:pt>
                <c:pt idx="53">
                  <c:v>63.067999999999998</c:v>
                </c:pt>
                <c:pt idx="54">
                  <c:v>63.814999999999998</c:v>
                </c:pt>
                <c:pt idx="55">
                  <c:v>60.923999999999999</c:v>
                </c:pt>
                <c:pt idx="56">
                  <c:v>63.592999999999996</c:v>
                </c:pt>
                <c:pt idx="57">
                  <c:v>64.490000000000009</c:v>
                </c:pt>
                <c:pt idx="58">
                  <c:v>64.38900000000001</c:v>
                </c:pt>
                <c:pt idx="59">
                  <c:v>64.343999999999994</c:v>
                </c:pt>
                <c:pt idx="60">
                  <c:v>63.928999999999995</c:v>
                </c:pt>
                <c:pt idx="61">
                  <c:v>63.014000000000003</c:v>
                </c:pt>
                <c:pt idx="62">
                  <c:v>64.694000000000003</c:v>
                </c:pt>
                <c:pt idx="63">
                  <c:v>64.162999999999997</c:v>
                </c:pt>
                <c:pt idx="64">
                  <c:v>63.491</c:v>
                </c:pt>
                <c:pt idx="65">
                  <c:v>64.245999999999995</c:v>
                </c:pt>
                <c:pt idx="66">
                  <c:v>63.534999999999997</c:v>
                </c:pt>
                <c:pt idx="67">
                  <c:v>62.731000000000002</c:v>
                </c:pt>
                <c:pt idx="68">
                  <c:v>60.183000000000007</c:v>
                </c:pt>
                <c:pt idx="69">
                  <c:v>64.117999999999995</c:v>
                </c:pt>
                <c:pt idx="70">
                  <c:v>63.03</c:v>
                </c:pt>
                <c:pt idx="71">
                  <c:v>64.673000000000002</c:v>
                </c:pt>
                <c:pt idx="72">
                  <c:v>64.635000000000005</c:v>
                </c:pt>
                <c:pt idx="73">
                  <c:v>63.088000000000001</c:v>
                </c:pt>
                <c:pt idx="74">
                  <c:v>64.044999999999987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7-4377-A7FC-5CA6B88C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659032"/>
        <c:axId val="1438660112"/>
      </c:scatterChart>
      <c:valAx>
        <c:axId val="143865903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38660112"/>
        <c:crosses val="autoZero"/>
        <c:crossBetween val="midCat"/>
      </c:valAx>
      <c:valAx>
        <c:axId val="14386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Rest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3865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'[1]XRF selectie'!$V:$V</c:f>
              <c:numCache>
                <c:formatCode>General</c:formatCode>
                <c:ptCount val="1048576"/>
                <c:pt idx="0">
                  <c:v>0</c:v>
                </c:pt>
                <c:pt idx="2">
                  <c:v>2.3335766305732855</c:v>
                </c:pt>
                <c:pt idx="3">
                  <c:v>2.3354802684064313</c:v>
                </c:pt>
                <c:pt idx="4">
                  <c:v>2.3288907074217859</c:v>
                </c:pt>
                <c:pt idx="5">
                  <c:v>2.327129439682166</c:v>
                </c:pt>
                <c:pt idx="6">
                  <c:v>2.3283348288399131</c:v>
                </c:pt>
                <c:pt idx="7">
                  <c:v>2.3453167001582571</c:v>
                </c:pt>
                <c:pt idx="8">
                  <c:v>2.3329633329670205</c:v>
                </c:pt>
                <c:pt idx="9">
                  <c:v>2.322291645192351</c:v>
                </c:pt>
                <c:pt idx="10">
                  <c:v>2.3039383074280777</c:v>
                </c:pt>
                <c:pt idx="11">
                  <c:v>2.2965387284742147</c:v>
                </c:pt>
                <c:pt idx="12">
                  <c:v>2.2999238350145159</c:v>
                </c:pt>
                <c:pt idx="13">
                  <c:v>2.3047226719841443</c:v>
                </c:pt>
                <c:pt idx="14">
                  <c:v>2.3132658871977236</c:v>
                </c:pt>
                <c:pt idx="15">
                  <c:v>2.2981451017503804</c:v>
                </c:pt>
                <c:pt idx="16">
                  <c:v>2.3018613587743708</c:v>
                </c:pt>
                <c:pt idx="17">
                  <c:v>2.3050174906846732</c:v>
                </c:pt>
                <c:pt idx="18">
                  <c:v>2.3258544852429375</c:v>
                </c:pt>
                <c:pt idx="19">
                  <c:v>2.3252613068587862</c:v>
                </c:pt>
                <c:pt idx="20">
                  <c:v>2.3390816469712514</c:v>
                </c:pt>
                <c:pt idx="21">
                  <c:v>2.3443801897476129</c:v>
                </c:pt>
                <c:pt idx="22">
                  <c:v>2.3475389228203754</c:v>
                </c:pt>
                <c:pt idx="23">
                  <c:v>2.34761919812119</c:v>
                </c:pt>
                <c:pt idx="24">
                  <c:v>2.3457538070791171</c:v>
                </c:pt>
                <c:pt idx="25">
                  <c:v>2.3541065095752365</c:v>
                </c:pt>
                <c:pt idx="26">
                  <c:v>2.3638771779021712</c:v>
                </c:pt>
                <c:pt idx="27">
                  <c:v>2.3816059545709662</c:v>
                </c:pt>
                <c:pt idx="28">
                  <c:v>2.3923986106792317</c:v>
                </c:pt>
                <c:pt idx="29">
                  <c:v>2.4020067434474317</c:v>
                </c:pt>
                <c:pt idx="30">
                  <c:v>2.3955216763997895</c:v>
                </c:pt>
                <c:pt idx="31">
                  <c:v>2.3941308766123908</c:v>
                </c:pt>
                <c:pt idx="32">
                  <c:v>2.3957814119671084</c:v>
                </c:pt>
                <c:pt idx="33">
                  <c:v>2.3949224688741442</c:v>
                </c:pt>
                <c:pt idx="34">
                  <c:v>2.3851852823636719</c:v>
                </c:pt>
                <c:pt idx="35">
                  <c:v>2.3675964998414489</c:v>
                </c:pt>
                <c:pt idx="36">
                  <c:v>2.3630549608778737</c:v>
                </c:pt>
                <c:pt idx="37">
                  <c:v>2.3646974372353231</c:v>
                </c:pt>
                <c:pt idx="38">
                  <c:v>2.3638055646826315</c:v>
                </c:pt>
                <c:pt idx="39">
                  <c:v>2.3653396403522464</c:v>
                </c:pt>
                <c:pt idx="40">
                  <c:v>2.3752554949311864</c:v>
                </c:pt>
                <c:pt idx="41">
                  <c:v>2.3827609665966976</c:v>
                </c:pt>
                <c:pt idx="42">
                  <c:v>2.3839217966614323</c:v>
                </c:pt>
                <c:pt idx="43">
                  <c:v>2.3710519586976009</c:v>
                </c:pt>
                <c:pt idx="44">
                  <c:v>2.3549014730387872</c:v>
                </c:pt>
                <c:pt idx="45">
                  <c:v>2.3479004281937925</c:v>
                </c:pt>
                <c:pt idx="46">
                  <c:v>2.3559226804414894</c:v>
                </c:pt>
                <c:pt idx="47">
                  <c:v>2.3584291838287146</c:v>
                </c:pt>
                <c:pt idx="48">
                  <c:v>2.3572111790367498</c:v>
                </c:pt>
                <c:pt idx="49">
                  <c:v>2.3569024362248987</c:v>
                </c:pt>
                <c:pt idx="50">
                  <c:v>2.3579083619233798</c:v>
                </c:pt>
                <c:pt idx="51">
                  <c:v>2.3578579762141403</c:v>
                </c:pt>
                <c:pt idx="52">
                  <c:v>2.3466342506271514</c:v>
                </c:pt>
                <c:pt idx="53">
                  <c:v>2.3484750696023284</c:v>
                </c:pt>
                <c:pt idx="54">
                  <c:v>2.3481691598535339</c:v>
                </c:pt>
                <c:pt idx="55">
                  <c:v>2.3448196665126186</c:v>
                </c:pt>
                <c:pt idx="56">
                  <c:v>2.3500567889824677</c:v>
                </c:pt>
                <c:pt idx="57">
                  <c:v>2.3551907958907008</c:v>
                </c:pt>
                <c:pt idx="58">
                  <c:v>2.3684246894390539</c:v>
                </c:pt>
                <c:pt idx="59">
                  <c:v>2.3858486167435924</c:v>
                </c:pt>
                <c:pt idx="60">
                  <c:v>2.4001794985064384</c:v>
                </c:pt>
                <c:pt idx="61">
                  <c:v>2.3987221127165692</c:v>
                </c:pt>
                <c:pt idx="62">
                  <c:v>2.3954221613397908</c:v>
                </c:pt>
                <c:pt idx="63">
                  <c:v>2.4056928045174724</c:v>
                </c:pt>
                <c:pt idx="64">
                  <c:v>2.4177458796679194</c:v>
                </c:pt>
                <c:pt idx="65">
                  <c:v>2.4166698405607505</c:v>
                </c:pt>
                <c:pt idx="66">
                  <c:v>2.4092745091602046</c:v>
                </c:pt>
                <c:pt idx="67">
                  <c:v>2.422819212052338</c:v>
                </c:pt>
                <c:pt idx="68">
                  <c:v>2.435875432430807</c:v>
                </c:pt>
                <c:pt idx="69">
                  <c:v>2.4378383709452947</c:v>
                </c:pt>
                <c:pt idx="70">
                  <c:v>2.420293085423685</c:v>
                </c:pt>
                <c:pt idx="71">
                  <c:v>2.3895867337133043</c:v>
                </c:pt>
                <c:pt idx="72">
                  <c:v>2.3721046858465513</c:v>
                </c:pt>
                <c:pt idx="73">
                  <c:v>2.3551091726839242</c:v>
                </c:pt>
                <c:pt idx="74">
                  <c:v>2.3368325565728125</c:v>
                </c:pt>
                <c:pt idx="75">
                  <c:v>2.3172409019345275</c:v>
                </c:pt>
                <c:pt idx="76">
                  <c:v>2.2984305502954245</c:v>
                </c:pt>
                <c:pt idx="77">
                  <c:v>2.2971831411902013</c:v>
                </c:pt>
                <c:pt idx="78">
                  <c:v>2.2918875225897746</c:v>
                </c:pt>
                <c:pt idx="79">
                  <c:v>2.3037946348587455</c:v>
                </c:pt>
                <c:pt idx="80">
                  <c:v>2.3213765779899798</c:v>
                </c:pt>
                <c:pt idx="81">
                  <c:v>2.3334743084817018</c:v>
                </c:pt>
                <c:pt idx="82">
                  <c:v>2.3445490130978395</c:v>
                </c:pt>
                <c:pt idx="83">
                  <c:v>2.3488932962946856</c:v>
                </c:pt>
                <c:pt idx="84">
                  <c:v>2.3538549433116942</c:v>
                </c:pt>
                <c:pt idx="85">
                  <c:v>2.3546850300356241</c:v>
                </c:pt>
                <c:pt idx="86">
                  <c:v>2.3577428091199919</c:v>
                </c:pt>
                <c:pt idx="87">
                  <c:v>2.3735417613956469</c:v>
                </c:pt>
                <c:pt idx="88">
                  <c:v>2.3852215684998046</c:v>
                </c:pt>
                <c:pt idx="89">
                  <c:v>2.3786809089847627</c:v>
                </c:pt>
                <c:pt idx="90">
                  <c:v>2.3635171465277933</c:v>
                </c:pt>
                <c:pt idx="91">
                  <c:v>2.3387562670800883</c:v>
                </c:pt>
                <c:pt idx="92">
                  <c:v>2.3442376421166835</c:v>
                </c:pt>
                <c:pt idx="93">
                  <c:v>2.3560962627967466</c:v>
                </c:pt>
                <c:pt idx="94">
                  <c:v>2.3688901197922121</c:v>
                </c:pt>
                <c:pt idx="95">
                  <c:v>2.3613063024480376</c:v>
                </c:pt>
                <c:pt idx="96">
                  <c:v>2.3510941677465382</c:v>
                </c:pt>
                <c:pt idx="97">
                  <c:v>2.3515947441881067</c:v>
                </c:pt>
                <c:pt idx="98">
                  <c:v>2.3549957308413938</c:v>
                </c:pt>
                <c:pt idx="99">
                  <c:v>2.3554565594682479</c:v>
                </c:pt>
                <c:pt idx="100">
                  <c:v>2.3577679318531928</c:v>
                </c:pt>
                <c:pt idx="101">
                  <c:v>2.3491236197536618</c:v>
                </c:pt>
                <c:pt idx="102">
                  <c:v>2.3579651040480378</c:v>
                </c:pt>
                <c:pt idx="103">
                  <c:v>2.3558177337130357</c:v>
                </c:pt>
                <c:pt idx="104">
                  <c:v>2.3738021399259015</c:v>
                </c:pt>
                <c:pt idx="105">
                  <c:v>2.369806553979565</c:v>
                </c:pt>
                <c:pt idx="106">
                  <c:v>2.3722635754804275</c:v>
                </c:pt>
                <c:pt idx="107">
                  <c:v>2.361165264186504</c:v>
                </c:pt>
                <c:pt idx="108">
                  <c:v>2.3547558205264156</c:v>
                </c:pt>
                <c:pt idx="109">
                  <c:v>2.3492847631075637</c:v>
                </c:pt>
                <c:pt idx="110">
                  <c:v>2.3572468862407168</c:v>
                </c:pt>
                <c:pt idx="111">
                  <c:v>2.3550896182477667</c:v>
                </c:pt>
                <c:pt idx="112">
                  <c:v>2.3548934130461792</c:v>
                </c:pt>
                <c:pt idx="113">
                  <c:v>2.3463391969845575</c:v>
                </c:pt>
                <c:pt idx="114">
                  <c:v>2.3584898859951555</c:v>
                </c:pt>
                <c:pt idx="115">
                  <c:v>2.36561000922425</c:v>
                </c:pt>
                <c:pt idx="116">
                  <c:v>2.365708699545487</c:v>
                </c:pt>
                <c:pt idx="117">
                  <c:v>2.3554162706556707</c:v>
                </c:pt>
                <c:pt idx="118">
                  <c:v>2.3379406525505662</c:v>
                </c:pt>
                <c:pt idx="119">
                  <c:v>2.3290158865558888</c:v>
                </c:pt>
                <c:pt idx="120">
                  <c:v>2.3146516035914027</c:v>
                </c:pt>
                <c:pt idx="121">
                  <c:v>2.3157112384711778</c:v>
                </c:pt>
                <c:pt idx="122">
                  <c:v>2.3189123088278181</c:v>
                </c:pt>
                <c:pt idx="123">
                  <c:v>2.3259166631625097</c:v>
                </c:pt>
                <c:pt idx="124">
                  <c:v>2.3240404239337025</c:v>
                </c:pt>
                <c:pt idx="125">
                  <c:v>2.3228070190655958</c:v>
                </c:pt>
                <c:pt idx="126">
                  <c:v>2.3303175880674587</c:v>
                </c:pt>
                <c:pt idx="127">
                  <c:v>2.3449308462914566</c:v>
                </c:pt>
                <c:pt idx="128">
                  <c:v>2.3550859018220436</c:v>
                </c:pt>
                <c:pt idx="129">
                  <c:v>2.3528450808429047</c:v>
                </c:pt>
                <c:pt idx="130">
                  <c:v>2.3513100579615833</c:v>
                </c:pt>
                <c:pt idx="131">
                  <c:v>2.3419087621526451</c:v>
                </c:pt>
                <c:pt idx="132">
                  <c:v>2.3495788822762624</c:v>
                </c:pt>
                <c:pt idx="133">
                  <c:v>2.3588376409950853</c:v>
                </c:pt>
                <c:pt idx="134">
                  <c:v>2.3637433994881731</c:v>
                </c:pt>
                <c:pt idx="135">
                  <c:v>2.365586278165428</c:v>
                </c:pt>
                <c:pt idx="136">
                  <c:v>2.3623871485264676</c:v>
                </c:pt>
                <c:pt idx="137">
                  <c:v>2.3597169066238357</c:v>
                </c:pt>
                <c:pt idx="138">
                  <c:v>2.3461360886926972</c:v>
                </c:pt>
                <c:pt idx="139">
                  <c:v>2.3481945738394647</c:v>
                </c:pt>
                <c:pt idx="140">
                  <c:v>2.3465917805540619</c:v>
                </c:pt>
                <c:pt idx="141">
                  <c:v>2.3410493459897515</c:v>
                </c:pt>
                <c:pt idx="142">
                  <c:v>2.3265224788772567</c:v>
                </c:pt>
                <c:pt idx="143">
                  <c:v>2.3333370653477763</c:v>
                </c:pt>
                <c:pt idx="144">
                  <c:v>2.350385639852361</c:v>
                </c:pt>
                <c:pt idx="145">
                  <c:v>2.3514068424536263</c:v>
                </c:pt>
                <c:pt idx="146">
                  <c:v>2.3543737815402959</c:v>
                </c:pt>
                <c:pt idx="147">
                  <c:v>2.363471226653548</c:v>
                </c:pt>
                <c:pt idx="148">
                  <c:v>2.3673781836997918</c:v>
                </c:pt>
                <c:pt idx="149">
                  <c:v>2.3778243662599046</c:v>
                </c:pt>
                <c:pt idx="150">
                  <c:v>2.3726187953917255</c:v>
                </c:pt>
                <c:pt idx="151">
                  <c:v>2.3724526924302403</c:v>
                </c:pt>
                <c:pt idx="152">
                  <c:v>2.3621493980617476</c:v>
                </c:pt>
                <c:pt idx="153">
                  <c:v>2.3449402165627409</c:v>
                </c:pt>
                <c:pt idx="154">
                  <c:v>2.3307300709718057</c:v>
                </c:pt>
                <c:pt idx="155">
                  <c:v>2.3114808426607945</c:v>
                </c:pt>
                <c:pt idx="156">
                  <c:v>2.2953047560570892</c:v>
                </c:pt>
                <c:pt idx="157">
                  <c:v>2.2959650050922451</c:v>
                </c:pt>
                <c:pt idx="158">
                  <c:v>2.3110462208545473</c:v>
                </c:pt>
                <c:pt idx="159">
                  <c:v>2.3150082511686647</c:v>
                </c:pt>
                <c:pt idx="160">
                  <c:v>2.3121180123018505</c:v>
                </c:pt>
                <c:pt idx="161">
                  <c:v>2.2973862239258658</c:v>
                </c:pt>
                <c:pt idx="162">
                  <c:v>2.3069181767526881</c:v>
                </c:pt>
                <c:pt idx="163">
                  <c:v>2.3182356797207544</c:v>
                </c:pt>
                <c:pt idx="164">
                  <c:v>2.3067213607817734</c:v>
                </c:pt>
                <c:pt idx="165">
                  <c:v>2.2978608353014356</c:v>
                </c:pt>
                <c:pt idx="166">
                  <c:v>2.2877367042166026</c:v>
                </c:pt>
                <c:pt idx="167">
                  <c:v>2.3054407753633055</c:v>
                </c:pt>
                <c:pt idx="168">
                  <c:v>2.3179436258722776</c:v>
                </c:pt>
                <c:pt idx="169">
                  <c:v>2.3159856271723296</c:v>
                </c:pt>
                <c:pt idx="170">
                  <c:v>2.3166931109025604</c:v>
                </c:pt>
                <c:pt idx="171">
                  <c:v>2.3288685885671723</c:v>
                </c:pt>
                <c:pt idx="172">
                  <c:v>2.333690133692544</c:v>
                </c:pt>
                <c:pt idx="173">
                  <c:v>2.3241922208133072</c:v>
                </c:pt>
                <c:pt idx="174">
                  <c:v>2.3016028584416914</c:v>
                </c:pt>
                <c:pt idx="175">
                  <c:v>2.2897326681471761</c:v>
                </c:pt>
                <c:pt idx="176">
                  <c:v>2.2920503953400382</c:v>
                </c:pt>
                <c:pt idx="177">
                  <c:v>2.2921379922053737</c:v>
                </c:pt>
                <c:pt idx="178">
                  <c:v>2.3022171375883715</c:v>
                </c:pt>
                <c:pt idx="179">
                  <c:v>2.2996761034304214</c:v>
                </c:pt>
                <c:pt idx="180">
                  <c:v>2.3058683302695595</c:v>
                </c:pt>
                <c:pt idx="181">
                  <c:v>2.320816019856021</c:v>
                </c:pt>
                <c:pt idx="182">
                  <c:v>2.3523039680927753</c:v>
                </c:pt>
                <c:pt idx="183">
                  <c:v>2.3537518673848923</c:v>
                </c:pt>
                <c:pt idx="184">
                  <c:v>2.3238017230875738</c:v>
                </c:pt>
                <c:pt idx="185">
                  <c:v>2.3152083308981113</c:v>
                </c:pt>
                <c:pt idx="186">
                  <c:v>2.3152650161398234</c:v>
                </c:pt>
                <c:pt idx="187">
                  <c:v>2.3124336556541514</c:v>
                </c:pt>
                <c:pt idx="188">
                  <c:v>2.2876778843842618</c:v>
                </c:pt>
                <c:pt idx="189">
                  <c:v>2.2778155431501617</c:v>
                </c:pt>
                <c:pt idx="190">
                  <c:v>2.283504686716912</c:v>
                </c:pt>
                <c:pt idx="191">
                  <c:v>2.2772616331856006</c:v>
                </c:pt>
                <c:pt idx="192">
                  <c:v>2.2811219298757828</c:v>
                </c:pt>
                <c:pt idx="193">
                  <c:v>2.286242371979939</c:v>
                </c:pt>
                <c:pt idx="194">
                  <c:v>2.3096033364680655</c:v>
                </c:pt>
                <c:pt idx="195">
                  <c:v>2.3157854550066008</c:v>
                </c:pt>
                <c:pt idx="196">
                  <c:v>2.33013149952215</c:v>
                </c:pt>
                <c:pt idx="197">
                  <c:v>2.3292088748352962</c:v>
                </c:pt>
                <c:pt idx="198">
                  <c:v>2.3494284179848712</c:v>
                </c:pt>
                <c:pt idx="199">
                  <c:v>2.3560994746597537</c:v>
                </c:pt>
                <c:pt idx="200">
                  <c:v>2.3529992278968943</c:v>
                </c:pt>
                <c:pt idx="201">
                  <c:v>2.3342981247630727</c:v>
                </c:pt>
                <c:pt idx="202">
                  <c:v>2.3288834841410337</c:v>
                </c:pt>
                <c:pt idx="203">
                  <c:v>2.3308296923569078</c:v>
                </c:pt>
                <c:pt idx="204">
                  <c:v>2.3333941914142504</c:v>
                </c:pt>
                <c:pt idx="205">
                  <c:v>2.3466144084632119</c:v>
                </c:pt>
                <c:pt idx="206">
                  <c:v>2.3441760258130171</c:v>
                </c:pt>
                <c:pt idx="207">
                  <c:v>2.3552887522539834</c:v>
                </c:pt>
                <c:pt idx="208">
                  <c:v>2.349104295097876</c:v>
                </c:pt>
                <c:pt idx="209">
                  <c:v>2.3598178692344618</c:v>
                </c:pt>
                <c:pt idx="210">
                  <c:v>2.3691894383812921</c:v>
                </c:pt>
                <c:pt idx="211">
                  <c:v>2.3740650188091994</c:v>
                </c:pt>
                <c:pt idx="212">
                  <c:v>2.3743152995381434</c:v>
                </c:pt>
                <c:pt idx="213">
                  <c:v>2.3577334414305193</c:v>
                </c:pt>
                <c:pt idx="214">
                  <c:v>2.3584559822432074</c:v>
                </c:pt>
                <c:pt idx="215">
                  <c:v>2.3565918236231691</c:v>
                </c:pt>
                <c:pt idx="216">
                  <c:v>2.3631851028614226</c:v>
                </c:pt>
                <c:pt idx="217">
                  <c:v>2.3635688725596373</c:v>
                </c:pt>
                <c:pt idx="218">
                  <c:v>2.3687906166698043</c:v>
                </c:pt>
                <c:pt idx="219">
                  <c:v>2.3746053076640532</c:v>
                </c:pt>
                <c:pt idx="220">
                  <c:v>2.3860357134906436</c:v>
                </c:pt>
                <c:pt idx="221">
                  <c:v>2.3877779967064559</c:v>
                </c:pt>
                <c:pt idx="222">
                  <c:v>2.3876517446746353</c:v>
                </c:pt>
                <c:pt idx="223">
                  <c:v>2.3806694018662693</c:v>
                </c:pt>
                <c:pt idx="224">
                  <c:v>2.375548033383875</c:v>
                </c:pt>
                <c:pt idx="225">
                  <c:v>2.3721658444605667</c:v>
                </c:pt>
                <c:pt idx="226">
                  <c:v>2.3713117582535261</c:v>
                </c:pt>
                <c:pt idx="227">
                  <c:v>2.3800907899939876</c:v>
                </c:pt>
                <c:pt idx="228">
                  <c:v>2.3724221054493104</c:v>
                </c:pt>
                <c:pt idx="229">
                  <c:v>2.3571525426284894</c:v>
                </c:pt>
                <c:pt idx="230">
                  <c:v>2.339722998540124</c:v>
                </c:pt>
                <c:pt idx="231">
                  <c:v>2.3578778891803673</c:v>
                </c:pt>
                <c:pt idx="232">
                  <c:v>2.3722743800508073</c:v>
                </c:pt>
                <c:pt idx="233">
                  <c:v>2.3760551764128137</c:v>
                </c:pt>
                <c:pt idx="234">
                  <c:v>2.3584577022940887</c:v>
                </c:pt>
                <c:pt idx="235">
                  <c:v>2.363236246820676</c:v>
                </c:pt>
                <c:pt idx="236">
                  <c:v>2.3649646488324323</c:v>
                </c:pt>
                <c:pt idx="237">
                  <c:v>2.3634153376082705</c:v>
                </c:pt>
                <c:pt idx="238">
                  <c:v>2.3717678601293066</c:v>
                </c:pt>
                <c:pt idx="239">
                  <c:v>2.3833198065549008</c:v>
                </c:pt>
                <c:pt idx="240">
                  <c:v>2.397297274062939</c:v>
                </c:pt>
                <c:pt idx="241">
                  <c:v>2.3802909484582018</c:v>
                </c:pt>
                <c:pt idx="242">
                  <c:v>2.3719780828583503</c:v>
                </c:pt>
                <c:pt idx="243">
                  <c:v>2.3836228243472903</c:v>
                </c:pt>
                <c:pt idx="244">
                  <c:v>2.3868275100259142</c:v>
                </c:pt>
                <c:pt idx="245">
                  <c:v>2.4000216442776954</c:v>
                </c:pt>
                <c:pt idx="246">
                  <c:v>2.3810598256855049</c:v>
                </c:pt>
                <c:pt idx="247">
                  <c:v>2.3794236393392176</c:v>
                </c:pt>
                <c:pt idx="248">
                  <c:v>2.3796461979486154</c:v>
                </c:pt>
                <c:pt idx="249">
                  <c:v>2.3936440461279509</c:v>
                </c:pt>
                <c:pt idx="250">
                  <c:v>2.4088365623593879</c:v>
                </c:pt>
                <c:pt idx="251">
                  <c:v>2.40982630891587</c:v>
                </c:pt>
                <c:pt idx="252">
                  <c:v>2.4066185733198329</c:v>
                </c:pt>
                <c:pt idx="253">
                  <c:v>2.3907760549351083</c:v>
                </c:pt>
                <c:pt idx="254">
                  <c:v>2.3780654363849942</c:v>
                </c:pt>
                <c:pt idx="255">
                  <c:v>2.3690734950155035</c:v>
                </c:pt>
                <c:pt idx="256">
                  <c:v>2.3620132155424316</c:v>
                </c:pt>
                <c:pt idx="257">
                  <c:v>2.3554142177237387</c:v>
                </c:pt>
                <c:pt idx="258">
                  <c:v>2.3535637706317112</c:v>
                </c:pt>
                <c:pt idx="259">
                  <c:v>2.3427757518173609</c:v>
                </c:pt>
                <c:pt idx="260">
                  <c:v>2.3830929578226629</c:v>
                </c:pt>
                <c:pt idx="261">
                  <c:v>2.3700739946167837</c:v>
                </c:pt>
                <c:pt idx="262">
                  <c:v>2.3737252892987493</c:v>
                </c:pt>
                <c:pt idx="263">
                  <c:v>2.3310829411118266</c:v>
                </c:pt>
                <c:pt idx="264">
                  <c:v>2.3293936490696896</c:v>
                </c:pt>
                <c:pt idx="265">
                  <c:v>2.3221091151287898</c:v>
                </c:pt>
                <c:pt idx="266">
                  <c:v>2.3140777088493656</c:v>
                </c:pt>
                <c:pt idx="267">
                  <c:v>2.324519892793615</c:v>
                </c:pt>
                <c:pt idx="268">
                  <c:v>2.3200380524119084</c:v>
                </c:pt>
                <c:pt idx="269">
                  <c:v>2.3356976664372939</c:v>
                </c:pt>
                <c:pt idx="270">
                  <c:v>2.3350378353942447</c:v>
                </c:pt>
                <c:pt idx="271">
                  <c:v>2.3634375175479403</c:v>
                </c:pt>
                <c:pt idx="272">
                  <c:v>2.3487565462432758</c:v>
                </c:pt>
                <c:pt idx="273">
                  <c:v>2.3418805206259745</c:v>
                </c:pt>
                <c:pt idx="274">
                  <c:v>2.3305275415212616</c:v>
                </c:pt>
                <c:pt idx="275">
                  <c:v>2.3342700409945256</c:v>
                </c:pt>
                <c:pt idx="276">
                  <c:v>2.3246320187903096</c:v>
                </c:pt>
                <c:pt idx="277">
                  <c:v>2.30350565366482</c:v>
                </c:pt>
                <c:pt idx="278">
                  <c:v>2.2894542809086906</c:v>
                </c:pt>
                <c:pt idx="279">
                  <c:v>2.3059499772627103</c:v>
                </c:pt>
                <c:pt idx="280">
                  <c:v>2.3220196189087541</c:v>
                </c:pt>
                <c:pt idx="281">
                  <c:v>2.3324516125961972</c:v>
                </c:pt>
                <c:pt idx="282">
                  <c:v>2.333192660470504</c:v>
                </c:pt>
                <c:pt idx="283">
                  <c:v>2.3245889928042263</c:v>
                </c:pt>
                <c:pt idx="284">
                  <c:v>2.3153946818011648</c:v>
                </c:pt>
                <c:pt idx="285">
                  <c:v>2.3361462504660993</c:v>
                </c:pt>
                <c:pt idx="286">
                  <c:v>2.3527877246560993</c:v>
                </c:pt>
                <c:pt idx="287">
                  <c:v>2.3757605810121381</c:v>
                </c:pt>
                <c:pt idx="288">
                  <c:v>2.3307879837837615</c:v>
                </c:pt>
                <c:pt idx="289">
                  <c:v>2.3070294554986184</c:v>
                </c:pt>
                <c:pt idx="290">
                  <c:v>2.2827235386083866</c:v>
                </c:pt>
                <c:pt idx="291">
                  <c:v>2.2835080008763184</c:v>
                </c:pt>
                <c:pt idx="292">
                  <c:v>2.2910494000866115</c:v>
                </c:pt>
                <c:pt idx="293">
                  <c:v>2.2904064842618159</c:v>
                </c:pt>
                <c:pt idx="294">
                  <c:v>2.3048902510892741</c:v>
                </c:pt>
                <c:pt idx="295">
                  <c:v>2.3046258145968501</c:v>
                </c:pt>
                <c:pt idx="296">
                  <c:v>2.3038111365412033</c:v>
                </c:pt>
                <c:pt idx="297">
                  <c:v>2.2917630426683391</c:v>
                </c:pt>
                <c:pt idx="298">
                  <c:v>2.2873723038495495</c:v>
                </c:pt>
                <c:pt idx="299">
                  <c:v>2.2894400641373025</c:v>
                </c:pt>
                <c:pt idx="300">
                  <c:v>2.3005914395945797</c:v>
                </c:pt>
                <c:pt idx="301">
                  <c:v>2.3069505800621961</c:v>
                </c:pt>
                <c:pt idx="302">
                  <c:v>2.3111886342665162</c:v>
                </c:pt>
                <c:pt idx="303">
                  <c:v>2.3238219156188138</c:v>
                </c:pt>
                <c:pt idx="304">
                  <c:v>2.3228107040183925</c:v>
                </c:pt>
                <c:pt idx="305">
                  <c:v>2.3160367499458516</c:v>
                </c:pt>
                <c:pt idx="306">
                  <c:v>2.2822882915736806</c:v>
                </c:pt>
                <c:pt idx="307">
                  <c:v>2.29097522889613</c:v>
                </c:pt>
                <c:pt idx="308">
                  <c:v>2.2982343552745115</c:v>
                </c:pt>
                <c:pt idx="309">
                  <c:v>2.3055667623598084</c:v>
                </c:pt>
                <c:pt idx="310">
                  <c:v>2.2937126859346653</c:v>
                </c:pt>
                <c:pt idx="311">
                  <c:v>2.2882778556134031</c:v>
                </c:pt>
                <c:pt idx="312">
                  <c:v>2.2902398414120371</c:v>
                </c:pt>
                <c:pt idx="313">
                  <c:v>2.2841528402751607</c:v>
                </c:pt>
                <c:pt idx="314">
                  <c:v>2.2749535694631642</c:v>
                </c:pt>
                <c:pt idx="315">
                  <c:v>2.2699798562984239</c:v>
                </c:pt>
                <c:pt idx="316">
                  <c:v>2.2774466473026806</c:v>
                </c:pt>
                <c:pt idx="317">
                  <c:v>2.2871369997537752</c:v>
                </c:pt>
                <c:pt idx="318">
                  <c:v>2.2892506140445215</c:v>
                </c:pt>
                <c:pt idx="319">
                  <c:v>2.271910148384372</c:v>
                </c:pt>
                <c:pt idx="320">
                  <c:v>2.2637974936640153</c:v>
                </c:pt>
                <c:pt idx="321">
                  <c:v>2.2550914093853716</c:v>
                </c:pt>
                <c:pt idx="322">
                  <c:v>2.260848130339784</c:v>
                </c:pt>
                <c:pt idx="323">
                  <c:v>2.2560240011856867</c:v>
                </c:pt>
                <c:pt idx="324">
                  <c:v>2.2736939955417514</c:v>
                </c:pt>
                <c:pt idx="325">
                  <c:v>2.2786172570800431</c:v>
                </c:pt>
                <c:pt idx="326">
                  <c:v>2.2844496920258477</c:v>
                </c:pt>
                <c:pt idx="327">
                  <c:v>2.2725326612767422</c:v>
                </c:pt>
                <c:pt idx="328">
                  <c:v>2.2671425177749831</c:v>
                </c:pt>
                <c:pt idx="329">
                  <c:v>2.2577042882061207</c:v>
                </c:pt>
                <c:pt idx="330">
                  <c:v>2.2478574150558948</c:v>
                </c:pt>
                <c:pt idx="331">
                  <c:v>2.2491771991641811</c:v>
                </c:pt>
                <c:pt idx="332">
                  <c:v>2.2581016744019089</c:v>
                </c:pt>
                <c:pt idx="333">
                  <c:v>2.2696483098887779</c:v>
                </c:pt>
                <c:pt idx="334">
                  <c:v>2.2720058917790329</c:v>
                </c:pt>
                <c:pt idx="335">
                  <c:v>2.2727375006474655</c:v>
                </c:pt>
                <c:pt idx="336">
                  <c:v>2.2604997857377254</c:v>
                </c:pt>
                <c:pt idx="337">
                  <c:v>2.2590996761924043</c:v>
                </c:pt>
                <c:pt idx="338">
                  <c:v>2.2438566093477963</c:v>
                </c:pt>
                <c:pt idx="339">
                  <c:v>2.255329693382786</c:v>
                </c:pt>
                <c:pt idx="340">
                  <c:v>2.2524751133845693</c:v>
                </c:pt>
                <c:pt idx="341">
                  <c:v>2.2715992806442582</c:v>
                </c:pt>
                <c:pt idx="342">
                  <c:v>2.2770353349636205</c:v>
                </c:pt>
                <c:pt idx="343">
                  <c:v>2.3007762534270921</c:v>
                </c:pt>
                <c:pt idx="344">
                  <c:v>2.2949410955944178</c:v>
                </c:pt>
                <c:pt idx="345">
                  <c:v>2.2804401188702692</c:v>
                </c:pt>
                <c:pt idx="346">
                  <c:v>2.2620949702963773</c:v>
                </c:pt>
                <c:pt idx="347">
                  <c:v>2.2570689005493745</c:v>
                </c:pt>
                <c:pt idx="348">
                  <c:v>2.2606180795759676</c:v>
                </c:pt>
                <c:pt idx="349">
                  <c:v>2.2594834035267914</c:v>
                </c:pt>
                <c:pt idx="350">
                  <c:v>2.2696402079075573</c:v>
                </c:pt>
                <c:pt idx="351">
                  <c:v>2.2645414842740599</c:v>
                </c:pt>
                <c:pt idx="352">
                  <c:v>2.2396851734472922</c:v>
                </c:pt>
                <c:pt idx="353">
                  <c:v>2.221429857993237</c:v>
                </c:pt>
                <c:pt idx="354">
                  <c:v>2.2326269591398393</c:v>
                </c:pt>
                <c:pt idx="355">
                  <c:v>2.2539819996729129</c:v>
                </c:pt>
                <c:pt idx="356">
                  <c:v>2.2661531156466292</c:v>
                </c:pt>
                <c:pt idx="357">
                  <c:v>2.2600408516133048</c:v>
                </c:pt>
                <c:pt idx="358">
                  <c:v>2.2582701059850652</c:v>
                </c:pt>
                <c:pt idx="359">
                  <c:v>2.2603603118901465</c:v>
                </c:pt>
                <c:pt idx="360">
                  <c:v>2.2547378812996706</c:v>
                </c:pt>
                <c:pt idx="361">
                  <c:v>2.2485711088946903</c:v>
                </c:pt>
                <c:pt idx="362">
                  <c:v>2.2468489417192732</c:v>
                </c:pt>
                <c:pt idx="363">
                  <c:v>2.2631475115872508</c:v>
                </c:pt>
                <c:pt idx="364">
                  <c:v>2.2865157041319097</c:v>
                </c:pt>
                <c:pt idx="365">
                  <c:v>2.2980564588341998</c:v>
                </c:pt>
                <c:pt idx="366">
                  <c:v>2.2846120633256444</c:v>
                </c:pt>
                <c:pt idx="367">
                  <c:v>2.2723881481813959</c:v>
                </c:pt>
                <c:pt idx="368">
                  <c:v>2.2606023702237992</c:v>
                </c:pt>
                <c:pt idx="369">
                  <c:v>2.2651567067508229</c:v>
                </c:pt>
                <c:pt idx="370">
                  <c:v>2.2593417327420093</c:v>
                </c:pt>
                <c:pt idx="371">
                  <c:v>2.2560781033706125</c:v>
                </c:pt>
                <c:pt idx="372">
                  <c:v>2.2755521047514269</c:v>
                </c:pt>
                <c:pt idx="373">
                  <c:v>2.281707549981757</c:v>
                </c:pt>
                <c:pt idx="374">
                  <c:v>2.2933796145548562</c:v>
                </c:pt>
                <c:pt idx="375">
                  <c:v>2.2742827166349096</c:v>
                </c:pt>
                <c:pt idx="376">
                  <c:v>2.2770900969994323</c:v>
                </c:pt>
                <c:pt idx="377">
                  <c:v>2.2714344808521343</c:v>
                </c:pt>
                <c:pt idx="378">
                  <c:v>2.2798561570026092</c:v>
                </c:pt>
                <c:pt idx="379">
                  <c:v>2.2791615377670813</c:v>
                </c:pt>
                <c:pt idx="380">
                  <c:v>2.2794305221498488</c:v>
                </c:pt>
                <c:pt idx="381">
                  <c:v>2.2696988502488673</c:v>
                </c:pt>
                <c:pt idx="382">
                  <c:v>2.2690593614266832</c:v>
                </c:pt>
                <c:pt idx="383">
                  <c:v>2.2573884163236357</c:v>
                </c:pt>
                <c:pt idx="384">
                  <c:v>2.2668861886932796</c:v>
                </c:pt>
                <c:pt idx="385">
                  <c:v>2.2728143915651779</c:v>
                </c:pt>
                <c:pt idx="386">
                  <c:v>2.2907238022297967</c:v>
                </c:pt>
                <c:pt idx="387">
                  <c:v>2.2757290236614911</c:v>
                </c:pt>
                <c:pt idx="388">
                  <c:v>2.2557745600063495</c:v>
                </c:pt>
                <c:pt idx="389">
                  <c:v>2.2457051453344459</c:v>
                </c:pt>
                <c:pt idx="390">
                  <c:v>2.2417431591658201</c:v>
                </c:pt>
                <c:pt idx="391">
                  <c:v>2.2401294118336548</c:v>
                </c:pt>
                <c:pt idx="392">
                  <c:v>2.2312421691561561</c:v>
                </c:pt>
                <c:pt idx="393">
                  <c:v>2.2359602612971163</c:v>
                </c:pt>
                <c:pt idx="394">
                  <c:v>2.2314069395711877</c:v>
                </c:pt>
                <c:pt idx="395">
                  <c:v>2.2433071359129797</c:v>
                </c:pt>
                <c:pt idx="396">
                  <c:v>2.2563829510982978</c:v>
                </c:pt>
                <c:pt idx="397">
                  <c:v>2.2717740449968278</c:v>
                </c:pt>
                <c:pt idx="398">
                  <c:v>2.2703312746193816</c:v>
                </c:pt>
                <c:pt idx="399">
                  <c:v>2.2743507655982058</c:v>
                </c:pt>
                <c:pt idx="400">
                  <c:v>2.2662573453538775</c:v>
                </c:pt>
                <c:pt idx="401">
                  <c:v>2.2463107028044833</c:v>
                </c:pt>
                <c:pt idx="402">
                  <c:v>2.2191578490727433</c:v>
                </c:pt>
                <c:pt idx="403">
                  <c:v>2.2264510924979146</c:v>
                </c:pt>
                <c:pt idx="404">
                  <c:v>2.2357923513973108</c:v>
                </c:pt>
                <c:pt idx="405">
                  <c:v>2.2447565990803127</c:v>
                </c:pt>
                <c:pt idx="406">
                  <c:v>2.2376077712151603</c:v>
                </c:pt>
                <c:pt idx="407">
                  <c:v>2.2360814746930853</c:v>
                </c:pt>
                <c:pt idx="408">
                  <c:v>2.2351690697891637</c:v>
                </c:pt>
                <c:pt idx="409">
                  <c:v>2.2519931808814433</c:v>
                </c:pt>
                <c:pt idx="410">
                  <c:v>2.2762699997890485</c:v>
                </c:pt>
                <c:pt idx="411">
                  <c:v>2.3023879807466039</c:v>
                </c:pt>
                <c:pt idx="412">
                  <c:v>2.3022721897944307</c:v>
                </c:pt>
                <c:pt idx="413">
                  <c:v>2.2786501626032956</c:v>
                </c:pt>
                <c:pt idx="414">
                  <c:v>2.2617649477872201</c:v>
                </c:pt>
                <c:pt idx="415">
                  <c:v>2.2610465931719563</c:v>
                </c:pt>
                <c:pt idx="416">
                  <c:v>2.2716708896070039</c:v>
                </c:pt>
                <c:pt idx="417">
                  <c:v>2.264367980422207</c:v>
                </c:pt>
                <c:pt idx="418">
                  <c:v>2.2533302391582404</c:v>
                </c:pt>
                <c:pt idx="419">
                  <c:v>2.2593059847782975</c:v>
                </c:pt>
                <c:pt idx="420">
                  <c:v>2.2696760421967981</c:v>
                </c:pt>
                <c:pt idx="421">
                  <c:v>2.2699498207619402</c:v>
                </c:pt>
                <c:pt idx="422">
                  <c:v>2.2751271770170423</c:v>
                </c:pt>
                <c:pt idx="423">
                  <c:v>2.3074279778332145</c:v>
                </c:pt>
                <c:pt idx="424">
                  <c:v>2.3146421535392014</c:v>
                </c:pt>
                <c:pt idx="425">
                  <c:v>2.3054624630527827</c:v>
                </c:pt>
                <c:pt idx="426">
                  <c:v>2.2697445519288233</c:v>
                </c:pt>
                <c:pt idx="427">
                  <c:v>2.2533829726095447</c:v>
                </c:pt>
                <c:pt idx="428">
                  <c:v>2.2510694141703005</c:v>
                </c:pt>
                <c:pt idx="429">
                  <c:v>2.2559112024810672</c:v>
                </c:pt>
                <c:pt idx="430">
                  <c:v>2.2698243817590087</c:v>
                </c:pt>
                <c:pt idx="431">
                  <c:v>2.2789591459402367</c:v>
                </c:pt>
                <c:pt idx="432">
                  <c:v>2.2891293533824388</c:v>
                </c:pt>
                <c:pt idx="433">
                  <c:v>2.2854977348512566</c:v>
                </c:pt>
                <c:pt idx="434">
                  <c:v>2.2598124959544932</c:v>
                </c:pt>
                <c:pt idx="435">
                  <c:v>2.2519634895571223</c:v>
                </c:pt>
                <c:pt idx="436">
                  <c:v>2.2504639246073128</c:v>
                </c:pt>
                <c:pt idx="437">
                  <c:v>2.2702648049391456</c:v>
                </c:pt>
                <c:pt idx="438">
                  <c:v>2.2487858894827908</c:v>
                </c:pt>
                <c:pt idx="439">
                  <c:v>2.2349878393576055</c:v>
                </c:pt>
                <c:pt idx="440">
                  <c:v>2.2140899881877671</c:v>
                </c:pt>
                <c:pt idx="441">
                  <c:v>2.2130318535890789</c:v>
                </c:pt>
                <c:pt idx="442">
                  <c:v>2.2104379623305559</c:v>
                </c:pt>
                <c:pt idx="443">
                  <c:v>2.2222300815141067</c:v>
                </c:pt>
                <c:pt idx="444">
                  <c:v>2.261362646203382</c:v>
                </c:pt>
                <c:pt idx="445">
                  <c:v>2.2662247548607355</c:v>
                </c:pt>
                <c:pt idx="446">
                  <c:v>2.2561816395538958</c:v>
                </c:pt>
                <c:pt idx="447">
                  <c:v>2.2272019934942779</c:v>
                </c:pt>
                <c:pt idx="448">
                  <c:v>2.2383230979826183</c:v>
                </c:pt>
                <c:pt idx="449">
                  <c:v>2.272336380321248</c:v>
                </c:pt>
                <c:pt idx="450">
                  <c:v>2.2787877530718168</c:v>
                </c:pt>
                <c:pt idx="451">
                  <c:v>2.3024114921427796</c:v>
                </c:pt>
                <c:pt idx="452">
                  <c:v>2.2974294152095269</c:v>
                </c:pt>
                <c:pt idx="453">
                  <c:v>2.30208916112448</c:v>
                </c:pt>
                <c:pt idx="454">
                  <c:v>2.2906509984243724</c:v>
                </c:pt>
                <c:pt idx="455">
                  <c:v>2.2694048361769981</c:v>
                </c:pt>
                <c:pt idx="456">
                  <c:v>2.2623751000062016</c:v>
                </c:pt>
                <c:pt idx="457">
                  <c:v>2.2450424355086702</c:v>
                </c:pt>
                <c:pt idx="458">
                  <c:v>2.2455214357564066</c:v>
                </c:pt>
                <c:pt idx="459">
                  <c:v>2.2545751606940447</c:v>
                </c:pt>
                <c:pt idx="460">
                  <c:v>2.25747788323469</c:v>
                </c:pt>
                <c:pt idx="461">
                  <c:v>2.269981556108843</c:v>
                </c:pt>
                <c:pt idx="462">
                  <c:v>2.2527633163662681</c:v>
                </c:pt>
                <c:pt idx="463">
                  <c:v>2.243966696139108</c:v>
                </c:pt>
                <c:pt idx="464">
                  <c:v>2.2448508130441165</c:v>
                </c:pt>
                <c:pt idx="465">
                  <c:v>2.2549724254282526</c:v>
                </c:pt>
                <c:pt idx="466">
                  <c:v>2.258378947663394</c:v>
                </c:pt>
                <c:pt idx="467">
                  <c:v>2.2257764833097262</c:v>
                </c:pt>
                <c:pt idx="468">
                  <c:v>2.1980665803355897</c:v>
                </c:pt>
                <c:pt idx="469">
                  <c:v>2.1937261954213372</c:v>
                </c:pt>
                <c:pt idx="470">
                  <c:v>2.2197609981509823</c:v>
                </c:pt>
                <c:pt idx="471">
                  <c:v>2.2224506565811097</c:v>
                </c:pt>
                <c:pt idx="472">
                  <c:v>2.2426487706420875</c:v>
                </c:pt>
                <c:pt idx="473">
                  <c:v>2.2452502352911647</c:v>
                </c:pt>
                <c:pt idx="474">
                  <c:v>2.2488618465866912</c:v>
                </c:pt>
                <c:pt idx="475">
                  <c:v>2.2381021152351148</c:v>
                </c:pt>
                <c:pt idx="476">
                  <c:v>2.2256707392427759</c:v>
                </c:pt>
                <c:pt idx="477">
                  <c:v>2.2402021639091871</c:v>
                </c:pt>
                <c:pt idx="478">
                  <c:v>2.2430882222430455</c:v>
                </c:pt>
                <c:pt idx="479">
                  <c:v>2.229783796821442</c:v>
                </c:pt>
                <c:pt idx="480">
                  <c:v>2.2013762604474851</c:v>
                </c:pt>
                <c:pt idx="481">
                  <c:v>2.1728735512954902</c:v>
                </c:pt>
                <c:pt idx="482">
                  <c:v>2.1774503690362099</c:v>
                </c:pt>
                <c:pt idx="483">
                  <c:v>2.2079504958260565</c:v>
                </c:pt>
                <c:pt idx="484">
                  <c:v>2.238410296260295</c:v>
                </c:pt>
                <c:pt idx="485">
                  <c:v>2.2712996523012721</c:v>
                </c:pt>
                <c:pt idx="486">
                  <c:v>2.268829234431669</c:v>
                </c:pt>
                <c:pt idx="487">
                  <c:v>2.2611403253315276</c:v>
                </c:pt>
                <c:pt idx="488">
                  <c:v>2.2695580251974246</c:v>
                </c:pt>
                <c:pt idx="489">
                  <c:v>2.2792793277974739</c:v>
                </c:pt>
                <c:pt idx="490">
                  <c:v>2.2788312304832807</c:v>
                </c:pt>
                <c:pt idx="491">
                  <c:v>2.247313284974378</c:v>
                </c:pt>
                <c:pt idx="492">
                  <c:v>2.2485897542268165</c:v>
                </c:pt>
                <c:pt idx="493">
                  <c:v>2.258974706008682</c:v>
                </c:pt>
                <c:pt idx="494">
                  <c:v>2.2654051011843777</c:v>
                </c:pt>
                <c:pt idx="495">
                  <c:v>2.2487129609322181</c:v>
                </c:pt>
                <c:pt idx="496">
                  <c:v>2.2333338360047255</c:v>
                </c:pt>
                <c:pt idx="497">
                  <c:v>2.2356130837110233</c:v>
                </c:pt>
                <c:pt idx="498">
                  <c:v>2.2541261663845003</c:v>
                </c:pt>
                <c:pt idx="499">
                  <c:v>2.2481082823428884</c:v>
                </c:pt>
                <c:pt idx="500">
                  <c:v>2.2232761424666925</c:v>
                </c:pt>
                <c:pt idx="501">
                  <c:v>2.2066068744440859</c:v>
                </c:pt>
                <c:pt idx="502">
                  <c:v>2.218899134134988</c:v>
                </c:pt>
                <c:pt idx="503">
                  <c:v>2.2157644322977124</c:v>
                </c:pt>
                <c:pt idx="504">
                  <c:v>2.202727855499246</c:v>
                </c:pt>
                <c:pt idx="505">
                  <c:v>2.1872918299110249</c:v>
                </c:pt>
                <c:pt idx="506">
                  <c:v>2.1918762566311929</c:v>
                </c:pt>
                <c:pt idx="507">
                  <c:v>2.1913585330738852</c:v>
                </c:pt>
                <c:pt idx="508">
                  <c:v>2.1894904730692013</c:v>
                </c:pt>
                <c:pt idx="509">
                  <c:v>2.1907546244591849</c:v>
                </c:pt>
                <c:pt idx="510">
                  <c:v>2.1920445492009355</c:v>
                </c:pt>
                <c:pt idx="511">
                  <c:v>2.1933610447719727</c:v>
                </c:pt>
                <c:pt idx="512">
                  <c:v>2.1947049419511004</c:v>
                </c:pt>
                <c:pt idx="513">
                  <c:v>2.1960771066259923</c:v>
                </c:pt>
                <c:pt idx="514">
                  <c:v>2.1974784414678319</c:v>
                </c:pt>
                <c:pt idx="515">
                  <c:v>2.1989098881361246</c:v>
                </c:pt>
                <c:pt idx="516">
                  <c:v>2.2003724291696973</c:v>
                </c:pt>
                <c:pt idx="517">
                  <c:v>2.2018670908032703</c:v>
                </c:pt>
                <c:pt idx="518">
                  <c:v>2.2033949446779695</c:v>
                </c:pt>
                <c:pt idx="519">
                  <c:v>2.2049571108939308</c:v>
                </c:pt>
                <c:pt idx="520">
                  <c:v>2.2065547603589164</c:v>
                </c:pt>
                <c:pt idx="521">
                  <c:v>2.2081891182207918</c:v>
                </c:pt>
                <c:pt idx="522">
                  <c:v>2.2098614667899326</c:v>
                </c:pt>
                <c:pt idx="523">
                  <c:v>2.2115731486571431</c:v>
                </c:pt>
                <c:pt idx="524">
                  <c:v>2.2133255708342863</c:v>
                </c:pt>
                <c:pt idx="525">
                  <c:v>2.2151202082040524</c:v>
                </c:pt>
                <c:pt idx="526">
                  <c:v>2.2169586082073613</c:v>
                </c:pt>
                <c:pt idx="527">
                  <c:v>2.2188423945490912</c:v>
                </c:pt>
                <c:pt idx="528">
                  <c:v>2.2207732726327518</c:v>
                </c:pt>
                <c:pt idx="529">
                  <c:v>2.2227530344895237</c:v>
                </c:pt>
                <c:pt idx="530">
                  <c:v>2.224783564625425</c:v>
                </c:pt>
                <c:pt idx="531">
                  <c:v>2.2268668458194321</c:v>
                </c:pt>
                <c:pt idx="532">
                  <c:v>2.2290049657028788</c:v>
                </c:pt>
                <c:pt idx="533">
                  <c:v>2.2312001238157415</c:v>
                </c:pt>
                <c:pt idx="534">
                  <c:v>2.2334546393004264</c:v>
                </c:pt>
                <c:pt idx="535">
                  <c:v>2.2357709588843049</c:v>
                </c:pt>
                <c:pt idx="536">
                  <c:v>2.238151666106972</c:v>
                </c:pt>
                <c:pt idx="537">
                  <c:v>2.2405994907292439</c:v>
                </c:pt>
                <c:pt idx="538">
                  <c:v>2.2431173200012591</c:v>
                </c:pt>
                <c:pt idx="539">
                  <c:v>2.2457082092241749</c:v>
                </c:pt>
                <c:pt idx="540">
                  <c:v>2.2483753948731859</c:v>
                </c:pt>
                <c:pt idx="541">
                  <c:v>2.2713836683508006</c:v>
                </c:pt>
                <c:pt idx="542">
                  <c:v>2.2919409183055737</c:v>
                </c:pt>
                <c:pt idx="543">
                  <c:v>2.2890474175952367</c:v>
                </c:pt>
                <c:pt idx="544">
                  <c:v>2.2597322336164276</c:v>
                </c:pt>
                <c:pt idx="545">
                  <c:v>2.2407934781352559</c:v>
                </c:pt>
                <c:pt idx="546">
                  <c:v>2.2456231358933159</c:v>
                </c:pt>
                <c:pt idx="547">
                  <c:v>2.2478226987254377</c:v>
                </c:pt>
                <c:pt idx="548">
                  <c:v>2.2421297473926725</c:v>
                </c:pt>
                <c:pt idx="549">
                  <c:v>2.236178357547677</c:v>
                </c:pt>
                <c:pt idx="550">
                  <c:v>2.2391064223199417</c:v>
                </c:pt>
                <c:pt idx="551">
                  <c:v>2.2534012691747272</c:v>
                </c:pt>
                <c:pt idx="552">
                  <c:v>2.2690710003610151</c:v>
                </c:pt>
                <c:pt idx="553">
                  <c:v>2.2886991483527193</c:v>
                </c:pt>
                <c:pt idx="554">
                  <c:v>2.2936832864141317</c:v>
                </c:pt>
                <c:pt idx="555">
                  <c:v>2.3322444266186224</c:v>
                </c:pt>
                <c:pt idx="556">
                  <c:v>2.3453180968601335</c:v>
                </c:pt>
                <c:pt idx="557">
                  <c:v>2.3551392761994649</c:v>
                </c:pt>
                <c:pt idx="558">
                  <c:v>2.3386375467578264</c:v>
                </c:pt>
                <c:pt idx="559">
                  <c:v>2.356536121900318</c:v>
                </c:pt>
                <c:pt idx="560">
                  <c:v>2.3869082508851047</c:v>
                </c:pt>
                <c:pt idx="561">
                  <c:v>2.3869241984338578</c:v>
                </c:pt>
                <c:pt idx="562">
                  <c:v>2.3656462634094799</c:v>
                </c:pt>
                <c:pt idx="563">
                  <c:v>2.3486933140814137</c:v>
                </c:pt>
                <c:pt idx="564">
                  <c:v>2.345921465499885</c:v>
                </c:pt>
                <c:pt idx="565">
                  <c:v>2.355677183151633</c:v>
                </c:pt>
                <c:pt idx="566">
                  <c:v>2.356982585344678</c:v>
                </c:pt>
                <c:pt idx="567">
                  <c:v>2.3582349792839028</c:v>
                </c:pt>
                <c:pt idx="568">
                  <c:v>2.3541142384356362</c:v>
                </c:pt>
                <c:pt idx="569">
                  <c:v>2.3599207356811185</c:v>
                </c:pt>
                <c:pt idx="570">
                  <c:v>2.3780781180811257</c:v>
                </c:pt>
                <c:pt idx="571">
                  <c:v>2.3789759063739369</c:v>
                </c:pt>
                <c:pt idx="572">
                  <c:v>2.389162059994848</c:v>
                </c:pt>
                <c:pt idx="573">
                  <c:v>2.3744706997407792</c:v>
                </c:pt>
                <c:pt idx="574">
                  <c:v>2.3755191250354741</c:v>
                </c:pt>
                <c:pt idx="575">
                  <c:v>2.3423456470705606</c:v>
                </c:pt>
                <c:pt idx="576">
                  <c:v>2.330303283971126</c:v>
                </c:pt>
                <c:pt idx="577">
                  <c:v>2.3095514071797041</c:v>
                </c:pt>
                <c:pt idx="578">
                  <c:v>2.3191752940747516</c:v>
                </c:pt>
                <c:pt idx="579">
                  <c:v>2.3386299335255627</c:v>
                </c:pt>
                <c:pt idx="580">
                  <c:v>2.3542670131731795</c:v>
                </c:pt>
                <c:pt idx="581">
                  <c:v>2.3494671449703595</c:v>
                </c:pt>
                <c:pt idx="582">
                  <c:v>2.3183836822731565</c:v>
                </c:pt>
                <c:pt idx="583">
                  <c:v>2.3023665073932809</c:v>
                </c:pt>
                <c:pt idx="584">
                  <c:v>2.292408301571641</c:v>
                </c:pt>
                <c:pt idx="585">
                  <c:v>2.2876096303284332</c:v>
                </c:pt>
                <c:pt idx="586">
                  <c:v>2.2940145561147047</c:v>
                </c:pt>
                <c:pt idx="587">
                  <c:v>2.278052334471071</c:v>
                </c:pt>
                <c:pt idx="588">
                  <c:v>2.2608809736066355</c:v>
                </c:pt>
                <c:pt idx="589">
                  <c:v>2.2484531910510994</c:v>
                </c:pt>
                <c:pt idx="590">
                  <c:v>2.2389863250904956</c:v>
                </c:pt>
                <c:pt idx="591">
                  <c:v>2.2404129605301928</c:v>
                </c:pt>
                <c:pt idx="592">
                  <c:v>2.2164919308278521</c:v>
                </c:pt>
                <c:pt idx="593">
                  <c:v>2.2094776967022476</c:v>
                </c:pt>
                <c:pt idx="594">
                  <c:v>2.2228106471744185</c:v>
                </c:pt>
                <c:pt idx="595">
                  <c:v>2.2185984754756127</c:v>
                </c:pt>
                <c:pt idx="596">
                  <c:v>2.2140801575769991</c:v>
                </c:pt>
                <c:pt idx="597">
                  <c:v>2.1934267659429119</c:v>
                </c:pt>
                <c:pt idx="598">
                  <c:v>2.1961222722886169</c:v>
                </c:pt>
                <c:pt idx="599">
                  <c:v>2.2002038572494067</c:v>
                </c:pt>
                <c:pt idx="600">
                  <c:v>2.1907543127383442</c:v>
                </c:pt>
                <c:pt idx="601">
                  <c:v>2.2000798366050893</c:v>
                </c:pt>
                <c:pt idx="602">
                  <c:v>2.2125415547825917</c:v>
                </c:pt>
                <c:pt idx="603">
                  <c:v>2.2545321307725383</c:v>
                </c:pt>
                <c:pt idx="604">
                  <c:v>2.2471643819631058</c:v>
                </c:pt>
                <c:pt idx="605">
                  <c:v>2.2340340283951412</c:v>
                </c:pt>
                <c:pt idx="606">
                  <c:v>2.2095264007455664</c:v>
                </c:pt>
                <c:pt idx="607">
                  <c:v>2.2201165220505374</c:v>
                </c:pt>
                <c:pt idx="608">
                  <c:v>2.2302258968801465</c:v>
                </c:pt>
                <c:pt idx="609">
                  <c:v>2.2306117976530051</c:v>
                </c:pt>
                <c:pt idx="610">
                  <c:v>2.2244357297889668</c:v>
                </c:pt>
                <c:pt idx="611">
                  <c:v>2.2042342424378134</c:v>
                </c:pt>
                <c:pt idx="612">
                  <c:v>2.1861590554210331</c:v>
                </c:pt>
                <c:pt idx="613">
                  <c:v>2.1744722776618985</c:v>
                </c:pt>
                <c:pt idx="614">
                  <c:v>2.1790603356557834</c:v>
                </c:pt>
                <c:pt idx="615">
                  <c:v>2.1834284357578739</c:v>
                </c:pt>
                <c:pt idx="616">
                  <c:v>2.1875920701104716</c:v>
                </c:pt>
                <c:pt idx="617">
                  <c:v>2.1915653054177695</c:v>
                </c:pt>
                <c:pt idx="618">
                  <c:v>2.1953609437139336</c:v>
                </c:pt>
                <c:pt idx="619">
                  <c:v>2.1792020028467278</c:v>
                </c:pt>
                <c:pt idx="620">
                  <c:v>2.1721610493858914</c:v>
                </c:pt>
                <c:pt idx="621">
                  <c:v>2.1600055287816708</c:v>
                </c:pt>
                <c:pt idx="622">
                  <c:v>2.1621321866366938</c:v>
                </c:pt>
                <c:pt idx="623">
                  <c:v>2.1845579553575587</c:v>
                </c:pt>
                <c:pt idx="624">
                  <c:v>2.1840754742123565</c:v>
                </c:pt>
                <c:pt idx="625">
                  <c:v>2.1982244496266845</c:v>
                </c:pt>
                <c:pt idx="626">
                  <c:v>2.1765862469048649</c:v>
                </c:pt>
                <c:pt idx="627">
                  <c:v>2.1867849622031748</c:v>
                </c:pt>
                <c:pt idx="628">
                  <c:v>2.2032973611242581</c:v>
                </c:pt>
                <c:pt idx="629">
                  <c:v>2.2024231527308</c:v>
                </c:pt>
                <c:pt idx="630">
                  <c:v>2.2011471053564087</c:v>
                </c:pt>
                <c:pt idx="631">
                  <c:v>2.1621136836223278</c:v>
                </c:pt>
                <c:pt idx="632">
                  <c:v>2.1643552680750155</c:v>
                </c:pt>
                <c:pt idx="633">
                  <c:v>2.159679856815258</c:v>
                </c:pt>
                <c:pt idx="634">
                  <c:v>2.1709209016100068</c:v>
                </c:pt>
                <c:pt idx="635">
                  <c:v>2.1631012458942847</c:v>
                </c:pt>
                <c:pt idx="636">
                  <c:v>2.1637245214505882</c:v>
                </c:pt>
                <c:pt idx="637">
                  <c:v>2.1583660643518621</c:v>
                </c:pt>
                <c:pt idx="638">
                  <c:v>2.1595199349002034</c:v>
                </c:pt>
                <c:pt idx="639">
                  <c:v>2.1570872869305706</c:v>
                </c:pt>
                <c:pt idx="640">
                  <c:v>2.1638031683896206</c:v>
                </c:pt>
                <c:pt idx="641">
                  <c:v>2.1611041507514162</c:v>
                </c:pt>
                <c:pt idx="642">
                  <c:v>2.15490244192284</c:v>
                </c:pt>
                <c:pt idx="643">
                  <c:v>2.1668982923605102</c:v>
                </c:pt>
                <c:pt idx="644">
                  <c:v>2.1678255551913135</c:v>
                </c:pt>
                <c:pt idx="645">
                  <c:v>2.1660233026738491</c:v>
                </c:pt>
                <c:pt idx="646">
                  <c:v>2.1531969952597017</c:v>
                </c:pt>
                <c:pt idx="647">
                  <c:v>2.1640323465585669</c:v>
                </c:pt>
                <c:pt idx="648">
                  <c:v>2.1888408652275371</c:v>
                </c:pt>
                <c:pt idx="649">
                  <c:v>2.2070783169607608</c:v>
                </c:pt>
                <c:pt idx="650">
                  <c:v>2.2043091208706116</c:v>
                </c:pt>
                <c:pt idx="651">
                  <c:v>2.1922653346846772</c:v>
                </c:pt>
                <c:pt idx="652">
                  <c:v>2.1864158869065253</c:v>
                </c:pt>
                <c:pt idx="653">
                  <c:v>2.1841695794106575</c:v>
                </c:pt>
                <c:pt idx="654">
                  <c:v>2.1818009049060771</c:v>
                </c:pt>
                <c:pt idx="655">
                  <c:v>2.1692016791803201</c:v>
                </c:pt>
                <c:pt idx="656">
                  <c:v>2.1703483526180647</c:v>
                </c:pt>
                <c:pt idx="657">
                  <c:v>2.1649030265528566</c:v>
                </c:pt>
                <c:pt idx="658">
                  <c:v>2.1604118522288385</c:v>
                </c:pt>
                <c:pt idx="659">
                  <c:v>2.1439269346428573</c:v>
                </c:pt>
                <c:pt idx="660">
                  <c:v>2.1469727650047874</c:v>
                </c:pt>
                <c:pt idx="661">
                  <c:v>2.142506383549915</c:v>
                </c:pt>
                <c:pt idx="662">
                  <c:v>2.1511750305266353</c:v>
                </c:pt>
                <c:pt idx="663">
                  <c:v>2.1389538096161798</c:v>
                </c:pt>
                <c:pt idx="664">
                  <c:v>2.1483498545100099</c:v>
                </c:pt>
                <c:pt idx="665">
                  <c:v>2.1407374589835766</c:v>
                </c:pt>
                <c:pt idx="666">
                  <c:v>2.1500247604503988</c:v>
                </c:pt>
                <c:pt idx="667">
                  <c:v>2.1547927818908659</c:v>
                </c:pt>
                <c:pt idx="668">
                  <c:v>2.1599118154294517</c:v>
                </c:pt>
                <c:pt idx="669">
                  <c:v>2.1347918972275575</c:v>
                </c:pt>
                <c:pt idx="670">
                  <c:v>2.0944264479079577</c:v>
                </c:pt>
                <c:pt idx="671">
                  <c:v>2.1098556245024436</c:v>
                </c:pt>
                <c:pt idx="672">
                  <c:v>2.1154455978149547</c:v>
                </c:pt>
                <c:pt idx="673">
                  <c:v>2.1350972052382784</c:v>
                </c:pt>
                <c:pt idx="674">
                  <c:v>2.1472745623348231</c:v>
                </c:pt>
                <c:pt idx="675">
                  <c:v>2.1737898062288523</c:v>
                </c:pt>
                <c:pt idx="676">
                  <c:v>2.1819266808481905</c:v>
                </c:pt>
                <c:pt idx="677">
                  <c:v>2.1535843828015877</c:v>
                </c:pt>
                <c:pt idx="678">
                  <c:v>2.1338210982889141</c:v>
                </c:pt>
                <c:pt idx="679">
                  <c:v>2.1541316681384717</c:v>
                </c:pt>
                <c:pt idx="680">
                  <c:v>2.1426183754736248</c:v>
                </c:pt>
                <c:pt idx="681">
                  <c:v>2.1495363667669389</c:v>
                </c:pt>
                <c:pt idx="682">
                  <c:v>2.1328426723252782</c:v>
                </c:pt>
                <c:pt idx="683">
                  <c:v>2.1552204076380073</c:v>
                </c:pt>
                <c:pt idx="684">
                  <c:v>2.166795022182701</c:v>
                </c:pt>
                <c:pt idx="685">
                  <c:v>2.1606280227401577</c:v>
                </c:pt>
                <c:pt idx="686">
                  <c:v>2.1631138927994704</c:v>
                </c:pt>
                <c:pt idx="687">
                  <c:v>2.1481376712090179</c:v>
                </c:pt>
                <c:pt idx="688">
                  <c:v>2.1409710771365287</c:v>
                </c:pt>
                <c:pt idx="689">
                  <c:v>2.1366625595781112</c:v>
                </c:pt>
                <c:pt idx="690">
                  <c:v>2.1600793692906106</c:v>
                </c:pt>
                <c:pt idx="691">
                  <c:v>2.1781054158897519</c:v>
                </c:pt>
                <c:pt idx="692">
                  <c:v>2.1743333334019437</c:v>
                </c:pt>
                <c:pt idx="693">
                  <c:v>2.1726605860252288</c:v>
                </c:pt>
                <c:pt idx="694">
                  <c:v>2.1554411322148517</c:v>
                </c:pt>
                <c:pt idx="695">
                  <c:v>2.1364046111406374</c:v>
                </c:pt>
                <c:pt idx="696">
                  <c:v>2.1027824572682197</c:v>
                </c:pt>
                <c:pt idx="697">
                  <c:v>2.1305081609740779</c:v>
                </c:pt>
                <c:pt idx="698">
                  <c:v>2.1650572721988031</c:v>
                </c:pt>
                <c:pt idx="699">
                  <c:v>2.185488713086619</c:v>
                </c:pt>
                <c:pt idx="700">
                  <c:v>2.1580133726538393</c:v>
                </c:pt>
                <c:pt idx="701">
                  <c:v>2.1469473358106748</c:v>
                </c:pt>
                <c:pt idx="702">
                  <c:v>2.1606383970928977</c:v>
                </c:pt>
                <c:pt idx="703">
                  <c:v>2.1975836877223887</c:v>
                </c:pt>
                <c:pt idx="704">
                  <c:v>2.2045458693158699</c:v>
                </c:pt>
                <c:pt idx="705">
                  <c:v>2.2030652042560246</c:v>
                </c:pt>
                <c:pt idx="706">
                  <c:v>2.1883849895070906</c:v>
                </c:pt>
                <c:pt idx="707">
                  <c:v>2.1845138636002055</c:v>
                </c:pt>
                <c:pt idx="708">
                  <c:v>2.1882093611153834</c:v>
                </c:pt>
                <c:pt idx="709">
                  <c:v>2.1956975034045141</c:v>
                </c:pt>
                <c:pt idx="710">
                  <c:v>2.2276430952321196</c:v>
                </c:pt>
                <c:pt idx="711">
                  <c:v>2.2469429526206959</c:v>
                </c:pt>
                <c:pt idx="712">
                  <c:v>2.2426675167807151</c:v>
                </c:pt>
                <c:pt idx="713">
                  <c:v>2.1919271090637711</c:v>
                </c:pt>
                <c:pt idx="714">
                  <c:v>2.1352992584993378</c:v>
                </c:pt>
                <c:pt idx="715">
                  <c:v>2.1303145042938239</c:v>
                </c:pt>
                <c:pt idx="716">
                  <c:v>2.1522691507415659</c:v>
                </c:pt>
                <c:pt idx="717">
                  <c:v>2.1963928228820175</c:v>
                </c:pt>
                <c:pt idx="718">
                  <c:v>2.2041536427101196</c:v>
                </c:pt>
                <c:pt idx="719">
                  <c:v>2.2381131738030229</c:v>
                </c:pt>
                <c:pt idx="720">
                  <c:v>2.2404382165746668</c:v>
                </c:pt>
                <c:pt idx="721">
                  <c:v>2.244571146791229</c:v>
                </c:pt>
                <c:pt idx="722">
                  <c:v>2.2295028092663474</c:v>
                </c:pt>
                <c:pt idx="723">
                  <c:v>2.2378177489240341</c:v>
                </c:pt>
                <c:pt idx="724">
                  <c:v>2.2604009400705425</c:v>
                </c:pt>
                <c:pt idx="725">
                  <c:v>2.2498601064478776</c:v>
                </c:pt>
                <c:pt idx="726">
                  <c:v>2.2256002254444556</c:v>
                </c:pt>
                <c:pt idx="727">
                  <c:v>2.1930868933521026</c:v>
                </c:pt>
                <c:pt idx="728">
                  <c:v>2.1722699198864697</c:v>
                </c:pt>
                <c:pt idx="729">
                  <c:v>2.1736802705151388</c:v>
                </c:pt>
                <c:pt idx="730">
                  <c:v>2.1688100134331649</c:v>
                </c:pt>
                <c:pt idx="731">
                  <c:v>2.158170940993708</c:v>
                </c:pt>
                <c:pt idx="732">
                  <c:v>2.1651740673134476</c:v>
                </c:pt>
                <c:pt idx="733">
                  <c:v>2.1872758283604177</c:v>
                </c:pt>
                <c:pt idx="734">
                  <c:v>2.2112108074486589</c:v>
                </c:pt>
                <c:pt idx="735">
                  <c:v>2.1925668437345931</c:v>
                </c:pt>
                <c:pt idx="736">
                  <c:v>2.173029573912828</c:v>
                </c:pt>
                <c:pt idx="737">
                  <c:v>2.1441446774460666</c:v>
                </c:pt>
                <c:pt idx="738">
                  <c:v>2.1214493727619348</c:v>
                </c:pt>
                <c:pt idx="739">
                  <c:v>2.1103640156571339</c:v>
                </c:pt>
                <c:pt idx="740">
                  <c:v>2.1299683486490832</c:v>
                </c:pt>
                <c:pt idx="741">
                  <c:v>2.1504167746518204</c:v>
                </c:pt>
                <c:pt idx="742">
                  <c:v>2.1435264106425387</c:v>
                </c:pt>
                <c:pt idx="743">
                  <c:v>2.1109401180111322</c:v>
                </c:pt>
                <c:pt idx="744">
                  <c:v>2.0807852916241889</c:v>
                </c:pt>
                <c:pt idx="745">
                  <c:v>2.0836722147466169</c:v>
                </c:pt>
                <c:pt idx="746">
                  <c:v>2.1110739676452841</c:v>
                </c:pt>
                <c:pt idx="747">
                  <c:v>2.1228430294507743</c:v>
                </c:pt>
                <c:pt idx="748">
                  <c:v>2.1203696440494766</c:v>
                </c:pt>
                <c:pt idx="749">
                  <c:v>2.1161327782735064</c:v>
                </c:pt>
                <c:pt idx="750">
                  <c:v>2.1361295475061644</c:v>
                </c:pt>
                <c:pt idx="751">
                  <c:v>2.1475405215496726</c:v>
                </c:pt>
                <c:pt idx="752">
                  <c:v>2.1609445546836628</c:v>
                </c:pt>
                <c:pt idx="753">
                  <c:v>2.150615378813578</c:v>
                </c:pt>
                <c:pt idx="754">
                  <c:v>2.1279547648449699</c:v>
                </c:pt>
                <c:pt idx="755">
                  <c:v>2.0925390215020787</c:v>
                </c:pt>
                <c:pt idx="756">
                  <c:v>2.1093283892735069</c:v>
                </c:pt>
                <c:pt idx="757">
                  <c:v>2.1182084928791043</c:v>
                </c:pt>
                <c:pt idx="758">
                  <c:v>2.1469983782563253</c:v>
                </c:pt>
                <c:pt idx="759">
                  <c:v>2.1255880685433524</c:v>
                </c:pt>
                <c:pt idx="760">
                  <c:v>2.1632545048261829</c:v>
                </c:pt>
                <c:pt idx="761">
                  <c:v>2.183756142160346</c:v>
                </c:pt>
                <c:pt idx="762">
                  <c:v>2.189628754995002</c:v>
                </c:pt>
                <c:pt idx="763">
                  <c:v>2.1374952608027726</c:v>
                </c:pt>
                <c:pt idx="764">
                  <c:v>2.1224574071830355</c:v>
                </c:pt>
                <c:pt idx="765">
                  <c:v>2.1400481843372536</c:v>
                </c:pt>
                <c:pt idx="766">
                  <c:v>2.1755682330354404</c:v>
                </c:pt>
                <c:pt idx="767">
                  <c:v>2.1775693186916247</c:v>
                </c:pt>
                <c:pt idx="768">
                  <c:v>2.1777380913529019</c:v>
                </c:pt>
                <c:pt idx="769">
                  <c:v>2.1750061971406929</c:v>
                </c:pt>
                <c:pt idx="770">
                  <c:v>2.1865250887919268</c:v>
                </c:pt>
                <c:pt idx="771">
                  <c:v>2.2054488103649281</c:v>
                </c:pt>
                <c:pt idx="772">
                  <c:v>2.225083352113034</c:v>
                </c:pt>
                <c:pt idx="773">
                  <c:v>2.223568966777473</c:v>
                </c:pt>
                <c:pt idx="774">
                  <c:v>2.1962427139816163</c:v>
                </c:pt>
                <c:pt idx="775">
                  <c:v>2.1621678578345986</c:v>
                </c:pt>
                <c:pt idx="776">
                  <c:v>2.1192870851945922</c:v>
                </c:pt>
                <c:pt idx="777">
                  <c:v>2.0916672435536579</c:v>
                </c:pt>
                <c:pt idx="778">
                  <c:v>2.085281478988724</c:v>
                </c:pt>
                <c:pt idx="779">
                  <c:v>2.0750565051589551</c:v>
                </c:pt>
                <c:pt idx="780">
                  <c:v>2.0670205511236683</c:v>
                </c:pt>
                <c:pt idx="781">
                  <c:v>2.0593280028021961</c:v>
                </c:pt>
                <c:pt idx="782">
                  <c:v>2.078996016841387</c:v>
                </c:pt>
                <c:pt idx="783">
                  <c:v>2.109527163634707</c:v>
                </c:pt>
                <c:pt idx="784">
                  <c:v>2.0838627126382656</c:v>
                </c:pt>
                <c:pt idx="785">
                  <c:v>2.083391151874872</c:v>
                </c:pt>
                <c:pt idx="786">
                  <c:v>2.0428491684534493</c:v>
                </c:pt>
                <c:pt idx="787">
                  <c:v>2.0773094228897975</c:v>
                </c:pt>
                <c:pt idx="788">
                  <c:v>2.0842511459631843</c:v>
                </c:pt>
                <c:pt idx="789">
                  <c:v>2.1429708790091797</c:v>
                </c:pt>
                <c:pt idx="790">
                  <c:v>2.1491118335476971</c:v>
                </c:pt>
                <c:pt idx="791">
                  <c:v>2.1359890612213808</c:v>
                </c:pt>
                <c:pt idx="792">
                  <c:v>2.1041354011485489</c:v>
                </c:pt>
                <c:pt idx="793">
                  <c:v>2.1442547578624214</c:v>
                </c:pt>
                <c:pt idx="794">
                  <c:v>2.1761197969640023</c:v>
                </c:pt>
                <c:pt idx="795">
                  <c:v>2.2013020802380079</c:v>
                </c:pt>
                <c:pt idx="796">
                  <c:v>2.1422723482049846</c:v>
                </c:pt>
                <c:pt idx="797">
                  <c:v>2.1357085260162982</c:v>
                </c:pt>
                <c:pt idx="798">
                  <c:v>2.1213637457686141</c:v>
                </c:pt>
                <c:pt idx="799">
                  <c:v>2.1327155681164269</c:v>
                </c:pt>
                <c:pt idx="800">
                  <c:v>2.1241972569645227</c:v>
                </c:pt>
                <c:pt idx="801">
                  <c:v>2.124668791323201</c:v>
                </c:pt>
                <c:pt idx="802">
                  <c:v>2.1361005798447059</c:v>
                </c:pt>
                <c:pt idx="803">
                  <c:v>2.117702679328513</c:v>
                </c:pt>
                <c:pt idx="804">
                  <c:v>2.0911542842593658</c:v>
                </c:pt>
                <c:pt idx="805">
                  <c:v>2.0891188205591096</c:v>
                </c:pt>
                <c:pt idx="806">
                  <c:v>2.0907997413918697</c:v>
                </c:pt>
                <c:pt idx="807">
                  <c:v>2.1068219195996809</c:v>
                </c:pt>
                <c:pt idx="808">
                  <c:v>2.1060344707657292</c:v>
                </c:pt>
                <c:pt idx="809">
                  <c:v>2.1356501940156778</c:v>
                </c:pt>
                <c:pt idx="810">
                  <c:v>2.1559401064991839</c:v>
                </c:pt>
                <c:pt idx="811">
                  <c:v>2.1679131883837557</c:v>
                </c:pt>
                <c:pt idx="812">
                  <c:v>2.1775551949633529</c:v>
                </c:pt>
                <c:pt idx="813">
                  <c:v>2.1762675005881129</c:v>
                </c:pt>
                <c:pt idx="814">
                  <c:v>2.1650110952381252</c:v>
                </c:pt>
                <c:pt idx="815">
                  <c:v>2.1407724764779936</c:v>
                </c:pt>
                <c:pt idx="816">
                  <c:v>2.1477315883185057</c:v>
                </c:pt>
                <c:pt idx="817">
                  <c:v>2.1660629951010879</c:v>
                </c:pt>
                <c:pt idx="818">
                  <c:v>2.1758007335733316</c:v>
                </c:pt>
                <c:pt idx="819">
                  <c:v>2.1732229368933456</c:v>
                </c:pt>
                <c:pt idx="820">
                  <c:v>2.1693489572061928</c:v>
                </c:pt>
                <c:pt idx="821">
                  <c:v>2.1647723258163905</c:v>
                </c:pt>
                <c:pt idx="822">
                  <c:v>2.1738087009068146</c:v>
                </c:pt>
                <c:pt idx="823">
                  <c:v>2.167566896266397</c:v>
                </c:pt>
                <c:pt idx="824">
                  <c:v>2.1608611520667758</c:v>
                </c:pt>
                <c:pt idx="825">
                  <c:v>2.1363321108917375</c:v>
                </c:pt>
                <c:pt idx="826">
                  <c:v>2.151597179760746</c:v>
                </c:pt>
                <c:pt idx="827">
                  <c:v>2.1844499650054696</c:v>
                </c:pt>
                <c:pt idx="828">
                  <c:v>2.2223172322239462</c:v>
                </c:pt>
                <c:pt idx="829">
                  <c:v>2.2362923050404944</c:v>
                </c:pt>
                <c:pt idx="830">
                  <c:v>2.2436336665322414</c:v>
                </c:pt>
                <c:pt idx="831">
                  <c:v>2.2512729197456718</c:v>
                </c:pt>
                <c:pt idx="832">
                  <c:v>2.2592288153453759</c:v>
                </c:pt>
                <c:pt idx="833">
                  <c:v>2.2675217325194379</c:v>
                </c:pt>
                <c:pt idx="834">
                  <c:v>2.2761738624721546</c:v>
                </c:pt>
                <c:pt idx="835">
                  <c:v>2.2631632899864464</c:v>
                </c:pt>
                <c:pt idx="836">
                  <c:v>2.2218966615607507</c:v>
                </c:pt>
                <c:pt idx="837">
                  <c:v>2.1368905034700374</c:v>
                </c:pt>
                <c:pt idx="838">
                  <c:v>2.0845734945896193</c:v>
                </c:pt>
                <c:pt idx="839">
                  <c:v>2.05008677313285</c:v>
                </c:pt>
                <c:pt idx="840">
                  <c:v>2.0559053417636939</c:v>
                </c:pt>
                <c:pt idx="841">
                  <c:v>2.0562695776575057</c:v>
                </c:pt>
                <c:pt idx="842">
                  <c:v>2.067887587725362</c:v>
                </c:pt>
                <c:pt idx="843">
                  <c:v>2.0775972766105535</c:v>
                </c:pt>
                <c:pt idx="844">
                  <c:v>2.0690806663971291</c:v>
                </c:pt>
                <c:pt idx="845">
                  <c:v>2.0776732562947422</c:v>
                </c:pt>
                <c:pt idx="846">
                  <c:v>2.0893261008761481</c:v>
                </c:pt>
                <c:pt idx="847">
                  <c:v>2.1129362546827988</c:v>
                </c:pt>
                <c:pt idx="848">
                  <c:v>2.0994042387914806</c:v>
                </c:pt>
                <c:pt idx="849">
                  <c:v>2.068319481041248</c:v>
                </c:pt>
                <c:pt idx="850">
                  <c:v>2.0279624298319479</c:v>
                </c:pt>
                <c:pt idx="851">
                  <c:v>2.010589467447637</c:v>
                </c:pt>
                <c:pt idx="852">
                  <c:v>2.0288215256641355</c:v>
                </c:pt>
                <c:pt idx="853">
                  <c:v>2.0299539429777202</c:v>
                </c:pt>
                <c:pt idx="854">
                  <c:v>2.0281642736316807</c:v>
                </c:pt>
                <c:pt idx="855">
                  <c:v>2.014276336214849</c:v>
                </c:pt>
                <c:pt idx="856">
                  <c:v>2.0716997837551081</c:v>
                </c:pt>
                <c:pt idx="857">
                  <c:v>2.1221365072067151</c:v>
                </c:pt>
                <c:pt idx="858">
                  <c:v>2.1332519423806922</c:v>
                </c:pt>
                <c:pt idx="859">
                  <c:v>2.1307400389991469</c:v>
                </c:pt>
                <c:pt idx="860">
                  <c:v>2.103424186580011</c:v>
                </c:pt>
                <c:pt idx="861">
                  <c:v>2.1230235025618271</c:v>
                </c:pt>
                <c:pt idx="862">
                  <c:v>2.095927082639307</c:v>
                </c:pt>
                <c:pt idx="863">
                  <c:v>2.1424178881315861</c:v>
                </c:pt>
                <c:pt idx="864">
                  <c:v>2.1450373695719471</c:v>
                </c:pt>
                <c:pt idx="865">
                  <c:v>2.1618326527646139</c:v>
                </c:pt>
                <c:pt idx="866">
                  <c:v>2.160565138678928</c:v>
                </c:pt>
                <c:pt idx="867">
                  <c:v>2.1595212034201139</c:v>
                </c:pt>
                <c:pt idx="868">
                  <c:v>2.165357993097325</c:v>
                </c:pt>
                <c:pt idx="869">
                  <c:v>2.1422053161329546</c:v>
                </c:pt>
                <c:pt idx="870">
                  <c:v>2.1468580747232839</c:v>
                </c:pt>
                <c:pt idx="871">
                  <c:v>2.1421520792476332</c:v>
                </c:pt>
                <c:pt idx="872">
                  <c:v>2.1372866797106771</c:v>
                </c:pt>
                <c:pt idx="873">
                  <c:v>2.1322535749800964</c:v>
                </c:pt>
                <c:pt idx="874">
                  <c:v>2.1171725206572121</c:v>
                </c:pt>
                <c:pt idx="875">
                  <c:v>2.1001901865461847</c:v>
                </c:pt>
                <c:pt idx="876">
                  <c:v>2.0889767634644358</c:v>
                </c:pt>
                <c:pt idx="877">
                  <c:v>2.0803072700654703</c:v>
                </c:pt>
                <c:pt idx="878">
                  <c:v>2.0679176473670178</c:v>
                </c:pt>
                <c:pt idx="879">
                  <c:v>2.0519231812461398</c:v>
                </c:pt>
                <c:pt idx="880">
                  <c:v>2.0517121165942367</c:v>
                </c:pt>
                <c:pt idx="881">
                  <c:v>2.0472446324323847</c:v>
                </c:pt>
                <c:pt idx="882">
                  <c:v>2.0454615682536534</c:v>
                </c:pt>
                <c:pt idx="883">
                  <c:v>2.0406731866017913</c:v>
                </c:pt>
                <c:pt idx="884">
                  <c:v>2.0301099961888593</c:v>
                </c:pt>
                <c:pt idx="885">
                  <c:v>2.0114682215810431</c:v>
                </c:pt>
                <c:pt idx="886">
                  <c:v>1.9846076076278563</c:v>
                </c:pt>
                <c:pt idx="887">
                  <c:v>2.0001762324036232</c:v>
                </c:pt>
                <c:pt idx="888">
                  <c:v>2.0208369801863664</c:v>
                </c:pt>
                <c:pt idx="889">
                  <c:v>2.0234419338529661</c:v>
                </c:pt>
                <c:pt idx="890">
                  <c:v>2.0495026664232721</c:v>
                </c:pt>
                <c:pt idx="891">
                  <c:v>2.0660962443663276</c:v>
                </c:pt>
                <c:pt idx="892">
                  <c:v>2.1034134754085696</c:v>
                </c:pt>
                <c:pt idx="893">
                  <c:v>2.0903994456663066</c:v>
                </c:pt>
                <c:pt idx="894">
                  <c:v>2.0850612000255109</c:v>
                </c:pt>
                <c:pt idx="895">
                  <c:v>2.080056572022503</c:v>
                </c:pt>
                <c:pt idx="896">
                  <c:v>2.0792346213124051</c:v>
                </c:pt>
                <c:pt idx="897">
                  <c:v>2.0774241051711413</c:v>
                </c:pt>
                <c:pt idx="898">
                  <c:v>2.0738194774922403</c:v>
                </c:pt>
                <c:pt idx="899">
                  <c:v>2.0602473972663806</c:v>
                </c:pt>
                <c:pt idx="900">
                  <c:v>2.0515433060619643</c:v>
                </c:pt>
                <c:pt idx="901">
                  <c:v>2.0694826164822566</c:v>
                </c:pt>
                <c:pt idx="902">
                  <c:v>2.0932562015201994</c:v>
                </c:pt>
                <c:pt idx="903">
                  <c:v>2.11281205458114</c:v>
                </c:pt>
                <c:pt idx="904">
                  <c:v>2.1077895629450318</c:v>
                </c:pt>
                <c:pt idx="905">
                  <c:v>2.10306381149051</c:v>
                </c:pt>
                <c:pt idx="906">
                  <c:v>2.1099425628066792</c:v>
                </c:pt>
                <c:pt idx="907">
                  <c:v>2.1123569105804934</c:v>
                </c:pt>
                <c:pt idx="908">
                  <c:v>2.0998442563423967</c:v>
                </c:pt>
                <c:pt idx="909">
                  <c:v>2.066423034123066</c:v>
                </c:pt>
                <c:pt idx="910">
                  <c:v>2.0674715178797842</c:v>
                </c:pt>
                <c:pt idx="911">
                  <c:v>2.1128623477264621</c:v>
                </c:pt>
                <c:pt idx="912">
                  <c:v>2.1541640052261233</c:v>
                </c:pt>
                <c:pt idx="913">
                  <c:v>2.1565745749947043</c:v>
                </c:pt>
                <c:pt idx="914">
                  <c:v>2.1268139113382092</c:v>
                </c:pt>
                <c:pt idx="915">
                  <c:v>2.1209949409191942</c:v>
                </c:pt>
                <c:pt idx="916">
                  <c:v>2.1165073474558915</c:v>
                </c:pt>
                <c:pt idx="917">
                  <c:v>2.1163555983082394</c:v>
                </c:pt>
                <c:pt idx="918">
                  <c:v>2.1109709467334956</c:v>
                </c:pt>
                <c:pt idx="919">
                  <c:v>2.1113911279093598</c:v>
                </c:pt>
                <c:pt idx="920">
                  <c:v>2.1144596038679611</c:v>
                </c:pt>
                <c:pt idx="921">
                  <c:v>2.1092667072376514</c:v>
                </c:pt>
                <c:pt idx="922">
                  <c:v>2.141262031009687</c:v>
                </c:pt>
                <c:pt idx="923">
                  <c:v>2.1498487578136332</c:v>
                </c:pt>
                <c:pt idx="924">
                  <c:v>2.1773739302934558</c:v>
                </c:pt>
                <c:pt idx="925">
                  <c:v>2.1884659045962844</c:v>
                </c:pt>
                <c:pt idx="926">
                  <c:v>2.1989398718166004</c:v>
                </c:pt>
                <c:pt idx="927">
                  <c:v>2.174287624321352</c:v>
                </c:pt>
                <c:pt idx="928">
                  <c:v>2.1221513676481263</c:v>
                </c:pt>
                <c:pt idx="929">
                  <c:v>2.107549391951185</c:v>
                </c:pt>
                <c:pt idx="930">
                  <c:v>2.0909535037228171</c:v>
                </c:pt>
                <c:pt idx="931">
                  <c:v>2.1013325510517968</c:v>
                </c:pt>
                <c:pt idx="932">
                  <c:v>2.0886257635127881</c:v>
                </c:pt>
                <c:pt idx="933">
                  <c:v>2.0841491911217975</c:v>
                </c:pt>
                <c:pt idx="934">
                  <c:v>2.0927826513746446</c:v>
                </c:pt>
                <c:pt idx="935">
                  <c:v>2.1030215158984098</c:v>
                </c:pt>
                <c:pt idx="936">
                  <c:v>2.1245487561645682</c:v>
                </c:pt>
                <c:pt idx="937">
                  <c:v>2.1257114227619702</c:v>
                </c:pt>
                <c:pt idx="938">
                  <c:v>2.1292384300242317</c:v>
                </c:pt>
                <c:pt idx="939">
                  <c:v>2.1383709034947072</c:v>
                </c:pt>
                <c:pt idx="940">
                  <c:v>2.1471002137587525</c:v>
                </c:pt>
                <c:pt idx="941">
                  <c:v>2.1527765124955844</c:v>
                </c:pt>
                <c:pt idx="942">
                  <c:v>2.1541123156989297</c:v>
                </c:pt>
                <c:pt idx="943">
                  <c:v>2.0922106883516234</c:v>
                </c:pt>
                <c:pt idx="944">
                  <c:v>2.0678158844225405</c:v>
                </c:pt>
                <c:pt idx="945">
                  <c:v>2.0504800145632838</c:v>
                </c:pt>
                <c:pt idx="946">
                  <c:v>2.0895275275254561</c:v>
                </c:pt>
                <c:pt idx="947">
                  <c:v>2.0827542132271728</c:v>
                </c:pt>
                <c:pt idx="948">
                  <c:v>2.1122351021171037</c:v>
                </c:pt>
                <c:pt idx="949">
                  <c:v>2.1289463584245549</c:v>
                </c:pt>
                <c:pt idx="950">
                  <c:v>2.1550023357822994</c:v>
                </c:pt>
                <c:pt idx="951">
                  <c:v>2.1460409752655036</c:v>
                </c:pt>
                <c:pt idx="952">
                  <c:v>2.1495182891445004</c:v>
                </c:pt>
                <c:pt idx="953">
                  <c:v>2.1669188684938825</c:v>
                </c:pt>
                <c:pt idx="954">
                  <c:v>2.1677832243961888</c:v>
                </c:pt>
                <c:pt idx="955">
                  <c:v>2.1587421121675106</c:v>
                </c:pt>
                <c:pt idx="956">
                  <c:v>2.1239233460061464</c:v>
                </c:pt>
                <c:pt idx="957">
                  <c:v>2.0886064698555429</c:v>
                </c:pt>
                <c:pt idx="958">
                  <c:v>2.0741587915189079</c:v>
                </c:pt>
                <c:pt idx="959">
                  <c:v>2.0763330059493561</c:v>
                </c:pt>
                <c:pt idx="960">
                  <c:v>2.1146746460295098</c:v>
                </c:pt>
                <c:pt idx="961">
                  <c:v>2.1292589659677135</c:v>
                </c:pt>
                <c:pt idx="962">
                  <c:v>2.1222278571894746</c:v>
                </c:pt>
                <c:pt idx="963">
                  <c:v>2.0835585539291768</c:v>
                </c:pt>
                <c:pt idx="964">
                  <c:v>2.059661164982296</c:v>
                </c:pt>
                <c:pt idx="965">
                  <c:v>2.0528249917858314</c:v>
                </c:pt>
                <c:pt idx="966">
                  <c:v>2.0561662539331724</c:v>
                </c:pt>
                <c:pt idx="967">
                  <c:v>2.0748733437889069</c:v>
                </c:pt>
                <c:pt idx="968">
                  <c:v>2.0968963587795124</c:v>
                </c:pt>
                <c:pt idx="969">
                  <c:v>2.1139854392060218</c:v>
                </c:pt>
                <c:pt idx="970">
                  <c:v>2.1100465946943832</c:v>
                </c:pt>
                <c:pt idx="971">
                  <c:v>2.1060764299301473</c:v>
                </c:pt>
                <c:pt idx="972">
                  <c:v>2.1020745382362303</c:v>
                </c:pt>
                <c:pt idx="973">
                  <c:v>2.0980405051717383</c:v>
                </c:pt>
                <c:pt idx="974">
                  <c:v>2.0939739087878078</c:v>
                </c:pt>
                <c:pt idx="975">
                  <c:v>2.0634447783483281</c:v>
                </c:pt>
                <c:pt idx="976">
                  <c:v>2.061968016284855</c:v>
                </c:pt>
                <c:pt idx="977">
                  <c:v>2.0465654444351533</c:v>
                </c:pt>
                <c:pt idx="978">
                  <c:v>2.0635394478094491</c:v>
                </c:pt>
                <c:pt idx="979">
                  <c:v>2.0590195091804588</c:v>
                </c:pt>
                <c:pt idx="980">
                  <c:v>2.089719723357419</c:v>
                </c:pt>
                <c:pt idx="981">
                  <c:v>2.1149051459540478</c:v>
                </c:pt>
                <c:pt idx="982">
                  <c:v>2.1081824968468696</c:v>
                </c:pt>
                <c:pt idx="983">
                  <c:v>2.0785789078328603</c:v>
                </c:pt>
                <c:pt idx="984">
                  <c:v>2.0630417766660005</c:v>
                </c:pt>
                <c:pt idx="985">
                  <c:v>2.0644798581525357</c:v>
                </c:pt>
                <c:pt idx="986">
                  <c:v>2.0751180258204411</c:v>
                </c:pt>
                <c:pt idx="987">
                  <c:v>2.0532312310464857</c:v>
                </c:pt>
                <c:pt idx="988">
                  <c:v>2.0596881027595333</c:v>
                </c:pt>
                <c:pt idx="989">
                  <c:v>2.0679399759706265</c:v>
                </c:pt>
                <c:pt idx="990">
                  <c:v>2.0883086012769225</c:v>
                </c:pt>
                <c:pt idx="991">
                  <c:v>2.0934295249604009</c:v>
                </c:pt>
                <c:pt idx="992">
                  <c:v>2.1147612396756377</c:v>
                </c:pt>
                <c:pt idx="993">
                  <c:v>2.1361658489075208</c:v>
                </c:pt>
                <c:pt idx="994">
                  <c:v>2.119568521266896</c:v>
                </c:pt>
                <c:pt idx="995">
                  <c:v>2.0718550062908894</c:v>
                </c:pt>
                <c:pt idx="996">
                  <c:v>2.0311429068613789</c:v>
                </c:pt>
                <c:pt idx="997">
                  <c:v>2.0238125506698945</c:v>
                </c:pt>
                <c:pt idx="998">
                  <c:v>2.028475063582615</c:v>
                </c:pt>
                <c:pt idx="999">
                  <c:v>2.0442890908638378</c:v>
                </c:pt>
                <c:pt idx="1000">
                  <c:v>2.0618757571032789</c:v>
                </c:pt>
                <c:pt idx="1001">
                  <c:v>2.054363788013593</c:v>
                </c:pt>
                <c:pt idx="1002">
                  <c:v>2.0496650308922297</c:v>
                </c:pt>
                <c:pt idx="1003">
                  <c:v>2.0602564798232206</c:v>
                </c:pt>
                <c:pt idx="1004">
                  <c:v>2.0870147076001504</c:v>
                </c:pt>
                <c:pt idx="1005">
                  <c:v>2.0977173858674676</c:v>
                </c:pt>
                <c:pt idx="1006">
                  <c:v>2.0937804303710434</c:v>
                </c:pt>
                <c:pt idx="1007">
                  <c:v>2.0947083618905418</c:v>
                </c:pt>
                <c:pt idx="1008">
                  <c:v>2.0987051040105222</c:v>
                </c:pt>
                <c:pt idx="1009">
                  <c:v>2.1051144190550084</c:v>
                </c:pt>
                <c:pt idx="1010">
                  <c:v>2.1224154457014941</c:v>
                </c:pt>
                <c:pt idx="1011">
                  <c:v>2.1194325617027308</c:v>
                </c:pt>
                <c:pt idx="1012">
                  <c:v>2.1137958569990825</c:v>
                </c:pt>
                <c:pt idx="1013">
                  <c:v>2.0932430243926463</c:v>
                </c:pt>
                <c:pt idx="1014">
                  <c:v>2.0887716073275246</c:v>
                </c:pt>
                <c:pt idx="1015">
                  <c:v>2.0760849520344293</c:v>
                </c:pt>
                <c:pt idx="1016">
                  <c:v>2.0646339875709501</c:v>
                </c:pt>
                <c:pt idx="1017">
                  <c:v>2.0678977671722971</c:v>
                </c:pt>
                <c:pt idx="1018">
                  <c:v>2.0717864701049646</c:v>
                </c:pt>
                <c:pt idx="1019">
                  <c:v>2.0802687466552929</c:v>
                </c:pt>
                <c:pt idx="1020">
                  <c:v>2.0763184485064934</c:v>
                </c:pt>
                <c:pt idx="1021">
                  <c:v>2.0744620601597492</c:v>
                </c:pt>
                <c:pt idx="1022">
                  <c:v>2.0642943666871005</c:v>
                </c:pt>
                <c:pt idx="1023">
                  <c:v>2.0550359920857395</c:v>
                </c:pt>
                <c:pt idx="1024">
                  <c:v>2.0371747865873471</c:v>
                </c:pt>
                <c:pt idx="1025">
                  <c:v>2.0309869707452202</c:v>
                </c:pt>
                <c:pt idx="1026">
                  <c:v>2.0222307695735657</c:v>
                </c:pt>
                <c:pt idx="1027">
                  <c:v>2.025164422603845</c:v>
                </c:pt>
                <c:pt idx="1028">
                  <c:v>2.0141567827386511</c:v>
                </c:pt>
                <c:pt idx="1029">
                  <c:v>2.0160711899224597</c:v>
                </c:pt>
                <c:pt idx="1030">
                  <c:v>2.0316539186065206</c:v>
                </c:pt>
                <c:pt idx="1031">
                  <c:v>2.0510372623798072</c:v>
                </c:pt>
                <c:pt idx="1032">
                  <c:v>2.0617994522531711</c:v>
                </c:pt>
                <c:pt idx="1033">
                  <c:v>2.071137025811252</c:v>
                </c:pt>
                <c:pt idx="1034">
                  <c:v>2.0929609771220128</c:v>
                </c:pt>
                <c:pt idx="1035">
                  <c:v>2.10426893101612</c:v>
                </c:pt>
                <c:pt idx="1036">
                  <c:v>2.101633061736476</c:v>
                </c:pt>
                <c:pt idx="1037">
                  <c:v>2.1013390524356761</c:v>
                </c:pt>
                <c:pt idx="1038">
                  <c:v>2.1195030358080564</c:v>
                </c:pt>
                <c:pt idx="1039">
                  <c:v>2.1303811279893439</c:v>
                </c:pt>
                <c:pt idx="1040">
                  <c:v>2.1237764343084482</c:v>
                </c:pt>
                <c:pt idx="1041">
                  <c:v>2.1026661072486745</c:v>
                </c:pt>
                <c:pt idx="1042">
                  <c:v>2.1009392163925069</c:v>
                </c:pt>
                <c:pt idx="1043">
                  <c:v>2.0990776914187066</c:v>
                </c:pt>
                <c:pt idx="1044">
                  <c:v>2.1024686003719597</c:v>
                </c:pt>
                <c:pt idx="1045">
                  <c:v>2.0872420955530515</c:v>
                </c:pt>
                <c:pt idx="1046">
                  <c:v>2.067482917050731</c:v>
                </c:pt>
                <c:pt idx="1047">
                  <c:v>2.0629286612352433</c:v>
                </c:pt>
                <c:pt idx="1048">
                  <c:v>2.0648096400121316</c:v>
                </c:pt>
                <c:pt idx="1049">
                  <c:v>2.0854474162662915</c:v>
                </c:pt>
                <c:pt idx="1050">
                  <c:v>2.0925714989646811</c:v>
                </c:pt>
                <c:pt idx="1051">
                  <c:v>2.0941725291525977</c:v>
                </c:pt>
                <c:pt idx="1052">
                  <c:v>2.1016265116668662</c:v>
                </c:pt>
                <c:pt idx="1053">
                  <c:v>2.1004727767439055</c:v>
                </c:pt>
                <c:pt idx="1054">
                  <c:v>2.10493987380779</c:v>
                </c:pt>
                <c:pt idx="1055">
                  <c:v>2.0864647980579436</c:v>
                </c:pt>
                <c:pt idx="1056">
                  <c:v>2.0660782418299788</c:v>
                </c:pt>
                <c:pt idx="1057">
                  <c:v>2.0526446060659591</c:v>
                </c:pt>
                <c:pt idx="1058">
                  <c:v>2.0409414813250639</c:v>
                </c:pt>
                <c:pt idx="1059">
                  <c:v>2.0429230941424597</c:v>
                </c:pt>
                <c:pt idx="1060">
                  <c:v>2.0514990796531056</c:v>
                </c:pt>
                <c:pt idx="1061">
                  <c:v>2.0743324085960828</c:v>
                </c:pt>
                <c:pt idx="1062">
                  <c:v>2.0942907055304674</c:v>
                </c:pt>
                <c:pt idx="1063">
                  <c:v>2.0936963114260716</c:v>
                </c:pt>
                <c:pt idx="1064">
                  <c:v>2.0800020093287208</c:v>
                </c:pt>
                <c:pt idx="1065">
                  <c:v>2.0530095471697041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A-4B72-8B21-06D2A59CA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Total!$E$2:$E$16</c:f>
              <c:numCache>
                <c:formatCode>General</c:formatCode>
                <c:ptCount val="15"/>
                <c:pt idx="0">
                  <c:v>4</c:v>
                </c:pt>
                <c:pt idx="1">
                  <c:v>73</c:v>
                </c:pt>
                <c:pt idx="2">
                  <c:v>59</c:v>
                </c:pt>
                <c:pt idx="3">
                  <c:v>99</c:v>
                </c:pt>
                <c:pt idx="4">
                  <c:v>343.27</c:v>
                </c:pt>
                <c:pt idx="5">
                  <c:v>18</c:v>
                </c:pt>
                <c:pt idx="6">
                  <c:v>1230.45</c:v>
                </c:pt>
                <c:pt idx="7">
                  <c:v>16</c:v>
                </c:pt>
                <c:pt idx="8">
                  <c:v>34</c:v>
                </c:pt>
                <c:pt idx="9">
                  <c:v>31</c:v>
                </c:pt>
                <c:pt idx="10">
                  <c:v>167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CA-4B72-8B21-06D2A59CA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489976"/>
        <c:axId val="1128492856"/>
      </c:scatterChart>
      <c:valAx>
        <c:axId val="670849088"/>
        <c:scaling>
          <c:orientation val="minMax"/>
          <c:max val="35"/>
          <c:min val="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5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cross"/>
        <c:minorTickMark val="out"/>
        <c:tickLblPos val="low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1"/>
      </c:valAx>
      <c:valAx>
        <c:axId val="73213969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500" baseline="0"/>
                  <a:t>ln(Fe/K)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valAx>
        <c:axId val="11284928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500" baseline="0"/>
                  <a:t>Pteropod total</a:t>
                </a:r>
              </a:p>
            </c:rich>
          </c:tx>
          <c:layout>
            <c:manualLayout>
              <c:xMode val="edge"/>
              <c:yMode val="edge"/>
              <c:x val="0.96764419954010783"/>
              <c:y val="0.37390828735821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28489976"/>
        <c:crosses val="max"/>
        <c:crossBetween val="midCat"/>
      </c:valAx>
      <c:valAx>
        <c:axId val="112848997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12849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'[1]XRF selectie'!$T:$T</c:f>
              <c:numCache>
                <c:formatCode>General</c:formatCode>
                <c:ptCount val="1048576"/>
                <c:pt idx="0">
                  <c:v>0</c:v>
                </c:pt>
                <c:pt idx="2">
                  <c:v>1.2007184544674683</c:v>
                </c:pt>
                <c:pt idx="3">
                  <c:v>1.2249034793224851</c:v>
                </c:pt>
                <c:pt idx="4">
                  <c:v>1.2509364473548226</c:v>
                </c:pt>
                <c:pt idx="5">
                  <c:v>1.2646114801454607</c:v>
                </c:pt>
                <c:pt idx="6">
                  <c:v>1.2962595263983177</c:v>
                </c:pt>
                <c:pt idx="7">
                  <c:v>1.2947969661674348</c:v>
                </c:pt>
                <c:pt idx="8">
                  <c:v>1.280639655366836</c:v>
                </c:pt>
                <c:pt idx="9">
                  <c:v>1.2859090477511381</c:v>
                </c:pt>
                <c:pt idx="10">
                  <c:v>1.2966406742574632</c:v>
                </c:pt>
                <c:pt idx="11">
                  <c:v>1.3101076946983812</c:v>
                </c:pt>
                <c:pt idx="12">
                  <c:v>1.2730918757209455</c:v>
                </c:pt>
                <c:pt idx="13">
                  <c:v>1.2456044573789207</c:v>
                </c:pt>
                <c:pt idx="14">
                  <c:v>1.2374661325834397</c:v>
                </c:pt>
                <c:pt idx="15">
                  <c:v>1.2525252220920899</c:v>
                </c:pt>
                <c:pt idx="16">
                  <c:v>1.2581997511565011</c:v>
                </c:pt>
                <c:pt idx="17">
                  <c:v>1.2817238137738338</c:v>
                </c:pt>
                <c:pt idx="18">
                  <c:v>1.3036013836419693</c:v>
                </c:pt>
                <c:pt idx="19">
                  <c:v>1.2797685626703414</c:v>
                </c:pt>
                <c:pt idx="20">
                  <c:v>1.3203791187740574</c:v>
                </c:pt>
                <c:pt idx="21">
                  <c:v>1.3257380339906317</c:v>
                </c:pt>
                <c:pt idx="22">
                  <c:v>1.4221732502260238</c:v>
                </c:pt>
                <c:pt idx="23">
                  <c:v>1.4114783195577358</c:v>
                </c:pt>
                <c:pt idx="24">
                  <c:v>1.3887765395589506</c:v>
                </c:pt>
                <c:pt idx="25">
                  <c:v>1.3550099867996768</c:v>
                </c:pt>
                <c:pt idx="26">
                  <c:v>1.3260592581285497</c:v>
                </c:pt>
                <c:pt idx="27">
                  <c:v>1.3385788641800793</c:v>
                </c:pt>
                <c:pt idx="28">
                  <c:v>1.3557566384073587</c:v>
                </c:pt>
                <c:pt idx="29">
                  <c:v>1.3704438304211433</c:v>
                </c:pt>
                <c:pt idx="30">
                  <c:v>1.3678124757715697</c:v>
                </c:pt>
                <c:pt idx="31">
                  <c:v>1.3578600849307267</c:v>
                </c:pt>
                <c:pt idx="32">
                  <c:v>1.3575119394477355</c:v>
                </c:pt>
                <c:pt idx="33">
                  <c:v>1.3490087108445807</c:v>
                </c:pt>
                <c:pt idx="34">
                  <c:v>1.2868948390364199</c:v>
                </c:pt>
                <c:pt idx="35">
                  <c:v>1.2725593575084302</c:v>
                </c:pt>
                <c:pt idx="36">
                  <c:v>1.2992983532668825</c:v>
                </c:pt>
                <c:pt idx="37">
                  <c:v>1.3662358756319026</c:v>
                </c:pt>
                <c:pt idx="38">
                  <c:v>1.3607502575152364</c:v>
                </c:pt>
                <c:pt idx="39">
                  <c:v>1.3282847204200066</c:v>
                </c:pt>
                <c:pt idx="40">
                  <c:v>1.2724680274203228</c:v>
                </c:pt>
                <c:pt idx="41">
                  <c:v>1.2261044701174013</c:v>
                </c:pt>
                <c:pt idx="42">
                  <c:v>1.2056776273328287</c:v>
                </c:pt>
                <c:pt idx="43">
                  <c:v>1.2180050301889622</c:v>
                </c:pt>
                <c:pt idx="44">
                  <c:v>1.2587142376301221</c:v>
                </c:pt>
                <c:pt idx="45">
                  <c:v>1.1681406123765727</c:v>
                </c:pt>
                <c:pt idx="46">
                  <c:v>1.1898532147237717</c:v>
                </c:pt>
                <c:pt idx="47">
                  <c:v>1.1875606215040835</c:v>
                </c:pt>
                <c:pt idx="48">
                  <c:v>1.2527980170810042</c:v>
                </c:pt>
                <c:pt idx="49">
                  <c:v>1.1953902300004022</c:v>
                </c:pt>
                <c:pt idx="50">
                  <c:v>1.202762871635545</c:v>
                </c:pt>
                <c:pt idx="51">
                  <c:v>1.2615816336793684</c:v>
                </c:pt>
                <c:pt idx="52">
                  <c:v>1.3432009665318987</c:v>
                </c:pt>
                <c:pt idx="53">
                  <c:v>1.3130620664238013</c:v>
                </c:pt>
                <c:pt idx="54">
                  <c:v>1.2967295748321013</c:v>
                </c:pt>
                <c:pt idx="55">
                  <c:v>1.2826282330181416</c:v>
                </c:pt>
                <c:pt idx="56">
                  <c:v>1.295182627201318</c:v>
                </c:pt>
                <c:pt idx="57">
                  <c:v>1.2794444776384841</c:v>
                </c:pt>
                <c:pt idx="58">
                  <c:v>1.2454278570225392</c:v>
                </c:pt>
                <c:pt idx="59">
                  <c:v>1.2343264713568067</c:v>
                </c:pt>
                <c:pt idx="60">
                  <c:v>1.237448487769103</c:v>
                </c:pt>
                <c:pt idx="61">
                  <c:v>1.2373282145771987</c:v>
                </c:pt>
                <c:pt idx="62">
                  <c:v>1.2392097102549302</c:v>
                </c:pt>
                <c:pt idx="63">
                  <c:v>1.2349800334854308</c:v>
                </c:pt>
                <c:pt idx="64">
                  <c:v>1.2302811687880106</c:v>
                </c:pt>
                <c:pt idx="65">
                  <c:v>1.2198671508297469</c:v>
                </c:pt>
                <c:pt idx="66">
                  <c:v>1.2053245286719441</c:v>
                </c:pt>
                <c:pt idx="67">
                  <c:v>1.1846978765678253</c:v>
                </c:pt>
                <c:pt idx="68">
                  <c:v>1.1504840257896571</c:v>
                </c:pt>
                <c:pt idx="69">
                  <c:v>1.1553580179108838</c:v>
                </c:pt>
                <c:pt idx="70">
                  <c:v>1.1696429503698198</c:v>
                </c:pt>
                <c:pt idx="71">
                  <c:v>1.208730438597134</c:v>
                </c:pt>
                <c:pt idx="72">
                  <c:v>1.2282978671074003</c:v>
                </c:pt>
                <c:pt idx="73">
                  <c:v>1.2061391076775041</c:v>
                </c:pt>
                <c:pt idx="74">
                  <c:v>1.2038161414463375</c:v>
                </c:pt>
                <c:pt idx="75">
                  <c:v>1.2091925640967596</c:v>
                </c:pt>
                <c:pt idx="76">
                  <c:v>1.2469804196589667</c:v>
                </c:pt>
                <c:pt idx="77">
                  <c:v>1.2373695792899022</c:v>
                </c:pt>
                <c:pt idx="78">
                  <c:v>1.246923996398307</c:v>
                </c:pt>
                <c:pt idx="79">
                  <c:v>1.2464491385299803</c:v>
                </c:pt>
                <c:pt idx="80">
                  <c:v>1.2817977818553135</c:v>
                </c:pt>
                <c:pt idx="81">
                  <c:v>1.285499877583661</c:v>
                </c:pt>
                <c:pt idx="82">
                  <c:v>1.2925363733048227</c:v>
                </c:pt>
                <c:pt idx="83">
                  <c:v>1.2782374579488731</c:v>
                </c:pt>
                <c:pt idx="84">
                  <c:v>1.2643107174672874</c:v>
                </c:pt>
                <c:pt idx="85">
                  <c:v>1.2565333956414229</c:v>
                </c:pt>
                <c:pt idx="86">
                  <c:v>1.2619862786744953</c:v>
                </c:pt>
                <c:pt idx="87">
                  <c:v>1.2611100110926279</c:v>
                </c:pt>
                <c:pt idx="88">
                  <c:v>1.2576533814017281</c:v>
                </c:pt>
                <c:pt idx="89">
                  <c:v>1.25630265410938</c:v>
                </c:pt>
                <c:pt idx="90">
                  <c:v>1.26928633199476</c:v>
                </c:pt>
                <c:pt idx="91">
                  <c:v>1.2816889362645096</c:v>
                </c:pt>
                <c:pt idx="92">
                  <c:v>1.2929053459733344</c:v>
                </c:pt>
                <c:pt idx="93">
                  <c:v>1.2883869078990837</c:v>
                </c:pt>
                <c:pt idx="94">
                  <c:v>1.276951771601486</c:v>
                </c:pt>
                <c:pt idx="95">
                  <c:v>1.2785048221206059</c:v>
                </c:pt>
                <c:pt idx="96">
                  <c:v>1.2844442218536825</c:v>
                </c:pt>
                <c:pt idx="97">
                  <c:v>1.3035114952811124</c:v>
                </c:pt>
                <c:pt idx="98">
                  <c:v>1.2872239211498284</c:v>
                </c:pt>
                <c:pt idx="99">
                  <c:v>1.2544499172195911</c:v>
                </c:pt>
                <c:pt idx="100">
                  <c:v>1.2413095024156282</c:v>
                </c:pt>
                <c:pt idx="101">
                  <c:v>1.2405781408120105</c:v>
                </c:pt>
                <c:pt idx="102">
                  <c:v>1.247767791537624</c:v>
                </c:pt>
                <c:pt idx="103">
                  <c:v>1.2433631277805708</c:v>
                </c:pt>
                <c:pt idx="104">
                  <c:v>1.2318391380384819</c:v>
                </c:pt>
                <c:pt idx="105">
                  <c:v>1.2352577129088202</c:v>
                </c:pt>
                <c:pt idx="106">
                  <c:v>1.1760682884748792</c:v>
                </c:pt>
                <c:pt idx="107">
                  <c:v>1.186098183885065</c:v>
                </c:pt>
                <c:pt idx="108">
                  <c:v>1.1928269022141438</c:v>
                </c:pt>
                <c:pt idx="109">
                  <c:v>1.2531599692241218</c:v>
                </c:pt>
                <c:pt idx="110">
                  <c:v>1.2515755668227733</c:v>
                </c:pt>
                <c:pt idx="111">
                  <c:v>1.2417054950087556</c:v>
                </c:pt>
                <c:pt idx="112">
                  <c:v>1.2434915055961169</c:v>
                </c:pt>
                <c:pt idx="113">
                  <c:v>1.250833287354473</c:v>
                </c:pt>
                <c:pt idx="114">
                  <c:v>1.2561675557919318</c:v>
                </c:pt>
                <c:pt idx="115">
                  <c:v>1.2622266223350689</c:v>
                </c:pt>
                <c:pt idx="116">
                  <c:v>1.2812234001131693</c:v>
                </c:pt>
                <c:pt idx="117">
                  <c:v>1.3022822793904263</c:v>
                </c:pt>
                <c:pt idx="118">
                  <c:v>1.3008361872093275</c:v>
                </c:pt>
                <c:pt idx="119">
                  <c:v>1.3033722524537339</c:v>
                </c:pt>
                <c:pt idx="120">
                  <c:v>1.3035188858679401</c:v>
                </c:pt>
                <c:pt idx="121">
                  <c:v>1.3054648771353419</c:v>
                </c:pt>
                <c:pt idx="122">
                  <c:v>1.2715913396047438</c:v>
                </c:pt>
                <c:pt idx="123">
                  <c:v>1.2443725249990718</c:v>
                </c:pt>
                <c:pt idx="124">
                  <c:v>1.2389975717210031</c:v>
                </c:pt>
                <c:pt idx="125">
                  <c:v>1.2435343898643465</c:v>
                </c:pt>
                <c:pt idx="126">
                  <c:v>1.2448251757798869</c:v>
                </c:pt>
                <c:pt idx="127">
                  <c:v>1.2454724447369439</c:v>
                </c:pt>
                <c:pt idx="128">
                  <c:v>1.2457953196968157</c:v>
                </c:pt>
                <c:pt idx="129">
                  <c:v>1.2725745730863609</c:v>
                </c:pt>
                <c:pt idx="130">
                  <c:v>1.2692017402869864</c:v>
                </c:pt>
                <c:pt idx="131">
                  <c:v>1.2801666976565063</c:v>
                </c:pt>
                <c:pt idx="132">
                  <c:v>1.2660874231639978</c:v>
                </c:pt>
                <c:pt idx="133">
                  <c:v>1.2547545957189685</c:v>
                </c:pt>
                <c:pt idx="134">
                  <c:v>1.2412336664886443</c:v>
                </c:pt>
                <c:pt idx="135">
                  <c:v>1.2120765133791129</c:v>
                </c:pt>
                <c:pt idx="136">
                  <c:v>1.1704362251055442</c:v>
                </c:pt>
                <c:pt idx="137">
                  <c:v>1.1775760240564048</c:v>
                </c:pt>
                <c:pt idx="138">
                  <c:v>1.183678008068288</c:v>
                </c:pt>
                <c:pt idx="139">
                  <c:v>1.2219749804492699</c:v>
                </c:pt>
                <c:pt idx="140">
                  <c:v>1.2206442864691078</c:v>
                </c:pt>
                <c:pt idx="141">
                  <c:v>1.2076689547977422</c:v>
                </c:pt>
                <c:pt idx="142">
                  <c:v>1.212448754983148</c:v>
                </c:pt>
                <c:pt idx="143">
                  <c:v>1.18604756522888</c:v>
                </c:pt>
                <c:pt idx="144">
                  <c:v>1.2099421422871346</c:v>
                </c:pt>
                <c:pt idx="145">
                  <c:v>1.1978111747142919</c:v>
                </c:pt>
                <c:pt idx="146">
                  <c:v>1.2041924533480615</c:v>
                </c:pt>
                <c:pt idx="147">
                  <c:v>1.1960786133979944</c:v>
                </c:pt>
                <c:pt idx="148">
                  <c:v>1.1317586396737582</c:v>
                </c:pt>
                <c:pt idx="149">
                  <c:v>1.0715370383511333</c:v>
                </c:pt>
                <c:pt idx="150">
                  <c:v>1.0450909138231506</c:v>
                </c:pt>
                <c:pt idx="151">
                  <c:v>1.0785457824545353</c:v>
                </c:pt>
                <c:pt idx="152">
                  <c:v>1.1239299742979256</c:v>
                </c:pt>
                <c:pt idx="153">
                  <c:v>1.1202100229641305</c:v>
                </c:pt>
                <c:pt idx="154">
                  <c:v>1.1264611725121831</c:v>
                </c:pt>
                <c:pt idx="155">
                  <c:v>1.1231643868361256</c:v>
                </c:pt>
                <c:pt idx="156">
                  <c:v>1.1129222102384688</c:v>
                </c:pt>
                <c:pt idx="157">
                  <c:v>1.1171912933121437</c:v>
                </c:pt>
                <c:pt idx="158">
                  <c:v>1.1043385971720265</c:v>
                </c:pt>
                <c:pt idx="159">
                  <c:v>1.1081010276239511</c:v>
                </c:pt>
                <c:pt idx="160">
                  <c:v>1.1083376900158965</c:v>
                </c:pt>
                <c:pt idx="161">
                  <c:v>1.0944637002888182</c:v>
                </c:pt>
                <c:pt idx="162">
                  <c:v>1.0616438401844599</c:v>
                </c:pt>
                <c:pt idx="163">
                  <c:v>1.0226240447410586</c:v>
                </c:pt>
                <c:pt idx="164">
                  <c:v>1.033028323474996</c:v>
                </c:pt>
                <c:pt idx="165">
                  <c:v>1.0518120865841967</c:v>
                </c:pt>
                <c:pt idx="166">
                  <c:v>1.0453481536804832</c:v>
                </c:pt>
                <c:pt idx="167">
                  <c:v>1.0268383844520756</c:v>
                </c:pt>
                <c:pt idx="168">
                  <c:v>1.0060776585110414</c:v>
                </c:pt>
                <c:pt idx="169">
                  <c:v>0.99805956412161778</c:v>
                </c:pt>
                <c:pt idx="170">
                  <c:v>0.9803402745368377</c:v>
                </c:pt>
                <c:pt idx="171">
                  <c:v>0.94490166693171418</c:v>
                </c:pt>
                <c:pt idx="172">
                  <c:v>0.9268611919167139</c:v>
                </c:pt>
                <c:pt idx="173">
                  <c:v>0.92458512355969791</c:v>
                </c:pt>
                <c:pt idx="174">
                  <c:v>0.9453536860252546</c:v>
                </c:pt>
                <c:pt idx="175">
                  <c:v>0.93375931065791118</c:v>
                </c:pt>
                <c:pt idx="176">
                  <c:v>0.93049780562472817</c:v>
                </c:pt>
                <c:pt idx="177">
                  <c:v>0.92652848490957218</c:v>
                </c:pt>
                <c:pt idx="178">
                  <c:v>0.92123583113104068</c:v>
                </c:pt>
                <c:pt idx="179">
                  <c:v>0.86105400795456155</c:v>
                </c:pt>
                <c:pt idx="180">
                  <c:v>0.79886357200310998</c:v>
                </c:pt>
                <c:pt idx="181">
                  <c:v>0.71280132758905712</c:v>
                </c:pt>
                <c:pt idx="182">
                  <c:v>0.67576296725057194</c:v>
                </c:pt>
                <c:pt idx="183">
                  <c:v>0.57521260318546774</c:v>
                </c:pt>
                <c:pt idx="184">
                  <c:v>0.63412962310305587</c:v>
                </c:pt>
                <c:pt idx="185">
                  <c:v>0.65838357575141659</c:v>
                </c:pt>
                <c:pt idx="186">
                  <c:v>0.76286283876470529</c:v>
                </c:pt>
                <c:pt idx="187">
                  <c:v>0.74159950513273687</c:v>
                </c:pt>
                <c:pt idx="188">
                  <c:v>0.70327676847550469</c:v>
                </c:pt>
                <c:pt idx="189">
                  <c:v>0.68182796749520191</c:v>
                </c:pt>
                <c:pt idx="190">
                  <c:v>0.69636532925998151</c:v>
                </c:pt>
                <c:pt idx="191">
                  <c:v>0.70371021346636853</c:v>
                </c:pt>
                <c:pt idx="192">
                  <c:v>0.69830519598119822</c:v>
                </c:pt>
                <c:pt idx="193">
                  <c:v>0.63162952530607763</c:v>
                </c:pt>
                <c:pt idx="194">
                  <c:v>0.5423902556321889</c:v>
                </c:pt>
                <c:pt idx="195">
                  <c:v>0.51801096040494743</c:v>
                </c:pt>
                <c:pt idx="196">
                  <c:v>0.60561781749525989</c:v>
                </c:pt>
                <c:pt idx="197">
                  <c:v>0.69344832347886831</c:v>
                </c:pt>
                <c:pt idx="198">
                  <c:v>0.72411444254187673</c:v>
                </c:pt>
                <c:pt idx="199">
                  <c:v>0.72482820270159054</c:v>
                </c:pt>
                <c:pt idx="200">
                  <c:v>0.73358227709441415</c:v>
                </c:pt>
                <c:pt idx="201">
                  <c:v>0.56696272879852883</c:v>
                </c:pt>
                <c:pt idx="202">
                  <c:v>0.5182689751560009</c:v>
                </c:pt>
                <c:pt idx="203">
                  <c:v>0.58585671813091078</c:v>
                </c:pt>
                <c:pt idx="204">
                  <c:v>0.85223552684367687</c:v>
                </c:pt>
                <c:pt idx="205">
                  <c:v>0.9369490003324582</c:v>
                </c:pt>
                <c:pt idx="206">
                  <c:v>0.98015827747961604</c:v>
                </c:pt>
                <c:pt idx="207">
                  <c:v>0.98404803234839855</c:v>
                </c:pt>
                <c:pt idx="208">
                  <c:v>1.0016869695239581</c:v>
                </c:pt>
                <c:pt idx="209">
                  <c:v>0.98869408120506774</c:v>
                </c:pt>
                <c:pt idx="210">
                  <c:v>0.96738378473984177</c:v>
                </c:pt>
                <c:pt idx="211">
                  <c:v>0.94360413430508583</c:v>
                </c:pt>
                <c:pt idx="212">
                  <c:v>0.94352448319192384</c:v>
                </c:pt>
                <c:pt idx="213">
                  <c:v>0.95873791818913789</c:v>
                </c:pt>
                <c:pt idx="214">
                  <c:v>0.96259604492548279</c:v>
                </c:pt>
                <c:pt idx="215">
                  <c:v>0.95372811457024242</c:v>
                </c:pt>
                <c:pt idx="216">
                  <c:v>0.92176562192507516</c:v>
                </c:pt>
                <c:pt idx="217">
                  <c:v>0.93454041442706559</c:v>
                </c:pt>
                <c:pt idx="218">
                  <c:v>0.94712314784483642</c:v>
                </c:pt>
                <c:pt idx="219">
                  <c:v>0.96056328532646873</c:v>
                </c:pt>
                <c:pt idx="220">
                  <c:v>0.95771785593680836</c:v>
                </c:pt>
                <c:pt idx="221">
                  <c:v>0.96107395684408081</c:v>
                </c:pt>
                <c:pt idx="222">
                  <c:v>0.96962095317644226</c:v>
                </c:pt>
                <c:pt idx="223">
                  <c:v>0.95672647398215505</c:v>
                </c:pt>
                <c:pt idx="224">
                  <c:v>0.93780568396649266</c:v>
                </c:pt>
                <c:pt idx="225">
                  <c:v>0.92264358911310851</c:v>
                </c:pt>
                <c:pt idx="226">
                  <c:v>0.91635907832039198</c:v>
                </c:pt>
                <c:pt idx="227">
                  <c:v>0.90267724694177265</c:v>
                </c:pt>
                <c:pt idx="228">
                  <c:v>0.8953322162424282</c:v>
                </c:pt>
                <c:pt idx="229">
                  <c:v>0.90146935762374236</c:v>
                </c:pt>
                <c:pt idx="230">
                  <c:v>0.91295716383998526</c:v>
                </c:pt>
                <c:pt idx="231">
                  <c:v>0.91036318902447799</c:v>
                </c:pt>
                <c:pt idx="232">
                  <c:v>0.91566022533385338</c:v>
                </c:pt>
                <c:pt idx="233">
                  <c:v>0.8977764898817292</c:v>
                </c:pt>
                <c:pt idx="234">
                  <c:v>0.89148136600109096</c:v>
                </c:pt>
                <c:pt idx="235">
                  <c:v>0.85793069901060337</c:v>
                </c:pt>
                <c:pt idx="236">
                  <c:v>0.84907075895531159</c:v>
                </c:pt>
                <c:pt idx="237">
                  <c:v>0.83370285470200056</c:v>
                </c:pt>
                <c:pt idx="238">
                  <c:v>0.81495376865144298</c:v>
                </c:pt>
                <c:pt idx="239">
                  <c:v>0.80169594809912681</c:v>
                </c:pt>
                <c:pt idx="240">
                  <c:v>0.79897565813806537</c:v>
                </c:pt>
                <c:pt idx="241">
                  <c:v>0.79874346098173732</c:v>
                </c:pt>
                <c:pt idx="242">
                  <c:v>0.78367772521203027</c:v>
                </c:pt>
                <c:pt idx="243">
                  <c:v>0.75870253006031552</c:v>
                </c:pt>
                <c:pt idx="244">
                  <c:v>0.65977303434593704</c:v>
                </c:pt>
                <c:pt idx="245">
                  <c:v>0.62685132541054811</c:v>
                </c:pt>
                <c:pt idx="246">
                  <c:v>0.59399610269560477</c:v>
                </c:pt>
                <c:pt idx="247">
                  <c:v>0.65270483782799793</c:v>
                </c:pt>
                <c:pt idx="248">
                  <c:v>0.64202284989173164</c:v>
                </c:pt>
                <c:pt idx="249">
                  <c:v>0.62760935168450704</c:v>
                </c:pt>
                <c:pt idx="250">
                  <c:v>0.60458372240668989</c:v>
                </c:pt>
                <c:pt idx="251">
                  <c:v>0.58813391306405549</c:v>
                </c:pt>
                <c:pt idx="252">
                  <c:v>0.58478470202050492</c:v>
                </c:pt>
                <c:pt idx="253">
                  <c:v>0.5817032524329625</c:v>
                </c:pt>
                <c:pt idx="254">
                  <c:v>0.57525989453575754</c:v>
                </c:pt>
                <c:pt idx="255">
                  <c:v>0.56549171800983522</c:v>
                </c:pt>
                <c:pt idx="256">
                  <c:v>0.55986899438856985</c:v>
                </c:pt>
                <c:pt idx="257">
                  <c:v>0.56355141610614723</c:v>
                </c:pt>
                <c:pt idx="258">
                  <c:v>0.55217118057260561</c:v>
                </c:pt>
                <c:pt idx="259">
                  <c:v>0.54652890334709658</c:v>
                </c:pt>
                <c:pt idx="260">
                  <c:v>0.5019671742871602</c:v>
                </c:pt>
                <c:pt idx="261">
                  <c:v>0.48581046426371138</c:v>
                </c:pt>
                <c:pt idx="262">
                  <c:v>0.44587693077173823</c:v>
                </c:pt>
                <c:pt idx="263">
                  <c:v>0.31689972972762936</c:v>
                </c:pt>
                <c:pt idx="264">
                  <c:v>0.13575758141160243</c:v>
                </c:pt>
                <c:pt idx="265">
                  <c:v>-3.1248578873288895E-2</c:v>
                </c:pt>
                <c:pt idx="266">
                  <c:v>-9.4097683178200678E-2</c:v>
                </c:pt>
                <c:pt idx="267">
                  <c:v>-9.7365520383539406E-2</c:v>
                </c:pt>
                <c:pt idx="268">
                  <c:v>-9.6671026376118893E-2</c:v>
                </c:pt>
                <c:pt idx="269">
                  <c:v>-8.792470453817984E-2</c:v>
                </c:pt>
                <c:pt idx="270">
                  <c:v>-0.10715412494041489</c:v>
                </c:pt>
                <c:pt idx="271">
                  <c:v>-0.16386763600766938</c:v>
                </c:pt>
                <c:pt idx="272">
                  <c:v>-0.18325024668303172</c:v>
                </c:pt>
                <c:pt idx="273">
                  <c:v>-0.20957086494358315</c:v>
                </c:pt>
                <c:pt idx="274">
                  <c:v>-0.21782545167678521</c:v>
                </c:pt>
                <c:pt idx="275">
                  <c:v>-0.23241940411054404</c:v>
                </c:pt>
                <c:pt idx="276">
                  <c:v>-0.24693068953668598</c:v>
                </c:pt>
                <c:pt idx="277">
                  <c:v>-0.23556274535824684</c:v>
                </c:pt>
                <c:pt idx="278">
                  <c:v>-0.25209986307813215</c:v>
                </c:pt>
                <c:pt idx="279">
                  <c:v>-0.26235451974119034</c:v>
                </c:pt>
                <c:pt idx="280">
                  <c:v>-0.29583723873842616</c:v>
                </c:pt>
                <c:pt idx="281">
                  <c:v>-0.31250249118071527</c:v>
                </c:pt>
                <c:pt idx="282">
                  <c:v>-0.35183242952405053</c:v>
                </c:pt>
                <c:pt idx="283">
                  <c:v>-0.44953506518488112</c:v>
                </c:pt>
                <c:pt idx="284">
                  <c:v>-0.55957397244821061</c:v>
                </c:pt>
                <c:pt idx="285">
                  <c:v>-0.59237905456824735</c:v>
                </c:pt>
                <c:pt idx="286">
                  <c:v>-0.51165057037208783</c:v>
                </c:pt>
                <c:pt idx="287">
                  <c:v>-0.41494749675282039</c:v>
                </c:pt>
                <c:pt idx="288">
                  <c:v>-0.35058675226774111</c:v>
                </c:pt>
                <c:pt idx="289">
                  <c:v>-0.34179121874799923</c:v>
                </c:pt>
                <c:pt idx="290">
                  <c:v>-0.37014080018029621</c:v>
                </c:pt>
                <c:pt idx="291">
                  <c:v>-0.39236495635103469</c:v>
                </c:pt>
                <c:pt idx="292">
                  <c:v>-0.41392595783253511</c:v>
                </c:pt>
                <c:pt idx="293">
                  <c:v>-0.43173783278288691</c:v>
                </c:pt>
                <c:pt idx="294">
                  <c:v>-0.5149022093990453</c:v>
                </c:pt>
                <c:pt idx="295">
                  <c:v>-0.59053697219747336</c:v>
                </c:pt>
                <c:pt idx="296">
                  <c:v>-0.61030779105552113</c:v>
                </c:pt>
                <c:pt idx="297">
                  <c:v>-0.5842148326298231</c:v>
                </c:pt>
                <c:pt idx="298">
                  <c:v>-0.57994941802895461</c:v>
                </c:pt>
                <c:pt idx="299">
                  <c:v>-0.63083295100431813</c:v>
                </c:pt>
                <c:pt idx="300">
                  <c:v>-0.67146414290417622</c:v>
                </c:pt>
                <c:pt idx="301">
                  <c:v>-0.71786586585061318</c:v>
                </c:pt>
                <c:pt idx="302">
                  <c:v>-0.75861414227686519</c:v>
                </c:pt>
                <c:pt idx="303">
                  <c:v>-0.81756898384441179</c:v>
                </c:pt>
                <c:pt idx="304">
                  <c:v>-0.85077189102756101</c:v>
                </c:pt>
                <c:pt idx="305">
                  <c:v>-0.87394211131719757</c:v>
                </c:pt>
                <c:pt idx="306">
                  <c:v>-0.88248865200093674</c:v>
                </c:pt>
                <c:pt idx="307">
                  <c:v>-0.89998887228076319</c:v>
                </c:pt>
                <c:pt idx="308">
                  <c:v>-0.89272449432829093</c:v>
                </c:pt>
                <c:pt idx="309">
                  <c:v>-0.91314543411212934</c:v>
                </c:pt>
                <c:pt idx="310">
                  <c:v>-0.94636907833445783</c:v>
                </c:pt>
                <c:pt idx="311">
                  <c:v>-0.97537441924500456</c:v>
                </c:pt>
                <c:pt idx="312">
                  <c:v>-0.99242757088149514</c:v>
                </c:pt>
                <c:pt idx="313">
                  <c:v>-1.0124835735694504</c:v>
                </c:pt>
                <c:pt idx="314">
                  <c:v>-1.0296925632311276</c:v>
                </c:pt>
                <c:pt idx="315">
                  <c:v>-1.081737501084528</c:v>
                </c:pt>
                <c:pt idx="316">
                  <c:v>-1.0967172824447062</c:v>
                </c:pt>
                <c:pt idx="317">
                  <c:v>-1.0963374514194901</c:v>
                </c:pt>
                <c:pt idx="318">
                  <c:v>-1.0700136083879006</c:v>
                </c:pt>
                <c:pt idx="319">
                  <c:v>-1.0445942032212594</c:v>
                </c:pt>
                <c:pt idx="320">
                  <c:v>-1.0531391390914719</c:v>
                </c:pt>
                <c:pt idx="321">
                  <c:v>-1.0387302095360491</c:v>
                </c:pt>
                <c:pt idx="322">
                  <c:v>-1.0528492100257492</c:v>
                </c:pt>
                <c:pt idx="323">
                  <c:v>-1.0365728934965726</c:v>
                </c:pt>
                <c:pt idx="324">
                  <c:v>-1.0332580492508801</c:v>
                </c:pt>
                <c:pt idx="325">
                  <c:v>-1.0098173408498912</c:v>
                </c:pt>
                <c:pt idx="326">
                  <c:v>-1.0809753916973186</c:v>
                </c:pt>
                <c:pt idx="327">
                  <c:v>-1.071892472546395</c:v>
                </c:pt>
                <c:pt idx="328">
                  <c:v>-1.0593204038979953</c:v>
                </c:pt>
                <c:pt idx="329">
                  <c:v>-0.98855236391926915</c:v>
                </c:pt>
                <c:pt idx="330">
                  <c:v>-1.000826450544136</c:v>
                </c:pt>
                <c:pt idx="331">
                  <c:v>-1.0020236223896759</c:v>
                </c:pt>
                <c:pt idx="332">
                  <c:v>-1.0083153042280613</c:v>
                </c:pt>
                <c:pt idx="333">
                  <c:v>-1.0031937566328994</c:v>
                </c:pt>
                <c:pt idx="334">
                  <c:v>-1.0167613183886377</c:v>
                </c:pt>
                <c:pt idx="335">
                  <c:v>-1.0278013889165323</c:v>
                </c:pt>
                <c:pt idx="336">
                  <c:v>-1.0357815239559089</c:v>
                </c:pt>
                <c:pt idx="337">
                  <c:v>-1.0315523158559567</c:v>
                </c:pt>
                <c:pt idx="338">
                  <c:v>-1.0131549722584106</c:v>
                </c:pt>
                <c:pt idx="339">
                  <c:v>-1.0134550679938359</c:v>
                </c:pt>
                <c:pt idx="340">
                  <c:v>-1.0227162540729982</c:v>
                </c:pt>
                <c:pt idx="341">
                  <c:v>-1.0163928568967731</c:v>
                </c:pt>
                <c:pt idx="342">
                  <c:v>-1.006024874433525</c:v>
                </c:pt>
                <c:pt idx="343">
                  <c:v>-0.98058054559426766</c:v>
                </c:pt>
                <c:pt idx="344">
                  <c:v>-0.96102968190143834</c:v>
                </c:pt>
                <c:pt idx="345">
                  <c:v>-0.94935430504521057</c:v>
                </c:pt>
                <c:pt idx="346">
                  <c:v>-0.94404002819752897</c:v>
                </c:pt>
                <c:pt idx="347">
                  <c:v>-0.95906347538614012</c:v>
                </c:pt>
                <c:pt idx="348">
                  <c:v>-0.94692813717348656</c:v>
                </c:pt>
                <c:pt idx="349">
                  <c:v>-0.94216387577744609</c:v>
                </c:pt>
                <c:pt idx="350">
                  <c:v>-0.93853475613631743</c:v>
                </c:pt>
                <c:pt idx="351">
                  <c:v>-0.93744729508804869</c:v>
                </c:pt>
                <c:pt idx="352">
                  <c:v>-0.92731584504337838</c:v>
                </c:pt>
                <c:pt idx="353">
                  <c:v>-0.91717926569105979</c:v>
                </c:pt>
                <c:pt idx="354">
                  <c:v>-0.92721100698889725</c:v>
                </c:pt>
                <c:pt idx="355">
                  <c:v>-0.92788028162730729</c:v>
                </c:pt>
                <c:pt idx="356">
                  <c:v>-0.90962459275812757</c:v>
                </c:pt>
                <c:pt idx="357">
                  <c:v>-0.88395099075356276</c:v>
                </c:pt>
                <c:pt idx="358">
                  <c:v>-0.87559475464689296</c:v>
                </c:pt>
                <c:pt idx="359">
                  <c:v>-0.86515138501836508</c:v>
                </c:pt>
                <c:pt idx="360">
                  <c:v>-0.85732856805894153</c:v>
                </c:pt>
                <c:pt idx="361">
                  <c:v>-0.84667338206195852</c:v>
                </c:pt>
                <c:pt idx="362">
                  <c:v>-0.88091761711022809</c:v>
                </c:pt>
                <c:pt idx="363">
                  <c:v>-0.91133086044780587</c:v>
                </c:pt>
                <c:pt idx="364">
                  <c:v>-0.94592653079641897</c:v>
                </c:pt>
                <c:pt idx="365">
                  <c:v>-0.93380905727686647</c:v>
                </c:pt>
                <c:pt idx="366">
                  <c:v>-0.91872499945410191</c:v>
                </c:pt>
                <c:pt idx="367">
                  <c:v>-0.89506829241418728</c:v>
                </c:pt>
                <c:pt idx="368">
                  <c:v>-0.89710996194450388</c:v>
                </c:pt>
                <c:pt idx="369">
                  <c:v>-0.90854696257643808</c:v>
                </c:pt>
                <c:pt idx="370">
                  <c:v>-0.89071413505271135</c:v>
                </c:pt>
                <c:pt idx="371">
                  <c:v>-0.86231442046008711</c:v>
                </c:pt>
                <c:pt idx="372">
                  <c:v>-0.83728913590902032</c:v>
                </c:pt>
                <c:pt idx="373">
                  <c:v>-0.8500499760349175</c:v>
                </c:pt>
                <c:pt idx="374">
                  <c:v>-0.86689501614604003</c:v>
                </c:pt>
                <c:pt idx="375">
                  <c:v>-0.86353573964149177</c:v>
                </c:pt>
                <c:pt idx="376">
                  <c:v>-0.86494579436222951</c:v>
                </c:pt>
                <c:pt idx="377">
                  <c:v>-0.85248305458291407</c:v>
                </c:pt>
                <c:pt idx="378">
                  <c:v>-0.8638100394806365</c:v>
                </c:pt>
                <c:pt idx="379">
                  <c:v>-0.86440008356340448</c:v>
                </c:pt>
                <c:pt idx="380">
                  <c:v>-0.86721951686039167</c:v>
                </c:pt>
                <c:pt idx="381">
                  <c:v>-0.8582456011661096</c:v>
                </c:pt>
                <c:pt idx="382">
                  <c:v>-0.83909242455852773</c:v>
                </c:pt>
                <c:pt idx="383">
                  <c:v>-0.84766312617157258</c:v>
                </c:pt>
                <c:pt idx="384">
                  <c:v>-0.84029770399659787</c:v>
                </c:pt>
                <c:pt idx="385">
                  <c:v>-0.85108016353166815</c:v>
                </c:pt>
                <c:pt idx="386">
                  <c:v>-0.85595231883900313</c:v>
                </c:pt>
                <c:pt idx="387">
                  <c:v>-0.85674402286455076</c:v>
                </c:pt>
                <c:pt idx="388">
                  <c:v>-0.85350667698326455</c:v>
                </c:pt>
                <c:pt idx="389">
                  <c:v>-0.84132243766093273</c:v>
                </c:pt>
                <c:pt idx="390">
                  <c:v>-0.76379622647825995</c:v>
                </c:pt>
                <c:pt idx="391">
                  <c:v>-0.7285720967251107</c:v>
                </c:pt>
                <c:pt idx="392">
                  <c:v>-0.69592861607258383</c:v>
                </c:pt>
                <c:pt idx="393">
                  <c:v>-0.74581360274452779</c:v>
                </c:pt>
                <c:pt idx="394">
                  <c:v>-0.76858276308660434</c:v>
                </c:pt>
                <c:pt idx="395">
                  <c:v>-0.7879394840406011</c:v>
                </c:pt>
                <c:pt idx="396">
                  <c:v>-0.81541628408391509</c:v>
                </c:pt>
                <c:pt idx="397">
                  <c:v>-0.83131990409052126</c:v>
                </c:pt>
                <c:pt idx="398">
                  <c:v>-0.8371165921742808</c:v>
                </c:pt>
                <c:pt idx="399">
                  <c:v>-0.83945299033059195</c:v>
                </c:pt>
                <c:pt idx="400">
                  <c:v>-0.83297172971848221</c:v>
                </c:pt>
                <c:pt idx="401">
                  <c:v>-0.82398027811999508</c:v>
                </c:pt>
                <c:pt idx="402">
                  <c:v>-0.80563259175001711</c:v>
                </c:pt>
                <c:pt idx="403">
                  <c:v>-0.79471656913031741</c:v>
                </c:pt>
                <c:pt idx="404">
                  <c:v>-0.7933534642389608</c:v>
                </c:pt>
                <c:pt idx="405">
                  <c:v>-0.79627964893559089</c:v>
                </c:pt>
                <c:pt idx="406">
                  <c:v>-0.79526927508559686</c:v>
                </c:pt>
                <c:pt idx="407">
                  <c:v>-0.79977916866636589</c:v>
                </c:pt>
                <c:pt idx="408">
                  <c:v>-0.79051213461638126</c:v>
                </c:pt>
                <c:pt idx="409">
                  <c:v>-0.8205432275851795</c:v>
                </c:pt>
                <c:pt idx="410">
                  <c:v>-0.84865292365412104</c:v>
                </c:pt>
                <c:pt idx="411">
                  <c:v>-0.85712619015728597</c:v>
                </c:pt>
                <c:pt idx="412">
                  <c:v>-0.82407633070572006</c:v>
                </c:pt>
                <c:pt idx="413">
                  <c:v>-0.78050516255624691</c:v>
                </c:pt>
                <c:pt idx="414">
                  <c:v>-0.73670974269491341</c:v>
                </c:pt>
                <c:pt idx="415">
                  <c:v>-0.69823923153325917</c:v>
                </c:pt>
                <c:pt idx="416">
                  <c:v>-0.6416815997932227</c:v>
                </c:pt>
                <c:pt idx="417">
                  <c:v>-0.6161379444988605</c:v>
                </c:pt>
                <c:pt idx="418">
                  <c:v>-0.62331444112070533</c:v>
                </c:pt>
                <c:pt idx="419">
                  <c:v>-0.61617924619375886</c:v>
                </c:pt>
                <c:pt idx="420">
                  <c:v>-0.65714992764748714</c:v>
                </c:pt>
                <c:pt idx="421">
                  <c:v>-0.64996084826302258</c:v>
                </c:pt>
                <c:pt idx="422">
                  <c:v>-0.61876229875799715</c:v>
                </c:pt>
                <c:pt idx="423">
                  <c:v>-0.55641400825911613</c:v>
                </c:pt>
                <c:pt idx="424">
                  <c:v>-0.56355804564733258</c:v>
                </c:pt>
                <c:pt idx="425">
                  <c:v>-0.58253118627252287</c:v>
                </c:pt>
                <c:pt idx="426">
                  <c:v>-0.56859079160742576</c:v>
                </c:pt>
                <c:pt idx="427">
                  <c:v>-0.49513410370573058</c:v>
                </c:pt>
                <c:pt idx="428">
                  <c:v>-0.46531673697757481</c:v>
                </c:pt>
                <c:pt idx="429">
                  <c:v>-0.44133731168481322</c:v>
                </c:pt>
                <c:pt idx="430">
                  <c:v>-0.40713198265618261</c:v>
                </c:pt>
                <c:pt idx="431">
                  <c:v>-0.39112884554198318</c:v>
                </c:pt>
                <c:pt idx="432">
                  <c:v>-0.36352497990887828</c:v>
                </c:pt>
                <c:pt idx="433">
                  <c:v>-0.37194511940296088</c:v>
                </c:pt>
                <c:pt idx="434">
                  <c:v>-0.36119783434758562</c:v>
                </c:pt>
                <c:pt idx="435">
                  <c:v>-0.37567359149171198</c:v>
                </c:pt>
                <c:pt idx="436">
                  <c:v>-0.354482915733354</c:v>
                </c:pt>
                <c:pt idx="437">
                  <c:v>-0.34680663126166539</c:v>
                </c:pt>
                <c:pt idx="438">
                  <c:v>-0.34258530072905047</c:v>
                </c:pt>
                <c:pt idx="439">
                  <c:v>-0.35915733601316063</c:v>
                </c:pt>
                <c:pt idx="440">
                  <c:v>-0.35434935379782523</c:v>
                </c:pt>
                <c:pt idx="441">
                  <c:v>-0.35208920590334869</c:v>
                </c:pt>
                <c:pt idx="442">
                  <c:v>-0.336873335880644</c:v>
                </c:pt>
                <c:pt idx="443">
                  <c:v>-0.34024548134431382</c:v>
                </c:pt>
                <c:pt idx="444">
                  <c:v>-0.34229750002563114</c:v>
                </c:pt>
                <c:pt idx="445">
                  <c:v>-0.32551690500764902</c:v>
                </c:pt>
                <c:pt idx="446">
                  <c:v>-0.31597896323999802</c:v>
                </c:pt>
                <c:pt idx="447">
                  <c:v>-0.29810759494887956</c:v>
                </c:pt>
                <c:pt idx="448">
                  <c:v>-0.30072664130108856</c:v>
                </c:pt>
                <c:pt idx="449">
                  <c:v>-0.29294324853952497</c:v>
                </c:pt>
                <c:pt idx="450">
                  <c:v>-0.32209713503928744</c:v>
                </c:pt>
                <c:pt idx="451">
                  <c:v>-0.42896739569001446</c:v>
                </c:pt>
                <c:pt idx="452">
                  <c:v>-0.63326870050651995</c:v>
                </c:pt>
                <c:pt idx="453">
                  <c:v>-0.65740762179525969</c:v>
                </c:pt>
                <c:pt idx="454">
                  <c:v>-0.55170822665866126</c:v>
                </c:pt>
                <c:pt idx="455">
                  <c:v>-0.35387898145239571</c:v>
                </c:pt>
                <c:pt idx="456">
                  <c:v>-0.30032508688187121</c:v>
                </c:pt>
                <c:pt idx="457">
                  <c:v>-0.30428716535061273</c:v>
                </c:pt>
                <c:pt idx="458">
                  <c:v>-0.31433621602706302</c:v>
                </c:pt>
                <c:pt idx="459">
                  <c:v>-0.30424663225906906</c:v>
                </c:pt>
                <c:pt idx="460">
                  <c:v>-0.33108203980869044</c:v>
                </c:pt>
                <c:pt idx="461">
                  <c:v>-0.40029005319410116</c:v>
                </c:pt>
                <c:pt idx="462">
                  <c:v>-0.52767257615996799</c:v>
                </c:pt>
                <c:pt idx="463">
                  <c:v>-0.53693422757857079</c:v>
                </c:pt>
                <c:pt idx="464">
                  <c:v>-0.50612194725254778</c:v>
                </c:pt>
                <c:pt idx="465">
                  <c:v>-0.45151747629919248</c:v>
                </c:pt>
                <c:pt idx="466">
                  <c:v>-0.45551720075479302</c:v>
                </c:pt>
                <c:pt idx="467">
                  <c:v>-0.41884963408040171</c:v>
                </c:pt>
                <c:pt idx="468">
                  <c:v>-0.36446956222378857</c:v>
                </c:pt>
                <c:pt idx="469">
                  <c:v>-0.32865354039353684</c:v>
                </c:pt>
                <c:pt idx="470">
                  <c:v>-0.34976791547069258</c:v>
                </c:pt>
                <c:pt idx="471">
                  <c:v>-0.3946092531609402</c:v>
                </c:pt>
                <c:pt idx="472">
                  <c:v>-0.43113564078076722</c:v>
                </c:pt>
                <c:pt idx="473">
                  <c:v>-0.45935220597741466</c:v>
                </c:pt>
                <c:pt idx="474">
                  <c:v>-0.45917874992142349</c:v>
                </c:pt>
                <c:pt idx="475">
                  <c:v>-0.49930764586483267</c:v>
                </c:pt>
                <c:pt idx="476">
                  <c:v>-0.49188194902011412</c:v>
                </c:pt>
                <c:pt idx="477">
                  <c:v>-0.49419148330129398</c:v>
                </c:pt>
                <c:pt idx="478">
                  <c:v>-0.48548849655133702</c:v>
                </c:pt>
                <c:pt idx="479">
                  <c:v>-0.50707289026912228</c:v>
                </c:pt>
                <c:pt idx="480">
                  <c:v>-0.50296345839632139</c:v>
                </c:pt>
                <c:pt idx="481">
                  <c:v>-0.47323540315461621</c:v>
                </c:pt>
                <c:pt idx="482">
                  <c:v>-0.46572545054158687</c:v>
                </c:pt>
                <c:pt idx="483">
                  <c:v>-0.45993079634645256</c:v>
                </c:pt>
                <c:pt idx="484">
                  <c:v>-0.46404337790014849</c:v>
                </c:pt>
                <c:pt idx="485">
                  <c:v>-0.46240000569950251</c:v>
                </c:pt>
                <c:pt idx="486">
                  <c:v>-0.43257927873405905</c:v>
                </c:pt>
                <c:pt idx="487">
                  <c:v>-0.42844344919547012</c:v>
                </c:pt>
                <c:pt idx="488">
                  <c:v>-0.40742730252335163</c:v>
                </c:pt>
                <c:pt idx="489">
                  <c:v>-0.40699455956324931</c:v>
                </c:pt>
                <c:pt idx="490">
                  <c:v>-0.38253474806301635</c:v>
                </c:pt>
                <c:pt idx="491">
                  <c:v>-0.34669335745631019</c:v>
                </c:pt>
                <c:pt idx="492">
                  <c:v>-0.35646470971583727</c:v>
                </c:pt>
                <c:pt idx="493">
                  <c:v>-0.3629502637068045</c:v>
                </c:pt>
                <c:pt idx="494">
                  <c:v>-0.40294440598548853</c:v>
                </c:pt>
                <c:pt idx="495">
                  <c:v>-0.3831407935187523</c:v>
                </c:pt>
                <c:pt idx="496">
                  <c:v>-0.36206057058257318</c:v>
                </c:pt>
                <c:pt idx="497">
                  <c:v>-0.35981089914238162</c:v>
                </c:pt>
                <c:pt idx="498">
                  <c:v>-0.47937008158223104</c:v>
                </c:pt>
                <c:pt idx="499">
                  <c:v>-0.56045118668053762</c:v>
                </c:pt>
                <c:pt idx="500">
                  <c:v>-0.55267256512441632</c:v>
                </c:pt>
                <c:pt idx="501">
                  <c:v>-0.48518675083913454</c:v>
                </c:pt>
                <c:pt idx="502">
                  <c:v>-0.48907729097606545</c:v>
                </c:pt>
                <c:pt idx="503">
                  <c:v>-0.57579382843353255</c:v>
                </c:pt>
                <c:pt idx="504">
                  <c:v>-0.63599010989063398</c:v>
                </c:pt>
                <c:pt idx="505">
                  <c:v>-0.54934391812576866</c:v>
                </c:pt>
                <c:pt idx="506">
                  <c:v>-0.41050883276371392</c:v>
                </c:pt>
                <c:pt idx="507">
                  <c:v>-0.28256455839979594</c:v>
                </c:pt>
                <c:pt idx="508">
                  <c:v>-0.26918165247259829</c:v>
                </c:pt>
                <c:pt idx="509">
                  <c:v>-0.27424942257140628</c:v>
                </c:pt>
                <c:pt idx="510">
                  <c:v>-0.27942936840841598</c:v>
                </c:pt>
                <c:pt idx="511">
                  <c:v>-0.28472532881898727</c:v>
                </c:pt>
                <c:pt idx="512">
                  <c:v>-0.29014132252756591</c:v>
                </c:pt>
                <c:pt idx="513">
                  <c:v>-0.29568155992517547</c:v>
                </c:pt>
                <c:pt idx="514">
                  <c:v>-0.3013504544378382</c:v>
                </c:pt>
                <c:pt idx="515">
                  <c:v>-0.30715263520090286</c:v>
                </c:pt>
                <c:pt idx="516">
                  <c:v>-0.31309296074383275</c:v>
                </c:pt>
                <c:pt idx="517">
                  <c:v>-0.3191765332423937</c:v>
                </c:pt>
                <c:pt idx="518">
                  <c:v>-0.32540871524375214</c:v>
                </c:pt>
                <c:pt idx="519">
                  <c:v>-0.33179514554542849</c:v>
                </c:pt>
                <c:pt idx="520">
                  <c:v>-0.33834175859237031</c:v>
                </c:pt>
                <c:pt idx="521">
                  <c:v>-0.34505480407904104</c:v>
                </c:pt>
                <c:pt idx="522">
                  <c:v>-0.35194086867359403</c:v>
                </c:pt>
                <c:pt idx="523">
                  <c:v>-0.35900689963843746</c:v>
                </c:pt>
                <c:pt idx="524">
                  <c:v>-0.36626022995568097</c:v>
                </c:pt>
                <c:pt idx="525">
                  <c:v>-0.37370860713029347</c:v>
                </c:pt>
                <c:pt idx="526">
                  <c:v>-0.38136022217576021</c:v>
                </c:pt>
                <c:pt idx="527">
                  <c:v>-0.38922374367972462</c:v>
                </c:pt>
                <c:pt idx="528">
                  <c:v>-0.39730835349405363</c:v>
                </c:pt>
                <c:pt idx="529">
                  <c:v>-0.40562378630160495</c:v>
                </c:pt>
                <c:pt idx="530">
                  <c:v>-0.41418037303197169</c:v>
                </c:pt>
                <c:pt idx="531">
                  <c:v>-0.42298908792470091</c:v>
                </c:pt>
                <c:pt idx="532">
                  <c:v>-0.43206160188507331</c:v>
                </c:pt>
                <c:pt idx="533">
                  <c:v>-0.44141033859759754</c:v>
                </c:pt>
                <c:pt idx="534">
                  <c:v>-0.45104853914850773</c:v>
                </c:pt>
                <c:pt idx="535">
                  <c:v>-0.46099033176789056</c:v>
                </c:pt>
                <c:pt idx="536">
                  <c:v>-0.47125080963024102</c:v>
                </c:pt>
                <c:pt idx="537">
                  <c:v>-0.48184611726435822</c:v>
                </c:pt>
                <c:pt idx="538">
                  <c:v>-0.49279354599463127</c:v>
                </c:pt>
                <c:pt idx="539">
                  <c:v>-0.50411164210651993</c:v>
                </c:pt>
                <c:pt idx="540">
                  <c:v>-0.51582032470255257</c:v>
                </c:pt>
                <c:pt idx="541">
                  <c:v>-0.58901867604677483</c:v>
                </c:pt>
                <c:pt idx="542">
                  <c:v>-0.54239048228057252</c:v>
                </c:pt>
                <c:pt idx="543">
                  <c:v>-0.5083661431327311</c:v>
                </c:pt>
                <c:pt idx="544">
                  <c:v>-0.43121670050132238</c:v>
                </c:pt>
                <c:pt idx="545">
                  <c:v>-0.46090076328241647</c:v>
                </c:pt>
                <c:pt idx="546">
                  <c:v>-0.47687118007708817</c:v>
                </c:pt>
                <c:pt idx="547">
                  <c:v>-0.46069222882967198</c:v>
                </c:pt>
                <c:pt idx="548">
                  <c:v>-0.44684283974894073</c:v>
                </c:pt>
                <c:pt idx="549">
                  <c:v>-0.42275794277375095</c:v>
                </c:pt>
                <c:pt idx="550">
                  <c:v>-0.40076451506052929</c:v>
                </c:pt>
                <c:pt idx="551">
                  <c:v>-0.40997696942460821</c:v>
                </c:pt>
                <c:pt idx="552">
                  <c:v>-0.42924161933752164</c:v>
                </c:pt>
                <c:pt idx="553">
                  <c:v>-0.44957009068414822</c:v>
                </c:pt>
                <c:pt idx="554">
                  <c:v>-0.46364261455075195</c:v>
                </c:pt>
                <c:pt idx="555">
                  <c:v>-0.48865664538528525</c:v>
                </c:pt>
                <c:pt idx="556">
                  <c:v>-0.59566456013663627</c:v>
                </c:pt>
                <c:pt idx="557">
                  <c:v>-0.69382314791960376</c:v>
                </c:pt>
                <c:pt idx="558">
                  <c:v>-0.74600348997840404</c:v>
                </c:pt>
                <c:pt idx="559">
                  <c:v>-0.73830634522027294</c:v>
                </c:pt>
                <c:pt idx="560">
                  <c:v>-0.72852671461673835</c:v>
                </c:pt>
                <c:pt idx="561">
                  <c:v>-0.7555351778110696</c:v>
                </c:pt>
                <c:pt idx="562">
                  <c:v>-0.75222127856569954</c:v>
                </c:pt>
                <c:pt idx="563">
                  <c:v>-0.74400366634157844</c:v>
                </c:pt>
                <c:pt idx="564">
                  <c:v>-0.75881786667750217</c:v>
                </c:pt>
                <c:pt idx="565">
                  <c:v>-0.75125013060901324</c:v>
                </c:pt>
                <c:pt idx="566">
                  <c:v>-0.78034647940312774</c:v>
                </c:pt>
                <c:pt idx="567">
                  <c:v>-0.80087901560101482</c:v>
                </c:pt>
                <c:pt idx="568">
                  <c:v>-0.89018663152710664</c:v>
                </c:pt>
                <c:pt idx="569">
                  <c:v>-1.004285889800286</c:v>
                </c:pt>
                <c:pt idx="570">
                  <c:v>-1.0881230370067698</c:v>
                </c:pt>
                <c:pt idx="571">
                  <c:v>-1.1174415566588882</c:v>
                </c:pt>
                <c:pt idx="572">
                  <c:v>-1.0784908468904399</c:v>
                </c:pt>
                <c:pt idx="573">
                  <c:v>-1.0417271532714683</c:v>
                </c:pt>
                <c:pt idx="574">
                  <c:v>-1.0819174493254822</c:v>
                </c:pt>
                <c:pt idx="575">
                  <c:v>-1.1165917264724856</c:v>
                </c:pt>
                <c:pt idx="576">
                  <c:v>-1.154549701714872</c:v>
                </c:pt>
                <c:pt idx="577">
                  <c:v>-1.176720040640501</c:v>
                </c:pt>
                <c:pt idx="578">
                  <c:v>-1.2300208250123854</c:v>
                </c:pt>
                <c:pt idx="579">
                  <c:v>-1.3147879087052239</c:v>
                </c:pt>
                <c:pt idx="580">
                  <c:v>-1.4018437373194468</c:v>
                </c:pt>
                <c:pt idx="581">
                  <c:v>-1.4675931485803531</c:v>
                </c:pt>
                <c:pt idx="582">
                  <c:v>-1.5660458458302287</c:v>
                </c:pt>
                <c:pt idx="583">
                  <c:v>-1.6592740470703014</c:v>
                </c:pt>
                <c:pt idx="584">
                  <c:v>-1.7524792038172015</c:v>
                </c:pt>
                <c:pt idx="585">
                  <c:v>-1.8004055839654498</c:v>
                </c:pt>
                <c:pt idx="586">
                  <c:v>-1.8092095666101733</c:v>
                </c:pt>
                <c:pt idx="587">
                  <c:v>-1.8486404446828828</c:v>
                </c:pt>
                <c:pt idx="588">
                  <c:v>-1.8683187133062376</c:v>
                </c:pt>
                <c:pt idx="589">
                  <c:v>-1.8876305364601729</c:v>
                </c:pt>
                <c:pt idx="590">
                  <c:v>-1.8563147619254752</c:v>
                </c:pt>
                <c:pt idx="591">
                  <c:v>-1.8740987465604722</c:v>
                </c:pt>
                <c:pt idx="592">
                  <c:v>-1.8824618067302812</c:v>
                </c:pt>
                <c:pt idx="593">
                  <c:v>-1.9167087139608565</c:v>
                </c:pt>
                <c:pt idx="594">
                  <c:v>-1.8830971679378592</c:v>
                </c:pt>
                <c:pt idx="595">
                  <c:v>-1.8887209656906851</c:v>
                </c:pt>
                <c:pt idx="596">
                  <c:v>-1.9039860045297463</c:v>
                </c:pt>
                <c:pt idx="597">
                  <c:v>-1.9262145785973006</c:v>
                </c:pt>
                <c:pt idx="598">
                  <c:v>-1.9124839377259224</c:v>
                </c:pt>
                <c:pt idx="599">
                  <c:v>-1.8954186888340312</c:v>
                </c:pt>
                <c:pt idx="600">
                  <c:v>-1.9126239847353774</c:v>
                </c:pt>
                <c:pt idx="601">
                  <c:v>-1.9545546778288425</c:v>
                </c:pt>
                <c:pt idx="602">
                  <c:v>-1.9806622481705911</c:v>
                </c:pt>
                <c:pt idx="603">
                  <c:v>-1.9758531801591703</c:v>
                </c:pt>
                <c:pt idx="604">
                  <c:v>-1.9770036819884058</c:v>
                </c:pt>
                <c:pt idx="605">
                  <c:v>-1.968481686914102</c:v>
                </c:pt>
                <c:pt idx="606">
                  <c:v>-1.989546233549192</c:v>
                </c:pt>
                <c:pt idx="607">
                  <c:v>-1.9702548780374094</c:v>
                </c:pt>
                <c:pt idx="608">
                  <c:v>-1.9598161592244112</c:v>
                </c:pt>
                <c:pt idx="609">
                  <c:v>-1.9249564611590335</c:v>
                </c:pt>
                <c:pt idx="610">
                  <c:v>-1.9172512451257937</c:v>
                </c:pt>
                <c:pt idx="611">
                  <c:v>-1.8957215985877232</c:v>
                </c:pt>
                <c:pt idx="612">
                  <c:v>-1.8839702632859232</c:v>
                </c:pt>
                <c:pt idx="613">
                  <c:v>-1.8651494938372004</c:v>
                </c:pt>
                <c:pt idx="614">
                  <c:v>-1.8646108937806518</c:v>
                </c:pt>
                <c:pt idx="615">
                  <c:v>-1.864092849837762</c:v>
                </c:pt>
                <c:pt idx="616">
                  <c:v>-1.8635942068260896</c:v>
                </c:pt>
                <c:pt idx="617">
                  <c:v>-1.86311389462127</c:v>
                </c:pt>
                <c:pt idx="618">
                  <c:v>-1.8626509203210633</c:v>
                </c:pt>
                <c:pt idx="619">
                  <c:v>-1.8715197806921273</c:v>
                </c:pt>
                <c:pt idx="620">
                  <c:v>-1.9029219404765809</c:v>
                </c:pt>
                <c:pt idx="621">
                  <c:v>-1.9487137030741526</c:v>
                </c:pt>
                <c:pt idx="622">
                  <c:v>-2.0343449821121431</c:v>
                </c:pt>
                <c:pt idx="623">
                  <c:v>-2.0725996004575693</c:v>
                </c:pt>
                <c:pt idx="624">
                  <c:v>-2.0892758044642772</c:v>
                </c:pt>
                <c:pt idx="625">
                  <c:v>-2.0690289619116853</c:v>
                </c:pt>
                <c:pt idx="626">
                  <c:v>-2.0741786942400782</c:v>
                </c:pt>
                <c:pt idx="627">
                  <c:v>-2.0992480399345372</c:v>
                </c:pt>
                <c:pt idx="628">
                  <c:v>-2.0897880337482451</c:v>
                </c:pt>
                <c:pt idx="629">
                  <c:v>-2.0476399720608653</c:v>
                </c:pt>
                <c:pt idx="630">
                  <c:v>-2.0351590161105872</c:v>
                </c:pt>
                <c:pt idx="631">
                  <c:v>-2.063024772361985</c:v>
                </c:pt>
                <c:pt idx="632">
                  <c:v>-2.134777203585438</c:v>
                </c:pt>
                <c:pt idx="633">
                  <c:v>-2.1614334883062534</c:v>
                </c:pt>
                <c:pt idx="634">
                  <c:v>-2.1416627303240929</c:v>
                </c:pt>
                <c:pt idx="635">
                  <c:v>-2.12616329145665</c:v>
                </c:pt>
                <c:pt idx="636">
                  <c:v>-2.053838572647344</c:v>
                </c:pt>
                <c:pt idx="637">
                  <c:v>-2.0432081251989227</c:v>
                </c:pt>
                <c:pt idx="638">
                  <c:v>-2.0352126112130851</c:v>
                </c:pt>
                <c:pt idx="639">
                  <c:v>-2.0739062820220791</c:v>
                </c:pt>
                <c:pt idx="640">
                  <c:v>-2.0682567005590555</c:v>
                </c:pt>
                <c:pt idx="641">
                  <c:v>-2.0447614103597913</c:v>
                </c:pt>
                <c:pt idx="642">
                  <c:v>-2.0509613187001334</c:v>
                </c:pt>
                <c:pt idx="643">
                  <c:v>-2.0632909540634405</c:v>
                </c:pt>
                <c:pt idx="644">
                  <c:v>-2.0456002002162488</c:v>
                </c:pt>
                <c:pt idx="645">
                  <c:v>-2.0059795079097911</c:v>
                </c:pt>
                <c:pt idx="646">
                  <c:v>-1.977560690506061</c:v>
                </c:pt>
                <c:pt idx="647">
                  <c:v>-1.9427160784280491</c:v>
                </c:pt>
                <c:pt idx="648">
                  <c:v>-1.9181022959612284</c:v>
                </c:pt>
                <c:pt idx="649">
                  <c:v>-1.898348159482165</c:v>
                </c:pt>
                <c:pt idx="650">
                  <c:v>-1.9098471911570465</c:v>
                </c:pt>
                <c:pt idx="651">
                  <c:v>-1.8991120442108798</c:v>
                </c:pt>
                <c:pt idx="652">
                  <c:v>-1.856690037614219</c:v>
                </c:pt>
                <c:pt idx="653">
                  <c:v>-1.8049583500844191</c:v>
                </c:pt>
                <c:pt idx="654">
                  <c:v>-1.768511356876483</c:v>
                </c:pt>
                <c:pt idx="655">
                  <c:v>-1.7368445541875446</c:v>
                </c:pt>
                <c:pt idx="656">
                  <c:v>-1.7276252449530933</c:v>
                </c:pt>
                <c:pt idx="657">
                  <c:v>-1.7520829302628442</c:v>
                </c:pt>
                <c:pt idx="658">
                  <c:v>-1.7424184794037654</c:v>
                </c:pt>
                <c:pt idx="659">
                  <c:v>-1.7593362948544959</c:v>
                </c:pt>
                <c:pt idx="660">
                  <c:v>-1.7375469550318616</c:v>
                </c:pt>
                <c:pt idx="661">
                  <c:v>-1.7504345510720187</c:v>
                </c:pt>
                <c:pt idx="662">
                  <c:v>-1.7513552965133883</c:v>
                </c:pt>
                <c:pt idx="663">
                  <c:v>-1.7611548528008443</c:v>
                </c:pt>
                <c:pt idx="664">
                  <c:v>-1.7897800782743201</c:v>
                </c:pt>
                <c:pt idx="665">
                  <c:v>-1.7847595202263375</c:v>
                </c:pt>
                <c:pt idx="666">
                  <c:v>-1.780677594021068</c:v>
                </c:pt>
                <c:pt idx="667">
                  <c:v>-1.7356117826115025</c:v>
                </c:pt>
                <c:pt idx="668">
                  <c:v>-1.7729009069757986</c:v>
                </c:pt>
                <c:pt idx="669">
                  <c:v>-1.7547812903702411</c:v>
                </c:pt>
                <c:pt idx="670">
                  <c:v>-1.768385270276486</c:v>
                </c:pt>
                <c:pt idx="671">
                  <c:v>-1.7605977393318042</c:v>
                </c:pt>
                <c:pt idx="672">
                  <c:v>-1.7605798601297877</c:v>
                </c:pt>
                <c:pt idx="673">
                  <c:v>-1.7619554312442876</c:v>
                </c:pt>
                <c:pt idx="674">
                  <c:v>-1.7330007557885903</c:v>
                </c:pt>
                <c:pt idx="675">
                  <c:v>-1.7502760429395565</c:v>
                </c:pt>
                <c:pt idx="676">
                  <c:v>-1.7861497405496098</c:v>
                </c:pt>
                <c:pt idx="677">
                  <c:v>-1.773715120338428</c:v>
                </c:pt>
                <c:pt idx="678">
                  <c:v>-1.7816504114964948</c:v>
                </c:pt>
                <c:pt idx="679">
                  <c:v>-1.7640543880651087</c:v>
                </c:pt>
                <c:pt idx="680">
                  <c:v>-1.7832982897202303</c:v>
                </c:pt>
                <c:pt idx="681">
                  <c:v>-1.7861030374143876</c:v>
                </c:pt>
                <c:pt idx="682">
                  <c:v>-1.7877035429833967</c:v>
                </c:pt>
                <c:pt idx="683">
                  <c:v>-1.786808841671305</c:v>
                </c:pt>
                <c:pt idx="684">
                  <c:v>-1.790801203118763</c:v>
                </c:pt>
                <c:pt idx="685">
                  <c:v>-1.7985653928341563</c:v>
                </c:pt>
                <c:pt idx="686">
                  <c:v>-1.8097639118452797</c:v>
                </c:pt>
                <c:pt idx="687">
                  <c:v>-1.8009380318126949</c:v>
                </c:pt>
                <c:pt idx="688">
                  <c:v>-1.8136746003616506</c:v>
                </c:pt>
                <c:pt idx="689">
                  <c:v>-1.833797331978354</c:v>
                </c:pt>
                <c:pt idx="690">
                  <c:v>-1.8811815806050269</c:v>
                </c:pt>
                <c:pt idx="691">
                  <c:v>-1.8951814670342877</c:v>
                </c:pt>
                <c:pt idx="692">
                  <c:v>-1.8867564404251205</c:v>
                </c:pt>
                <c:pt idx="693">
                  <c:v>-1.9102032307066832</c:v>
                </c:pt>
                <c:pt idx="694">
                  <c:v>-1.9365488331502674</c:v>
                </c:pt>
                <c:pt idx="695">
                  <c:v>-1.9761523948038329</c:v>
                </c:pt>
                <c:pt idx="696">
                  <c:v>-1.944945149106112</c:v>
                </c:pt>
                <c:pt idx="697">
                  <c:v>-1.948926454675038</c:v>
                </c:pt>
                <c:pt idx="698">
                  <c:v>-1.9680838424757117</c:v>
                </c:pt>
                <c:pt idx="699">
                  <c:v>-1.9808653428947596</c:v>
                </c:pt>
                <c:pt idx="700">
                  <c:v>-1.97357735662342</c:v>
                </c:pt>
                <c:pt idx="701">
                  <c:v>-1.9493277141887664</c:v>
                </c:pt>
                <c:pt idx="702">
                  <c:v>-1.9414875680641286</c:v>
                </c:pt>
                <c:pt idx="703">
                  <c:v>-1.9537417981721168</c:v>
                </c:pt>
                <c:pt idx="704">
                  <c:v>-1.9459400308354666</c:v>
                </c:pt>
                <c:pt idx="705">
                  <c:v>-1.9707748559680276</c:v>
                </c:pt>
                <c:pt idx="706">
                  <c:v>-1.9481349046984064</c:v>
                </c:pt>
                <c:pt idx="707">
                  <c:v>-1.9309542471216987</c:v>
                </c:pt>
                <c:pt idx="708">
                  <c:v>-1.8878168441290242</c:v>
                </c:pt>
                <c:pt idx="709">
                  <c:v>-1.8725505939307669</c:v>
                </c:pt>
                <c:pt idx="710">
                  <c:v>-1.8745167385348627</c:v>
                </c:pt>
                <c:pt idx="711">
                  <c:v>-1.8882322697898684</c:v>
                </c:pt>
                <c:pt idx="712">
                  <c:v>-1.931034351672049</c:v>
                </c:pt>
                <c:pt idx="713">
                  <c:v>-1.9068253500499985</c:v>
                </c:pt>
                <c:pt idx="714">
                  <c:v>-1.8558976871507682</c:v>
                </c:pt>
                <c:pt idx="715">
                  <c:v>-1.7848355713072361</c:v>
                </c:pt>
                <c:pt idx="716">
                  <c:v>-1.8007476872320296</c:v>
                </c:pt>
                <c:pt idx="717">
                  <c:v>-1.8066144575785605</c:v>
                </c:pt>
                <c:pt idx="718">
                  <c:v>-1.7837409921291858</c:v>
                </c:pt>
                <c:pt idx="719">
                  <c:v>-1.7679595745890893</c:v>
                </c:pt>
                <c:pt idx="720">
                  <c:v>-1.7707016732267942</c:v>
                </c:pt>
                <c:pt idx="721">
                  <c:v>-1.8096441687304619</c:v>
                </c:pt>
                <c:pt idx="722">
                  <c:v>-1.8117856689634779</c:v>
                </c:pt>
                <c:pt idx="723">
                  <c:v>-1.8131474875956002</c:v>
                </c:pt>
                <c:pt idx="724">
                  <c:v>-1.809568480633964</c:v>
                </c:pt>
                <c:pt idx="725">
                  <c:v>-1.8084934851020502</c:v>
                </c:pt>
                <c:pt idx="726">
                  <c:v>-1.8325102450178437</c:v>
                </c:pt>
                <c:pt idx="727">
                  <c:v>-1.8493675821884563</c:v>
                </c:pt>
                <c:pt idx="728">
                  <c:v>-1.8855036514781673</c:v>
                </c:pt>
                <c:pt idx="729">
                  <c:v>-1.903772777348868</c:v>
                </c:pt>
                <c:pt idx="730">
                  <c:v>-1.8503888394033821</c:v>
                </c:pt>
                <c:pt idx="731">
                  <c:v>-1.7330156058429669</c:v>
                </c:pt>
                <c:pt idx="732">
                  <c:v>-1.642450873769622</c:v>
                </c:pt>
                <c:pt idx="733">
                  <c:v>-1.667679430666908</c:v>
                </c:pt>
                <c:pt idx="734">
                  <c:v>-1.7507842369863653</c:v>
                </c:pt>
                <c:pt idx="735">
                  <c:v>-1.7726834110213006</c:v>
                </c:pt>
                <c:pt idx="736">
                  <c:v>-1.7876318281782961</c:v>
                </c:pt>
                <c:pt idx="737">
                  <c:v>-1.7117365736811501</c:v>
                </c:pt>
                <c:pt idx="738">
                  <c:v>-1.6539023902104546</c:v>
                </c:pt>
                <c:pt idx="739">
                  <c:v>-1.5704393713838891</c:v>
                </c:pt>
                <c:pt idx="740">
                  <c:v>-1.5680776503514462</c:v>
                </c:pt>
                <c:pt idx="741">
                  <c:v>-1.597461903637061</c:v>
                </c:pt>
                <c:pt idx="742">
                  <c:v>-1.6299731948814629</c:v>
                </c:pt>
                <c:pt idx="743">
                  <c:v>-1.651466793837115</c:v>
                </c:pt>
                <c:pt idx="744">
                  <c:v>-1.6534229217503871</c:v>
                </c:pt>
                <c:pt idx="745">
                  <c:v>-1.6062399594748171</c:v>
                </c:pt>
                <c:pt idx="746">
                  <c:v>-1.5840408364028995</c:v>
                </c:pt>
                <c:pt idx="747">
                  <c:v>-1.5715075637724676</c:v>
                </c:pt>
                <c:pt idx="748">
                  <c:v>-1.6049094784575131</c:v>
                </c:pt>
                <c:pt idx="749">
                  <c:v>-1.579551953969103</c:v>
                </c:pt>
                <c:pt idx="750">
                  <c:v>-1.5774805364177009</c:v>
                </c:pt>
                <c:pt idx="751">
                  <c:v>-1.5848024237061662</c:v>
                </c:pt>
                <c:pt idx="752">
                  <c:v>-1.6258606757661627</c:v>
                </c:pt>
                <c:pt idx="753">
                  <c:v>-1.6609701601116804</c:v>
                </c:pt>
                <c:pt idx="754">
                  <c:v>-1.6541890816720191</c:v>
                </c:pt>
                <c:pt idx="755">
                  <c:v>-1.6531347470480757</c:v>
                </c:pt>
                <c:pt idx="756">
                  <c:v>-1.6428563610629023</c:v>
                </c:pt>
                <c:pt idx="757">
                  <c:v>-1.6439098458610053</c:v>
                </c:pt>
                <c:pt idx="758">
                  <c:v>-1.6612619149664785</c:v>
                </c:pt>
                <c:pt idx="759">
                  <c:v>-1.6550161803559209</c:v>
                </c:pt>
                <c:pt idx="760">
                  <c:v>-1.6829585775423703</c:v>
                </c:pt>
                <c:pt idx="761">
                  <c:v>-1.6702897867935953</c:v>
                </c:pt>
                <c:pt idx="762">
                  <c:v>-1.6545377469934397</c:v>
                </c:pt>
                <c:pt idx="763">
                  <c:v>-1.620219809822762</c:v>
                </c:pt>
                <c:pt idx="764">
                  <c:v>-1.6142945865310612</c:v>
                </c:pt>
                <c:pt idx="765">
                  <c:v>-1.601906646358022</c:v>
                </c:pt>
                <c:pt idx="766">
                  <c:v>-1.5148006407969925</c:v>
                </c:pt>
                <c:pt idx="767">
                  <c:v>-1.4294102483977982</c:v>
                </c:pt>
                <c:pt idx="768">
                  <c:v>-1.3765837979002606</c:v>
                </c:pt>
                <c:pt idx="769">
                  <c:v>-1.4037084936247775</c:v>
                </c:pt>
                <c:pt idx="770">
                  <c:v>-1.4034393300855326</c:v>
                </c:pt>
                <c:pt idx="771">
                  <c:v>-1.3874902775585884</c:v>
                </c:pt>
                <c:pt idx="772">
                  <c:v>-1.3771401369781326</c:v>
                </c:pt>
                <c:pt idx="773">
                  <c:v>-1.4161189073584595</c:v>
                </c:pt>
                <c:pt idx="774">
                  <c:v>-1.4231749969030021</c:v>
                </c:pt>
                <c:pt idx="775">
                  <c:v>-1.4328162661710373</c:v>
                </c:pt>
                <c:pt idx="776">
                  <c:v>-1.3609251341164539</c:v>
                </c:pt>
                <c:pt idx="777">
                  <c:v>-1.3503309591525208</c:v>
                </c:pt>
                <c:pt idx="778">
                  <c:v>-1.3289489182483445</c:v>
                </c:pt>
                <c:pt idx="779">
                  <c:v>-1.369608741500306</c:v>
                </c:pt>
                <c:pt idx="780">
                  <c:v>-1.3736418063660485</c:v>
                </c:pt>
                <c:pt idx="781">
                  <c:v>-1.3824922619487443</c:v>
                </c:pt>
                <c:pt idx="782">
                  <c:v>-1.3636705000642122</c:v>
                </c:pt>
                <c:pt idx="783">
                  <c:v>-1.3564101950731489</c:v>
                </c:pt>
                <c:pt idx="784">
                  <c:v>-1.3437123843008345</c:v>
                </c:pt>
                <c:pt idx="785">
                  <c:v>-1.3296085995816176</c:v>
                </c:pt>
                <c:pt idx="786">
                  <c:v>-1.3287833805350904</c:v>
                </c:pt>
                <c:pt idx="787">
                  <c:v>-1.3357044441079093</c:v>
                </c:pt>
                <c:pt idx="788">
                  <c:v>-1.3718969300485782</c:v>
                </c:pt>
                <c:pt idx="789">
                  <c:v>-1.3975577980037592</c:v>
                </c:pt>
                <c:pt idx="790">
                  <c:v>-1.4338331521006709</c:v>
                </c:pt>
                <c:pt idx="791">
                  <c:v>-1.430276425659595</c:v>
                </c:pt>
                <c:pt idx="792">
                  <c:v>-1.4246114352584314</c:v>
                </c:pt>
                <c:pt idx="793">
                  <c:v>-1.4011379344779453</c:v>
                </c:pt>
                <c:pt idx="794">
                  <c:v>-1.4095747367140141</c:v>
                </c:pt>
                <c:pt idx="795">
                  <c:v>-1.4073246751237651</c:v>
                </c:pt>
                <c:pt idx="796">
                  <c:v>-1.3805803898586613</c:v>
                </c:pt>
                <c:pt idx="797">
                  <c:v>-1.3606009628629809</c:v>
                </c:pt>
                <c:pt idx="798">
                  <c:v>-1.3669017809429989</c:v>
                </c:pt>
                <c:pt idx="799">
                  <c:v>-1.3920525794203817</c:v>
                </c:pt>
                <c:pt idx="800">
                  <c:v>-1.3756743350212062</c:v>
                </c:pt>
                <c:pt idx="801">
                  <c:v>-1.3415604032128561</c:v>
                </c:pt>
                <c:pt idx="802">
                  <c:v>-1.3036736107053606</c:v>
                </c:pt>
                <c:pt idx="803">
                  <c:v>-1.2874705574505265</c:v>
                </c:pt>
                <c:pt idx="804">
                  <c:v>-1.2647010581759088</c:v>
                </c:pt>
                <c:pt idx="805">
                  <c:v>-1.2189068875721978</c:v>
                </c:pt>
                <c:pt idx="806">
                  <c:v>-1.1859118627610565</c:v>
                </c:pt>
                <c:pt idx="807">
                  <c:v>-1.1440423251240406</c:v>
                </c:pt>
                <c:pt idx="808">
                  <c:v>-1.1384062276910469</c:v>
                </c:pt>
                <c:pt idx="809">
                  <c:v>-1.2235838637887462</c:v>
                </c:pt>
                <c:pt idx="810">
                  <c:v>-1.2995183778192219</c:v>
                </c:pt>
                <c:pt idx="811">
                  <c:v>-1.3573882904820795</c:v>
                </c:pt>
                <c:pt idx="812">
                  <c:v>-1.2937905171726427</c:v>
                </c:pt>
                <c:pt idx="813">
                  <c:v>-1.2541742663320574</c:v>
                </c:pt>
                <c:pt idx="814">
                  <c:v>-1.2232845654947715</c:v>
                </c:pt>
                <c:pt idx="815">
                  <c:v>-1.2124611688434423</c:v>
                </c:pt>
                <c:pt idx="816">
                  <c:v>-1.1989902596960242</c:v>
                </c:pt>
                <c:pt idx="817">
                  <c:v>-1.162262459120595</c:v>
                </c:pt>
                <c:pt idx="818">
                  <c:v>-1.1892603664636641</c:v>
                </c:pt>
                <c:pt idx="819">
                  <c:v>-1.263763295787985</c:v>
                </c:pt>
                <c:pt idx="820">
                  <c:v>-1.3639299199293384</c:v>
                </c:pt>
                <c:pt idx="821">
                  <c:v>-1.4296532582270869</c:v>
                </c:pt>
                <c:pt idx="822">
                  <c:v>-1.4102639110225905</c:v>
                </c:pt>
                <c:pt idx="823">
                  <c:v>-1.3353605750205604</c:v>
                </c:pt>
                <c:pt idx="824">
                  <c:v>-1.2166256772189901</c:v>
                </c:pt>
                <c:pt idx="825">
                  <c:v>-1.1895449653319998</c:v>
                </c:pt>
                <c:pt idx="826">
                  <c:v>-1.2358426958079873</c:v>
                </c:pt>
                <c:pt idx="827">
                  <c:v>-1.245113923635113</c:v>
                </c:pt>
                <c:pt idx="828">
                  <c:v>-1.194294984170347</c:v>
                </c:pt>
                <c:pt idx="829">
                  <c:v>-1.1045290318730396</c:v>
                </c:pt>
                <c:pt idx="830">
                  <c:v>-1.0641144937370177</c:v>
                </c:pt>
                <c:pt idx="831">
                  <c:v>-1.0251275001316069</c:v>
                </c:pt>
                <c:pt idx="832">
                  <c:v>-0.98746544308217865</c:v>
                </c:pt>
                <c:pt idx="833">
                  <c:v>-0.95103637397364038</c:v>
                </c:pt>
                <c:pt idx="834">
                  <c:v>-0.91575757652992007</c:v>
                </c:pt>
                <c:pt idx="835">
                  <c:v>-0.92647727056292839</c:v>
                </c:pt>
                <c:pt idx="836">
                  <c:v>-1.0091259393719534</c:v>
                </c:pt>
                <c:pt idx="837">
                  <c:v>-1.3139580268550697</c:v>
                </c:pt>
                <c:pt idx="838">
                  <c:v>-1.5242155400934028</c:v>
                </c:pt>
                <c:pt idx="839">
                  <c:v>-1.7314039741899567</c:v>
                </c:pt>
                <c:pt idx="840">
                  <c:v>-1.7166444185382745</c:v>
                </c:pt>
                <c:pt idx="841">
                  <c:v>-1.6860946609056617</c:v>
                </c:pt>
                <c:pt idx="842">
                  <c:v>-1.5023658748401456</c:v>
                </c:pt>
                <c:pt idx="843">
                  <c:v>-1.3519882805768306</c:v>
                </c:pt>
                <c:pt idx="844">
                  <c:v>-1.2405649443760842</c:v>
                </c:pt>
                <c:pt idx="845">
                  <c:v>-1.2368750622246416</c:v>
                </c:pt>
                <c:pt idx="846">
                  <c:v>-1.1813787327619341</c:v>
                </c:pt>
                <c:pt idx="847">
                  <c:v>-1.1992802411587022</c:v>
                </c:pt>
                <c:pt idx="848">
                  <c:v>-1.2138723323114078</c:v>
                </c:pt>
                <c:pt idx="849">
                  <c:v>-1.2844056108892017</c:v>
                </c:pt>
                <c:pt idx="850">
                  <c:v>-1.3042503064513531</c:v>
                </c:pt>
                <c:pt idx="851">
                  <c:v>-1.3203104602551108</c:v>
                </c:pt>
                <c:pt idx="852">
                  <c:v>-1.3402235193433256</c:v>
                </c:pt>
                <c:pt idx="853">
                  <c:v>-1.3214919841835362</c:v>
                </c:pt>
                <c:pt idx="854">
                  <c:v>-1.3020880841036013</c:v>
                </c:pt>
                <c:pt idx="855">
                  <c:v>-1.2593079414720518</c:v>
                </c:pt>
                <c:pt idx="856">
                  <c:v>-1.280438791538242</c:v>
                </c:pt>
                <c:pt idx="857">
                  <c:v>-1.3079324998036184</c:v>
                </c:pt>
                <c:pt idx="858">
                  <c:v>-1.3324378983719598</c:v>
                </c:pt>
                <c:pt idx="859">
                  <c:v>-1.3619683159666913</c:v>
                </c:pt>
                <c:pt idx="860">
                  <c:v>-1.4182725139470236</c:v>
                </c:pt>
                <c:pt idx="861">
                  <c:v>-1.4404782791010291</c:v>
                </c:pt>
                <c:pt idx="862">
                  <c:v>-1.4023665091024935</c:v>
                </c:pt>
                <c:pt idx="863">
                  <c:v>-1.3408423420094693</c:v>
                </c:pt>
                <c:pt idx="864">
                  <c:v>-1.3788771533699649</c:v>
                </c:pt>
                <c:pt idx="865">
                  <c:v>-1.4997649197059848</c:v>
                </c:pt>
                <c:pt idx="866">
                  <c:v>-1.5863273434543574</c:v>
                </c:pt>
                <c:pt idx="867">
                  <c:v>-1.5912834379659735</c:v>
                </c:pt>
                <c:pt idx="868">
                  <c:v>-1.6234437023779658</c:v>
                </c:pt>
                <c:pt idx="869">
                  <c:v>-1.6631291632820375</c:v>
                </c:pt>
                <c:pt idx="870">
                  <c:v>-1.7008705335744791</c:v>
                </c:pt>
                <c:pt idx="871">
                  <c:v>-1.6578921529544035</c:v>
                </c:pt>
                <c:pt idx="872">
                  <c:v>-1.6111244745300206</c:v>
                </c:pt>
                <c:pt idx="873">
                  <c:v>-1.5599823692788852</c:v>
                </c:pt>
                <c:pt idx="874">
                  <c:v>-1.4962833340667865</c:v>
                </c:pt>
                <c:pt idx="875">
                  <c:v>-1.4909836954771578</c:v>
                </c:pt>
                <c:pt idx="876">
                  <c:v>-1.4461255692405572</c:v>
                </c:pt>
                <c:pt idx="877">
                  <c:v>-1.4383753782071906</c:v>
                </c:pt>
                <c:pt idx="878">
                  <c:v>-1.3916586400630153</c:v>
                </c:pt>
                <c:pt idx="879">
                  <c:v>-1.4157042482827809</c:v>
                </c:pt>
                <c:pt idx="880">
                  <c:v>-1.4184751687316384</c:v>
                </c:pt>
                <c:pt idx="881">
                  <c:v>-1.4230939410082384</c:v>
                </c:pt>
                <c:pt idx="882">
                  <c:v>-1.4308144728406635</c:v>
                </c:pt>
                <c:pt idx="883">
                  <c:v>-1.4301902848478543</c:v>
                </c:pt>
                <c:pt idx="884">
                  <c:v>-1.4070145199854505</c:v>
                </c:pt>
                <c:pt idx="885">
                  <c:v>-1.3678328484632811</c:v>
                </c:pt>
                <c:pt idx="886">
                  <c:v>-1.3489380596189779</c:v>
                </c:pt>
                <c:pt idx="887">
                  <c:v>-1.350582494769718</c:v>
                </c:pt>
                <c:pt idx="888">
                  <c:v>-1.3502406341199222</c:v>
                </c:pt>
                <c:pt idx="889">
                  <c:v>-1.3503758633247909</c:v>
                </c:pt>
                <c:pt idx="890">
                  <c:v>-1.3813395309296732</c:v>
                </c:pt>
                <c:pt idx="891">
                  <c:v>-1.4747360012696538</c:v>
                </c:pt>
                <c:pt idx="892">
                  <c:v>-1.5328762452655018</c:v>
                </c:pt>
                <c:pt idx="893">
                  <c:v>-1.5222652035492397</c:v>
                </c:pt>
                <c:pt idx="894">
                  <c:v>-1.4151742582312634</c:v>
                </c:pt>
                <c:pt idx="895">
                  <c:v>-1.3057790102295765</c:v>
                </c:pt>
                <c:pt idx="896">
                  <c:v>-1.2546366735170162</c:v>
                </c:pt>
                <c:pt idx="897">
                  <c:v>-1.2179152497829955</c:v>
                </c:pt>
                <c:pt idx="898">
                  <c:v>-1.229348029801552</c:v>
                </c:pt>
                <c:pt idx="899">
                  <c:v>-1.2202284240824464</c:v>
                </c:pt>
                <c:pt idx="900">
                  <c:v>-1.2422872766551167</c:v>
                </c:pt>
                <c:pt idx="901">
                  <c:v>-1.1911331819472222</c:v>
                </c:pt>
                <c:pt idx="902">
                  <c:v>-1.1469425846222692</c:v>
                </c:pt>
                <c:pt idx="903">
                  <c:v>-1.1149405163231936</c:v>
                </c:pt>
                <c:pt idx="904">
                  <c:v>-1.1511066616039656</c:v>
                </c:pt>
                <c:pt idx="905">
                  <c:v>-1.1172703861220634</c:v>
                </c:pt>
                <c:pt idx="906">
                  <c:v>-1.0364552728505598</c:v>
                </c:pt>
                <c:pt idx="907">
                  <c:v>-1.0199316714236775</c:v>
                </c:pt>
                <c:pt idx="908">
                  <c:v>-1.041384668199302</c:v>
                </c:pt>
                <c:pt idx="909">
                  <c:v>-0.77420522430894445</c:v>
                </c:pt>
                <c:pt idx="910">
                  <c:v>-0.62562065393643451</c:v>
                </c:pt>
                <c:pt idx="911">
                  <c:v>-0.67780513999707892</c:v>
                </c:pt>
                <c:pt idx="912">
                  <c:v>-0.98553487660467842</c:v>
                </c:pt>
                <c:pt idx="913">
                  <c:v>-1.0811528674935045</c:v>
                </c:pt>
                <c:pt idx="914">
                  <c:v>-0.97005450292801554</c:v>
                </c:pt>
                <c:pt idx="915">
                  <c:v>-0.87041237014725292</c:v>
                </c:pt>
                <c:pt idx="916">
                  <c:v>-0.93029692076691495</c:v>
                </c:pt>
                <c:pt idx="917">
                  <c:v>-0.96091700854090245</c:v>
                </c:pt>
                <c:pt idx="918">
                  <c:v>-0.97154631932509083</c:v>
                </c:pt>
                <c:pt idx="919">
                  <c:v>-0.88420058291701242</c:v>
                </c:pt>
                <c:pt idx="920">
                  <c:v>-0.62428004547406057</c:v>
                </c:pt>
                <c:pt idx="921">
                  <c:v>-0.45011015990843828</c:v>
                </c:pt>
                <c:pt idx="922">
                  <c:v>-0.1867232441387979</c:v>
                </c:pt>
                <c:pt idx="923">
                  <c:v>-0.35881597660650538</c:v>
                </c:pt>
                <c:pt idx="924">
                  <c:v>-0.5137038469798586</c:v>
                </c:pt>
                <c:pt idx="925">
                  <c:v>-0.75418502110113383</c:v>
                </c:pt>
                <c:pt idx="926">
                  <c:v>-0.82882961557036083</c:v>
                </c:pt>
                <c:pt idx="927">
                  <c:v>-0.9335126828327075</c:v>
                </c:pt>
                <c:pt idx="928">
                  <c:v>-1.0416553398115025</c:v>
                </c:pt>
                <c:pt idx="929">
                  <c:v>-1.1200515263170312</c:v>
                </c:pt>
                <c:pt idx="930">
                  <c:v>-1.1775772662413866</c:v>
                </c:pt>
                <c:pt idx="931">
                  <c:v>-1.1431206234006499</c:v>
                </c:pt>
                <c:pt idx="932">
                  <c:v>-1.2299644885698806</c:v>
                </c:pt>
                <c:pt idx="933">
                  <c:v>-1.1115521240984361</c:v>
                </c:pt>
                <c:pt idx="934">
                  <c:v>-0.88447807014018609</c:v>
                </c:pt>
                <c:pt idx="935">
                  <c:v>-0.53353561307969122</c:v>
                </c:pt>
                <c:pt idx="936">
                  <c:v>-0.41965188080895155</c:v>
                </c:pt>
                <c:pt idx="937">
                  <c:v>-0.5327514797946129</c:v>
                </c:pt>
                <c:pt idx="938">
                  <c:v>-0.57432971559979273</c:v>
                </c:pt>
                <c:pt idx="939">
                  <c:v>-0.72060809812264826</c:v>
                </c:pt>
                <c:pt idx="940">
                  <c:v>-0.92141130971025031</c:v>
                </c:pt>
                <c:pt idx="941">
                  <c:v>-0.86393926418257905</c:v>
                </c:pt>
                <c:pt idx="942">
                  <c:v>-0.54095139782587076</c:v>
                </c:pt>
                <c:pt idx="943">
                  <c:v>-0.26110009759047653</c:v>
                </c:pt>
                <c:pt idx="944">
                  <c:v>-0.36358083841404448</c:v>
                </c:pt>
                <c:pt idx="945">
                  <c:v>-0.50221556078512808</c:v>
                </c:pt>
                <c:pt idx="946">
                  <c:v>-0.5976953974027821</c:v>
                </c:pt>
                <c:pt idx="947">
                  <c:v>-0.74082859407676771</c:v>
                </c:pt>
                <c:pt idx="948">
                  <c:v>-0.7615193701494819</c:v>
                </c:pt>
                <c:pt idx="949">
                  <c:v>-0.62954288578298512</c:v>
                </c:pt>
                <c:pt idx="950">
                  <c:v>-0.40177021739335211</c:v>
                </c:pt>
                <c:pt idx="951">
                  <c:v>-0.35680664309244498</c:v>
                </c:pt>
                <c:pt idx="952">
                  <c:v>-0.50920582266104386</c:v>
                </c:pt>
                <c:pt idx="953">
                  <c:v>-0.54211798149842227</c:v>
                </c:pt>
                <c:pt idx="954">
                  <c:v>-0.46336689960040073</c:v>
                </c:pt>
                <c:pt idx="955">
                  <c:v>-0.20307460015088208</c:v>
                </c:pt>
                <c:pt idx="956">
                  <c:v>-0.20219833213552837</c:v>
                </c:pt>
                <c:pt idx="957">
                  <c:v>-0.4313540716696232</c:v>
                </c:pt>
                <c:pt idx="958">
                  <c:v>-0.7032306757895791</c:v>
                </c:pt>
                <c:pt idx="959">
                  <c:v>-0.83315663212130031</c:v>
                </c:pt>
                <c:pt idx="960">
                  <c:v>-0.89966491511762425</c:v>
                </c:pt>
                <c:pt idx="961">
                  <c:v>-0.94439832266098411</c:v>
                </c:pt>
                <c:pt idx="962">
                  <c:v>-1.0129720232700199</c:v>
                </c:pt>
                <c:pt idx="963">
                  <c:v>-1.0416809048005782</c:v>
                </c:pt>
                <c:pt idx="964">
                  <c:v>-1.0777376945714019</c:v>
                </c:pt>
                <c:pt idx="965">
                  <c:v>-1.0953059082149792</c:v>
                </c:pt>
                <c:pt idx="966">
                  <c:v>-1.0577089783981422</c:v>
                </c:pt>
                <c:pt idx="967">
                  <c:v>-0.85991249192231389</c:v>
                </c:pt>
                <c:pt idx="968">
                  <c:v>-0.64648828163453032</c:v>
                </c:pt>
                <c:pt idx="969">
                  <c:v>-0.49375365505055452</c:v>
                </c:pt>
                <c:pt idx="970">
                  <c:v>-0.48966583404811415</c:v>
                </c:pt>
                <c:pt idx="971">
                  <c:v>-0.48553292048607849</c:v>
                </c:pt>
                <c:pt idx="972">
                  <c:v>-0.4813541280119637</c:v>
                </c:pt>
                <c:pt idx="973">
                  <c:v>-0.47712865164743173</c:v>
                </c:pt>
                <c:pt idx="974">
                  <c:v>-0.47285566611718394</c:v>
                </c:pt>
                <c:pt idx="975">
                  <c:v>-0.5857525769421591</c:v>
                </c:pt>
                <c:pt idx="976">
                  <c:v>-0.67145173719621687</c:v>
                </c:pt>
                <c:pt idx="977">
                  <c:v>-0.70807108841724153</c:v>
                </c:pt>
                <c:pt idx="978">
                  <c:v>-0.64891927591894671</c:v>
                </c:pt>
                <c:pt idx="979">
                  <c:v>-0.48920401022431131</c:v>
                </c:pt>
                <c:pt idx="980">
                  <c:v>-0.31922025602788479</c:v>
                </c:pt>
                <c:pt idx="981">
                  <c:v>-0.23484029712262644</c:v>
                </c:pt>
                <c:pt idx="982">
                  <c:v>-0.37859853198039045</c:v>
                </c:pt>
                <c:pt idx="983">
                  <c:v>-0.5916587186417599</c:v>
                </c:pt>
                <c:pt idx="984">
                  <c:v>-0.71342713526558599</c:v>
                </c:pt>
                <c:pt idx="985">
                  <c:v>-0.75650374899504758</c:v>
                </c:pt>
                <c:pt idx="986">
                  <c:v>-0.76774947029137885</c:v>
                </c:pt>
                <c:pt idx="987">
                  <c:v>-0.78736753214111266</c:v>
                </c:pt>
                <c:pt idx="988">
                  <c:v>-0.76587248219955362</c:v>
                </c:pt>
                <c:pt idx="989">
                  <c:v>-0.81277219796587608</c:v>
                </c:pt>
                <c:pt idx="990">
                  <c:v>-0.84442474754324748</c:v>
                </c:pt>
                <c:pt idx="991">
                  <c:v>-0.80517813344822475</c:v>
                </c:pt>
                <c:pt idx="992">
                  <c:v>-0.61161819689586938</c:v>
                </c:pt>
                <c:pt idx="993">
                  <c:v>-0.45811092325084229</c:v>
                </c:pt>
                <c:pt idx="994">
                  <c:v>-0.74280455149595281</c:v>
                </c:pt>
                <c:pt idx="995">
                  <c:v>-1.0183902671097309</c:v>
                </c:pt>
                <c:pt idx="996">
                  <c:v>-1.150024177380339</c:v>
                </c:pt>
                <c:pt idx="997">
                  <c:v>-0.96867593455741263</c:v>
                </c:pt>
                <c:pt idx="998">
                  <c:v>-0.8821502784007893</c:v>
                </c:pt>
                <c:pt idx="999">
                  <c:v>-0.88140958223807953</c:v>
                </c:pt>
                <c:pt idx="1000">
                  <c:v>-0.91882054742862318</c:v>
                </c:pt>
                <c:pt idx="1001">
                  <c:v>-1.1173583348012499</c:v>
                </c:pt>
                <c:pt idx="1002">
                  <c:v>-1.204088545589008</c:v>
                </c:pt>
                <c:pt idx="1003">
                  <c:v>-1.1879672269528612</c:v>
                </c:pt>
                <c:pt idx="1004">
                  <c:v>-1.0054853233259169</c:v>
                </c:pt>
                <c:pt idx="1005">
                  <c:v>-0.96140212828889327</c:v>
                </c:pt>
                <c:pt idx="1006">
                  <c:v>-0.96021519967716307</c:v>
                </c:pt>
                <c:pt idx="1007">
                  <c:v>-0.9786453003779485</c:v>
                </c:pt>
                <c:pt idx="1008">
                  <c:v>-0.95913330457060575</c:v>
                </c:pt>
                <c:pt idx="1009">
                  <c:v>-0.9361033376415927</c:v>
                </c:pt>
                <c:pt idx="1010">
                  <c:v>-0.94331737610577893</c:v>
                </c:pt>
                <c:pt idx="1011">
                  <c:v>-0.91553582905150999</c:v>
                </c:pt>
                <c:pt idx="1012">
                  <c:v>-0.92519545422138483</c:v>
                </c:pt>
                <c:pt idx="1013">
                  <c:v>-0.87005765900061682</c:v>
                </c:pt>
                <c:pt idx="1014">
                  <c:v>-0.94454220524422683</c:v>
                </c:pt>
                <c:pt idx="1015">
                  <c:v>-0.93562400568246507</c:v>
                </c:pt>
                <c:pt idx="1016">
                  <c:v>-0.98328020325369625</c:v>
                </c:pt>
                <c:pt idx="1017">
                  <c:v>-0.92476751864418094</c:v>
                </c:pt>
                <c:pt idx="1018">
                  <c:v>-0.9168061877930942</c:v>
                </c:pt>
                <c:pt idx="1019">
                  <c:v>-0.93622223213894173</c:v>
                </c:pt>
                <c:pt idx="1020">
                  <c:v>-0.97486855451017052</c:v>
                </c:pt>
                <c:pt idx="1021">
                  <c:v>-0.98347488282087048</c:v>
                </c:pt>
                <c:pt idx="1022">
                  <c:v>-0.96401486396787017</c:v>
                </c:pt>
                <c:pt idx="1023">
                  <c:v>-0.9348309022288287</c:v>
                </c:pt>
                <c:pt idx="1024">
                  <c:v>-0.94248338079109206</c:v>
                </c:pt>
                <c:pt idx="1025">
                  <c:v>-0.89387082507426985</c:v>
                </c:pt>
                <c:pt idx="1026">
                  <c:v>-0.87091509569757808</c:v>
                </c:pt>
                <c:pt idx="1027">
                  <c:v>-0.8283855395086559</c:v>
                </c:pt>
                <c:pt idx="1028">
                  <c:v>-0.84276891859509229</c:v>
                </c:pt>
                <c:pt idx="1029">
                  <c:v>-0.81945953029926122</c:v>
                </c:pt>
                <c:pt idx="1030">
                  <c:v>-0.83115596074257159</c:v>
                </c:pt>
                <c:pt idx="1031">
                  <c:v>-0.81444710097391881</c:v>
                </c:pt>
                <c:pt idx="1032">
                  <c:v>-0.80704258245463356</c:v>
                </c:pt>
                <c:pt idx="1033">
                  <c:v>-0.73546287752364325</c:v>
                </c:pt>
                <c:pt idx="1034">
                  <c:v>-0.73220431635821059</c:v>
                </c:pt>
                <c:pt idx="1035">
                  <c:v>-0.77367348054494867</c:v>
                </c:pt>
                <c:pt idx="1036">
                  <c:v>-0.86193524775332653</c:v>
                </c:pt>
                <c:pt idx="1037">
                  <c:v>-0.89634963038357596</c:v>
                </c:pt>
                <c:pt idx="1038">
                  <c:v>-0.95276932966853656</c:v>
                </c:pt>
                <c:pt idx="1039">
                  <c:v>-0.96132842647611783</c:v>
                </c:pt>
                <c:pt idx="1040">
                  <c:v>-0.98482664674973641</c:v>
                </c:pt>
                <c:pt idx="1041">
                  <c:v>-1.0212354338102694</c:v>
                </c:pt>
                <c:pt idx="1042">
                  <c:v>-1.037719634954372</c:v>
                </c:pt>
                <c:pt idx="1043">
                  <c:v>-0.99043928356161082</c:v>
                </c:pt>
                <c:pt idx="1044">
                  <c:v>-0.95058572555035992</c:v>
                </c:pt>
                <c:pt idx="1045">
                  <c:v>-0.95765667104561203</c:v>
                </c:pt>
                <c:pt idx="1046">
                  <c:v>-1.2083513312564442</c:v>
                </c:pt>
                <c:pt idx="1047">
                  <c:v>-1.0119640835347425</c:v>
                </c:pt>
                <c:pt idx="1048">
                  <c:v>-0.65127085518205885</c:v>
                </c:pt>
                <c:pt idx="1049">
                  <c:v>-8.6795742024535036E-2</c:v>
                </c:pt>
                <c:pt idx="1050">
                  <c:v>8.4003403704758797E-2</c:v>
                </c:pt>
                <c:pt idx="1051">
                  <c:v>-2.7239601716665209E-3</c:v>
                </c:pt>
                <c:pt idx="1052">
                  <c:v>-1.9573051941507793E-2</c:v>
                </c:pt>
                <c:pt idx="1053">
                  <c:v>-7.2238625010185034E-2</c:v>
                </c:pt>
                <c:pt idx="1054">
                  <c:v>-0.25025068237079207</c:v>
                </c:pt>
                <c:pt idx="1055">
                  <c:v>-0.47294449537700983</c:v>
                </c:pt>
                <c:pt idx="1056">
                  <c:v>-0.75271127958605477</c:v>
                </c:pt>
                <c:pt idx="1057">
                  <c:v>-0.85090167088271984</c:v>
                </c:pt>
                <c:pt idx="1058">
                  <c:v>-1.0335427848490859</c:v>
                </c:pt>
                <c:pt idx="1059">
                  <c:v>-1.0675248567645184</c:v>
                </c:pt>
                <c:pt idx="1060">
                  <c:v>-1.0869459244966453</c:v>
                </c:pt>
                <c:pt idx="1061">
                  <c:v>-1.0470574327743585</c:v>
                </c:pt>
                <c:pt idx="1062">
                  <c:v>-0.96636003191071707</c:v>
                </c:pt>
                <c:pt idx="1063">
                  <c:v>-0.93260474385085157</c:v>
                </c:pt>
                <c:pt idx="1064">
                  <c:v>-0.94002180594807605</c:v>
                </c:pt>
                <c:pt idx="1065">
                  <c:v>-1.0892586148464518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A-44EF-A134-A6DF809DD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Total!$E$2:$E$16</c:f>
              <c:numCache>
                <c:formatCode>General</c:formatCode>
                <c:ptCount val="15"/>
                <c:pt idx="0">
                  <c:v>4</c:v>
                </c:pt>
                <c:pt idx="1">
                  <c:v>73</c:v>
                </c:pt>
                <c:pt idx="2">
                  <c:v>59</c:v>
                </c:pt>
                <c:pt idx="3">
                  <c:v>99</c:v>
                </c:pt>
                <c:pt idx="4">
                  <c:v>343.27</c:v>
                </c:pt>
                <c:pt idx="5">
                  <c:v>18</c:v>
                </c:pt>
                <c:pt idx="6">
                  <c:v>1230.45</c:v>
                </c:pt>
                <c:pt idx="7">
                  <c:v>16</c:v>
                </c:pt>
                <c:pt idx="8">
                  <c:v>34</c:v>
                </c:pt>
                <c:pt idx="9">
                  <c:v>31</c:v>
                </c:pt>
                <c:pt idx="10">
                  <c:v>167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AA-44EF-A134-A6DF809DD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603160"/>
        <c:axId val="1168601360"/>
      </c:scatterChart>
      <c:valAx>
        <c:axId val="670849088"/>
        <c:scaling>
          <c:orientation val="minMax"/>
          <c:max val="35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5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cross"/>
        <c:minorTickMark val="out"/>
        <c:tickLblPos val="low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1"/>
      </c:valAx>
      <c:valAx>
        <c:axId val="7321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500" baseline="0"/>
                  <a:t>ln(Ti/Ca)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valAx>
        <c:axId val="1168601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500" baseline="0"/>
                  <a:t>Pteropod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68603160"/>
        <c:crosses val="max"/>
        <c:crossBetween val="midCat"/>
      </c:valAx>
      <c:valAx>
        <c:axId val="11686031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16860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 (°C)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'[2]Table A4'!$D$1</c:f>
              <c:strCache>
                <c:ptCount val="1"/>
                <c:pt idx="0">
                  <c:v>SST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'[2]Table A4'!$B$2:$B$23</c:f>
              <c:numCache>
                <c:formatCode>General</c:formatCode>
                <c:ptCount val="22"/>
                <c:pt idx="0">
                  <c:v>0.4</c:v>
                </c:pt>
                <c:pt idx="1">
                  <c:v>3.2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10.9</c:v>
                </c:pt>
                <c:pt idx="6">
                  <c:v>11.8</c:v>
                </c:pt>
                <c:pt idx="7">
                  <c:v>13.5</c:v>
                </c:pt>
                <c:pt idx="8">
                  <c:v>14.8</c:v>
                </c:pt>
                <c:pt idx="9">
                  <c:v>15.5</c:v>
                </c:pt>
                <c:pt idx="10">
                  <c:v>16.5</c:v>
                </c:pt>
                <c:pt idx="11">
                  <c:v>17.7</c:v>
                </c:pt>
                <c:pt idx="12">
                  <c:v>18.7</c:v>
                </c:pt>
                <c:pt idx="13">
                  <c:v>20.3</c:v>
                </c:pt>
                <c:pt idx="14">
                  <c:v>23.1</c:v>
                </c:pt>
                <c:pt idx="15">
                  <c:v>24.7</c:v>
                </c:pt>
                <c:pt idx="16">
                  <c:v>26.4</c:v>
                </c:pt>
                <c:pt idx="17">
                  <c:v>28</c:v>
                </c:pt>
                <c:pt idx="18">
                  <c:v>29.8</c:v>
                </c:pt>
                <c:pt idx="19">
                  <c:v>32.299999999999997</c:v>
                </c:pt>
                <c:pt idx="20">
                  <c:v>34.200000000000003</c:v>
                </c:pt>
                <c:pt idx="21">
                  <c:v>36.299999999999997</c:v>
                </c:pt>
              </c:numCache>
            </c:numRef>
          </c:xVal>
          <c:yVal>
            <c:numRef>
              <c:f>'[2]Table A4'!$D$2:$D$23</c:f>
              <c:numCache>
                <c:formatCode>General</c:formatCode>
                <c:ptCount val="22"/>
                <c:pt idx="0">
                  <c:v>25.5</c:v>
                </c:pt>
                <c:pt idx="1">
                  <c:v>25.6</c:v>
                </c:pt>
                <c:pt idx="2">
                  <c:v>25.6</c:v>
                </c:pt>
                <c:pt idx="3">
                  <c:v>25.7</c:v>
                </c:pt>
                <c:pt idx="4">
                  <c:v>24.4</c:v>
                </c:pt>
                <c:pt idx="5">
                  <c:v>25.1</c:v>
                </c:pt>
                <c:pt idx="6">
                  <c:v>24.8</c:v>
                </c:pt>
                <c:pt idx="7">
                  <c:v>23.3</c:v>
                </c:pt>
                <c:pt idx="8">
                  <c:v>23.4</c:v>
                </c:pt>
                <c:pt idx="9">
                  <c:v>22.6</c:v>
                </c:pt>
                <c:pt idx="10">
                  <c:v>22.1</c:v>
                </c:pt>
                <c:pt idx="11">
                  <c:v>21.9</c:v>
                </c:pt>
                <c:pt idx="12">
                  <c:v>22.3</c:v>
                </c:pt>
                <c:pt idx="13">
                  <c:v>22.3</c:v>
                </c:pt>
                <c:pt idx="14">
                  <c:v>21.4</c:v>
                </c:pt>
                <c:pt idx="15">
                  <c:v>21</c:v>
                </c:pt>
                <c:pt idx="16">
                  <c:v>21.6</c:v>
                </c:pt>
                <c:pt idx="17">
                  <c:v>23</c:v>
                </c:pt>
                <c:pt idx="18">
                  <c:v>22.8</c:v>
                </c:pt>
                <c:pt idx="19">
                  <c:v>22.6</c:v>
                </c:pt>
                <c:pt idx="20">
                  <c:v>22.8</c:v>
                </c:pt>
                <c:pt idx="21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F7-47DE-B948-D2986B51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348040"/>
        <c:axId val="1081345520"/>
      </c:scatterChart>
      <c:valAx>
        <c:axId val="1081348040"/>
        <c:scaling>
          <c:orientation val="minMax"/>
          <c:max val="38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1345520"/>
        <c:crosses val="autoZero"/>
        <c:crossBetween val="midCat"/>
      </c:valAx>
      <c:valAx>
        <c:axId val="108134552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SST</a:t>
                </a:r>
                <a:r>
                  <a:rPr lang="en-US" sz="1000" b="0" i="0" u="none" strike="noStrike" kern="1200" spc="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alkenones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1348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Sedimentation</a:t>
            </a:r>
            <a:r>
              <a:rPr lang="nl-NL" baseline="0"/>
              <a:t> rate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'Sedimentation speed'!$B$2:$B$18</c:f>
              <c:numCache>
                <c:formatCode>General</c:formatCode>
                <c:ptCount val="17"/>
                <c:pt idx="0">
                  <c:v>8.7989999999999995</c:v>
                </c:pt>
                <c:pt idx="1">
                  <c:v>11.526</c:v>
                </c:pt>
                <c:pt idx="2">
                  <c:v>12.484999999999999</c:v>
                </c:pt>
                <c:pt idx="3">
                  <c:v>12.853999999999999</c:v>
                </c:pt>
                <c:pt idx="4">
                  <c:v>13.224</c:v>
                </c:pt>
                <c:pt idx="5">
                  <c:v>13.297000000000001</c:v>
                </c:pt>
                <c:pt idx="6">
                  <c:v>13.35</c:v>
                </c:pt>
                <c:pt idx="7">
                  <c:v>13.882999999999999</c:v>
                </c:pt>
                <c:pt idx="8">
                  <c:v>15.986000000000001</c:v>
                </c:pt>
                <c:pt idx="9">
                  <c:v>16.341999999999999</c:v>
                </c:pt>
                <c:pt idx="10">
                  <c:v>16.991</c:v>
                </c:pt>
                <c:pt idx="11">
                  <c:v>17.675999999999998</c:v>
                </c:pt>
                <c:pt idx="12">
                  <c:v>24.084</c:v>
                </c:pt>
                <c:pt idx="13">
                  <c:v>28.097999999999999</c:v>
                </c:pt>
                <c:pt idx="14">
                  <c:v>30.742000000000001</c:v>
                </c:pt>
                <c:pt idx="15">
                  <c:v>32.018999999999998</c:v>
                </c:pt>
                <c:pt idx="16">
                  <c:v>33.613999999999997</c:v>
                </c:pt>
              </c:numCache>
            </c:numRef>
          </c:xVal>
          <c:yVal>
            <c:numRef>
              <c:f>'Sedimentation speed'!$C$2:$C$18</c:f>
              <c:numCache>
                <c:formatCode>General</c:formatCode>
                <c:ptCount val="17"/>
                <c:pt idx="0">
                  <c:v>62.71</c:v>
                </c:pt>
                <c:pt idx="1">
                  <c:v>53.7</c:v>
                </c:pt>
                <c:pt idx="2">
                  <c:v>261.52</c:v>
                </c:pt>
                <c:pt idx="3">
                  <c:v>198.65</c:v>
                </c:pt>
                <c:pt idx="4">
                  <c:v>684.93</c:v>
                </c:pt>
                <c:pt idx="5">
                  <c:v>556.6</c:v>
                </c:pt>
                <c:pt idx="6">
                  <c:v>48.78</c:v>
                </c:pt>
                <c:pt idx="7">
                  <c:v>26.15</c:v>
                </c:pt>
                <c:pt idx="8">
                  <c:v>28.09</c:v>
                </c:pt>
                <c:pt idx="9">
                  <c:v>13.87</c:v>
                </c:pt>
                <c:pt idx="10">
                  <c:v>52.55</c:v>
                </c:pt>
                <c:pt idx="11">
                  <c:v>14.2</c:v>
                </c:pt>
                <c:pt idx="12">
                  <c:v>19.43</c:v>
                </c:pt>
                <c:pt idx="13">
                  <c:v>35.549999999999997</c:v>
                </c:pt>
                <c:pt idx="14">
                  <c:v>82.22</c:v>
                </c:pt>
                <c:pt idx="15">
                  <c:v>34.479999999999997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6-48EA-8222-56B1DD609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200520"/>
        <c:axId val="952207000"/>
      </c:scatterChart>
      <c:scatterChart>
        <c:scatterStyle val="lineMarker"/>
        <c:varyColors val="0"/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Total!$E$2:$E$16</c:f>
              <c:numCache>
                <c:formatCode>General</c:formatCode>
                <c:ptCount val="15"/>
                <c:pt idx="0">
                  <c:v>4</c:v>
                </c:pt>
                <c:pt idx="1">
                  <c:v>73</c:v>
                </c:pt>
                <c:pt idx="2">
                  <c:v>59</c:v>
                </c:pt>
                <c:pt idx="3">
                  <c:v>99</c:v>
                </c:pt>
                <c:pt idx="4">
                  <c:v>343.27</c:v>
                </c:pt>
                <c:pt idx="5">
                  <c:v>18</c:v>
                </c:pt>
                <c:pt idx="6">
                  <c:v>1230.45</c:v>
                </c:pt>
                <c:pt idx="7">
                  <c:v>16</c:v>
                </c:pt>
                <c:pt idx="8">
                  <c:v>34</c:v>
                </c:pt>
                <c:pt idx="9">
                  <c:v>31</c:v>
                </c:pt>
                <c:pt idx="10">
                  <c:v>167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06-48EA-8222-56B1DD609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224640"/>
        <c:axId val="952222840"/>
      </c:scatterChart>
      <c:valAx>
        <c:axId val="95220052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2207000"/>
        <c:crosses val="autoZero"/>
        <c:crossBetween val="midCat"/>
      </c:valAx>
      <c:valAx>
        <c:axId val="9522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Cm/ka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2200520"/>
        <c:crosses val="autoZero"/>
        <c:crossBetween val="midCat"/>
      </c:valAx>
      <c:valAx>
        <c:axId val="952222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pteropods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2224640"/>
        <c:crosses val="max"/>
        <c:crossBetween val="midCat"/>
      </c:valAx>
      <c:valAx>
        <c:axId val="95222464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95222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Aragonite/calcite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'Aragonite%'!$G$1</c:f>
              <c:strCache>
                <c:ptCount val="1"/>
                <c:pt idx="0">
                  <c:v>Aragonite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'Aragonite%'!$C$2:$C$16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'Aragonite%'!$G$2:$G$16</c:f>
              <c:numCache>
                <c:formatCode>0%</c:formatCode>
                <c:ptCount val="15"/>
                <c:pt idx="0">
                  <c:v>0.03</c:v>
                </c:pt>
                <c:pt idx="1">
                  <c:v>0.15</c:v>
                </c:pt>
                <c:pt idx="2">
                  <c:v>0.15</c:v>
                </c:pt>
                <c:pt idx="3">
                  <c:v>0.18</c:v>
                </c:pt>
                <c:pt idx="4">
                  <c:v>0.09</c:v>
                </c:pt>
                <c:pt idx="5">
                  <c:v>0.01</c:v>
                </c:pt>
                <c:pt idx="6">
                  <c:v>0.14000000000000001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DD-4E8F-A3EF-8274E142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74080"/>
        <c:axId val="1258974440"/>
      </c:scatterChart>
      <c:valAx>
        <c:axId val="125897408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8974440"/>
        <c:crosses val="autoZero"/>
        <c:crossBetween val="midCat"/>
      </c:valAx>
      <c:valAx>
        <c:axId val="125897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Aragonite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897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water O2 concentration</a:t>
            </a:r>
            <a:br>
              <a:rPr lang="en-US"/>
            </a:br>
            <a:r>
              <a:rPr lang="en-US"/>
              <a:t>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OMZ!$F$1</c:f>
              <c:strCache>
                <c:ptCount val="1"/>
                <c:pt idx="0">
                  <c:v>O2 [µmol/kg]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OMZ!$B$7:$B$38</c:f>
              <c:numCache>
                <c:formatCode>General</c:formatCode>
                <c:ptCount val="32"/>
                <c:pt idx="0">
                  <c:v>7.91</c:v>
                </c:pt>
                <c:pt idx="1">
                  <c:v>9.06</c:v>
                </c:pt>
                <c:pt idx="2">
                  <c:v>10.210000000000001</c:v>
                </c:pt>
                <c:pt idx="3">
                  <c:v>11.36</c:v>
                </c:pt>
                <c:pt idx="4">
                  <c:v>12.51</c:v>
                </c:pt>
                <c:pt idx="5">
                  <c:v>13.1</c:v>
                </c:pt>
                <c:pt idx="6">
                  <c:v>13.69</c:v>
                </c:pt>
                <c:pt idx="7">
                  <c:v>14.28</c:v>
                </c:pt>
                <c:pt idx="8">
                  <c:v>14.88</c:v>
                </c:pt>
                <c:pt idx="9">
                  <c:v>15.47</c:v>
                </c:pt>
                <c:pt idx="10">
                  <c:v>16.309999999999999</c:v>
                </c:pt>
                <c:pt idx="11">
                  <c:v>17.149999999999999</c:v>
                </c:pt>
                <c:pt idx="12">
                  <c:v>17.989999999999998</c:v>
                </c:pt>
                <c:pt idx="13">
                  <c:v>18.84</c:v>
                </c:pt>
                <c:pt idx="14">
                  <c:v>19.68</c:v>
                </c:pt>
                <c:pt idx="15">
                  <c:v>20.52</c:v>
                </c:pt>
                <c:pt idx="16">
                  <c:v>21.36</c:v>
                </c:pt>
                <c:pt idx="17">
                  <c:v>22.21</c:v>
                </c:pt>
                <c:pt idx="18">
                  <c:v>23.05</c:v>
                </c:pt>
                <c:pt idx="19">
                  <c:v>23.89</c:v>
                </c:pt>
                <c:pt idx="20">
                  <c:v>24.73</c:v>
                </c:pt>
                <c:pt idx="21">
                  <c:v>25.58</c:v>
                </c:pt>
                <c:pt idx="22">
                  <c:v>26.42</c:v>
                </c:pt>
                <c:pt idx="23">
                  <c:v>27.26</c:v>
                </c:pt>
                <c:pt idx="24">
                  <c:v>28.1</c:v>
                </c:pt>
                <c:pt idx="25">
                  <c:v>28.95</c:v>
                </c:pt>
                <c:pt idx="26">
                  <c:v>29.79</c:v>
                </c:pt>
                <c:pt idx="27">
                  <c:v>30.63</c:v>
                </c:pt>
                <c:pt idx="28">
                  <c:v>31.47</c:v>
                </c:pt>
                <c:pt idx="29">
                  <c:v>32.32</c:v>
                </c:pt>
                <c:pt idx="30">
                  <c:v>33.159999999999997</c:v>
                </c:pt>
                <c:pt idx="31">
                  <c:v>34</c:v>
                </c:pt>
              </c:numCache>
            </c:numRef>
          </c:xVal>
          <c:yVal>
            <c:numRef>
              <c:f>OMZ!$F$7:$F$38</c:f>
              <c:numCache>
                <c:formatCode>General</c:formatCode>
                <c:ptCount val="32"/>
                <c:pt idx="0">
                  <c:v>24.18</c:v>
                </c:pt>
                <c:pt idx="1">
                  <c:v>60.45</c:v>
                </c:pt>
                <c:pt idx="2">
                  <c:v>65.91</c:v>
                </c:pt>
                <c:pt idx="3">
                  <c:v>104.73</c:v>
                </c:pt>
                <c:pt idx="4">
                  <c:v>56.18</c:v>
                </c:pt>
                <c:pt idx="5">
                  <c:v>94.45</c:v>
                </c:pt>
                <c:pt idx="6">
                  <c:v>64.45</c:v>
                </c:pt>
                <c:pt idx="7">
                  <c:v>110.27</c:v>
                </c:pt>
                <c:pt idx="8">
                  <c:v>112.36</c:v>
                </c:pt>
                <c:pt idx="9">
                  <c:v>99</c:v>
                </c:pt>
                <c:pt idx="10">
                  <c:v>31.27</c:v>
                </c:pt>
                <c:pt idx="11">
                  <c:v>88.36</c:v>
                </c:pt>
                <c:pt idx="12">
                  <c:v>80.45</c:v>
                </c:pt>
                <c:pt idx="13">
                  <c:v>32</c:v>
                </c:pt>
                <c:pt idx="14">
                  <c:v>42.27</c:v>
                </c:pt>
                <c:pt idx="15">
                  <c:v>63.91</c:v>
                </c:pt>
                <c:pt idx="17">
                  <c:v>95.45</c:v>
                </c:pt>
                <c:pt idx="19">
                  <c:v>77</c:v>
                </c:pt>
                <c:pt idx="22">
                  <c:v>154.36000000000001</c:v>
                </c:pt>
                <c:pt idx="24">
                  <c:v>163.36000000000001</c:v>
                </c:pt>
                <c:pt idx="25">
                  <c:v>53.64</c:v>
                </c:pt>
                <c:pt idx="26">
                  <c:v>136.09</c:v>
                </c:pt>
                <c:pt idx="28">
                  <c:v>143.91</c:v>
                </c:pt>
                <c:pt idx="29">
                  <c:v>99.27</c:v>
                </c:pt>
                <c:pt idx="30">
                  <c:v>176.55</c:v>
                </c:pt>
                <c:pt idx="31">
                  <c:v>124.18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3-4E8B-9E45-9F33A35F4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153360"/>
        <c:axId val="971147600"/>
      </c:scatterChart>
      <c:valAx>
        <c:axId val="97115336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1147600"/>
        <c:crosses val="autoZero"/>
        <c:crossBetween val="midCat"/>
      </c:valAx>
      <c:valAx>
        <c:axId val="9711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O2 [µmol/kg]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11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H. inflatus + L.</a:t>
            </a:r>
            <a:r>
              <a:rPr lang="nl-NL" baseline="0"/>
              <a:t> trochiformis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275223209844395"/>
          <c:y val="0.15448738320622904"/>
          <c:w val="0.64061239829533911"/>
          <c:h val="0.66089704044281028"/>
        </c:manualLayout>
      </c:layout>
      <c:scatterChart>
        <c:scatterStyle val="lineMarker"/>
        <c:varyColors val="0"/>
        <c:ser>
          <c:idx val="0"/>
          <c:order val="0"/>
          <c:tx>
            <c:v>H. inflatus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percentage'!$D$2:$D$16</c:f>
              <c:numCache>
                <c:formatCode>0%</c:formatCode>
                <c:ptCount val="15"/>
                <c:pt idx="0">
                  <c:v>0.25</c:v>
                </c:pt>
                <c:pt idx="1">
                  <c:v>0.36986301369863012</c:v>
                </c:pt>
                <c:pt idx="2">
                  <c:v>0.13559322033898305</c:v>
                </c:pt>
                <c:pt idx="3">
                  <c:v>0.20689655172413793</c:v>
                </c:pt>
                <c:pt idx="4">
                  <c:v>0.20338983050847459</c:v>
                </c:pt>
                <c:pt idx="5">
                  <c:v>0.27777777777777779</c:v>
                </c:pt>
                <c:pt idx="6">
                  <c:v>0.67114093959731547</c:v>
                </c:pt>
                <c:pt idx="7">
                  <c:v>0.5625</c:v>
                </c:pt>
                <c:pt idx="8">
                  <c:v>0.26470588235294118</c:v>
                </c:pt>
                <c:pt idx="9">
                  <c:v>0.5161290322580645</c:v>
                </c:pt>
                <c:pt idx="10">
                  <c:v>0.56287425149700598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5-4EB4-9EF2-5D2FB8561895}"/>
            </c:ext>
          </c:extLst>
        </c:ser>
        <c:ser>
          <c:idx val="1"/>
          <c:order val="1"/>
          <c:tx>
            <c:v>L.trochiformis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percentage'!$E$2:$E$16</c:f>
              <c:numCache>
                <c:formatCode>0%</c:formatCode>
                <c:ptCount val="15"/>
                <c:pt idx="0">
                  <c:v>0.25</c:v>
                </c:pt>
                <c:pt idx="1">
                  <c:v>0.54794520547945202</c:v>
                </c:pt>
                <c:pt idx="2">
                  <c:v>0.64406779661016944</c:v>
                </c:pt>
                <c:pt idx="3">
                  <c:v>0.48275862068965519</c:v>
                </c:pt>
                <c:pt idx="4">
                  <c:v>0.56779661016949157</c:v>
                </c:pt>
                <c:pt idx="5">
                  <c:v>0.3888888888888889</c:v>
                </c:pt>
                <c:pt idx="6">
                  <c:v>0.13422818791946309</c:v>
                </c:pt>
                <c:pt idx="7">
                  <c:v>0.3125</c:v>
                </c:pt>
                <c:pt idx="8">
                  <c:v>0.17647058823529413</c:v>
                </c:pt>
                <c:pt idx="9">
                  <c:v>3.2258064516129031E-2</c:v>
                </c:pt>
                <c:pt idx="10">
                  <c:v>0.1317365269461078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15-4EB4-9EF2-5D2FB8561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822112"/>
        <c:axId val="801638624"/>
      </c:scatterChart>
      <c:valAx>
        <c:axId val="86582211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01638624"/>
        <c:crosses val="autoZero"/>
        <c:crossBetween val="midCat"/>
      </c:valAx>
      <c:valAx>
        <c:axId val="8016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Percentage of total</a:t>
                </a:r>
                <a:r>
                  <a:rPr lang="nl-NL" baseline="0"/>
                  <a:t> pteropods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582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661842615399"/>
          <c:y val="0.43406434287689594"/>
          <c:w val="0.19435381814929439"/>
          <c:h val="0.21138504154216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Seasonal coalstal upwelling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'[1]T89-16t'!$F$6:$F$69</c:f>
              <c:numCache>
                <c:formatCode>General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'[1]T89-16t'!$BM$6:$BM$69</c:f>
              <c:numCache>
                <c:formatCode>General</c:formatCode>
                <c:ptCount val="64"/>
                <c:pt idx="0">
                  <c:v>39.805825242718448</c:v>
                </c:pt>
                <c:pt idx="1">
                  <c:v>39.393939393939391</c:v>
                </c:pt>
                <c:pt idx="2">
                  <c:v>29.10662824207493</c:v>
                </c:pt>
                <c:pt idx="3">
                  <c:v>30.769230769230774</c:v>
                </c:pt>
                <c:pt idx="4">
                  <c:v>28.409090909090907</c:v>
                </c:pt>
                <c:pt idx="5">
                  <c:v>35.059760956175296</c:v>
                </c:pt>
                <c:pt idx="6">
                  <c:v>26.771653543307085</c:v>
                </c:pt>
                <c:pt idx="7">
                  <c:v>32.142857142857139</c:v>
                </c:pt>
                <c:pt idx="8">
                  <c:v>35.978835978835981</c:v>
                </c:pt>
                <c:pt idx="9">
                  <c:v>34.513274336283189</c:v>
                </c:pt>
                <c:pt idx="10">
                  <c:v>22.279792746113987</c:v>
                </c:pt>
                <c:pt idx="11">
                  <c:v>30.987544483985765</c:v>
                </c:pt>
                <c:pt idx="12">
                  <c:v>23.660714285714288</c:v>
                </c:pt>
                <c:pt idx="13">
                  <c:v>34.814814814814817</c:v>
                </c:pt>
                <c:pt idx="14">
                  <c:v>29.42942942942943</c:v>
                </c:pt>
                <c:pt idx="15">
                  <c:v>29.209621993127147</c:v>
                </c:pt>
                <c:pt idx="16">
                  <c:v>43.53518821603928</c:v>
                </c:pt>
                <c:pt idx="17">
                  <c:v>39.344262295081968</c:v>
                </c:pt>
                <c:pt idx="18">
                  <c:v>41.255605381165921</c:v>
                </c:pt>
                <c:pt idx="19">
                  <c:v>39.432989690721655</c:v>
                </c:pt>
                <c:pt idx="20">
                  <c:v>48.259860788863108</c:v>
                </c:pt>
                <c:pt idx="21">
                  <c:v>47.285067873303163</c:v>
                </c:pt>
                <c:pt idx="22">
                  <c:v>51.091703056768559</c:v>
                </c:pt>
                <c:pt idx="23">
                  <c:v>46.982758620689658</c:v>
                </c:pt>
                <c:pt idx="24">
                  <c:v>47.441860465116278</c:v>
                </c:pt>
                <c:pt idx="25">
                  <c:v>49.137931034482762</c:v>
                </c:pt>
                <c:pt idx="26">
                  <c:v>47.229551451187334</c:v>
                </c:pt>
                <c:pt idx="27">
                  <c:v>51.918158567774938</c:v>
                </c:pt>
                <c:pt idx="28">
                  <c:v>50.323974082073434</c:v>
                </c:pt>
                <c:pt idx="29">
                  <c:v>57.294429708222808</c:v>
                </c:pt>
                <c:pt idx="30">
                  <c:v>59.872611464968152</c:v>
                </c:pt>
                <c:pt idx="31">
                  <c:v>56.934306569343065</c:v>
                </c:pt>
                <c:pt idx="32">
                  <c:v>46.808510638297875</c:v>
                </c:pt>
                <c:pt idx="33">
                  <c:v>56.798245614035089</c:v>
                </c:pt>
                <c:pt idx="34">
                  <c:v>61.420345489443378</c:v>
                </c:pt>
                <c:pt idx="35">
                  <c:v>61.202185792349724</c:v>
                </c:pt>
                <c:pt idx="36">
                  <c:v>49.291784702549577</c:v>
                </c:pt>
                <c:pt idx="37">
                  <c:v>51.785714285714285</c:v>
                </c:pt>
                <c:pt idx="38">
                  <c:v>65</c:v>
                </c:pt>
                <c:pt idx="39">
                  <c:v>69.426751592356695</c:v>
                </c:pt>
                <c:pt idx="40">
                  <c:v>61.712846347607055</c:v>
                </c:pt>
                <c:pt idx="41">
                  <c:v>61.933534743202415</c:v>
                </c:pt>
                <c:pt idx="42">
                  <c:v>63.768115942028984</c:v>
                </c:pt>
                <c:pt idx="43">
                  <c:v>60.298507462686572</c:v>
                </c:pt>
                <c:pt idx="44">
                  <c:v>67.302452316076298</c:v>
                </c:pt>
                <c:pt idx="45">
                  <c:v>59.641255605381161</c:v>
                </c:pt>
                <c:pt idx="46">
                  <c:v>29.337539432176655</c:v>
                </c:pt>
                <c:pt idx="47">
                  <c:v>64.238410596026483</c:v>
                </c:pt>
                <c:pt idx="48">
                  <c:v>59.620596205962066</c:v>
                </c:pt>
                <c:pt idx="49">
                  <c:v>63.723150357995216</c:v>
                </c:pt>
                <c:pt idx="50">
                  <c:v>58.373205741626791</c:v>
                </c:pt>
                <c:pt idx="51">
                  <c:v>55.090311986863711</c:v>
                </c:pt>
                <c:pt idx="52">
                  <c:v>53.225806451612904</c:v>
                </c:pt>
                <c:pt idx="53">
                  <c:v>56.779661016949156</c:v>
                </c:pt>
                <c:pt idx="54">
                  <c:v>65.298507462686572</c:v>
                </c:pt>
                <c:pt idx="55">
                  <c:v>67.771084337349407</c:v>
                </c:pt>
                <c:pt idx="56">
                  <c:v>64.39169139465875</c:v>
                </c:pt>
                <c:pt idx="57">
                  <c:v>71.080139372822302</c:v>
                </c:pt>
                <c:pt idx="58">
                  <c:v>67.156862745098039</c:v>
                </c:pt>
                <c:pt idx="59">
                  <c:v>65.78947368421052</c:v>
                </c:pt>
                <c:pt idx="60">
                  <c:v>63.815789473684212</c:v>
                </c:pt>
                <c:pt idx="61">
                  <c:v>66.268656716417908</c:v>
                </c:pt>
                <c:pt idx="62">
                  <c:v>72.987012987012989</c:v>
                </c:pt>
                <c:pt idx="63">
                  <c:v>68.281938325991192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1-48E9-A260-34344B804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0831"/>
        <c:axId val="131711311"/>
      </c:scatterChart>
      <c:valAx>
        <c:axId val="131710831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1711311"/>
        <c:crosses val="autoZero"/>
        <c:crossBetween val="midCat"/>
      </c:valAx>
      <c:valAx>
        <c:axId val="1317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</a:t>
                </a:r>
                <a:r>
                  <a:rPr lang="nl-NL" baseline="0"/>
                  <a:t> G. bulloides + N. pachydema</a:t>
                </a:r>
                <a:br>
                  <a:rPr lang="nl-NL" baseline="0"/>
                </a:br>
                <a:r>
                  <a:rPr lang="nl-NL" baseline="0"/>
                  <a:t>(sinistral + dextral)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171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River induced upwelling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'[1]T89-16t'!$F$6:$F$69</c:f>
              <c:numCache>
                <c:formatCode>General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'[1]T89-16t'!$BN$6:$BN$69</c:f>
              <c:numCache>
                <c:formatCode>General</c:formatCode>
                <c:ptCount val="64"/>
                <c:pt idx="0">
                  <c:v>13.592233009708737</c:v>
                </c:pt>
                <c:pt idx="1">
                  <c:v>18.181818181818183</c:v>
                </c:pt>
                <c:pt idx="2">
                  <c:v>32.853025936599394</c:v>
                </c:pt>
                <c:pt idx="3">
                  <c:v>33.333333333333336</c:v>
                </c:pt>
                <c:pt idx="4">
                  <c:v>39.772727272727273</c:v>
                </c:pt>
                <c:pt idx="5">
                  <c:v>31.474103585657371</c:v>
                </c:pt>
                <c:pt idx="6">
                  <c:v>35.433070866141733</c:v>
                </c:pt>
                <c:pt idx="7">
                  <c:v>30.612244897959183</c:v>
                </c:pt>
                <c:pt idx="8">
                  <c:v>33.862433862433861</c:v>
                </c:pt>
                <c:pt idx="9">
                  <c:v>34.955752212389378</c:v>
                </c:pt>
                <c:pt idx="10">
                  <c:v>36.269430051813472</c:v>
                </c:pt>
                <c:pt idx="11">
                  <c:v>40.258007117437721</c:v>
                </c:pt>
                <c:pt idx="12">
                  <c:v>40.625</c:v>
                </c:pt>
                <c:pt idx="13">
                  <c:v>34.814814814814817</c:v>
                </c:pt>
                <c:pt idx="14">
                  <c:v>28.828828828828829</c:v>
                </c:pt>
                <c:pt idx="15">
                  <c:v>40.893470790378004</c:v>
                </c:pt>
                <c:pt idx="16">
                  <c:v>25.695581014729953</c:v>
                </c:pt>
                <c:pt idx="17">
                  <c:v>27.634660421545668</c:v>
                </c:pt>
                <c:pt idx="18">
                  <c:v>24.215246636771301</c:v>
                </c:pt>
                <c:pt idx="19">
                  <c:v>18.298969072164951</c:v>
                </c:pt>
                <c:pt idx="20">
                  <c:v>16.705336426914155</c:v>
                </c:pt>
                <c:pt idx="21">
                  <c:v>15.384615384615383</c:v>
                </c:pt>
                <c:pt idx="22">
                  <c:v>14.410480349344978</c:v>
                </c:pt>
                <c:pt idx="23">
                  <c:v>15.086206896551724</c:v>
                </c:pt>
                <c:pt idx="24">
                  <c:v>15.813953488372093</c:v>
                </c:pt>
                <c:pt idx="25">
                  <c:v>15.517241379310345</c:v>
                </c:pt>
                <c:pt idx="26">
                  <c:v>14.248021108179419</c:v>
                </c:pt>
                <c:pt idx="27">
                  <c:v>10.997442455242966</c:v>
                </c:pt>
                <c:pt idx="28">
                  <c:v>9.0712742980561565</c:v>
                </c:pt>
                <c:pt idx="29">
                  <c:v>6.6312997347480112</c:v>
                </c:pt>
                <c:pt idx="30">
                  <c:v>9.8726114649681538</c:v>
                </c:pt>
                <c:pt idx="31">
                  <c:v>14.111922141119221</c:v>
                </c:pt>
                <c:pt idx="32">
                  <c:v>14.042553191489361</c:v>
                </c:pt>
                <c:pt idx="33">
                  <c:v>6.5789473684210531</c:v>
                </c:pt>
                <c:pt idx="34">
                  <c:v>9.5969289827255295</c:v>
                </c:pt>
                <c:pt idx="35">
                  <c:v>9.8360655737704921</c:v>
                </c:pt>
                <c:pt idx="36">
                  <c:v>12.747875354107649</c:v>
                </c:pt>
                <c:pt idx="37">
                  <c:v>8.9285714285714288</c:v>
                </c:pt>
                <c:pt idx="38">
                  <c:v>3.9024390243902438</c:v>
                </c:pt>
                <c:pt idx="39">
                  <c:v>3.1847133757961785</c:v>
                </c:pt>
                <c:pt idx="40">
                  <c:v>4.7858942065491181</c:v>
                </c:pt>
                <c:pt idx="41">
                  <c:v>2.7190332326283988</c:v>
                </c:pt>
                <c:pt idx="42">
                  <c:v>2.6086956521739131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8.071748878923767</c:v>
                </c:pt>
                <c:pt idx="46">
                  <c:v>13.564668769716089</c:v>
                </c:pt>
                <c:pt idx="47">
                  <c:v>4.9668874172185431</c:v>
                </c:pt>
                <c:pt idx="48">
                  <c:v>4.0650406504065044</c:v>
                </c:pt>
                <c:pt idx="49">
                  <c:v>4.0572792362768499</c:v>
                </c:pt>
                <c:pt idx="50">
                  <c:v>4.545454545454545</c:v>
                </c:pt>
                <c:pt idx="51">
                  <c:v>7.6354679802955667</c:v>
                </c:pt>
                <c:pt idx="52">
                  <c:v>9.2741935483870961</c:v>
                </c:pt>
                <c:pt idx="53">
                  <c:v>8.1920903954802249</c:v>
                </c:pt>
                <c:pt idx="54">
                  <c:v>4.1044776119402986</c:v>
                </c:pt>
                <c:pt idx="55">
                  <c:v>5.4216867469879526</c:v>
                </c:pt>
                <c:pt idx="56">
                  <c:v>3.2640949554896141</c:v>
                </c:pt>
                <c:pt idx="57">
                  <c:v>1.0452961672473868</c:v>
                </c:pt>
                <c:pt idx="58">
                  <c:v>3.4313725490196081</c:v>
                </c:pt>
                <c:pt idx="59">
                  <c:v>3.5087719298245617</c:v>
                </c:pt>
                <c:pt idx="60">
                  <c:v>9.8684210526315788</c:v>
                </c:pt>
                <c:pt idx="61">
                  <c:v>3.2835820895522385</c:v>
                </c:pt>
                <c:pt idx="62">
                  <c:v>3.1168831168831166</c:v>
                </c:pt>
                <c:pt idx="63">
                  <c:v>3.9647577092511015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1-49B5-8128-B001C6691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400040"/>
        <c:axId val="1590401840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Total!$J$2:$J$16</c:f>
              <c:numCache>
                <c:formatCode>General</c:formatCode>
                <c:ptCount val="15"/>
                <c:pt idx="0">
                  <c:v>0.48</c:v>
                </c:pt>
                <c:pt idx="1">
                  <c:v>7.37</c:v>
                </c:pt>
                <c:pt idx="2">
                  <c:v>4.8600000000000003</c:v>
                </c:pt>
                <c:pt idx="3">
                  <c:v>9.4600000000000009</c:v>
                </c:pt>
                <c:pt idx="4">
                  <c:v>25.52</c:v>
                </c:pt>
                <c:pt idx="5">
                  <c:v>1.31</c:v>
                </c:pt>
                <c:pt idx="6">
                  <c:v>90.08</c:v>
                </c:pt>
                <c:pt idx="7">
                  <c:v>1.24</c:v>
                </c:pt>
                <c:pt idx="8">
                  <c:v>2.65</c:v>
                </c:pt>
                <c:pt idx="9">
                  <c:v>1.93</c:v>
                </c:pt>
                <c:pt idx="10">
                  <c:v>8.6</c:v>
                </c:pt>
                <c:pt idx="11">
                  <c:v>0.14000000000000001</c:v>
                </c:pt>
                <c:pt idx="12">
                  <c:v>0.19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1-49B5-8128-B001C6691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364760"/>
        <c:axId val="1590371600"/>
      </c:scatterChart>
      <c:valAx>
        <c:axId val="159040004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90401840"/>
        <c:crosses val="autoZero"/>
        <c:crossBetween val="midCat"/>
      </c:valAx>
      <c:valAx>
        <c:axId val="15904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 G. Ruber (pink)</a:t>
                </a:r>
                <a:br>
                  <a:rPr lang="nl-NL"/>
                </a:br>
                <a:r>
                  <a:rPr lang="nl-NL"/>
                  <a:t>+</a:t>
                </a:r>
                <a:r>
                  <a:rPr lang="nl-NL" baseline="0"/>
                  <a:t> N. dutertrei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90400040"/>
        <c:crosses val="autoZero"/>
        <c:crossBetween val="midCat"/>
      </c:valAx>
      <c:valAx>
        <c:axId val="15903716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Pteropods per gram sediment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90364760"/>
        <c:crosses val="max"/>
        <c:crossBetween val="midCat"/>
      </c:valAx>
      <c:valAx>
        <c:axId val="15903647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5903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RSL!$B$4:$B$103</c:f>
              <c:numCache>
                <c:formatCode>General</c:formatCode>
                <c:ptCount val="100"/>
                <c:pt idx="0">
                  <c:v>27.236999999999998</c:v>
                </c:pt>
                <c:pt idx="1">
                  <c:v>26.67</c:v>
                </c:pt>
                <c:pt idx="2">
                  <c:v>26.52</c:v>
                </c:pt>
                <c:pt idx="3">
                  <c:v>26.37</c:v>
                </c:pt>
                <c:pt idx="4">
                  <c:v>26.22</c:v>
                </c:pt>
                <c:pt idx="5">
                  <c:v>26.07</c:v>
                </c:pt>
                <c:pt idx="6">
                  <c:v>25.92</c:v>
                </c:pt>
                <c:pt idx="7">
                  <c:v>25.77</c:v>
                </c:pt>
                <c:pt idx="8">
                  <c:v>25.62</c:v>
                </c:pt>
                <c:pt idx="9">
                  <c:v>25.47</c:v>
                </c:pt>
                <c:pt idx="10">
                  <c:v>25.32</c:v>
                </c:pt>
                <c:pt idx="11">
                  <c:v>25.17</c:v>
                </c:pt>
                <c:pt idx="12">
                  <c:v>25.02</c:v>
                </c:pt>
                <c:pt idx="13">
                  <c:v>24.87</c:v>
                </c:pt>
                <c:pt idx="14">
                  <c:v>24.72</c:v>
                </c:pt>
                <c:pt idx="15">
                  <c:v>24.57</c:v>
                </c:pt>
                <c:pt idx="16">
                  <c:v>24.42</c:v>
                </c:pt>
                <c:pt idx="17">
                  <c:v>24.27</c:v>
                </c:pt>
                <c:pt idx="18">
                  <c:v>24.12</c:v>
                </c:pt>
                <c:pt idx="19">
                  <c:v>23.97</c:v>
                </c:pt>
                <c:pt idx="20">
                  <c:v>23.82</c:v>
                </c:pt>
                <c:pt idx="21">
                  <c:v>23.67</c:v>
                </c:pt>
                <c:pt idx="22">
                  <c:v>23.52</c:v>
                </c:pt>
                <c:pt idx="23">
                  <c:v>23.37</c:v>
                </c:pt>
                <c:pt idx="24">
                  <c:v>23.22</c:v>
                </c:pt>
                <c:pt idx="25">
                  <c:v>23.07</c:v>
                </c:pt>
                <c:pt idx="26">
                  <c:v>22.92</c:v>
                </c:pt>
                <c:pt idx="27">
                  <c:v>22.77</c:v>
                </c:pt>
                <c:pt idx="28">
                  <c:v>22.62</c:v>
                </c:pt>
                <c:pt idx="29">
                  <c:v>22.47</c:v>
                </c:pt>
                <c:pt idx="30">
                  <c:v>22.32</c:v>
                </c:pt>
                <c:pt idx="31">
                  <c:v>22.17</c:v>
                </c:pt>
                <c:pt idx="32">
                  <c:v>22.02</c:v>
                </c:pt>
                <c:pt idx="33">
                  <c:v>21.87</c:v>
                </c:pt>
                <c:pt idx="34">
                  <c:v>21.72</c:v>
                </c:pt>
                <c:pt idx="35">
                  <c:v>21.57</c:v>
                </c:pt>
                <c:pt idx="36">
                  <c:v>21.42</c:v>
                </c:pt>
                <c:pt idx="37">
                  <c:v>21.27</c:v>
                </c:pt>
                <c:pt idx="38">
                  <c:v>21.12</c:v>
                </c:pt>
                <c:pt idx="39">
                  <c:v>20.97</c:v>
                </c:pt>
                <c:pt idx="40">
                  <c:v>20.82</c:v>
                </c:pt>
                <c:pt idx="41">
                  <c:v>20.67</c:v>
                </c:pt>
                <c:pt idx="42">
                  <c:v>20.52</c:v>
                </c:pt>
                <c:pt idx="43">
                  <c:v>20.37</c:v>
                </c:pt>
                <c:pt idx="44">
                  <c:v>20.22</c:v>
                </c:pt>
                <c:pt idx="45">
                  <c:v>20.07</c:v>
                </c:pt>
                <c:pt idx="46">
                  <c:v>19.920000000000002</c:v>
                </c:pt>
                <c:pt idx="47">
                  <c:v>19.77</c:v>
                </c:pt>
                <c:pt idx="48">
                  <c:v>19.62</c:v>
                </c:pt>
                <c:pt idx="49">
                  <c:v>19.47</c:v>
                </c:pt>
                <c:pt idx="50">
                  <c:v>19.32</c:v>
                </c:pt>
                <c:pt idx="51">
                  <c:v>19.170000000000002</c:v>
                </c:pt>
                <c:pt idx="52">
                  <c:v>19.02</c:v>
                </c:pt>
                <c:pt idx="53">
                  <c:v>18.87</c:v>
                </c:pt>
                <c:pt idx="54">
                  <c:v>18.72</c:v>
                </c:pt>
                <c:pt idx="55">
                  <c:v>18.57</c:v>
                </c:pt>
                <c:pt idx="56">
                  <c:v>18.420000000000002</c:v>
                </c:pt>
                <c:pt idx="57">
                  <c:v>18.27</c:v>
                </c:pt>
                <c:pt idx="58">
                  <c:v>18.12</c:v>
                </c:pt>
                <c:pt idx="59">
                  <c:v>17.97</c:v>
                </c:pt>
                <c:pt idx="60">
                  <c:v>17.82</c:v>
                </c:pt>
                <c:pt idx="61">
                  <c:v>17.670000000000002</c:v>
                </c:pt>
                <c:pt idx="62">
                  <c:v>17.52</c:v>
                </c:pt>
                <c:pt idx="63">
                  <c:v>17.37</c:v>
                </c:pt>
                <c:pt idx="64">
                  <c:v>17.22</c:v>
                </c:pt>
                <c:pt idx="65">
                  <c:v>17.07</c:v>
                </c:pt>
                <c:pt idx="66">
                  <c:v>16.920000000000002</c:v>
                </c:pt>
                <c:pt idx="67">
                  <c:v>16.77</c:v>
                </c:pt>
                <c:pt idx="68">
                  <c:v>16.62</c:v>
                </c:pt>
                <c:pt idx="69">
                  <c:v>16.47</c:v>
                </c:pt>
                <c:pt idx="70">
                  <c:v>16.32</c:v>
                </c:pt>
                <c:pt idx="71">
                  <c:v>16.170000000000002</c:v>
                </c:pt>
                <c:pt idx="72">
                  <c:v>16.02</c:v>
                </c:pt>
                <c:pt idx="73">
                  <c:v>15.87</c:v>
                </c:pt>
                <c:pt idx="74">
                  <c:v>15.72</c:v>
                </c:pt>
                <c:pt idx="75">
                  <c:v>15.57</c:v>
                </c:pt>
                <c:pt idx="76">
                  <c:v>15.42</c:v>
                </c:pt>
                <c:pt idx="77">
                  <c:v>15.27</c:v>
                </c:pt>
                <c:pt idx="78">
                  <c:v>15.12</c:v>
                </c:pt>
                <c:pt idx="79">
                  <c:v>14.97</c:v>
                </c:pt>
                <c:pt idx="80">
                  <c:v>14.82</c:v>
                </c:pt>
                <c:pt idx="81">
                  <c:v>14.67</c:v>
                </c:pt>
                <c:pt idx="82">
                  <c:v>14.52</c:v>
                </c:pt>
                <c:pt idx="83">
                  <c:v>14.37</c:v>
                </c:pt>
                <c:pt idx="84">
                  <c:v>14.22</c:v>
                </c:pt>
                <c:pt idx="85">
                  <c:v>14.07</c:v>
                </c:pt>
                <c:pt idx="86">
                  <c:v>13.92</c:v>
                </c:pt>
                <c:pt idx="87">
                  <c:v>13.77</c:v>
                </c:pt>
                <c:pt idx="88">
                  <c:v>13.62</c:v>
                </c:pt>
                <c:pt idx="89">
                  <c:v>13.47</c:v>
                </c:pt>
                <c:pt idx="90">
                  <c:v>13.32</c:v>
                </c:pt>
                <c:pt idx="91">
                  <c:v>13.17</c:v>
                </c:pt>
                <c:pt idx="92">
                  <c:v>13.02</c:v>
                </c:pt>
                <c:pt idx="93">
                  <c:v>12.87</c:v>
                </c:pt>
                <c:pt idx="94">
                  <c:v>12.72</c:v>
                </c:pt>
                <c:pt idx="95">
                  <c:v>12.57</c:v>
                </c:pt>
                <c:pt idx="96">
                  <c:v>12.42</c:v>
                </c:pt>
                <c:pt idx="97">
                  <c:v>12.27</c:v>
                </c:pt>
                <c:pt idx="98">
                  <c:v>12.12</c:v>
                </c:pt>
                <c:pt idx="99">
                  <c:v>11.401999999999999</c:v>
                </c:pt>
              </c:numCache>
            </c:numRef>
          </c:xVal>
          <c:yVal>
            <c:numRef>
              <c:f>RSL!$C$4:$C$103</c:f>
              <c:numCache>
                <c:formatCode>0.0</c:formatCode>
                <c:ptCount val="100"/>
                <c:pt idx="0">
                  <c:v>-100.1</c:v>
                </c:pt>
                <c:pt idx="1">
                  <c:v>-100.3</c:v>
                </c:pt>
                <c:pt idx="2">
                  <c:v>-100.3</c:v>
                </c:pt>
                <c:pt idx="3">
                  <c:v>-100.4</c:v>
                </c:pt>
                <c:pt idx="4">
                  <c:v>-100.5</c:v>
                </c:pt>
                <c:pt idx="5">
                  <c:v>-100.6</c:v>
                </c:pt>
                <c:pt idx="6">
                  <c:v>-100.7</c:v>
                </c:pt>
                <c:pt idx="7">
                  <c:v>-100.8</c:v>
                </c:pt>
                <c:pt idx="8">
                  <c:v>-100.9</c:v>
                </c:pt>
                <c:pt idx="9">
                  <c:v>-101.1</c:v>
                </c:pt>
                <c:pt idx="10">
                  <c:v>-101.2</c:v>
                </c:pt>
                <c:pt idx="11">
                  <c:v>-101.4</c:v>
                </c:pt>
                <c:pt idx="12">
                  <c:v>-101.6</c:v>
                </c:pt>
                <c:pt idx="13">
                  <c:v>-101.8</c:v>
                </c:pt>
                <c:pt idx="14">
                  <c:v>-102</c:v>
                </c:pt>
                <c:pt idx="15">
                  <c:v>-102.2</c:v>
                </c:pt>
                <c:pt idx="16">
                  <c:v>-102.4</c:v>
                </c:pt>
                <c:pt idx="17">
                  <c:v>-102.6</c:v>
                </c:pt>
                <c:pt idx="18">
                  <c:v>-102.8</c:v>
                </c:pt>
                <c:pt idx="19">
                  <c:v>-102.9</c:v>
                </c:pt>
                <c:pt idx="20">
                  <c:v>-103.1</c:v>
                </c:pt>
                <c:pt idx="21">
                  <c:v>-103.3</c:v>
                </c:pt>
                <c:pt idx="22">
                  <c:v>-103.5</c:v>
                </c:pt>
                <c:pt idx="23">
                  <c:v>-103.6</c:v>
                </c:pt>
                <c:pt idx="24">
                  <c:v>-103.8</c:v>
                </c:pt>
                <c:pt idx="25">
                  <c:v>-103.9</c:v>
                </c:pt>
                <c:pt idx="26">
                  <c:v>-104.1</c:v>
                </c:pt>
                <c:pt idx="27">
                  <c:v>-104.2</c:v>
                </c:pt>
                <c:pt idx="28">
                  <c:v>-104.4</c:v>
                </c:pt>
                <c:pt idx="29">
                  <c:v>-104.5</c:v>
                </c:pt>
                <c:pt idx="30">
                  <c:v>-104.6</c:v>
                </c:pt>
                <c:pt idx="31">
                  <c:v>-104.7</c:v>
                </c:pt>
                <c:pt idx="32">
                  <c:v>-104.8</c:v>
                </c:pt>
                <c:pt idx="33">
                  <c:v>-104.9</c:v>
                </c:pt>
                <c:pt idx="34">
                  <c:v>-105</c:v>
                </c:pt>
                <c:pt idx="35">
                  <c:v>-105.1</c:v>
                </c:pt>
                <c:pt idx="36">
                  <c:v>-105.1</c:v>
                </c:pt>
                <c:pt idx="37">
                  <c:v>-105.1</c:v>
                </c:pt>
                <c:pt idx="38">
                  <c:v>-105.1</c:v>
                </c:pt>
                <c:pt idx="39">
                  <c:v>-105.1</c:v>
                </c:pt>
                <c:pt idx="40">
                  <c:v>-105.1</c:v>
                </c:pt>
                <c:pt idx="41">
                  <c:v>-105</c:v>
                </c:pt>
                <c:pt idx="42">
                  <c:v>-104.9</c:v>
                </c:pt>
                <c:pt idx="43">
                  <c:v>-104.8</c:v>
                </c:pt>
                <c:pt idx="44">
                  <c:v>-104.6</c:v>
                </c:pt>
                <c:pt idx="45">
                  <c:v>-104.3</c:v>
                </c:pt>
                <c:pt idx="46">
                  <c:v>-104</c:v>
                </c:pt>
                <c:pt idx="47">
                  <c:v>-103.7</c:v>
                </c:pt>
                <c:pt idx="48">
                  <c:v>-103.2</c:v>
                </c:pt>
                <c:pt idx="49">
                  <c:v>-102.7</c:v>
                </c:pt>
                <c:pt idx="50">
                  <c:v>-102.1</c:v>
                </c:pt>
                <c:pt idx="51">
                  <c:v>-101.4</c:v>
                </c:pt>
                <c:pt idx="52">
                  <c:v>-100.7</c:v>
                </c:pt>
                <c:pt idx="53">
                  <c:v>-99.9</c:v>
                </c:pt>
                <c:pt idx="54">
                  <c:v>-99</c:v>
                </c:pt>
                <c:pt idx="55">
                  <c:v>-98</c:v>
                </c:pt>
                <c:pt idx="56">
                  <c:v>-96.9</c:v>
                </c:pt>
                <c:pt idx="57">
                  <c:v>-95.8</c:v>
                </c:pt>
                <c:pt idx="58">
                  <c:v>-94.7</c:v>
                </c:pt>
                <c:pt idx="59">
                  <c:v>-93.4</c:v>
                </c:pt>
                <c:pt idx="60">
                  <c:v>-92.2</c:v>
                </c:pt>
                <c:pt idx="61">
                  <c:v>-90.9</c:v>
                </c:pt>
                <c:pt idx="62">
                  <c:v>-89.6</c:v>
                </c:pt>
                <c:pt idx="63">
                  <c:v>-88.2</c:v>
                </c:pt>
                <c:pt idx="64">
                  <c:v>-86.9</c:v>
                </c:pt>
                <c:pt idx="65">
                  <c:v>-85.5</c:v>
                </c:pt>
                <c:pt idx="66">
                  <c:v>-84.2</c:v>
                </c:pt>
                <c:pt idx="67">
                  <c:v>-82.8</c:v>
                </c:pt>
                <c:pt idx="68">
                  <c:v>-81.5</c:v>
                </c:pt>
                <c:pt idx="69">
                  <c:v>-80.099999999999994</c:v>
                </c:pt>
                <c:pt idx="70">
                  <c:v>-78.8</c:v>
                </c:pt>
                <c:pt idx="71">
                  <c:v>-77.5</c:v>
                </c:pt>
                <c:pt idx="72">
                  <c:v>-76.2</c:v>
                </c:pt>
                <c:pt idx="73">
                  <c:v>-75</c:v>
                </c:pt>
                <c:pt idx="74">
                  <c:v>-73.8</c:v>
                </c:pt>
                <c:pt idx="75">
                  <c:v>-72.599999999999994</c:v>
                </c:pt>
                <c:pt idx="76">
                  <c:v>-71.5</c:v>
                </c:pt>
                <c:pt idx="77">
                  <c:v>-70.5</c:v>
                </c:pt>
                <c:pt idx="78">
                  <c:v>-69.5</c:v>
                </c:pt>
                <c:pt idx="79">
                  <c:v>-68.599999999999994</c:v>
                </c:pt>
                <c:pt idx="80">
                  <c:v>-67.8</c:v>
                </c:pt>
                <c:pt idx="81">
                  <c:v>-67</c:v>
                </c:pt>
                <c:pt idx="82">
                  <c:v>-66.3</c:v>
                </c:pt>
                <c:pt idx="83">
                  <c:v>-65.7</c:v>
                </c:pt>
                <c:pt idx="84">
                  <c:v>-65.2</c:v>
                </c:pt>
                <c:pt idx="85">
                  <c:v>-64.7</c:v>
                </c:pt>
                <c:pt idx="86">
                  <c:v>-64.3</c:v>
                </c:pt>
                <c:pt idx="87">
                  <c:v>-63.9</c:v>
                </c:pt>
                <c:pt idx="88">
                  <c:v>-63.5</c:v>
                </c:pt>
                <c:pt idx="89">
                  <c:v>-63.2</c:v>
                </c:pt>
                <c:pt idx="90">
                  <c:v>-62.9</c:v>
                </c:pt>
                <c:pt idx="91">
                  <c:v>-62.5</c:v>
                </c:pt>
                <c:pt idx="92">
                  <c:v>-62.1</c:v>
                </c:pt>
                <c:pt idx="93">
                  <c:v>-61.7</c:v>
                </c:pt>
                <c:pt idx="94">
                  <c:v>-61.3</c:v>
                </c:pt>
                <c:pt idx="95">
                  <c:v>-60.8</c:v>
                </c:pt>
                <c:pt idx="96">
                  <c:v>-60.3</c:v>
                </c:pt>
                <c:pt idx="97">
                  <c:v>-59.8</c:v>
                </c:pt>
                <c:pt idx="98">
                  <c:v>-59.3</c:v>
                </c:pt>
                <c:pt idx="99">
                  <c:v>-57.1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2-4CAD-BB34-3F75D3D8C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General" sourceLinked="1"/>
        <c:majorTickMark val="out"/>
        <c:minorTickMark val="none"/>
        <c:tickLblPos val="nextTo"/>
        <c:crossAx val="1089266600"/>
        <c:crosses val="autoZero"/>
        <c:crossBetween val="midCat"/>
      </c:valAx>
      <c:valAx>
        <c:axId val="1089266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600"/>
                  <a:t>RSL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55331137344382"/>
          <c:y val="9.0834589189742923E-2"/>
          <c:w val="0.87166806835070088"/>
          <c:h val="0.81833082162051418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'[1]XRF selectie'!$T:$T</c:f>
              <c:numCache>
                <c:formatCode>General</c:formatCode>
                <c:ptCount val="1048576"/>
                <c:pt idx="0">
                  <c:v>0</c:v>
                </c:pt>
                <c:pt idx="2">
                  <c:v>1.2007184544674683</c:v>
                </c:pt>
                <c:pt idx="3">
                  <c:v>1.2249034793224851</c:v>
                </c:pt>
                <c:pt idx="4">
                  <c:v>1.2509364473548226</c:v>
                </c:pt>
                <c:pt idx="5">
                  <c:v>1.2646114801454607</c:v>
                </c:pt>
                <c:pt idx="6">
                  <c:v>1.2962595263983177</c:v>
                </c:pt>
                <c:pt idx="7">
                  <c:v>1.2947969661674348</c:v>
                </c:pt>
                <c:pt idx="8">
                  <c:v>1.280639655366836</c:v>
                </c:pt>
                <c:pt idx="9">
                  <c:v>1.2859090477511381</c:v>
                </c:pt>
                <c:pt idx="10">
                  <c:v>1.2966406742574632</c:v>
                </c:pt>
                <c:pt idx="11">
                  <c:v>1.3101076946983812</c:v>
                </c:pt>
                <c:pt idx="12">
                  <c:v>1.2730918757209455</c:v>
                </c:pt>
                <c:pt idx="13">
                  <c:v>1.2456044573789207</c:v>
                </c:pt>
                <c:pt idx="14">
                  <c:v>1.2374661325834397</c:v>
                </c:pt>
                <c:pt idx="15">
                  <c:v>1.2525252220920899</c:v>
                </c:pt>
                <c:pt idx="16">
                  <c:v>1.2581997511565011</c:v>
                </c:pt>
                <c:pt idx="17">
                  <c:v>1.2817238137738338</c:v>
                </c:pt>
                <c:pt idx="18">
                  <c:v>1.3036013836419693</c:v>
                </c:pt>
                <c:pt idx="19">
                  <c:v>1.2797685626703414</c:v>
                </c:pt>
                <c:pt idx="20">
                  <c:v>1.3203791187740574</c:v>
                </c:pt>
                <c:pt idx="21">
                  <c:v>1.3257380339906317</c:v>
                </c:pt>
                <c:pt idx="22">
                  <c:v>1.4221732502260238</c:v>
                </c:pt>
                <c:pt idx="23">
                  <c:v>1.4114783195577358</c:v>
                </c:pt>
                <c:pt idx="24">
                  <c:v>1.3887765395589506</c:v>
                </c:pt>
                <c:pt idx="25">
                  <c:v>1.3550099867996768</c:v>
                </c:pt>
                <c:pt idx="26">
                  <c:v>1.3260592581285497</c:v>
                </c:pt>
                <c:pt idx="27">
                  <c:v>1.3385788641800793</c:v>
                </c:pt>
                <c:pt idx="28">
                  <c:v>1.3557566384073587</c:v>
                </c:pt>
                <c:pt idx="29">
                  <c:v>1.3704438304211433</c:v>
                </c:pt>
                <c:pt idx="30">
                  <c:v>1.3678124757715697</c:v>
                </c:pt>
                <c:pt idx="31">
                  <c:v>1.3578600849307267</c:v>
                </c:pt>
                <c:pt idx="32">
                  <c:v>1.3575119394477355</c:v>
                </c:pt>
                <c:pt idx="33">
                  <c:v>1.3490087108445807</c:v>
                </c:pt>
                <c:pt idx="34">
                  <c:v>1.2868948390364199</c:v>
                </c:pt>
                <c:pt idx="35">
                  <c:v>1.2725593575084302</c:v>
                </c:pt>
                <c:pt idx="36">
                  <c:v>1.2992983532668825</c:v>
                </c:pt>
                <c:pt idx="37">
                  <c:v>1.3662358756319026</c:v>
                </c:pt>
                <c:pt idx="38">
                  <c:v>1.3607502575152364</c:v>
                </c:pt>
                <c:pt idx="39">
                  <c:v>1.3282847204200066</c:v>
                </c:pt>
                <c:pt idx="40">
                  <c:v>1.2724680274203228</c:v>
                </c:pt>
                <c:pt idx="41">
                  <c:v>1.2261044701174013</c:v>
                </c:pt>
                <c:pt idx="42">
                  <c:v>1.2056776273328287</c:v>
                </c:pt>
                <c:pt idx="43">
                  <c:v>1.2180050301889622</c:v>
                </c:pt>
                <c:pt idx="44">
                  <c:v>1.2587142376301221</c:v>
                </c:pt>
                <c:pt idx="45">
                  <c:v>1.1681406123765727</c:v>
                </c:pt>
                <c:pt idx="46">
                  <c:v>1.1898532147237717</c:v>
                </c:pt>
                <c:pt idx="47">
                  <c:v>1.1875606215040835</c:v>
                </c:pt>
                <c:pt idx="48">
                  <c:v>1.2527980170810042</c:v>
                </c:pt>
                <c:pt idx="49">
                  <c:v>1.1953902300004022</c:v>
                </c:pt>
                <c:pt idx="50">
                  <c:v>1.202762871635545</c:v>
                </c:pt>
                <c:pt idx="51">
                  <c:v>1.2615816336793684</c:v>
                </c:pt>
                <c:pt idx="52">
                  <c:v>1.3432009665318987</c:v>
                </c:pt>
                <c:pt idx="53">
                  <c:v>1.3130620664238013</c:v>
                </c:pt>
                <c:pt idx="54">
                  <c:v>1.2967295748321013</c:v>
                </c:pt>
                <c:pt idx="55">
                  <c:v>1.2826282330181416</c:v>
                </c:pt>
                <c:pt idx="56">
                  <c:v>1.295182627201318</c:v>
                </c:pt>
                <c:pt idx="57">
                  <c:v>1.2794444776384841</c:v>
                </c:pt>
                <c:pt idx="58">
                  <c:v>1.2454278570225392</c:v>
                </c:pt>
                <c:pt idx="59">
                  <c:v>1.2343264713568067</c:v>
                </c:pt>
                <c:pt idx="60">
                  <c:v>1.237448487769103</c:v>
                </c:pt>
                <c:pt idx="61">
                  <c:v>1.2373282145771987</c:v>
                </c:pt>
                <c:pt idx="62">
                  <c:v>1.2392097102549302</c:v>
                </c:pt>
                <c:pt idx="63">
                  <c:v>1.2349800334854308</c:v>
                </c:pt>
                <c:pt idx="64">
                  <c:v>1.2302811687880106</c:v>
                </c:pt>
                <c:pt idx="65">
                  <c:v>1.2198671508297469</c:v>
                </c:pt>
                <c:pt idx="66">
                  <c:v>1.2053245286719441</c:v>
                </c:pt>
                <c:pt idx="67">
                  <c:v>1.1846978765678253</c:v>
                </c:pt>
                <c:pt idx="68">
                  <c:v>1.1504840257896571</c:v>
                </c:pt>
                <c:pt idx="69">
                  <c:v>1.1553580179108838</c:v>
                </c:pt>
                <c:pt idx="70">
                  <c:v>1.1696429503698198</c:v>
                </c:pt>
                <c:pt idx="71">
                  <c:v>1.208730438597134</c:v>
                </c:pt>
                <c:pt idx="72">
                  <c:v>1.2282978671074003</c:v>
                </c:pt>
                <c:pt idx="73">
                  <c:v>1.2061391076775041</c:v>
                </c:pt>
                <c:pt idx="74">
                  <c:v>1.2038161414463375</c:v>
                </c:pt>
                <c:pt idx="75">
                  <c:v>1.2091925640967596</c:v>
                </c:pt>
                <c:pt idx="76">
                  <c:v>1.2469804196589667</c:v>
                </c:pt>
                <c:pt idx="77">
                  <c:v>1.2373695792899022</c:v>
                </c:pt>
                <c:pt idx="78">
                  <c:v>1.246923996398307</c:v>
                </c:pt>
                <c:pt idx="79">
                  <c:v>1.2464491385299803</c:v>
                </c:pt>
                <c:pt idx="80">
                  <c:v>1.2817977818553135</c:v>
                </c:pt>
                <c:pt idx="81">
                  <c:v>1.285499877583661</c:v>
                </c:pt>
                <c:pt idx="82">
                  <c:v>1.2925363733048227</c:v>
                </c:pt>
                <c:pt idx="83">
                  <c:v>1.2782374579488731</c:v>
                </c:pt>
                <c:pt idx="84">
                  <c:v>1.2643107174672874</c:v>
                </c:pt>
                <c:pt idx="85">
                  <c:v>1.2565333956414229</c:v>
                </c:pt>
                <c:pt idx="86">
                  <c:v>1.2619862786744953</c:v>
                </c:pt>
                <c:pt idx="87">
                  <c:v>1.2611100110926279</c:v>
                </c:pt>
                <c:pt idx="88">
                  <c:v>1.2576533814017281</c:v>
                </c:pt>
                <c:pt idx="89">
                  <c:v>1.25630265410938</c:v>
                </c:pt>
                <c:pt idx="90">
                  <c:v>1.26928633199476</c:v>
                </c:pt>
                <c:pt idx="91">
                  <c:v>1.2816889362645096</c:v>
                </c:pt>
                <c:pt idx="92">
                  <c:v>1.2929053459733344</c:v>
                </c:pt>
                <c:pt idx="93">
                  <c:v>1.2883869078990837</c:v>
                </c:pt>
                <c:pt idx="94">
                  <c:v>1.276951771601486</c:v>
                </c:pt>
                <c:pt idx="95">
                  <c:v>1.2785048221206059</c:v>
                </c:pt>
                <c:pt idx="96">
                  <c:v>1.2844442218536825</c:v>
                </c:pt>
                <c:pt idx="97">
                  <c:v>1.3035114952811124</c:v>
                </c:pt>
                <c:pt idx="98">
                  <c:v>1.2872239211498284</c:v>
                </c:pt>
                <c:pt idx="99">
                  <c:v>1.2544499172195911</c:v>
                </c:pt>
                <c:pt idx="100">
                  <c:v>1.2413095024156282</c:v>
                </c:pt>
                <c:pt idx="101">
                  <c:v>1.2405781408120105</c:v>
                </c:pt>
                <c:pt idx="102">
                  <c:v>1.247767791537624</c:v>
                </c:pt>
                <c:pt idx="103">
                  <c:v>1.2433631277805708</c:v>
                </c:pt>
                <c:pt idx="104">
                  <c:v>1.2318391380384819</c:v>
                </c:pt>
                <c:pt idx="105">
                  <c:v>1.2352577129088202</c:v>
                </c:pt>
                <c:pt idx="106">
                  <c:v>1.1760682884748792</c:v>
                </c:pt>
                <c:pt idx="107">
                  <c:v>1.186098183885065</c:v>
                </c:pt>
                <c:pt idx="108">
                  <c:v>1.1928269022141438</c:v>
                </c:pt>
                <c:pt idx="109">
                  <c:v>1.2531599692241218</c:v>
                </c:pt>
                <c:pt idx="110">
                  <c:v>1.2515755668227733</c:v>
                </c:pt>
                <c:pt idx="111">
                  <c:v>1.2417054950087556</c:v>
                </c:pt>
                <c:pt idx="112">
                  <c:v>1.2434915055961169</c:v>
                </c:pt>
                <c:pt idx="113">
                  <c:v>1.250833287354473</c:v>
                </c:pt>
                <c:pt idx="114">
                  <c:v>1.2561675557919318</c:v>
                </c:pt>
                <c:pt idx="115">
                  <c:v>1.2622266223350689</c:v>
                </c:pt>
                <c:pt idx="116">
                  <c:v>1.2812234001131693</c:v>
                </c:pt>
                <c:pt idx="117">
                  <c:v>1.3022822793904263</c:v>
                </c:pt>
                <c:pt idx="118">
                  <c:v>1.3008361872093275</c:v>
                </c:pt>
                <c:pt idx="119">
                  <c:v>1.3033722524537339</c:v>
                </c:pt>
                <c:pt idx="120">
                  <c:v>1.3035188858679401</c:v>
                </c:pt>
                <c:pt idx="121">
                  <c:v>1.3054648771353419</c:v>
                </c:pt>
                <c:pt idx="122">
                  <c:v>1.2715913396047438</c:v>
                </c:pt>
                <c:pt idx="123">
                  <c:v>1.2443725249990718</c:v>
                </c:pt>
                <c:pt idx="124">
                  <c:v>1.2389975717210031</c:v>
                </c:pt>
                <c:pt idx="125">
                  <c:v>1.2435343898643465</c:v>
                </c:pt>
                <c:pt idx="126">
                  <c:v>1.2448251757798869</c:v>
                </c:pt>
                <c:pt idx="127">
                  <c:v>1.2454724447369439</c:v>
                </c:pt>
                <c:pt idx="128">
                  <c:v>1.2457953196968157</c:v>
                </c:pt>
                <c:pt idx="129">
                  <c:v>1.2725745730863609</c:v>
                </c:pt>
                <c:pt idx="130">
                  <c:v>1.2692017402869864</c:v>
                </c:pt>
                <c:pt idx="131">
                  <c:v>1.2801666976565063</c:v>
                </c:pt>
                <c:pt idx="132">
                  <c:v>1.2660874231639978</c:v>
                </c:pt>
                <c:pt idx="133">
                  <c:v>1.2547545957189685</c:v>
                </c:pt>
                <c:pt idx="134">
                  <c:v>1.2412336664886443</c:v>
                </c:pt>
                <c:pt idx="135">
                  <c:v>1.2120765133791129</c:v>
                </c:pt>
                <c:pt idx="136">
                  <c:v>1.1704362251055442</c:v>
                </c:pt>
                <c:pt idx="137">
                  <c:v>1.1775760240564048</c:v>
                </c:pt>
                <c:pt idx="138">
                  <c:v>1.183678008068288</c:v>
                </c:pt>
                <c:pt idx="139">
                  <c:v>1.2219749804492699</c:v>
                </c:pt>
                <c:pt idx="140">
                  <c:v>1.2206442864691078</c:v>
                </c:pt>
                <c:pt idx="141">
                  <c:v>1.2076689547977422</c:v>
                </c:pt>
                <c:pt idx="142">
                  <c:v>1.212448754983148</c:v>
                </c:pt>
                <c:pt idx="143">
                  <c:v>1.18604756522888</c:v>
                </c:pt>
                <c:pt idx="144">
                  <c:v>1.2099421422871346</c:v>
                </c:pt>
                <c:pt idx="145">
                  <c:v>1.1978111747142919</c:v>
                </c:pt>
                <c:pt idx="146">
                  <c:v>1.2041924533480615</c:v>
                </c:pt>
                <c:pt idx="147">
                  <c:v>1.1960786133979944</c:v>
                </c:pt>
                <c:pt idx="148">
                  <c:v>1.1317586396737582</c:v>
                </c:pt>
                <c:pt idx="149">
                  <c:v>1.0715370383511333</c:v>
                </c:pt>
                <c:pt idx="150">
                  <c:v>1.0450909138231506</c:v>
                </c:pt>
                <c:pt idx="151">
                  <c:v>1.0785457824545353</c:v>
                </c:pt>
                <c:pt idx="152">
                  <c:v>1.1239299742979256</c:v>
                </c:pt>
                <c:pt idx="153">
                  <c:v>1.1202100229641305</c:v>
                </c:pt>
                <c:pt idx="154">
                  <c:v>1.1264611725121831</c:v>
                </c:pt>
                <c:pt idx="155">
                  <c:v>1.1231643868361256</c:v>
                </c:pt>
                <c:pt idx="156">
                  <c:v>1.1129222102384688</c:v>
                </c:pt>
                <c:pt idx="157">
                  <c:v>1.1171912933121437</c:v>
                </c:pt>
                <c:pt idx="158">
                  <c:v>1.1043385971720265</c:v>
                </c:pt>
                <c:pt idx="159">
                  <c:v>1.1081010276239511</c:v>
                </c:pt>
                <c:pt idx="160">
                  <c:v>1.1083376900158965</c:v>
                </c:pt>
                <c:pt idx="161">
                  <c:v>1.0944637002888182</c:v>
                </c:pt>
                <c:pt idx="162">
                  <c:v>1.0616438401844599</c:v>
                </c:pt>
                <c:pt idx="163">
                  <c:v>1.0226240447410586</c:v>
                </c:pt>
                <c:pt idx="164">
                  <c:v>1.033028323474996</c:v>
                </c:pt>
                <c:pt idx="165">
                  <c:v>1.0518120865841967</c:v>
                </c:pt>
                <c:pt idx="166">
                  <c:v>1.0453481536804832</c:v>
                </c:pt>
                <c:pt idx="167">
                  <c:v>1.0268383844520756</c:v>
                </c:pt>
                <c:pt idx="168">
                  <c:v>1.0060776585110414</c:v>
                </c:pt>
                <c:pt idx="169">
                  <c:v>0.99805956412161778</c:v>
                </c:pt>
                <c:pt idx="170">
                  <c:v>0.9803402745368377</c:v>
                </c:pt>
                <c:pt idx="171">
                  <c:v>0.94490166693171418</c:v>
                </c:pt>
                <c:pt idx="172">
                  <c:v>0.9268611919167139</c:v>
                </c:pt>
                <c:pt idx="173">
                  <c:v>0.92458512355969791</c:v>
                </c:pt>
                <c:pt idx="174">
                  <c:v>0.9453536860252546</c:v>
                </c:pt>
                <c:pt idx="175">
                  <c:v>0.93375931065791118</c:v>
                </c:pt>
                <c:pt idx="176">
                  <c:v>0.93049780562472817</c:v>
                </c:pt>
                <c:pt idx="177">
                  <c:v>0.92652848490957218</c:v>
                </c:pt>
                <c:pt idx="178">
                  <c:v>0.92123583113104068</c:v>
                </c:pt>
                <c:pt idx="179">
                  <c:v>0.86105400795456155</c:v>
                </c:pt>
                <c:pt idx="180">
                  <c:v>0.79886357200310998</c:v>
                </c:pt>
                <c:pt idx="181">
                  <c:v>0.71280132758905712</c:v>
                </c:pt>
                <c:pt idx="182">
                  <c:v>0.67576296725057194</c:v>
                </c:pt>
                <c:pt idx="183">
                  <c:v>0.57521260318546774</c:v>
                </c:pt>
                <c:pt idx="184">
                  <c:v>0.63412962310305587</c:v>
                </c:pt>
                <c:pt idx="185">
                  <c:v>0.65838357575141659</c:v>
                </c:pt>
                <c:pt idx="186">
                  <c:v>0.76286283876470529</c:v>
                </c:pt>
                <c:pt idx="187">
                  <c:v>0.74159950513273687</c:v>
                </c:pt>
                <c:pt idx="188">
                  <c:v>0.70327676847550469</c:v>
                </c:pt>
                <c:pt idx="189">
                  <c:v>0.68182796749520191</c:v>
                </c:pt>
                <c:pt idx="190">
                  <c:v>0.69636532925998151</c:v>
                </c:pt>
                <c:pt idx="191">
                  <c:v>0.70371021346636853</c:v>
                </c:pt>
                <c:pt idx="192">
                  <c:v>0.69830519598119822</c:v>
                </c:pt>
                <c:pt idx="193">
                  <c:v>0.63162952530607763</c:v>
                </c:pt>
                <c:pt idx="194">
                  <c:v>0.5423902556321889</c:v>
                </c:pt>
                <c:pt idx="195">
                  <c:v>0.51801096040494743</c:v>
                </c:pt>
                <c:pt idx="196">
                  <c:v>0.60561781749525989</c:v>
                </c:pt>
                <c:pt idx="197">
                  <c:v>0.69344832347886831</c:v>
                </c:pt>
                <c:pt idx="198">
                  <c:v>0.72411444254187673</c:v>
                </c:pt>
                <c:pt idx="199">
                  <c:v>0.72482820270159054</c:v>
                </c:pt>
                <c:pt idx="200">
                  <c:v>0.73358227709441415</c:v>
                </c:pt>
                <c:pt idx="201">
                  <c:v>0.56696272879852883</c:v>
                </c:pt>
                <c:pt idx="202">
                  <c:v>0.5182689751560009</c:v>
                </c:pt>
                <c:pt idx="203">
                  <c:v>0.58585671813091078</c:v>
                </c:pt>
                <c:pt idx="204">
                  <c:v>0.85223552684367687</c:v>
                </c:pt>
                <c:pt idx="205">
                  <c:v>0.9369490003324582</c:v>
                </c:pt>
                <c:pt idx="206">
                  <c:v>0.98015827747961604</c:v>
                </c:pt>
                <c:pt idx="207">
                  <c:v>0.98404803234839855</c:v>
                </c:pt>
                <c:pt idx="208">
                  <c:v>1.0016869695239581</c:v>
                </c:pt>
                <c:pt idx="209">
                  <c:v>0.98869408120506774</c:v>
                </c:pt>
                <c:pt idx="210">
                  <c:v>0.96738378473984177</c:v>
                </c:pt>
                <c:pt idx="211">
                  <c:v>0.94360413430508583</c:v>
                </c:pt>
                <c:pt idx="212">
                  <c:v>0.94352448319192384</c:v>
                </c:pt>
                <c:pt idx="213">
                  <c:v>0.95873791818913789</c:v>
                </c:pt>
                <c:pt idx="214">
                  <c:v>0.96259604492548279</c:v>
                </c:pt>
                <c:pt idx="215">
                  <c:v>0.95372811457024242</c:v>
                </c:pt>
                <c:pt idx="216">
                  <c:v>0.92176562192507516</c:v>
                </c:pt>
                <c:pt idx="217">
                  <c:v>0.93454041442706559</c:v>
                </c:pt>
                <c:pt idx="218">
                  <c:v>0.94712314784483642</c:v>
                </c:pt>
                <c:pt idx="219">
                  <c:v>0.96056328532646873</c:v>
                </c:pt>
                <c:pt idx="220">
                  <c:v>0.95771785593680836</c:v>
                </c:pt>
                <c:pt idx="221">
                  <c:v>0.96107395684408081</c:v>
                </c:pt>
                <c:pt idx="222">
                  <c:v>0.96962095317644226</c:v>
                </c:pt>
                <c:pt idx="223">
                  <c:v>0.95672647398215505</c:v>
                </c:pt>
                <c:pt idx="224">
                  <c:v>0.93780568396649266</c:v>
                </c:pt>
                <c:pt idx="225">
                  <c:v>0.92264358911310851</c:v>
                </c:pt>
                <c:pt idx="226">
                  <c:v>0.91635907832039198</c:v>
                </c:pt>
                <c:pt idx="227">
                  <c:v>0.90267724694177265</c:v>
                </c:pt>
                <c:pt idx="228">
                  <c:v>0.8953322162424282</c:v>
                </c:pt>
                <c:pt idx="229">
                  <c:v>0.90146935762374236</c:v>
                </c:pt>
                <c:pt idx="230">
                  <c:v>0.91295716383998526</c:v>
                </c:pt>
                <c:pt idx="231">
                  <c:v>0.91036318902447799</c:v>
                </c:pt>
                <c:pt idx="232">
                  <c:v>0.91566022533385338</c:v>
                </c:pt>
                <c:pt idx="233">
                  <c:v>0.8977764898817292</c:v>
                </c:pt>
                <c:pt idx="234">
                  <c:v>0.89148136600109096</c:v>
                </c:pt>
                <c:pt idx="235">
                  <c:v>0.85793069901060337</c:v>
                </c:pt>
                <c:pt idx="236">
                  <c:v>0.84907075895531159</c:v>
                </c:pt>
                <c:pt idx="237">
                  <c:v>0.83370285470200056</c:v>
                </c:pt>
                <c:pt idx="238">
                  <c:v>0.81495376865144298</c:v>
                </c:pt>
                <c:pt idx="239">
                  <c:v>0.80169594809912681</c:v>
                </c:pt>
                <c:pt idx="240">
                  <c:v>0.79897565813806537</c:v>
                </c:pt>
                <c:pt idx="241">
                  <c:v>0.79874346098173732</c:v>
                </c:pt>
                <c:pt idx="242">
                  <c:v>0.78367772521203027</c:v>
                </c:pt>
                <c:pt idx="243">
                  <c:v>0.75870253006031552</c:v>
                </c:pt>
                <c:pt idx="244">
                  <c:v>0.65977303434593704</c:v>
                </c:pt>
                <c:pt idx="245">
                  <c:v>0.62685132541054811</c:v>
                </c:pt>
                <c:pt idx="246">
                  <c:v>0.59399610269560477</c:v>
                </c:pt>
                <c:pt idx="247">
                  <c:v>0.65270483782799793</c:v>
                </c:pt>
                <c:pt idx="248">
                  <c:v>0.64202284989173164</c:v>
                </c:pt>
                <c:pt idx="249">
                  <c:v>0.62760935168450704</c:v>
                </c:pt>
                <c:pt idx="250">
                  <c:v>0.60458372240668989</c:v>
                </c:pt>
                <c:pt idx="251">
                  <c:v>0.58813391306405549</c:v>
                </c:pt>
                <c:pt idx="252">
                  <c:v>0.58478470202050492</c:v>
                </c:pt>
                <c:pt idx="253">
                  <c:v>0.5817032524329625</c:v>
                </c:pt>
                <c:pt idx="254">
                  <c:v>0.57525989453575754</c:v>
                </c:pt>
                <c:pt idx="255">
                  <c:v>0.56549171800983522</c:v>
                </c:pt>
                <c:pt idx="256">
                  <c:v>0.55986899438856985</c:v>
                </c:pt>
                <c:pt idx="257">
                  <c:v>0.56355141610614723</c:v>
                </c:pt>
                <c:pt idx="258">
                  <c:v>0.55217118057260561</c:v>
                </c:pt>
                <c:pt idx="259">
                  <c:v>0.54652890334709658</c:v>
                </c:pt>
                <c:pt idx="260">
                  <c:v>0.5019671742871602</c:v>
                </c:pt>
                <c:pt idx="261">
                  <c:v>0.48581046426371138</c:v>
                </c:pt>
                <c:pt idx="262">
                  <c:v>0.44587693077173823</c:v>
                </c:pt>
                <c:pt idx="263">
                  <c:v>0.31689972972762936</c:v>
                </c:pt>
                <c:pt idx="264">
                  <c:v>0.13575758141160243</c:v>
                </c:pt>
                <c:pt idx="265">
                  <c:v>-3.1248578873288895E-2</c:v>
                </c:pt>
                <c:pt idx="266">
                  <c:v>-9.4097683178200678E-2</c:v>
                </c:pt>
                <c:pt idx="267">
                  <c:v>-9.7365520383539406E-2</c:v>
                </c:pt>
                <c:pt idx="268">
                  <c:v>-9.6671026376118893E-2</c:v>
                </c:pt>
                <c:pt idx="269">
                  <c:v>-8.792470453817984E-2</c:v>
                </c:pt>
                <c:pt idx="270">
                  <c:v>-0.10715412494041489</c:v>
                </c:pt>
                <c:pt idx="271">
                  <c:v>-0.16386763600766938</c:v>
                </c:pt>
                <c:pt idx="272">
                  <c:v>-0.18325024668303172</c:v>
                </c:pt>
                <c:pt idx="273">
                  <c:v>-0.20957086494358315</c:v>
                </c:pt>
                <c:pt idx="274">
                  <c:v>-0.21782545167678521</c:v>
                </c:pt>
                <c:pt idx="275">
                  <c:v>-0.23241940411054404</c:v>
                </c:pt>
                <c:pt idx="276">
                  <c:v>-0.24693068953668598</c:v>
                </c:pt>
                <c:pt idx="277">
                  <c:v>-0.23556274535824684</c:v>
                </c:pt>
                <c:pt idx="278">
                  <c:v>-0.25209986307813215</c:v>
                </c:pt>
                <c:pt idx="279">
                  <c:v>-0.26235451974119034</c:v>
                </c:pt>
                <c:pt idx="280">
                  <c:v>-0.29583723873842616</c:v>
                </c:pt>
                <c:pt idx="281">
                  <c:v>-0.31250249118071527</c:v>
                </c:pt>
                <c:pt idx="282">
                  <c:v>-0.35183242952405053</c:v>
                </c:pt>
                <c:pt idx="283">
                  <c:v>-0.44953506518488112</c:v>
                </c:pt>
                <c:pt idx="284">
                  <c:v>-0.55957397244821061</c:v>
                </c:pt>
                <c:pt idx="285">
                  <c:v>-0.59237905456824735</c:v>
                </c:pt>
                <c:pt idx="286">
                  <c:v>-0.51165057037208783</c:v>
                </c:pt>
                <c:pt idx="287">
                  <c:v>-0.41494749675282039</c:v>
                </c:pt>
                <c:pt idx="288">
                  <c:v>-0.35058675226774111</c:v>
                </c:pt>
                <c:pt idx="289">
                  <c:v>-0.34179121874799923</c:v>
                </c:pt>
                <c:pt idx="290">
                  <c:v>-0.37014080018029621</c:v>
                </c:pt>
                <c:pt idx="291">
                  <c:v>-0.39236495635103469</c:v>
                </c:pt>
                <c:pt idx="292">
                  <c:v>-0.41392595783253511</c:v>
                </c:pt>
                <c:pt idx="293">
                  <c:v>-0.43173783278288691</c:v>
                </c:pt>
                <c:pt idx="294">
                  <c:v>-0.5149022093990453</c:v>
                </c:pt>
                <c:pt idx="295">
                  <c:v>-0.59053697219747336</c:v>
                </c:pt>
                <c:pt idx="296">
                  <c:v>-0.61030779105552113</c:v>
                </c:pt>
                <c:pt idx="297">
                  <c:v>-0.5842148326298231</c:v>
                </c:pt>
                <c:pt idx="298">
                  <c:v>-0.57994941802895461</c:v>
                </c:pt>
                <c:pt idx="299">
                  <c:v>-0.63083295100431813</c:v>
                </c:pt>
                <c:pt idx="300">
                  <c:v>-0.67146414290417622</c:v>
                </c:pt>
                <c:pt idx="301">
                  <c:v>-0.71786586585061318</c:v>
                </c:pt>
                <c:pt idx="302">
                  <c:v>-0.75861414227686519</c:v>
                </c:pt>
                <c:pt idx="303">
                  <c:v>-0.81756898384441179</c:v>
                </c:pt>
                <c:pt idx="304">
                  <c:v>-0.85077189102756101</c:v>
                </c:pt>
                <c:pt idx="305">
                  <c:v>-0.87394211131719757</c:v>
                </c:pt>
                <c:pt idx="306">
                  <c:v>-0.88248865200093674</c:v>
                </c:pt>
                <c:pt idx="307">
                  <c:v>-0.89998887228076319</c:v>
                </c:pt>
                <c:pt idx="308">
                  <c:v>-0.89272449432829093</c:v>
                </c:pt>
                <c:pt idx="309">
                  <c:v>-0.91314543411212934</c:v>
                </c:pt>
                <c:pt idx="310">
                  <c:v>-0.94636907833445783</c:v>
                </c:pt>
                <c:pt idx="311">
                  <c:v>-0.97537441924500456</c:v>
                </c:pt>
                <c:pt idx="312">
                  <c:v>-0.99242757088149514</c:v>
                </c:pt>
                <c:pt idx="313">
                  <c:v>-1.0124835735694504</c:v>
                </c:pt>
                <c:pt idx="314">
                  <c:v>-1.0296925632311276</c:v>
                </c:pt>
                <c:pt idx="315">
                  <c:v>-1.081737501084528</c:v>
                </c:pt>
                <c:pt idx="316">
                  <c:v>-1.0967172824447062</c:v>
                </c:pt>
                <c:pt idx="317">
                  <c:v>-1.0963374514194901</c:v>
                </c:pt>
                <c:pt idx="318">
                  <c:v>-1.0700136083879006</c:v>
                </c:pt>
                <c:pt idx="319">
                  <c:v>-1.0445942032212594</c:v>
                </c:pt>
                <c:pt idx="320">
                  <c:v>-1.0531391390914719</c:v>
                </c:pt>
                <c:pt idx="321">
                  <c:v>-1.0387302095360491</c:v>
                </c:pt>
                <c:pt idx="322">
                  <c:v>-1.0528492100257492</c:v>
                </c:pt>
                <c:pt idx="323">
                  <c:v>-1.0365728934965726</c:v>
                </c:pt>
                <c:pt idx="324">
                  <c:v>-1.0332580492508801</c:v>
                </c:pt>
                <c:pt idx="325">
                  <c:v>-1.0098173408498912</c:v>
                </c:pt>
                <c:pt idx="326">
                  <c:v>-1.0809753916973186</c:v>
                </c:pt>
                <c:pt idx="327">
                  <c:v>-1.071892472546395</c:v>
                </c:pt>
                <c:pt idx="328">
                  <c:v>-1.0593204038979953</c:v>
                </c:pt>
                <c:pt idx="329">
                  <c:v>-0.98855236391926915</c:v>
                </c:pt>
                <c:pt idx="330">
                  <c:v>-1.000826450544136</c:v>
                </c:pt>
                <c:pt idx="331">
                  <c:v>-1.0020236223896759</c:v>
                </c:pt>
                <c:pt idx="332">
                  <c:v>-1.0083153042280613</c:v>
                </c:pt>
                <c:pt idx="333">
                  <c:v>-1.0031937566328994</c:v>
                </c:pt>
                <c:pt idx="334">
                  <c:v>-1.0167613183886377</c:v>
                </c:pt>
                <c:pt idx="335">
                  <c:v>-1.0278013889165323</c:v>
                </c:pt>
                <c:pt idx="336">
                  <c:v>-1.0357815239559089</c:v>
                </c:pt>
                <c:pt idx="337">
                  <c:v>-1.0315523158559567</c:v>
                </c:pt>
                <c:pt idx="338">
                  <c:v>-1.0131549722584106</c:v>
                </c:pt>
                <c:pt idx="339">
                  <c:v>-1.0134550679938359</c:v>
                </c:pt>
                <c:pt idx="340">
                  <c:v>-1.0227162540729982</c:v>
                </c:pt>
                <c:pt idx="341">
                  <c:v>-1.0163928568967731</c:v>
                </c:pt>
                <c:pt idx="342">
                  <c:v>-1.006024874433525</c:v>
                </c:pt>
                <c:pt idx="343">
                  <c:v>-0.98058054559426766</c:v>
                </c:pt>
                <c:pt idx="344">
                  <c:v>-0.96102968190143834</c:v>
                </c:pt>
                <c:pt idx="345">
                  <c:v>-0.94935430504521057</c:v>
                </c:pt>
                <c:pt idx="346">
                  <c:v>-0.94404002819752897</c:v>
                </c:pt>
                <c:pt idx="347">
                  <c:v>-0.95906347538614012</c:v>
                </c:pt>
                <c:pt idx="348">
                  <c:v>-0.94692813717348656</c:v>
                </c:pt>
                <c:pt idx="349">
                  <c:v>-0.94216387577744609</c:v>
                </c:pt>
                <c:pt idx="350">
                  <c:v>-0.93853475613631743</c:v>
                </c:pt>
                <c:pt idx="351">
                  <c:v>-0.93744729508804869</c:v>
                </c:pt>
                <c:pt idx="352">
                  <c:v>-0.92731584504337838</c:v>
                </c:pt>
                <c:pt idx="353">
                  <c:v>-0.91717926569105979</c:v>
                </c:pt>
                <c:pt idx="354">
                  <c:v>-0.92721100698889725</c:v>
                </c:pt>
                <c:pt idx="355">
                  <c:v>-0.92788028162730729</c:v>
                </c:pt>
                <c:pt idx="356">
                  <c:v>-0.90962459275812757</c:v>
                </c:pt>
                <c:pt idx="357">
                  <c:v>-0.88395099075356276</c:v>
                </c:pt>
                <c:pt idx="358">
                  <c:v>-0.87559475464689296</c:v>
                </c:pt>
                <c:pt idx="359">
                  <c:v>-0.86515138501836508</c:v>
                </c:pt>
                <c:pt idx="360">
                  <c:v>-0.85732856805894153</c:v>
                </c:pt>
                <c:pt idx="361">
                  <c:v>-0.84667338206195852</c:v>
                </c:pt>
                <c:pt idx="362">
                  <c:v>-0.88091761711022809</c:v>
                </c:pt>
                <c:pt idx="363">
                  <c:v>-0.91133086044780587</c:v>
                </c:pt>
                <c:pt idx="364">
                  <c:v>-0.94592653079641897</c:v>
                </c:pt>
                <c:pt idx="365">
                  <c:v>-0.93380905727686647</c:v>
                </c:pt>
                <c:pt idx="366">
                  <c:v>-0.91872499945410191</c:v>
                </c:pt>
                <c:pt idx="367">
                  <c:v>-0.89506829241418728</c:v>
                </c:pt>
                <c:pt idx="368">
                  <c:v>-0.89710996194450388</c:v>
                </c:pt>
                <c:pt idx="369">
                  <c:v>-0.90854696257643808</c:v>
                </c:pt>
                <c:pt idx="370">
                  <c:v>-0.89071413505271135</c:v>
                </c:pt>
                <c:pt idx="371">
                  <c:v>-0.86231442046008711</c:v>
                </c:pt>
                <c:pt idx="372">
                  <c:v>-0.83728913590902032</c:v>
                </c:pt>
                <c:pt idx="373">
                  <c:v>-0.8500499760349175</c:v>
                </c:pt>
                <c:pt idx="374">
                  <c:v>-0.86689501614604003</c:v>
                </c:pt>
                <c:pt idx="375">
                  <c:v>-0.86353573964149177</c:v>
                </c:pt>
                <c:pt idx="376">
                  <c:v>-0.86494579436222951</c:v>
                </c:pt>
                <c:pt idx="377">
                  <c:v>-0.85248305458291407</c:v>
                </c:pt>
                <c:pt idx="378">
                  <c:v>-0.8638100394806365</c:v>
                </c:pt>
                <c:pt idx="379">
                  <c:v>-0.86440008356340448</c:v>
                </c:pt>
                <c:pt idx="380">
                  <c:v>-0.86721951686039167</c:v>
                </c:pt>
                <c:pt idx="381">
                  <c:v>-0.8582456011661096</c:v>
                </c:pt>
                <c:pt idx="382">
                  <c:v>-0.83909242455852773</c:v>
                </c:pt>
                <c:pt idx="383">
                  <c:v>-0.84766312617157258</c:v>
                </c:pt>
                <c:pt idx="384">
                  <c:v>-0.84029770399659787</c:v>
                </c:pt>
                <c:pt idx="385">
                  <c:v>-0.85108016353166815</c:v>
                </c:pt>
                <c:pt idx="386">
                  <c:v>-0.85595231883900313</c:v>
                </c:pt>
                <c:pt idx="387">
                  <c:v>-0.85674402286455076</c:v>
                </c:pt>
                <c:pt idx="388">
                  <c:v>-0.85350667698326455</c:v>
                </c:pt>
                <c:pt idx="389">
                  <c:v>-0.84132243766093273</c:v>
                </c:pt>
                <c:pt idx="390">
                  <c:v>-0.76379622647825995</c:v>
                </c:pt>
                <c:pt idx="391">
                  <c:v>-0.7285720967251107</c:v>
                </c:pt>
                <c:pt idx="392">
                  <c:v>-0.69592861607258383</c:v>
                </c:pt>
                <c:pt idx="393">
                  <c:v>-0.74581360274452779</c:v>
                </c:pt>
                <c:pt idx="394">
                  <c:v>-0.76858276308660434</c:v>
                </c:pt>
                <c:pt idx="395">
                  <c:v>-0.7879394840406011</c:v>
                </c:pt>
                <c:pt idx="396">
                  <c:v>-0.81541628408391509</c:v>
                </c:pt>
                <c:pt idx="397">
                  <c:v>-0.83131990409052126</c:v>
                </c:pt>
                <c:pt idx="398">
                  <c:v>-0.8371165921742808</c:v>
                </c:pt>
                <c:pt idx="399">
                  <c:v>-0.83945299033059195</c:v>
                </c:pt>
                <c:pt idx="400">
                  <c:v>-0.83297172971848221</c:v>
                </c:pt>
                <c:pt idx="401">
                  <c:v>-0.82398027811999508</c:v>
                </c:pt>
                <c:pt idx="402">
                  <c:v>-0.80563259175001711</c:v>
                </c:pt>
                <c:pt idx="403">
                  <c:v>-0.79471656913031741</c:v>
                </c:pt>
                <c:pt idx="404">
                  <c:v>-0.7933534642389608</c:v>
                </c:pt>
                <c:pt idx="405">
                  <c:v>-0.79627964893559089</c:v>
                </c:pt>
                <c:pt idx="406">
                  <c:v>-0.79526927508559686</c:v>
                </c:pt>
                <c:pt idx="407">
                  <c:v>-0.79977916866636589</c:v>
                </c:pt>
                <c:pt idx="408">
                  <c:v>-0.79051213461638126</c:v>
                </c:pt>
                <c:pt idx="409">
                  <c:v>-0.8205432275851795</c:v>
                </c:pt>
                <c:pt idx="410">
                  <c:v>-0.84865292365412104</c:v>
                </c:pt>
                <c:pt idx="411">
                  <c:v>-0.85712619015728597</c:v>
                </c:pt>
                <c:pt idx="412">
                  <c:v>-0.82407633070572006</c:v>
                </c:pt>
                <c:pt idx="413">
                  <c:v>-0.78050516255624691</c:v>
                </c:pt>
                <c:pt idx="414">
                  <c:v>-0.73670974269491341</c:v>
                </c:pt>
                <c:pt idx="415">
                  <c:v>-0.69823923153325917</c:v>
                </c:pt>
                <c:pt idx="416">
                  <c:v>-0.6416815997932227</c:v>
                </c:pt>
                <c:pt idx="417">
                  <c:v>-0.6161379444988605</c:v>
                </c:pt>
                <c:pt idx="418">
                  <c:v>-0.62331444112070533</c:v>
                </c:pt>
                <c:pt idx="419">
                  <c:v>-0.61617924619375886</c:v>
                </c:pt>
                <c:pt idx="420">
                  <c:v>-0.65714992764748714</c:v>
                </c:pt>
                <c:pt idx="421">
                  <c:v>-0.64996084826302258</c:v>
                </c:pt>
                <c:pt idx="422">
                  <c:v>-0.61876229875799715</c:v>
                </c:pt>
                <c:pt idx="423">
                  <c:v>-0.55641400825911613</c:v>
                </c:pt>
                <c:pt idx="424">
                  <c:v>-0.56355804564733258</c:v>
                </c:pt>
                <c:pt idx="425">
                  <c:v>-0.58253118627252287</c:v>
                </c:pt>
                <c:pt idx="426">
                  <c:v>-0.56859079160742576</c:v>
                </c:pt>
                <c:pt idx="427">
                  <c:v>-0.49513410370573058</c:v>
                </c:pt>
                <c:pt idx="428">
                  <c:v>-0.46531673697757481</c:v>
                </c:pt>
                <c:pt idx="429">
                  <c:v>-0.44133731168481322</c:v>
                </c:pt>
                <c:pt idx="430">
                  <c:v>-0.40713198265618261</c:v>
                </c:pt>
                <c:pt idx="431">
                  <c:v>-0.39112884554198318</c:v>
                </c:pt>
                <c:pt idx="432">
                  <c:v>-0.36352497990887828</c:v>
                </c:pt>
                <c:pt idx="433">
                  <c:v>-0.37194511940296088</c:v>
                </c:pt>
                <c:pt idx="434">
                  <c:v>-0.36119783434758562</c:v>
                </c:pt>
                <c:pt idx="435">
                  <c:v>-0.37567359149171198</c:v>
                </c:pt>
                <c:pt idx="436">
                  <c:v>-0.354482915733354</c:v>
                </c:pt>
                <c:pt idx="437">
                  <c:v>-0.34680663126166539</c:v>
                </c:pt>
                <c:pt idx="438">
                  <c:v>-0.34258530072905047</c:v>
                </c:pt>
                <c:pt idx="439">
                  <c:v>-0.35915733601316063</c:v>
                </c:pt>
                <c:pt idx="440">
                  <c:v>-0.35434935379782523</c:v>
                </c:pt>
                <c:pt idx="441">
                  <c:v>-0.35208920590334869</c:v>
                </c:pt>
                <c:pt idx="442">
                  <c:v>-0.336873335880644</c:v>
                </c:pt>
                <c:pt idx="443">
                  <c:v>-0.34024548134431382</c:v>
                </c:pt>
                <c:pt idx="444">
                  <c:v>-0.34229750002563114</c:v>
                </c:pt>
                <c:pt idx="445">
                  <c:v>-0.32551690500764902</c:v>
                </c:pt>
                <c:pt idx="446">
                  <c:v>-0.31597896323999802</c:v>
                </c:pt>
                <c:pt idx="447">
                  <c:v>-0.29810759494887956</c:v>
                </c:pt>
                <c:pt idx="448">
                  <c:v>-0.30072664130108856</c:v>
                </c:pt>
                <c:pt idx="449">
                  <c:v>-0.29294324853952497</c:v>
                </c:pt>
                <c:pt idx="450">
                  <c:v>-0.32209713503928744</c:v>
                </c:pt>
                <c:pt idx="451">
                  <c:v>-0.42896739569001446</c:v>
                </c:pt>
                <c:pt idx="452">
                  <c:v>-0.63326870050651995</c:v>
                </c:pt>
                <c:pt idx="453">
                  <c:v>-0.65740762179525969</c:v>
                </c:pt>
                <c:pt idx="454">
                  <c:v>-0.55170822665866126</c:v>
                </c:pt>
                <c:pt idx="455">
                  <c:v>-0.35387898145239571</c:v>
                </c:pt>
                <c:pt idx="456">
                  <c:v>-0.30032508688187121</c:v>
                </c:pt>
                <c:pt idx="457">
                  <c:v>-0.30428716535061273</c:v>
                </c:pt>
                <c:pt idx="458">
                  <c:v>-0.31433621602706302</c:v>
                </c:pt>
                <c:pt idx="459">
                  <c:v>-0.30424663225906906</c:v>
                </c:pt>
                <c:pt idx="460">
                  <c:v>-0.33108203980869044</c:v>
                </c:pt>
                <c:pt idx="461">
                  <c:v>-0.40029005319410116</c:v>
                </c:pt>
                <c:pt idx="462">
                  <c:v>-0.52767257615996799</c:v>
                </c:pt>
                <c:pt idx="463">
                  <c:v>-0.53693422757857079</c:v>
                </c:pt>
                <c:pt idx="464">
                  <c:v>-0.50612194725254778</c:v>
                </c:pt>
                <c:pt idx="465">
                  <c:v>-0.45151747629919248</c:v>
                </c:pt>
                <c:pt idx="466">
                  <c:v>-0.45551720075479302</c:v>
                </c:pt>
                <c:pt idx="467">
                  <c:v>-0.41884963408040171</c:v>
                </c:pt>
                <c:pt idx="468">
                  <c:v>-0.36446956222378857</c:v>
                </c:pt>
                <c:pt idx="469">
                  <c:v>-0.32865354039353684</c:v>
                </c:pt>
                <c:pt idx="470">
                  <c:v>-0.34976791547069258</c:v>
                </c:pt>
                <c:pt idx="471">
                  <c:v>-0.3946092531609402</c:v>
                </c:pt>
                <c:pt idx="472">
                  <c:v>-0.43113564078076722</c:v>
                </c:pt>
                <c:pt idx="473">
                  <c:v>-0.45935220597741466</c:v>
                </c:pt>
                <c:pt idx="474">
                  <c:v>-0.45917874992142349</c:v>
                </c:pt>
                <c:pt idx="475">
                  <c:v>-0.49930764586483267</c:v>
                </c:pt>
                <c:pt idx="476">
                  <c:v>-0.49188194902011412</c:v>
                </c:pt>
                <c:pt idx="477">
                  <c:v>-0.49419148330129398</c:v>
                </c:pt>
                <c:pt idx="478">
                  <c:v>-0.48548849655133702</c:v>
                </c:pt>
                <c:pt idx="479">
                  <c:v>-0.50707289026912228</c:v>
                </c:pt>
                <c:pt idx="480">
                  <c:v>-0.50296345839632139</c:v>
                </c:pt>
                <c:pt idx="481">
                  <c:v>-0.47323540315461621</c:v>
                </c:pt>
                <c:pt idx="482">
                  <c:v>-0.46572545054158687</c:v>
                </c:pt>
                <c:pt idx="483">
                  <c:v>-0.45993079634645256</c:v>
                </c:pt>
                <c:pt idx="484">
                  <c:v>-0.46404337790014849</c:v>
                </c:pt>
                <c:pt idx="485">
                  <c:v>-0.46240000569950251</c:v>
                </c:pt>
                <c:pt idx="486">
                  <c:v>-0.43257927873405905</c:v>
                </c:pt>
                <c:pt idx="487">
                  <c:v>-0.42844344919547012</c:v>
                </c:pt>
                <c:pt idx="488">
                  <c:v>-0.40742730252335163</c:v>
                </c:pt>
                <c:pt idx="489">
                  <c:v>-0.40699455956324931</c:v>
                </c:pt>
                <c:pt idx="490">
                  <c:v>-0.38253474806301635</c:v>
                </c:pt>
                <c:pt idx="491">
                  <c:v>-0.34669335745631019</c:v>
                </c:pt>
                <c:pt idx="492">
                  <c:v>-0.35646470971583727</c:v>
                </c:pt>
                <c:pt idx="493">
                  <c:v>-0.3629502637068045</c:v>
                </c:pt>
                <c:pt idx="494">
                  <c:v>-0.40294440598548853</c:v>
                </c:pt>
                <c:pt idx="495">
                  <c:v>-0.3831407935187523</c:v>
                </c:pt>
                <c:pt idx="496">
                  <c:v>-0.36206057058257318</c:v>
                </c:pt>
                <c:pt idx="497">
                  <c:v>-0.35981089914238162</c:v>
                </c:pt>
                <c:pt idx="498">
                  <c:v>-0.47937008158223104</c:v>
                </c:pt>
                <c:pt idx="499">
                  <c:v>-0.56045118668053762</c:v>
                </c:pt>
                <c:pt idx="500">
                  <c:v>-0.55267256512441632</c:v>
                </c:pt>
                <c:pt idx="501">
                  <c:v>-0.48518675083913454</c:v>
                </c:pt>
                <c:pt idx="502">
                  <c:v>-0.48907729097606545</c:v>
                </c:pt>
                <c:pt idx="503">
                  <c:v>-0.57579382843353255</c:v>
                </c:pt>
                <c:pt idx="504">
                  <c:v>-0.63599010989063398</c:v>
                </c:pt>
                <c:pt idx="505">
                  <c:v>-0.54934391812576866</c:v>
                </c:pt>
                <c:pt idx="506">
                  <c:v>-0.41050883276371392</c:v>
                </c:pt>
                <c:pt idx="507">
                  <c:v>-0.28256455839979594</c:v>
                </c:pt>
                <c:pt idx="508">
                  <c:v>-0.26918165247259829</c:v>
                </c:pt>
                <c:pt idx="509">
                  <c:v>-0.27424942257140628</c:v>
                </c:pt>
                <c:pt idx="510">
                  <c:v>-0.27942936840841598</c:v>
                </c:pt>
                <c:pt idx="511">
                  <c:v>-0.28472532881898727</c:v>
                </c:pt>
                <c:pt idx="512">
                  <c:v>-0.29014132252756591</c:v>
                </c:pt>
                <c:pt idx="513">
                  <c:v>-0.29568155992517547</c:v>
                </c:pt>
                <c:pt idx="514">
                  <c:v>-0.3013504544378382</c:v>
                </c:pt>
                <c:pt idx="515">
                  <c:v>-0.30715263520090286</c:v>
                </c:pt>
                <c:pt idx="516">
                  <c:v>-0.31309296074383275</c:v>
                </c:pt>
                <c:pt idx="517">
                  <c:v>-0.3191765332423937</c:v>
                </c:pt>
                <c:pt idx="518">
                  <c:v>-0.32540871524375214</c:v>
                </c:pt>
                <c:pt idx="519">
                  <c:v>-0.33179514554542849</c:v>
                </c:pt>
                <c:pt idx="520">
                  <c:v>-0.33834175859237031</c:v>
                </c:pt>
                <c:pt idx="521">
                  <c:v>-0.34505480407904104</c:v>
                </c:pt>
                <c:pt idx="522">
                  <c:v>-0.35194086867359403</c:v>
                </c:pt>
                <c:pt idx="523">
                  <c:v>-0.35900689963843746</c:v>
                </c:pt>
                <c:pt idx="524">
                  <c:v>-0.36626022995568097</c:v>
                </c:pt>
                <c:pt idx="525">
                  <c:v>-0.37370860713029347</c:v>
                </c:pt>
                <c:pt idx="526">
                  <c:v>-0.38136022217576021</c:v>
                </c:pt>
                <c:pt idx="527">
                  <c:v>-0.38922374367972462</c:v>
                </c:pt>
                <c:pt idx="528">
                  <c:v>-0.39730835349405363</c:v>
                </c:pt>
                <c:pt idx="529">
                  <c:v>-0.40562378630160495</c:v>
                </c:pt>
                <c:pt idx="530">
                  <c:v>-0.41418037303197169</c:v>
                </c:pt>
                <c:pt idx="531">
                  <c:v>-0.42298908792470091</c:v>
                </c:pt>
                <c:pt idx="532">
                  <c:v>-0.43206160188507331</c:v>
                </c:pt>
                <c:pt idx="533">
                  <c:v>-0.44141033859759754</c:v>
                </c:pt>
                <c:pt idx="534">
                  <c:v>-0.45104853914850773</c:v>
                </c:pt>
                <c:pt idx="535">
                  <c:v>-0.46099033176789056</c:v>
                </c:pt>
                <c:pt idx="536">
                  <c:v>-0.47125080963024102</c:v>
                </c:pt>
                <c:pt idx="537">
                  <c:v>-0.48184611726435822</c:v>
                </c:pt>
                <c:pt idx="538">
                  <c:v>-0.49279354599463127</c:v>
                </c:pt>
                <c:pt idx="539">
                  <c:v>-0.50411164210651993</c:v>
                </c:pt>
                <c:pt idx="540">
                  <c:v>-0.51582032470255257</c:v>
                </c:pt>
                <c:pt idx="541">
                  <c:v>-0.58901867604677483</c:v>
                </c:pt>
                <c:pt idx="542">
                  <c:v>-0.54239048228057252</c:v>
                </c:pt>
                <c:pt idx="543">
                  <c:v>-0.5083661431327311</c:v>
                </c:pt>
                <c:pt idx="544">
                  <c:v>-0.43121670050132238</c:v>
                </c:pt>
                <c:pt idx="545">
                  <c:v>-0.46090076328241647</c:v>
                </c:pt>
                <c:pt idx="546">
                  <c:v>-0.47687118007708817</c:v>
                </c:pt>
                <c:pt idx="547">
                  <c:v>-0.46069222882967198</c:v>
                </c:pt>
                <c:pt idx="548">
                  <c:v>-0.44684283974894073</c:v>
                </c:pt>
                <c:pt idx="549">
                  <c:v>-0.42275794277375095</c:v>
                </c:pt>
                <c:pt idx="550">
                  <c:v>-0.40076451506052929</c:v>
                </c:pt>
                <c:pt idx="551">
                  <c:v>-0.40997696942460821</c:v>
                </c:pt>
                <c:pt idx="552">
                  <c:v>-0.42924161933752164</c:v>
                </c:pt>
                <c:pt idx="553">
                  <c:v>-0.44957009068414822</c:v>
                </c:pt>
                <c:pt idx="554">
                  <c:v>-0.46364261455075195</c:v>
                </c:pt>
                <c:pt idx="555">
                  <c:v>-0.48865664538528525</c:v>
                </c:pt>
                <c:pt idx="556">
                  <c:v>-0.59566456013663627</c:v>
                </c:pt>
                <c:pt idx="557">
                  <c:v>-0.69382314791960376</c:v>
                </c:pt>
                <c:pt idx="558">
                  <c:v>-0.74600348997840404</c:v>
                </c:pt>
                <c:pt idx="559">
                  <c:v>-0.73830634522027294</c:v>
                </c:pt>
                <c:pt idx="560">
                  <c:v>-0.72852671461673835</c:v>
                </c:pt>
                <c:pt idx="561">
                  <c:v>-0.7555351778110696</c:v>
                </c:pt>
                <c:pt idx="562">
                  <c:v>-0.75222127856569954</c:v>
                </c:pt>
                <c:pt idx="563">
                  <c:v>-0.74400366634157844</c:v>
                </c:pt>
                <c:pt idx="564">
                  <c:v>-0.75881786667750217</c:v>
                </c:pt>
                <c:pt idx="565">
                  <c:v>-0.75125013060901324</c:v>
                </c:pt>
                <c:pt idx="566">
                  <c:v>-0.78034647940312774</c:v>
                </c:pt>
                <c:pt idx="567">
                  <c:v>-0.80087901560101482</c:v>
                </c:pt>
                <c:pt idx="568">
                  <c:v>-0.89018663152710664</c:v>
                </c:pt>
                <c:pt idx="569">
                  <c:v>-1.004285889800286</c:v>
                </c:pt>
                <c:pt idx="570">
                  <c:v>-1.0881230370067698</c:v>
                </c:pt>
                <c:pt idx="571">
                  <c:v>-1.1174415566588882</c:v>
                </c:pt>
                <c:pt idx="572">
                  <c:v>-1.0784908468904399</c:v>
                </c:pt>
                <c:pt idx="573">
                  <c:v>-1.0417271532714683</c:v>
                </c:pt>
                <c:pt idx="574">
                  <c:v>-1.0819174493254822</c:v>
                </c:pt>
                <c:pt idx="575">
                  <c:v>-1.1165917264724856</c:v>
                </c:pt>
                <c:pt idx="576">
                  <c:v>-1.154549701714872</c:v>
                </c:pt>
                <c:pt idx="577">
                  <c:v>-1.176720040640501</c:v>
                </c:pt>
                <c:pt idx="578">
                  <c:v>-1.2300208250123854</c:v>
                </c:pt>
                <c:pt idx="579">
                  <c:v>-1.3147879087052239</c:v>
                </c:pt>
                <c:pt idx="580">
                  <c:v>-1.4018437373194468</c:v>
                </c:pt>
                <c:pt idx="581">
                  <c:v>-1.4675931485803531</c:v>
                </c:pt>
                <c:pt idx="582">
                  <c:v>-1.5660458458302287</c:v>
                </c:pt>
                <c:pt idx="583">
                  <c:v>-1.6592740470703014</c:v>
                </c:pt>
                <c:pt idx="584">
                  <c:v>-1.7524792038172015</c:v>
                </c:pt>
                <c:pt idx="585">
                  <c:v>-1.8004055839654498</c:v>
                </c:pt>
                <c:pt idx="586">
                  <c:v>-1.8092095666101733</c:v>
                </c:pt>
                <c:pt idx="587">
                  <c:v>-1.8486404446828828</c:v>
                </c:pt>
                <c:pt idx="588">
                  <c:v>-1.8683187133062376</c:v>
                </c:pt>
                <c:pt idx="589">
                  <c:v>-1.8876305364601729</c:v>
                </c:pt>
                <c:pt idx="590">
                  <c:v>-1.8563147619254752</c:v>
                </c:pt>
                <c:pt idx="591">
                  <c:v>-1.8740987465604722</c:v>
                </c:pt>
                <c:pt idx="592">
                  <c:v>-1.8824618067302812</c:v>
                </c:pt>
                <c:pt idx="593">
                  <c:v>-1.9167087139608565</c:v>
                </c:pt>
                <c:pt idx="594">
                  <c:v>-1.8830971679378592</c:v>
                </c:pt>
                <c:pt idx="595">
                  <c:v>-1.8887209656906851</c:v>
                </c:pt>
                <c:pt idx="596">
                  <c:v>-1.9039860045297463</c:v>
                </c:pt>
                <c:pt idx="597">
                  <c:v>-1.9262145785973006</c:v>
                </c:pt>
                <c:pt idx="598">
                  <c:v>-1.9124839377259224</c:v>
                </c:pt>
                <c:pt idx="599">
                  <c:v>-1.8954186888340312</c:v>
                </c:pt>
                <c:pt idx="600">
                  <c:v>-1.9126239847353774</c:v>
                </c:pt>
                <c:pt idx="601">
                  <c:v>-1.9545546778288425</c:v>
                </c:pt>
                <c:pt idx="602">
                  <c:v>-1.9806622481705911</c:v>
                </c:pt>
                <c:pt idx="603">
                  <c:v>-1.9758531801591703</c:v>
                </c:pt>
                <c:pt idx="604">
                  <c:v>-1.9770036819884058</c:v>
                </c:pt>
                <c:pt idx="605">
                  <c:v>-1.968481686914102</c:v>
                </c:pt>
                <c:pt idx="606">
                  <c:v>-1.989546233549192</c:v>
                </c:pt>
                <c:pt idx="607">
                  <c:v>-1.9702548780374094</c:v>
                </c:pt>
                <c:pt idx="608">
                  <c:v>-1.9598161592244112</c:v>
                </c:pt>
                <c:pt idx="609">
                  <c:v>-1.9249564611590335</c:v>
                </c:pt>
                <c:pt idx="610">
                  <c:v>-1.9172512451257937</c:v>
                </c:pt>
                <c:pt idx="611">
                  <c:v>-1.8957215985877232</c:v>
                </c:pt>
                <c:pt idx="612">
                  <c:v>-1.8839702632859232</c:v>
                </c:pt>
                <c:pt idx="613">
                  <c:v>-1.8651494938372004</c:v>
                </c:pt>
                <c:pt idx="614">
                  <c:v>-1.8646108937806518</c:v>
                </c:pt>
                <c:pt idx="615">
                  <c:v>-1.864092849837762</c:v>
                </c:pt>
                <c:pt idx="616">
                  <c:v>-1.8635942068260896</c:v>
                </c:pt>
                <c:pt idx="617">
                  <c:v>-1.86311389462127</c:v>
                </c:pt>
                <c:pt idx="618">
                  <c:v>-1.8626509203210633</c:v>
                </c:pt>
                <c:pt idx="619">
                  <c:v>-1.8715197806921273</c:v>
                </c:pt>
                <c:pt idx="620">
                  <c:v>-1.9029219404765809</c:v>
                </c:pt>
                <c:pt idx="621">
                  <c:v>-1.9487137030741526</c:v>
                </c:pt>
                <c:pt idx="622">
                  <c:v>-2.0343449821121431</c:v>
                </c:pt>
                <c:pt idx="623">
                  <c:v>-2.0725996004575693</c:v>
                </c:pt>
                <c:pt idx="624">
                  <c:v>-2.0892758044642772</c:v>
                </c:pt>
                <c:pt idx="625">
                  <c:v>-2.0690289619116853</c:v>
                </c:pt>
                <c:pt idx="626">
                  <c:v>-2.0741786942400782</c:v>
                </c:pt>
                <c:pt idx="627">
                  <c:v>-2.0992480399345372</c:v>
                </c:pt>
                <c:pt idx="628">
                  <c:v>-2.0897880337482451</c:v>
                </c:pt>
                <c:pt idx="629">
                  <c:v>-2.0476399720608653</c:v>
                </c:pt>
                <c:pt idx="630">
                  <c:v>-2.0351590161105872</c:v>
                </c:pt>
                <c:pt idx="631">
                  <c:v>-2.063024772361985</c:v>
                </c:pt>
                <c:pt idx="632">
                  <c:v>-2.134777203585438</c:v>
                </c:pt>
                <c:pt idx="633">
                  <c:v>-2.1614334883062534</c:v>
                </c:pt>
                <c:pt idx="634">
                  <c:v>-2.1416627303240929</c:v>
                </c:pt>
                <c:pt idx="635">
                  <c:v>-2.12616329145665</c:v>
                </c:pt>
                <c:pt idx="636">
                  <c:v>-2.053838572647344</c:v>
                </c:pt>
                <c:pt idx="637">
                  <c:v>-2.0432081251989227</c:v>
                </c:pt>
                <c:pt idx="638">
                  <c:v>-2.0352126112130851</c:v>
                </c:pt>
                <c:pt idx="639">
                  <c:v>-2.0739062820220791</c:v>
                </c:pt>
                <c:pt idx="640">
                  <c:v>-2.0682567005590555</c:v>
                </c:pt>
                <c:pt idx="641">
                  <c:v>-2.0447614103597913</c:v>
                </c:pt>
                <c:pt idx="642">
                  <c:v>-2.0509613187001334</c:v>
                </c:pt>
                <c:pt idx="643">
                  <c:v>-2.0632909540634405</c:v>
                </c:pt>
                <c:pt idx="644">
                  <c:v>-2.0456002002162488</c:v>
                </c:pt>
                <c:pt idx="645">
                  <c:v>-2.0059795079097911</c:v>
                </c:pt>
                <c:pt idx="646">
                  <c:v>-1.977560690506061</c:v>
                </c:pt>
                <c:pt idx="647">
                  <c:v>-1.9427160784280491</c:v>
                </c:pt>
                <c:pt idx="648">
                  <c:v>-1.9181022959612284</c:v>
                </c:pt>
                <c:pt idx="649">
                  <c:v>-1.898348159482165</c:v>
                </c:pt>
                <c:pt idx="650">
                  <c:v>-1.9098471911570465</c:v>
                </c:pt>
                <c:pt idx="651">
                  <c:v>-1.8991120442108798</c:v>
                </c:pt>
                <c:pt idx="652">
                  <c:v>-1.856690037614219</c:v>
                </c:pt>
                <c:pt idx="653">
                  <c:v>-1.8049583500844191</c:v>
                </c:pt>
                <c:pt idx="654">
                  <c:v>-1.768511356876483</c:v>
                </c:pt>
                <c:pt idx="655">
                  <c:v>-1.7368445541875446</c:v>
                </c:pt>
                <c:pt idx="656">
                  <c:v>-1.7276252449530933</c:v>
                </c:pt>
                <c:pt idx="657">
                  <c:v>-1.7520829302628442</c:v>
                </c:pt>
                <c:pt idx="658">
                  <c:v>-1.7424184794037654</c:v>
                </c:pt>
                <c:pt idx="659">
                  <c:v>-1.7593362948544959</c:v>
                </c:pt>
                <c:pt idx="660">
                  <c:v>-1.7375469550318616</c:v>
                </c:pt>
                <c:pt idx="661">
                  <c:v>-1.7504345510720187</c:v>
                </c:pt>
                <c:pt idx="662">
                  <c:v>-1.7513552965133883</c:v>
                </c:pt>
                <c:pt idx="663">
                  <c:v>-1.7611548528008443</c:v>
                </c:pt>
                <c:pt idx="664">
                  <c:v>-1.7897800782743201</c:v>
                </c:pt>
                <c:pt idx="665">
                  <c:v>-1.7847595202263375</c:v>
                </c:pt>
                <c:pt idx="666">
                  <c:v>-1.780677594021068</c:v>
                </c:pt>
                <c:pt idx="667">
                  <c:v>-1.7356117826115025</c:v>
                </c:pt>
                <c:pt idx="668">
                  <c:v>-1.7729009069757986</c:v>
                </c:pt>
                <c:pt idx="669">
                  <c:v>-1.7547812903702411</c:v>
                </c:pt>
                <c:pt idx="670">
                  <c:v>-1.768385270276486</c:v>
                </c:pt>
                <c:pt idx="671">
                  <c:v>-1.7605977393318042</c:v>
                </c:pt>
                <c:pt idx="672">
                  <c:v>-1.7605798601297877</c:v>
                </c:pt>
                <c:pt idx="673">
                  <c:v>-1.7619554312442876</c:v>
                </c:pt>
                <c:pt idx="674">
                  <c:v>-1.7330007557885903</c:v>
                </c:pt>
                <c:pt idx="675">
                  <c:v>-1.7502760429395565</c:v>
                </c:pt>
                <c:pt idx="676">
                  <c:v>-1.7861497405496098</c:v>
                </c:pt>
                <c:pt idx="677">
                  <c:v>-1.773715120338428</c:v>
                </c:pt>
                <c:pt idx="678">
                  <c:v>-1.7816504114964948</c:v>
                </c:pt>
                <c:pt idx="679">
                  <c:v>-1.7640543880651087</c:v>
                </c:pt>
                <c:pt idx="680">
                  <c:v>-1.7832982897202303</c:v>
                </c:pt>
                <c:pt idx="681">
                  <c:v>-1.7861030374143876</c:v>
                </c:pt>
                <c:pt idx="682">
                  <c:v>-1.7877035429833967</c:v>
                </c:pt>
                <c:pt idx="683">
                  <c:v>-1.786808841671305</c:v>
                </c:pt>
                <c:pt idx="684">
                  <c:v>-1.790801203118763</c:v>
                </c:pt>
                <c:pt idx="685">
                  <c:v>-1.7985653928341563</c:v>
                </c:pt>
                <c:pt idx="686">
                  <c:v>-1.8097639118452797</c:v>
                </c:pt>
                <c:pt idx="687">
                  <c:v>-1.8009380318126949</c:v>
                </c:pt>
                <c:pt idx="688">
                  <c:v>-1.8136746003616506</c:v>
                </c:pt>
                <c:pt idx="689">
                  <c:v>-1.833797331978354</c:v>
                </c:pt>
                <c:pt idx="690">
                  <c:v>-1.8811815806050269</c:v>
                </c:pt>
                <c:pt idx="691">
                  <c:v>-1.8951814670342877</c:v>
                </c:pt>
                <c:pt idx="692">
                  <c:v>-1.8867564404251205</c:v>
                </c:pt>
                <c:pt idx="693">
                  <c:v>-1.9102032307066832</c:v>
                </c:pt>
                <c:pt idx="694">
                  <c:v>-1.9365488331502674</c:v>
                </c:pt>
                <c:pt idx="695">
                  <c:v>-1.9761523948038329</c:v>
                </c:pt>
                <c:pt idx="696">
                  <c:v>-1.944945149106112</c:v>
                </c:pt>
                <c:pt idx="697">
                  <c:v>-1.948926454675038</c:v>
                </c:pt>
                <c:pt idx="698">
                  <c:v>-1.9680838424757117</c:v>
                </c:pt>
                <c:pt idx="699">
                  <c:v>-1.9808653428947596</c:v>
                </c:pt>
                <c:pt idx="700">
                  <c:v>-1.97357735662342</c:v>
                </c:pt>
                <c:pt idx="701">
                  <c:v>-1.9493277141887664</c:v>
                </c:pt>
                <c:pt idx="702">
                  <c:v>-1.9414875680641286</c:v>
                </c:pt>
                <c:pt idx="703">
                  <c:v>-1.9537417981721168</c:v>
                </c:pt>
                <c:pt idx="704">
                  <c:v>-1.9459400308354666</c:v>
                </c:pt>
                <c:pt idx="705">
                  <c:v>-1.9707748559680276</c:v>
                </c:pt>
                <c:pt idx="706">
                  <c:v>-1.9481349046984064</c:v>
                </c:pt>
                <c:pt idx="707">
                  <c:v>-1.9309542471216987</c:v>
                </c:pt>
                <c:pt idx="708">
                  <c:v>-1.8878168441290242</c:v>
                </c:pt>
                <c:pt idx="709">
                  <c:v>-1.8725505939307669</c:v>
                </c:pt>
                <c:pt idx="710">
                  <c:v>-1.8745167385348627</c:v>
                </c:pt>
                <c:pt idx="711">
                  <c:v>-1.8882322697898684</c:v>
                </c:pt>
                <c:pt idx="712">
                  <c:v>-1.931034351672049</c:v>
                </c:pt>
                <c:pt idx="713">
                  <c:v>-1.9068253500499985</c:v>
                </c:pt>
                <c:pt idx="714">
                  <c:v>-1.8558976871507682</c:v>
                </c:pt>
                <c:pt idx="715">
                  <c:v>-1.7848355713072361</c:v>
                </c:pt>
                <c:pt idx="716">
                  <c:v>-1.8007476872320296</c:v>
                </c:pt>
                <c:pt idx="717">
                  <c:v>-1.8066144575785605</c:v>
                </c:pt>
                <c:pt idx="718">
                  <c:v>-1.7837409921291858</c:v>
                </c:pt>
                <c:pt idx="719">
                  <c:v>-1.7679595745890893</c:v>
                </c:pt>
                <c:pt idx="720">
                  <c:v>-1.7707016732267942</c:v>
                </c:pt>
                <c:pt idx="721">
                  <c:v>-1.8096441687304619</c:v>
                </c:pt>
                <c:pt idx="722">
                  <c:v>-1.8117856689634779</c:v>
                </c:pt>
                <c:pt idx="723">
                  <c:v>-1.8131474875956002</c:v>
                </c:pt>
                <c:pt idx="724">
                  <c:v>-1.809568480633964</c:v>
                </c:pt>
                <c:pt idx="725">
                  <c:v>-1.8084934851020502</c:v>
                </c:pt>
                <c:pt idx="726">
                  <c:v>-1.8325102450178437</c:v>
                </c:pt>
                <c:pt idx="727">
                  <c:v>-1.8493675821884563</c:v>
                </c:pt>
                <c:pt idx="728">
                  <c:v>-1.8855036514781673</c:v>
                </c:pt>
                <c:pt idx="729">
                  <c:v>-1.903772777348868</c:v>
                </c:pt>
                <c:pt idx="730">
                  <c:v>-1.8503888394033821</c:v>
                </c:pt>
                <c:pt idx="731">
                  <c:v>-1.7330156058429669</c:v>
                </c:pt>
                <c:pt idx="732">
                  <c:v>-1.642450873769622</c:v>
                </c:pt>
                <c:pt idx="733">
                  <c:v>-1.667679430666908</c:v>
                </c:pt>
                <c:pt idx="734">
                  <c:v>-1.7507842369863653</c:v>
                </c:pt>
                <c:pt idx="735">
                  <c:v>-1.7726834110213006</c:v>
                </c:pt>
                <c:pt idx="736">
                  <c:v>-1.7876318281782961</c:v>
                </c:pt>
                <c:pt idx="737">
                  <c:v>-1.7117365736811501</c:v>
                </c:pt>
                <c:pt idx="738">
                  <c:v>-1.6539023902104546</c:v>
                </c:pt>
                <c:pt idx="739">
                  <c:v>-1.5704393713838891</c:v>
                </c:pt>
                <c:pt idx="740">
                  <c:v>-1.5680776503514462</c:v>
                </c:pt>
                <c:pt idx="741">
                  <c:v>-1.597461903637061</c:v>
                </c:pt>
                <c:pt idx="742">
                  <c:v>-1.6299731948814629</c:v>
                </c:pt>
                <c:pt idx="743">
                  <c:v>-1.651466793837115</c:v>
                </c:pt>
                <c:pt idx="744">
                  <c:v>-1.6534229217503871</c:v>
                </c:pt>
                <c:pt idx="745">
                  <c:v>-1.6062399594748171</c:v>
                </c:pt>
                <c:pt idx="746">
                  <c:v>-1.5840408364028995</c:v>
                </c:pt>
                <c:pt idx="747">
                  <c:v>-1.5715075637724676</c:v>
                </c:pt>
                <c:pt idx="748">
                  <c:v>-1.6049094784575131</c:v>
                </c:pt>
                <c:pt idx="749">
                  <c:v>-1.579551953969103</c:v>
                </c:pt>
                <c:pt idx="750">
                  <c:v>-1.5774805364177009</c:v>
                </c:pt>
                <c:pt idx="751">
                  <c:v>-1.5848024237061662</c:v>
                </c:pt>
                <c:pt idx="752">
                  <c:v>-1.6258606757661627</c:v>
                </c:pt>
                <c:pt idx="753">
                  <c:v>-1.6609701601116804</c:v>
                </c:pt>
                <c:pt idx="754">
                  <c:v>-1.6541890816720191</c:v>
                </c:pt>
                <c:pt idx="755">
                  <c:v>-1.6531347470480757</c:v>
                </c:pt>
                <c:pt idx="756">
                  <c:v>-1.6428563610629023</c:v>
                </c:pt>
                <c:pt idx="757">
                  <c:v>-1.6439098458610053</c:v>
                </c:pt>
                <c:pt idx="758">
                  <c:v>-1.6612619149664785</c:v>
                </c:pt>
                <c:pt idx="759">
                  <c:v>-1.6550161803559209</c:v>
                </c:pt>
                <c:pt idx="760">
                  <c:v>-1.6829585775423703</c:v>
                </c:pt>
                <c:pt idx="761">
                  <c:v>-1.6702897867935953</c:v>
                </c:pt>
                <c:pt idx="762">
                  <c:v>-1.6545377469934397</c:v>
                </c:pt>
                <c:pt idx="763">
                  <c:v>-1.620219809822762</c:v>
                </c:pt>
                <c:pt idx="764">
                  <c:v>-1.6142945865310612</c:v>
                </c:pt>
                <c:pt idx="765">
                  <c:v>-1.601906646358022</c:v>
                </c:pt>
                <c:pt idx="766">
                  <c:v>-1.5148006407969925</c:v>
                </c:pt>
                <c:pt idx="767">
                  <c:v>-1.4294102483977982</c:v>
                </c:pt>
                <c:pt idx="768">
                  <c:v>-1.3765837979002606</c:v>
                </c:pt>
                <c:pt idx="769">
                  <c:v>-1.4037084936247775</c:v>
                </c:pt>
                <c:pt idx="770">
                  <c:v>-1.4034393300855326</c:v>
                </c:pt>
                <c:pt idx="771">
                  <c:v>-1.3874902775585884</c:v>
                </c:pt>
                <c:pt idx="772">
                  <c:v>-1.3771401369781326</c:v>
                </c:pt>
                <c:pt idx="773">
                  <c:v>-1.4161189073584595</c:v>
                </c:pt>
                <c:pt idx="774">
                  <c:v>-1.4231749969030021</c:v>
                </c:pt>
                <c:pt idx="775">
                  <c:v>-1.4328162661710373</c:v>
                </c:pt>
                <c:pt idx="776">
                  <c:v>-1.3609251341164539</c:v>
                </c:pt>
                <c:pt idx="777">
                  <c:v>-1.3503309591525208</c:v>
                </c:pt>
                <c:pt idx="778">
                  <c:v>-1.3289489182483445</c:v>
                </c:pt>
                <c:pt idx="779">
                  <c:v>-1.369608741500306</c:v>
                </c:pt>
                <c:pt idx="780">
                  <c:v>-1.3736418063660485</c:v>
                </c:pt>
                <c:pt idx="781">
                  <c:v>-1.3824922619487443</c:v>
                </c:pt>
                <c:pt idx="782">
                  <c:v>-1.3636705000642122</c:v>
                </c:pt>
                <c:pt idx="783">
                  <c:v>-1.3564101950731489</c:v>
                </c:pt>
                <c:pt idx="784">
                  <c:v>-1.3437123843008345</c:v>
                </c:pt>
                <c:pt idx="785">
                  <c:v>-1.3296085995816176</c:v>
                </c:pt>
                <c:pt idx="786">
                  <c:v>-1.3287833805350904</c:v>
                </c:pt>
                <c:pt idx="787">
                  <c:v>-1.3357044441079093</c:v>
                </c:pt>
                <c:pt idx="788">
                  <c:v>-1.3718969300485782</c:v>
                </c:pt>
                <c:pt idx="789">
                  <c:v>-1.3975577980037592</c:v>
                </c:pt>
                <c:pt idx="790">
                  <c:v>-1.4338331521006709</c:v>
                </c:pt>
                <c:pt idx="791">
                  <c:v>-1.430276425659595</c:v>
                </c:pt>
                <c:pt idx="792">
                  <c:v>-1.4246114352584314</c:v>
                </c:pt>
                <c:pt idx="793">
                  <c:v>-1.4011379344779453</c:v>
                </c:pt>
                <c:pt idx="794">
                  <c:v>-1.4095747367140141</c:v>
                </c:pt>
                <c:pt idx="795">
                  <c:v>-1.4073246751237651</c:v>
                </c:pt>
                <c:pt idx="796">
                  <c:v>-1.3805803898586613</c:v>
                </c:pt>
                <c:pt idx="797">
                  <c:v>-1.3606009628629809</c:v>
                </c:pt>
                <c:pt idx="798">
                  <c:v>-1.3669017809429989</c:v>
                </c:pt>
                <c:pt idx="799">
                  <c:v>-1.3920525794203817</c:v>
                </c:pt>
                <c:pt idx="800">
                  <c:v>-1.3756743350212062</c:v>
                </c:pt>
                <c:pt idx="801">
                  <c:v>-1.3415604032128561</c:v>
                </c:pt>
                <c:pt idx="802">
                  <c:v>-1.3036736107053606</c:v>
                </c:pt>
                <c:pt idx="803">
                  <c:v>-1.2874705574505265</c:v>
                </c:pt>
                <c:pt idx="804">
                  <c:v>-1.2647010581759088</c:v>
                </c:pt>
                <c:pt idx="805">
                  <c:v>-1.2189068875721978</c:v>
                </c:pt>
                <c:pt idx="806">
                  <c:v>-1.1859118627610565</c:v>
                </c:pt>
                <c:pt idx="807">
                  <c:v>-1.1440423251240406</c:v>
                </c:pt>
                <c:pt idx="808">
                  <c:v>-1.1384062276910469</c:v>
                </c:pt>
                <c:pt idx="809">
                  <c:v>-1.2235838637887462</c:v>
                </c:pt>
                <c:pt idx="810">
                  <c:v>-1.2995183778192219</c:v>
                </c:pt>
                <c:pt idx="811">
                  <c:v>-1.3573882904820795</c:v>
                </c:pt>
                <c:pt idx="812">
                  <c:v>-1.2937905171726427</c:v>
                </c:pt>
                <c:pt idx="813">
                  <c:v>-1.2541742663320574</c:v>
                </c:pt>
                <c:pt idx="814">
                  <c:v>-1.2232845654947715</c:v>
                </c:pt>
                <c:pt idx="815">
                  <c:v>-1.2124611688434423</c:v>
                </c:pt>
                <c:pt idx="816">
                  <c:v>-1.1989902596960242</c:v>
                </c:pt>
                <c:pt idx="817">
                  <c:v>-1.162262459120595</c:v>
                </c:pt>
                <c:pt idx="818">
                  <c:v>-1.1892603664636641</c:v>
                </c:pt>
                <c:pt idx="819">
                  <c:v>-1.263763295787985</c:v>
                </c:pt>
                <c:pt idx="820">
                  <c:v>-1.3639299199293384</c:v>
                </c:pt>
                <c:pt idx="821">
                  <c:v>-1.4296532582270869</c:v>
                </c:pt>
                <c:pt idx="822">
                  <c:v>-1.4102639110225905</c:v>
                </c:pt>
                <c:pt idx="823">
                  <c:v>-1.3353605750205604</c:v>
                </c:pt>
                <c:pt idx="824">
                  <c:v>-1.2166256772189901</c:v>
                </c:pt>
                <c:pt idx="825">
                  <c:v>-1.1895449653319998</c:v>
                </c:pt>
                <c:pt idx="826">
                  <c:v>-1.2358426958079873</c:v>
                </c:pt>
                <c:pt idx="827">
                  <c:v>-1.245113923635113</c:v>
                </c:pt>
                <c:pt idx="828">
                  <c:v>-1.194294984170347</c:v>
                </c:pt>
                <c:pt idx="829">
                  <c:v>-1.1045290318730396</c:v>
                </c:pt>
                <c:pt idx="830">
                  <c:v>-1.0641144937370177</c:v>
                </c:pt>
                <c:pt idx="831">
                  <c:v>-1.0251275001316069</c:v>
                </c:pt>
                <c:pt idx="832">
                  <c:v>-0.98746544308217865</c:v>
                </c:pt>
                <c:pt idx="833">
                  <c:v>-0.95103637397364038</c:v>
                </c:pt>
                <c:pt idx="834">
                  <c:v>-0.91575757652992007</c:v>
                </c:pt>
                <c:pt idx="835">
                  <c:v>-0.92647727056292839</c:v>
                </c:pt>
                <c:pt idx="836">
                  <c:v>-1.0091259393719534</c:v>
                </c:pt>
                <c:pt idx="837">
                  <c:v>-1.3139580268550697</c:v>
                </c:pt>
                <c:pt idx="838">
                  <c:v>-1.5242155400934028</c:v>
                </c:pt>
                <c:pt idx="839">
                  <c:v>-1.7314039741899567</c:v>
                </c:pt>
                <c:pt idx="840">
                  <c:v>-1.7166444185382745</c:v>
                </c:pt>
                <c:pt idx="841">
                  <c:v>-1.6860946609056617</c:v>
                </c:pt>
                <c:pt idx="842">
                  <c:v>-1.5023658748401456</c:v>
                </c:pt>
                <c:pt idx="843">
                  <c:v>-1.3519882805768306</c:v>
                </c:pt>
                <c:pt idx="844">
                  <c:v>-1.2405649443760842</c:v>
                </c:pt>
                <c:pt idx="845">
                  <c:v>-1.2368750622246416</c:v>
                </c:pt>
                <c:pt idx="846">
                  <c:v>-1.1813787327619341</c:v>
                </c:pt>
                <c:pt idx="847">
                  <c:v>-1.1992802411587022</c:v>
                </c:pt>
                <c:pt idx="848">
                  <c:v>-1.2138723323114078</c:v>
                </c:pt>
                <c:pt idx="849">
                  <c:v>-1.2844056108892017</c:v>
                </c:pt>
                <c:pt idx="850">
                  <c:v>-1.3042503064513531</c:v>
                </c:pt>
                <c:pt idx="851">
                  <c:v>-1.3203104602551108</c:v>
                </c:pt>
                <c:pt idx="852">
                  <c:v>-1.3402235193433256</c:v>
                </c:pt>
                <c:pt idx="853">
                  <c:v>-1.3214919841835362</c:v>
                </c:pt>
                <c:pt idx="854">
                  <c:v>-1.3020880841036013</c:v>
                </c:pt>
                <c:pt idx="855">
                  <c:v>-1.2593079414720518</c:v>
                </c:pt>
                <c:pt idx="856">
                  <c:v>-1.280438791538242</c:v>
                </c:pt>
                <c:pt idx="857">
                  <c:v>-1.3079324998036184</c:v>
                </c:pt>
                <c:pt idx="858">
                  <c:v>-1.3324378983719598</c:v>
                </c:pt>
                <c:pt idx="859">
                  <c:v>-1.3619683159666913</c:v>
                </c:pt>
                <c:pt idx="860">
                  <c:v>-1.4182725139470236</c:v>
                </c:pt>
                <c:pt idx="861">
                  <c:v>-1.4404782791010291</c:v>
                </c:pt>
                <c:pt idx="862">
                  <c:v>-1.4023665091024935</c:v>
                </c:pt>
                <c:pt idx="863">
                  <c:v>-1.3408423420094693</c:v>
                </c:pt>
                <c:pt idx="864">
                  <c:v>-1.3788771533699649</c:v>
                </c:pt>
                <c:pt idx="865">
                  <c:v>-1.4997649197059848</c:v>
                </c:pt>
                <c:pt idx="866">
                  <c:v>-1.5863273434543574</c:v>
                </c:pt>
                <c:pt idx="867">
                  <c:v>-1.5912834379659735</c:v>
                </c:pt>
                <c:pt idx="868">
                  <c:v>-1.6234437023779658</c:v>
                </c:pt>
                <c:pt idx="869">
                  <c:v>-1.6631291632820375</c:v>
                </c:pt>
                <c:pt idx="870">
                  <c:v>-1.7008705335744791</c:v>
                </c:pt>
                <c:pt idx="871">
                  <c:v>-1.6578921529544035</c:v>
                </c:pt>
                <c:pt idx="872">
                  <c:v>-1.6111244745300206</c:v>
                </c:pt>
                <c:pt idx="873">
                  <c:v>-1.5599823692788852</c:v>
                </c:pt>
                <c:pt idx="874">
                  <c:v>-1.4962833340667865</c:v>
                </c:pt>
                <c:pt idx="875">
                  <c:v>-1.4909836954771578</c:v>
                </c:pt>
                <c:pt idx="876">
                  <c:v>-1.4461255692405572</c:v>
                </c:pt>
                <c:pt idx="877">
                  <c:v>-1.4383753782071906</c:v>
                </c:pt>
                <c:pt idx="878">
                  <c:v>-1.3916586400630153</c:v>
                </c:pt>
                <c:pt idx="879">
                  <c:v>-1.4157042482827809</c:v>
                </c:pt>
                <c:pt idx="880">
                  <c:v>-1.4184751687316384</c:v>
                </c:pt>
                <c:pt idx="881">
                  <c:v>-1.4230939410082384</c:v>
                </c:pt>
                <c:pt idx="882">
                  <c:v>-1.4308144728406635</c:v>
                </c:pt>
                <c:pt idx="883">
                  <c:v>-1.4301902848478543</c:v>
                </c:pt>
                <c:pt idx="884">
                  <c:v>-1.4070145199854505</c:v>
                </c:pt>
                <c:pt idx="885">
                  <c:v>-1.3678328484632811</c:v>
                </c:pt>
                <c:pt idx="886">
                  <c:v>-1.3489380596189779</c:v>
                </c:pt>
                <c:pt idx="887">
                  <c:v>-1.350582494769718</c:v>
                </c:pt>
                <c:pt idx="888">
                  <c:v>-1.3502406341199222</c:v>
                </c:pt>
                <c:pt idx="889">
                  <c:v>-1.3503758633247909</c:v>
                </c:pt>
                <c:pt idx="890">
                  <c:v>-1.3813395309296732</c:v>
                </c:pt>
                <c:pt idx="891">
                  <c:v>-1.4747360012696538</c:v>
                </c:pt>
                <c:pt idx="892">
                  <c:v>-1.5328762452655018</c:v>
                </c:pt>
                <c:pt idx="893">
                  <c:v>-1.5222652035492397</c:v>
                </c:pt>
                <c:pt idx="894">
                  <c:v>-1.4151742582312634</c:v>
                </c:pt>
                <c:pt idx="895">
                  <c:v>-1.3057790102295765</c:v>
                </c:pt>
                <c:pt idx="896">
                  <c:v>-1.2546366735170162</c:v>
                </c:pt>
                <c:pt idx="897">
                  <c:v>-1.2179152497829955</c:v>
                </c:pt>
                <c:pt idx="898">
                  <c:v>-1.229348029801552</c:v>
                </c:pt>
                <c:pt idx="899">
                  <c:v>-1.2202284240824464</c:v>
                </c:pt>
                <c:pt idx="900">
                  <c:v>-1.2422872766551167</c:v>
                </c:pt>
                <c:pt idx="901">
                  <c:v>-1.1911331819472222</c:v>
                </c:pt>
                <c:pt idx="902">
                  <c:v>-1.1469425846222692</c:v>
                </c:pt>
                <c:pt idx="903">
                  <c:v>-1.1149405163231936</c:v>
                </c:pt>
                <c:pt idx="904">
                  <c:v>-1.1511066616039656</c:v>
                </c:pt>
                <c:pt idx="905">
                  <c:v>-1.1172703861220634</c:v>
                </c:pt>
                <c:pt idx="906">
                  <c:v>-1.0364552728505598</c:v>
                </c:pt>
                <c:pt idx="907">
                  <c:v>-1.0199316714236775</c:v>
                </c:pt>
                <c:pt idx="908">
                  <c:v>-1.041384668199302</c:v>
                </c:pt>
                <c:pt idx="909">
                  <c:v>-0.77420522430894445</c:v>
                </c:pt>
                <c:pt idx="910">
                  <c:v>-0.62562065393643451</c:v>
                </c:pt>
                <c:pt idx="911">
                  <c:v>-0.67780513999707892</c:v>
                </c:pt>
                <c:pt idx="912">
                  <c:v>-0.98553487660467842</c:v>
                </c:pt>
                <c:pt idx="913">
                  <c:v>-1.0811528674935045</c:v>
                </c:pt>
                <c:pt idx="914">
                  <c:v>-0.97005450292801554</c:v>
                </c:pt>
                <c:pt idx="915">
                  <c:v>-0.87041237014725292</c:v>
                </c:pt>
                <c:pt idx="916">
                  <c:v>-0.93029692076691495</c:v>
                </c:pt>
                <c:pt idx="917">
                  <c:v>-0.96091700854090245</c:v>
                </c:pt>
                <c:pt idx="918">
                  <c:v>-0.97154631932509083</c:v>
                </c:pt>
                <c:pt idx="919">
                  <c:v>-0.88420058291701242</c:v>
                </c:pt>
                <c:pt idx="920">
                  <c:v>-0.62428004547406057</c:v>
                </c:pt>
                <c:pt idx="921">
                  <c:v>-0.45011015990843828</c:v>
                </c:pt>
                <c:pt idx="922">
                  <c:v>-0.1867232441387979</c:v>
                </c:pt>
                <c:pt idx="923">
                  <c:v>-0.35881597660650538</c:v>
                </c:pt>
                <c:pt idx="924">
                  <c:v>-0.5137038469798586</c:v>
                </c:pt>
                <c:pt idx="925">
                  <c:v>-0.75418502110113383</c:v>
                </c:pt>
                <c:pt idx="926">
                  <c:v>-0.82882961557036083</c:v>
                </c:pt>
                <c:pt idx="927">
                  <c:v>-0.9335126828327075</c:v>
                </c:pt>
                <c:pt idx="928">
                  <c:v>-1.0416553398115025</c:v>
                </c:pt>
                <c:pt idx="929">
                  <c:v>-1.1200515263170312</c:v>
                </c:pt>
                <c:pt idx="930">
                  <c:v>-1.1775772662413866</c:v>
                </c:pt>
                <c:pt idx="931">
                  <c:v>-1.1431206234006499</c:v>
                </c:pt>
                <c:pt idx="932">
                  <c:v>-1.2299644885698806</c:v>
                </c:pt>
                <c:pt idx="933">
                  <c:v>-1.1115521240984361</c:v>
                </c:pt>
                <c:pt idx="934">
                  <c:v>-0.88447807014018609</c:v>
                </c:pt>
                <c:pt idx="935">
                  <c:v>-0.53353561307969122</c:v>
                </c:pt>
                <c:pt idx="936">
                  <c:v>-0.41965188080895155</c:v>
                </c:pt>
                <c:pt idx="937">
                  <c:v>-0.5327514797946129</c:v>
                </c:pt>
                <c:pt idx="938">
                  <c:v>-0.57432971559979273</c:v>
                </c:pt>
                <c:pt idx="939">
                  <c:v>-0.72060809812264826</c:v>
                </c:pt>
                <c:pt idx="940">
                  <c:v>-0.92141130971025031</c:v>
                </c:pt>
                <c:pt idx="941">
                  <c:v>-0.86393926418257905</c:v>
                </c:pt>
                <c:pt idx="942">
                  <c:v>-0.54095139782587076</c:v>
                </c:pt>
                <c:pt idx="943">
                  <c:v>-0.26110009759047653</c:v>
                </c:pt>
                <c:pt idx="944">
                  <c:v>-0.36358083841404448</c:v>
                </c:pt>
                <c:pt idx="945">
                  <c:v>-0.50221556078512808</c:v>
                </c:pt>
                <c:pt idx="946">
                  <c:v>-0.5976953974027821</c:v>
                </c:pt>
                <c:pt idx="947">
                  <c:v>-0.74082859407676771</c:v>
                </c:pt>
                <c:pt idx="948">
                  <c:v>-0.7615193701494819</c:v>
                </c:pt>
                <c:pt idx="949">
                  <c:v>-0.62954288578298512</c:v>
                </c:pt>
                <c:pt idx="950">
                  <c:v>-0.40177021739335211</c:v>
                </c:pt>
                <c:pt idx="951">
                  <c:v>-0.35680664309244498</c:v>
                </c:pt>
                <c:pt idx="952">
                  <c:v>-0.50920582266104386</c:v>
                </c:pt>
                <c:pt idx="953">
                  <c:v>-0.54211798149842227</c:v>
                </c:pt>
                <c:pt idx="954">
                  <c:v>-0.46336689960040073</c:v>
                </c:pt>
                <c:pt idx="955">
                  <c:v>-0.20307460015088208</c:v>
                </c:pt>
                <c:pt idx="956">
                  <c:v>-0.20219833213552837</c:v>
                </c:pt>
                <c:pt idx="957">
                  <c:v>-0.4313540716696232</c:v>
                </c:pt>
                <c:pt idx="958">
                  <c:v>-0.7032306757895791</c:v>
                </c:pt>
                <c:pt idx="959">
                  <c:v>-0.83315663212130031</c:v>
                </c:pt>
                <c:pt idx="960">
                  <c:v>-0.89966491511762425</c:v>
                </c:pt>
                <c:pt idx="961">
                  <c:v>-0.94439832266098411</c:v>
                </c:pt>
                <c:pt idx="962">
                  <c:v>-1.0129720232700199</c:v>
                </c:pt>
                <c:pt idx="963">
                  <c:v>-1.0416809048005782</c:v>
                </c:pt>
                <c:pt idx="964">
                  <c:v>-1.0777376945714019</c:v>
                </c:pt>
                <c:pt idx="965">
                  <c:v>-1.0953059082149792</c:v>
                </c:pt>
                <c:pt idx="966">
                  <c:v>-1.0577089783981422</c:v>
                </c:pt>
                <c:pt idx="967">
                  <c:v>-0.85991249192231389</c:v>
                </c:pt>
                <c:pt idx="968">
                  <c:v>-0.64648828163453032</c:v>
                </c:pt>
                <c:pt idx="969">
                  <c:v>-0.49375365505055452</c:v>
                </c:pt>
                <c:pt idx="970">
                  <c:v>-0.48966583404811415</c:v>
                </c:pt>
                <c:pt idx="971">
                  <c:v>-0.48553292048607849</c:v>
                </c:pt>
                <c:pt idx="972">
                  <c:v>-0.4813541280119637</c:v>
                </c:pt>
                <c:pt idx="973">
                  <c:v>-0.47712865164743173</c:v>
                </c:pt>
                <c:pt idx="974">
                  <c:v>-0.47285566611718394</c:v>
                </c:pt>
                <c:pt idx="975">
                  <c:v>-0.5857525769421591</c:v>
                </c:pt>
                <c:pt idx="976">
                  <c:v>-0.67145173719621687</c:v>
                </c:pt>
                <c:pt idx="977">
                  <c:v>-0.70807108841724153</c:v>
                </c:pt>
                <c:pt idx="978">
                  <c:v>-0.64891927591894671</c:v>
                </c:pt>
                <c:pt idx="979">
                  <c:v>-0.48920401022431131</c:v>
                </c:pt>
                <c:pt idx="980">
                  <c:v>-0.31922025602788479</c:v>
                </c:pt>
                <c:pt idx="981">
                  <c:v>-0.23484029712262644</c:v>
                </c:pt>
                <c:pt idx="982">
                  <c:v>-0.37859853198039045</c:v>
                </c:pt>
                <c:pt idx="983">
                  <c:v>-0.5916587186417599</c:v>
                </c:pt>
                <c:pt idx="984">
                  <c:v>-0.71342713526558599</c:v>
                </c:pt>
                <c:pt idx="985">
                  <c:v>-0.75650374899504758</c:v>
                </c:pt>
                <c:pt idx="986">
                  <c:v>-0.76774947029137885</c:v>
                </c:pt>
                <c:pt idx="987">
                  <c:v>-0.78736753214111266</c:v>
                </c:pt>
                <c:pt idx="988">
                  <c:v>-0.76587248219955362</c:v>
                </c:pt>
                <c:pt idx="989">
                  <c:v>-0.81277219796587608</c:v>
                </c:pt>
                <c:pt idx="990">
                  <c:v>-0.84442474754324748</c:v>
                </c:pt>
                <c:pt idx="991">
                  <c:v>-0.80517813344822475</c:v>
                </c:pt>
                <c:pt idx="992">
                  <c:v>-0.61161819689586938</c:v>
                </c:pt>
                <c:pt idx="993">
                  <c:v>-0.45811092325084229</c:v>
                </c:pt>
                <c:pt idx="994">
                  <c:v>-0.74280455149595281</c:v>
                </c:pt>
                <c:pt idx="995">
                  <c:v>-1.0183902671097309</c:v>
                </c:pt>
                <c:pt idx="996">
                  <c:v>-1.150024177380339</c:v>
                </c:pt>
                <c:pt idx="997">
                  <c:v>-0.96867593455741263</c:v>
                </c:pt>
                <c:pt idx="998">
                  <c:v>-0.8821502784007893</c:v>
                </c:pt>
                <c:pt idx="999">
                  <c:v>-0.88140958223807953</c:v>
                </c:pt>
                <c:pt idx="1000">
                  <c:v>-0.91882054742862318</c:v>
                </c:pt>
                <c:pt idx="1001">
                  <c:v>-1.1173583348012499</c:v>
                </c:pt>
                <c:pt idx="1002">
                  <c:v>-1.204088545589008</c:v>
                </c:pt>
                <c:pt idx="1003">
                  <c:v>-1.1879672269528612</c:v>
                </c:pt>
                <c:pt idx="1004">
                  <c:v>-1.0054853233259169</c:v>
                </c:pt>
                <c:pt idx="1005">
                  <c:v>-0.96140212828889327</c:v>
                </c:pt>
                <c:pt idx="1006">
                  <c:v>-0.96021519967716307</c:v>
                </c:pt>
                <c:pt idx="1007">
                  <c:v>-0.9786453003779485</c:v>
                </c:pt>
                <c:pt idx="1008">
                  <c:v>-0.95913330457060575</c:v>
                </c:pt>
                <c:pt idx="1009">
                  <c:v>-0.9361033376415927</c:v>
                </c:pt>
                <c:pt idx="1010">
                  <c:v>-0.94331737610577893</c:v>
                </c:pt>
                <c:pt idx="1011">
                  <c:v>-0.91553582905150999</c:v>
                </c:pt>
                <c:pt idx="1012">
                  <c:v>-0.92519545422138483</c:v>
                </c:pt>
                <c:pt idx="1013">
                  <c:v>-0.87005765900061682</c:v>
                </c:pt>
                <c:pt idx="1014">
                  <c:v>-0.94454220524422683</c:v>
                </c:pt>
                <c:pt idx="1015">
                  <c:v>-0.93562400568246507</c:v>
                </c:pt>
                <c:pt idx="1016">
                  <c:v>-0.98328020325369625</c:v>
                </c:pt>
                <c:pt idx="1017">
                  <c:v>-0.92476751864418094</c:v>
                </c:pt>
                <c:pt idx="1018">
                  <c:v>-0.9168061877930942</c:v>
                </c:pt>
                <c:pt idx="1019">
                  <c:v>-0.93622223213894173</c:v>
                </c:pt>
                <c:pt idx="1020">
                  <c:v>-0.97486855451017052</c:v>
                </c:pt>
                <c:pt idx="1021">
                  <c:v>-0.98347488282087048</c:v>
                </c:pt>
                <c:pt idx="1022">
                  <c:v>-0.96401486396787017</c:v>
                </c:pt>
                <c:pt idx="1023">
                  <c:v>-0.9348309022288287</c:v>
                </c:pt>
                <c:pt idx="1024">
                  <c:v>-0.94248338079109206</c:v>
                </c:pt>
                <c:pt idx="1025">
                  <c:v>-0.89387082507426985</c:v>
                </c:pt>
                <c:pt idx="1026">
                  <c:v>-0.87091509569757808</c:v>
                </c:pt>
                <c:pt idx="1027">
                  <c:v>-0.8283855395086559</c:v>
                </c:pt>
                <c:pt idx="1028">
                  <c:v>-0.84276891859509229</c:v>
                </c:pt>
                <c:pt idx="1029">
                  <c:v>-0.81945953029926122</c:v>
                </c:pt>
                <c:pt idx="1030">
                  <c:v>-0.83115596074257159</c:v>
                </c:pt>
                <c:pt idx="1031">
                  <c:v>-0.81444710097391881</c:v>
                </c:pt>
                <c:pt idx="1032">
                  <c:v>-0.80704258245463356</c:v>
                </c:pt>
                <c:pt idx="1033">
                  <c:v>-0.73546287752364325</c:v>
                </c:pt>
                <c:pt idx="1034">
                  <c:v>-0.73220431635821059</c:v>
                </c:pt>
                <c:pt idx="1035">
                  <c:v>-0.77367348054494867</c:v>
                </c:pt>
                <c:pt idx="1036">
                  <c:v>-0.86193524775332653</c:v>
                </c:pt>
                <c:pt idx="1037">
                  <c:v>-0.89634963038357596</c:v>
                </c:pt>
                <c:pt idx="1038">
                  <c:v>-0.95276932966853656</c:v>
                </c:pt>
                <c:pt idx="1039">
                  <c:v>-0.96132842647611783</c:v>
                </c:pt>
                <c:pt idx="1040">
                  <c:v>-0.98482664674973641</c:v>
                </c:pt>
                <c:pt idx="1041">
                  <c:v>-1.0212354338102694</c:v>
                </c:pt>
                <c:pt idx="1042">
                  <c:v>-1.037719634954372</c:v>
                </c:pt>
                <c:pt idx="1043">
                  <c:v>-0.99043928356161082</c:v>
                </c:pt>
                <c:pt idx="1044">
                  <c:v>-0.95058572555035992</c:v>
                </c:pt>
                <c:pt idx="1045">
                  <c:v>-0.95765667104561203</c:v>
                </c:pt>
                <c:pt idx="1046">
                  <c:v>-1.2083513312564442</c:v>
                </c:pt>
                <c:pt idx="1047">
                  <c:v>-1.0119640835347425</c:v>
                </c:pt>
                <c:pt idx="1048">
                  <c:v>-0.65127085518205885</c:v>
                </c:pt>
                <c:pt idx="1049">
                  <c:v>-8.6795742024535036E-2</c:v>
                </c:pt>
                <c:pt idx="1050">
                  <c:v>8.4003403704758797E-2</c:v>
                </c:pt>
                <c:pt idx="1051">
                  <c:v>-2.7239601716665209E-3</c:v>
                </c:pt>
                <c:pt idx="1052">
                  <c:v>-1.9573051941507793E-2</c:v>
                </c:pt>
                <c:pt idx="1053">
                  <c:v>-7.2238625010185034E-2</c:v>
                </c:pt>
                <c:pt idx="1054">
                  <c:v>-0.25025068237079207</c:v>
                </c:pt>
                <c:pt idx="1055">
                  <c:v>-0.47294449537700983</c:v>
                </c:pt>
                <c:pt idx="1056">
                  <c:v>-0.75271127958605477</c:v>
                </c:pt>
                <c:pt idx="1057">
                  <c:v>-0.85090167088271984</c:v>
                </c:pt>
                <c:pt idx="1058">
                  <c:v>-1.0335427848490859</c:v>
                </c:pt>
                <c:pt idx="1059">
                  <c:v>-1.0675248567645184</c:v>
                </c:pt>
                <c:pt idx="1060">
                  <c:v>-1.0869459244966453</c:v>
                </c:pt>
                <c:pt idx="1061">
                  <c:v>-1.0470574327743585</c:v>
                </c:pt>
                <c:pt idx="1062">
                  <c:v>-0.96636003191071707</c:v>
                </c:pt>
                <c:pt idx="1063">
                  <c:v>-0.93260474385085157</c:v>
                </c:pt>
                <c:pt idx="1064">
                  <c:v>-0.94002180594807605</c:v>
                </c:pt>
                <c:pt idx="1065">
                  <c:v>-1.0892586148464518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28-42DD-8D04-30020661C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Total!$C$2:$C$16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10.298052630000001</c:v>
                      </c:pt>
                      <c:pt idx="1">
                        <c:v>11.76807767</c:v>
                      </c:pt>
                      <c:pt idx="2">
                        <c:v>12.140504849999999</c:v>
                      </c:pt>
                      <c:pt idx="3">
                        <c:v>12.681927460000001</c:v>
                      </c:pt>
                      <c:pt idx="4">
                        <c:v>12.90434014</c:v>
                      </c:pt>
                      <c:pt idx="5">
                        <c:v>13.4115</c:v>
                      </c:pt>
                      <c:pt idx="6">
                        <c:v>15.297745450000001</c:v>
                      </c:pt>
                      <c:pt idx="7">
                        <c:v>17.630333329999999</c:v>
                      </c:pt>
                      <c:pt idx="8">
                        <c:v>19.789979379999998</c:v>
                      </c:pt>
                      <c:pt idx="9">
                        <c:v>22.102144330000002</c:v>
                      </c:pt>
                      <c:pt idx="10">
                        <c:v>26.142461539999999</c:v>
                      </c:pt>
                      <c:pt idx="11">
                        <c:v>29.47625532</c:v>
                      </c:pt>
                      <c:pt idx="12">
                        <c:v>30.86361905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Total!$E$2:$E$16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</c:v>
                      </c:pt>
                      <c:pt idx="1">
                        <c:v>73</c:v>
                      </c:pt>
                      <c:pt idx="2">
                        <c:v>59</c:v>
                      </c:pt>
                      <c:pt idx="3">
                        <c:v>99</c:v>
                      </c:pt>
                      <c:pt idx="4">
                        <c:v>343.27</c:v>
                      </c:pt>
                      <c:pt idx="5">
                        <c:v>18</c:v>
                      </c:pt>
                      <c:pt idx="6">
                        <c:v>1230.45</c:v>
                      </c:pt>
                      <c:pt idx="7">
                        <c:v>16</c:v>
                      </c:pt>
                      <c:pt idx="8">
                        <c:v>34</c:v>
                      </c:pt>
                      <c:pt idx="9">
                        <c:v>31</c:v>
                      </c:pt>
                      <c:pt idx="10">
                        <c:v>167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C28-42DD-8D04-30020661C3CE}"/>
                  </c:ext>
                </c:extLst>
              </c15:ser>
            </c15:filteredScatterSeries>
          </c:ext>
        </c:extLst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General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74530678862235E-2"/>
          <c:y val="9.3967613724509083E-2"/>
          <c:w val="0.89823935785514575"/>
          <c:h val="0.81206477255098186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SST!$B$2:$B$16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SST!$C$2:$C$16</c:f>
              <c:numCache>
                <c:formatCode>General</c:formatCode>
                <c:ptCount val="15"/>
                <c:pt idx="0">
                  <c:v>24.63</c:v>
                </c:pt>
                <c:pt idx="1">
                  <c:v>24.81</c:v>
                </c:pt>
                <c:pt idx="2">
                  <c:v>24.5</c:v>
                </c:pt>
                <c:pt idx="3">
                  <c:v>24.02</c:v>
                </c:pt>
                <c:pt idx="4">
                  <c:v>23.83</c:v>
                </c:pt>
                <c:pt idx="5">
                  <c:v>23.38</c:v>
                </c:pt>
                <c:pt idx="6">
                  <c:v>22.83</c:v>
                </c:pt>
                <c:pt idx="7">
                  <c:v>21.91</c:v>
                </c:pt>
                <c:pt idx="8">
                  <c:v>22.3</c:v>
                </c:pt>
                <c:pt idx="9">
                  <c:v>21.72</c:v>
                </c:pt>
                <c:pt idx="10">
                  <c:v>21.51</c:v>
                </c:pt>
                <c:pt idx="11">
                  <c:v>22.84</c:v>
                </c:pt>
                <c:pt idx="12">
                  <c:v>22.71</c:v>
                </c:pt>
                <c:pt idx="13">
                  <c:v>22.66</c:v>
                </c:pt>
                <c:pt idx="14">
                  <c:v>22.69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59-414E-B414-87C633647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0.00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169084867669398E-2"/>
          <c:y val="9.4336063245337817E-2"/>
          <c:w val="0.89611226907614605"/>
          <c:h val="0.81132787350932434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'[1]T89-16t'!$F$6:$F$69</c:f>
              <c:numCache>
                <c:formatCode>General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'[1]T89-16t'!$BM$6:$BM$69</c:f>
              <c:numCache>
                <c:formatCode>General</c:formatCode>
                <c:ptCount val="64"/>
                <c:pt idx="0">
                  <c:v>39.805825242718448</c:v>
                </c:pt>
                <c:pt idx="1">
                  <c:v>39.393939393939391</c:v>
                </c:pt>
                <c:pt idx="2">
                  <c:v>29.10662824207493</c:v>
                </c:pt>
                <c:pt idx="3">
                  <c:v>30.769230769230774</c:v>
                </c:pt>
                <c:pt idx="4">
                  <c:v>28.409090909090907</c:v>
                </c:pt>
                <c:pt idx="5">
                  <c:v>35.059760956175296</c:v>
                </c:pt>
                <c:pt idx="6">
                  <c:v>26.771653543307085</c:v>
                </c:pt>
                <c:pt idx="7">
                  <c:v>32.142857142857139</c:v>
                </c:pt>
                <c:pt idx="8">
                  <c:v>35.978835978835981</c:v>
                </c:pt>
                <c:pt idx="9">
                  <c:v>34.513274336283189</c:v>
                </c:pt>
                <c:pt idx="10">
                  <c:v>22.279792746113987</c:v>
                </c:pt>
                <c:pt idx="11">
                  <c:v>30.987544483985765</c:v>
                </c:pt>
                <c:pt idx="12">
                  <c:v>23.660714285714288</c:v>
                </c:pt>
                <c:pt idx="13">
                  <c:v>34.814814814814817</c:v>
                </c:pt>
                <c:pt idx="14">
                  <c:v>29.42942942942943</c:v>
                </c:pt>
                <c:pt idx="15">
                  <c:v>29.209621993127147</c:v>
                </c:pt>
                <c:pt idx="16">
                  <c:v>43.53518821603928</c:v>
                </c:pt>
                <c:pt idx="17">
                  <c:v>39.344262295081968</c:v>
                </c:pt>
                <c:pt idx="18">
                  <c:v>41.255605381165921</c:v>
                </c:pt>
                <c:pt idx="19">
                  <c:v>39.432989690721655</c:v>
                </c:pt>
                <c:pt idx="20">
                  <c:v>48.259860788863108</c:v>
                </c:pt>
                <c:pt idx="21">
                  <c:v>47.285067873303163</c:v>
                </c:pt>
                <c:pt idx="22">
                  <c:v>51.091703056768559</c:v>
                </c:pt>
                <c:pt idx="23">
                  <c:v>46.982758620689658</c:v>
                </c:pt>
                <c:pt idx="24">
                  <c:v>47.441860465116278</c:v>
                </c:pt>
                <c:pt idx="25">
                  <c:v>49.137931034482762</c:v>
                </c:pt>
                <c:pt idx="26">
                  <c:v>47.229551451187334</c:v>
                </c:pt>
                <c:pt idx="27">
                  <c:v>51.918158567774938</c:v>
                </c:pt>
                <c:pt idx="28">
                  <c:v>50.323974082073434</c:v>
                </c:pt>
                <c:pt idx="29">
                  <c:v>57.294429708222808</c:v>
                </c:pt>
                <c:pt idx="30">
                  <c:v>59.872611464968152</c:v>
                </c:pt>
                <c:pt idx="31">
                  <c:v>56.934306569343065</c:v>
                </c:pt>
                <c:pt idx="32">
                  <c:v>46.808510638297875</c:v>
                </c:pt>
                <c:pt idx="33">
                  <c:v>56.798245614035089</c:v>
                </c:pt>
                <c:pt idx="34">
                  <c:v>61.420345489443378</c:v>
                </c:pt>
                <c:pt idx="35">
                  <c:v>61.202185792349724</c:v>
                </c:pt>
                <c:pt idx="36">
                  <c:v>49.291784702549577</c:v>
                </c:pt>
                <c:pt idx="37">
                  <c:v>51.785714285714285</c:v>
                </c:pt>
                <c:pt idx="38">
                  <c:v>65</c:v>
                </c:pt>
                <c:pt idx="39">
                  <c:v>69.426751592356695</c:v>
                </c:pt>
                <c:pt idx="40">
                  <c:v>61.712846347607055</c:v>
                </c:pt>
                <c:pt idx="41">
                  <c:v>61.933534743202415</c:v>
                </c:pt>
                <c:pt idx="42">
                  <c:v>63.768115942028984</c:v>
                </c:pt>
                <c:pt idx="43">
                  <c:v>60.298507462686572</c:v>
                </c:pt>
                <c:pt idx="44">
                  <c:v>67.302452316076298</c:v>
                </c:pt>
                <c:pt idx="45">
                  <c:v>59.641255605381161</c:v>
                </c:pt>
                <c:pt idx="46">
                  <c:v>29.337539432176655</c:v>
                </c:pt>
                <c:pt idx="47">
                  <c:v>64.238410596026483</c:v>
                </c:pt>
                <c:pt idx="48">
                  <c:v>59.620596205962066</c:v>
                </c:pt>
                <c:pt idx="49">
                  <c:v>63.723150357995216</c:v>
                </c:pt>
                <c:pt idx="50">
                  <c:v>58.373205741626791</c:v>
                </c:pt>
                <c:pt idx="51">
                  <c:v>55.090311986863711</c:v>
                </c:pt>
                <c:pt idx="52">
                  <c:v>53.225806451612904</c:v>
                </c:pt>
                <c:pt idx="53">
                  <c:v>56.779661016949156</c:v>
                </c:pt>
                <c:pt idx="54">
                  <c:v>65.298507462686572</c:v>
                </c:pt>
                <c:pt idx="55">
                  <c:v>67.771084337349407</c:v>
                </c:pt>
                <c:pt idx="56">
                  <c:v>64.39169139465875</c:v>
                </c:pt>
                <c:pt idx="57">
                  <c:v>71.080139372822302</c:v>
                </c:pt>
                <c:pt idx="58">
                  <c:v>67.156862745098039</c:v>
                </c:pt>
                <c:pt idx="59">
                  <c:v>65.78947368421052</c:v>
                </c:pt>
                <c:pt idx="60">
                  <c:v>63.815789473684212</c:v>
                </c:pt>
                <c:pt idx="61">
                  <c:v>66.268656716417908</c:v>
                </c:pt>
                <c:pt idx="62">
                  <c:v>72.987012987012989</c:v>
                </c:pt>
                <c:pt idx="63">
                  <c:v>68.281938325991192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81-4D21-AA04-0C6082024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General" sourceLinked="1"/>
        <c:majorTickMark val="out"/>
        <c:minorTickMark val="none"/>
        <c:tickLblPos val="nextTo"/>
        <c:crossAx val="1089266600"/>
        <c:crosses val="autoZero"/>
        <c:crossBetween val="midCat"/>
      </c:valAx>
      <c:valAx>
        <c:axId val="1089266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306526099132934"/>
          <c:y val="9.3291769572767497E-2"/>
          <c:w val="0.87524375188553993"/>
          <c:h val="0.81341646085446506"/>
        </c:manualLayout>
      </c:layout>
      <c:scatterChart>
        <c:scatterStyle val="lineMarker"/>
        <c:varyColors val="0"/>
        <c:ser>
          <c:idx val="1"/>
          <c:order val="1"/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Total!$H$2:$H$16</c:f>
              <c:numCache>
                <c:formatCode>0%</c:formatCode>
                <c:ptCount val="15"/>
                <c:pt idx="0">
                  <c:v>0</c:v>
                </c:pt>
                <c:pt idx="1">
                  <c:v>0.20547945205479451</c:v>
                </c:pt>
                <c:pt idx="2">
                  <c:v>6.7796610169491525E-2</c:v>
                </c:pt>
                <c:pt idx="3">
                  <c:v>0.13793103448275862</c:v>
                </c:pt>
                <c:pt idx="4">
                  <c:v>0.24576271186440679</c:v>
                </c:pt>
                <c:pt idx="5">
                  <c:v>5.5555555555555552E-2</c:v>
                </c:pt>
                <c:pt idx="6">
                  <c:v>0.32214765100671139</c:v>
                </c:pt>
                <c:pt idx="7">
                  <c:v>6.25E-2</c:v>
                </c:pt>
                <c:pt idx="8">
                  <c:v>0.23529411764705882</c:v>
                </c:pt>
                <c:pt idx="9">
                  <c:v>0.16129032258064516</c:v>
                </c:pt>
                <c:pt idx="10">
                  <c:v>0.31736526946107785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2BF-409D-BD94-37324BDAA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1750"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SST!$B$2:$B$16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10.298052630000001</c:v>
                      </c:pt>
                      <c:pt idx="1">
                        <c:v>11.76807767</c:v>
                      </c:pt>
                      <c:pt idx="2">
                        <c:v>12.140504849999999</c:v>
                      </c:pt>
                      <c:pt idx="3">
                        <c:v>12.681927460000001</c:v>
                      </c:pt>
                      <c:pt idx="4">
                        <c:v>12.90434014</c:v>
                      </c:pt>
                      <c:pt idx="5">
                        <c:v>13.4115</c:v>
                      </c:pt>
                      <c:pt idx="6">
                        <c:v>15.297745450000001</c:v>
                      </c:pt>
                      <c:pt idx="7">
                        <c:v>17.630333330000003</c:v>
                      </c:pt>
                      <c:pt idx="8">
                        <c:v>19.789979380000002</c:v>
                      </c:pt>
                      <c:pt idx="9">
                        <c:v>22.102144329999998</c:v>
                      </c:pt>
                      <c:pt idx="10">
                        <c:v>26.142461539999999</c:v>
                      </c:pt>
                      <c:pt idx="11">
                        <c:v>29.47625532</c:v>
                      </c:pt>
                      <c:pt idx="12">
                        <c:v>30.86361905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SST!$C$2:$C$16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24.63</c:v>
                      </c:pt>
                      <c:pt idx="1">
                        <c:v>24.81</c:v>
                      </c:pt>
                      <c:pt idx="2">
                        <c:v>24.5</c:v>
                      </c:pt>
                      <c:pt idx="3">
                        <c:v>24.02</c:v>
                      </c:pt>
                      <c:pt idx="4">
                        <c:v>23.83</c:v>
                      </c:pt>
                      <c:pt idx="5">
                        <c:v>23.38</c:v>
                      </c:pt>
                      <c:pt idx="6">
                        <c:v>22.83</c:v>
                      </c:pt>
                      <c:pt idx="7">
                        <c:v>21.91</c:v>
                      </c:pt>
                      <c:pt idx="8">
                        <c:v>22.3</c:v>
                      </c:pt>
                      <c:pt idx="9">
                        <c:v>21.72</c:v>
                      </c:pt>
                      <c:pt idx="10">
                        <c:v>21.51</c:v>
                      </c:pt>
                      <c:pt idx="11">
                        <c:v>22.84</c:v>
                      </c:pt>
                      <c:pt idx="12">
                        <c:v>22.71</c:v>
                      </c:pt>
                      <c:pt idx="13">
                        <c:v>22.66</c:v>
                      </c:pt>
                      <c:pt idx="14">
                        <c:v>22.69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2BF-409D-BD94-37324BDAAE34}"/>
                  </c:ext>
                </c:extLst>
              </c15:ser>
            </c15:filteredScatterSeries>
          </c:ext>
        </c:extLst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0.00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nl-NL"/>
          </a:p>
        </c:txPr>
        <c:crossAx val="10892612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99900936855616E-2"/>
          <c:y val="9.3859124559136781E-2"/>
          <c:w val="0.89308145300695974"/>
          <c:h val="0.81228175088172638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'[1]T89-16t'!$F$6:$F$69</c:f>
              <c:numCache>
                <c:formatCode>General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'[1]T89-16t'!$BN$6:$BN$69</c:f>
              <c:numCache>
                <c:formatCode>General</c:formatCode>
                <c:ptCount val="64"/>
                <c:pt idx="0">
                  <c:v>13.592233009708737</c:v>
                </c:pt>
                <c:pt idx="1">
                  <c:v>18.181818181818183</c:v>
                </c:pt>
                <c:pt idx="2">
                  <c:v>32.853025936599394</c:v>
                </c:pt>
                <c:pt idx="3">
                  <c:v>33.333333333333336</c:v>
                </c:pt>
                <c:pt idx="4">
                  <c:v>39.772727272727273</c:v>
                </c:pt>
                <c:pt idx="5">
                  <c:v>31.474103585657371</c:v>
                </c:pt>
                <c:pt idx="6">
                  <c:v>35.433070866141733</c:v>
                </c:pt>
                <c:pt idx="7">
                  <c:v>30.612244897959183</c:v>
                </c:pt>
                <c:pt idx="8">
                  <c:v>33.862433862433861</c:v>
                </c:pt>
                <c:pt idx="9">
                  <c:v>34.955752212389378</c:v>
                </c:pt>
                <c:pt idx="10">
                  <c:v>36.269430051813472</c:v>
                </c:pt>
                <c:pt idx="11">
                  <c:v>40.258007117437721</c:v>
                </c:pt>
                <c:pt idx="12">
                  <c:v>40.625</c:v>
                </c:pt>
                <c:pt idx="13">
                  <c:v>34.814814814814817</c:v>
                </c:pt>
                <c:pt idx="14">
                  <c:v>28.828828828828829</c:v>
                </c:pt>
                <c:pt idx="15">
                  <c:v>40.893470790378004</c:v>
                </c:pt>
                <c:pt idx="16">
                  <c:v>25.695581014729953</c:v>
                </c:pt>
                <c:pt idx="17">
                  <c:v>27.634660421545668</c:v>
                </c:pt>
                <c:pt idx="18">
                  <c:v>24.215246636771301</c:v>
                </c:pt>
                <c:pt idx="19">
                  <c:v>18.298969072164951</c:v>
                </c:pt>
                <c:pt idx="20">
                  <c:v>16.705336426914155</c:v>
                </c:pt>
                <c:pt idx="21">
                  <c:v>15.384615384615383</c:v>
                </c:pt>
                <c:pt idx="22">
                  <c:v>14.410480349344978</c:v>
                </c:pt>
                <c:pt idx="23">
                  <c:v>15.086206896551724</c:v>
                </c:pt>
                <c:pt idx="24">
                  <c:v>15.813953488372093</c:v>
                </c:pt>
                <c:pt idx="25">
                  <c:v>15.517241379310345</c:v>
                </c:pt>
                <c:pt idx="26">
                  <c:v>14.248021108179419</c:v>
                </c:pt>
                <c:pt idx="27">
                  <c:v>10.997442455242966</c:v>
                </c:pt>
                <c:pt idx="28">
                  <c:v>9.0712742980561565</c:v>
                </c:pt>
                <c:pt idx="29">
                  <c:v>6.6312997347480112</c:v>
                </c:pt>
                <c:pt idx="30">
                  <c:v>9.8726114649681538</c:v>
                </c:pt>
                <c:pt idx="31">
                  <c:v>14.111922141119221</c:v>
                </c:pt>
                <c:pt idx="32">
                  <c:v>14.042553191489361</c:v>
                </c:pt>
                <c:pt idx="33">
                  <c:v>6.5789473684210531</c:v>
                </c:pt>
                <c:pt idx="34">
                  <c:v>9.5969289827255295</c:v>
                </c:pt>
                <c:pt idx="35">
                  <c:v>9.8360655737704921</c:v>
                </c:pt>
                <c:pt idx="36">
                  <c:v>12.747875354107649</c:v>
                </c:pt>
                <c:pt idx="37">
                  <c:v>8.9285714285714288</c:v>
                </c:pt>
                <c:pt idx="38">
                  <c:v>3.9024390243902438</c:v>
                </c:pt>
                <c:pt idx="39">
                  <c:v>3.1847133757961785</c:v>
                </c:pt>
                <c:pt idx="40">
                  <c:v>4.7858942065491181</c:v>
                </c:pt>
                <c:pt idx="41">
                  <c:v>2.7190332326283988</c:v>
                </c:pt>
                <c:pt idx="42">
                  <c:v>2.6086956521739131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8.071748878923767</c:v>
                </c:pt>
                <c:pt idx="46">
                  <c:v>13.564668769716089</c:v>
                </c:pt>
                <c:pt idx="47">
                  <c:v>4.9668874172185431</c:v>
                </c:pt>
                <c:pt idx="48">
                  <c:v>4.0650406504065044</c:v>
                </c:pt>
                <c:pt idx="49">
                  <c:v>4.0572792362768499</c:v>
                </c:pt>
                <c:pt idx="50">
                  <c:v>4.545454545454545</c:v>
                </c:pt>
                <c:pt idx="51">
                  <c:v>7.6354679802955667</c:v>
                </c:pt>
                <c:pt idx="52">
                  <c:v>9.2741935483870961</c:v>
                </c:pt>
                <c:pt idx="53">
                  <c:v>8.1920903954802249</c:v>
                </c:pt>
                <c:pt idx="54">
                  <c:v>4.1044776119402986</c:v>
                </c:pt>
                <c:pt idx="55">
                  <c:v>5.4216867469879526</c:v>
                </c:pt>
                <c:pt idx="56">
                  <c:v>3.2640949554896141</c:v>
                </c:pt>
                <c:pt idx="57">
                  <c:v>1.0452961672473868</c:v>
                </c:pt>
                <c:pt idx="58">
                  <c:v>3.4313725490196081</c:v>
                </c:pt>
                <c:pt idx="59">
                  <c:v>3.5087719298245617</c:v>
                </c:pt>
                <c:pt idx="60">
                  <c:v>9.8684210526315788</c:v>
                </c:pt>
                <c:pt idx="61">
                  <c:v>3.2835820895522385</c:v>
                </c:pt>
                <c:pt idx="62">
                  <c:v>3.1168831168831166</c:v>
                </c:pt>
                <c:pt idx="63">
                  <c:v>3.9647577092511015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0F-4D3B-8CC5-E26B53214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xVal>
                  <c:numRef>
                    <c:extLst>
                      <c:ext uri="{02D57815-91ED-43cb-92C2-25804820EDAC}">
                        <c15:formulaRef>
                          <c15:sqref>Total!$C$2:$C$16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10.298052630000001</c:v>
                      </c:pt>
                      <c:pt idx="1">
                        <c:v>11.76807767</c:v>
                      </c:pt>
                      <c:pt idx="2">
                        <c:v>12.140504849999999</c:v>
                      </c:pt>
                      <c:pt idx="3">
                        <c:v>12.681927460000001</c:v>
                      </c:pt>
                      <c:pt idx="4">
                        <c:v>12.90434014</c:v>
                      </c:pt>
                      <c:pt idx="5">
                        <c:v>13.4115</c:v>
                      </c:pt>
                      <c:pt idx="6">
                        <c:v>15.297745450000001</c:v>
                      </c:pt>
                      <c:pt idx="7">
                        <c:v>17.630333329999999</c:v>
                      </c:pt>
                      <c:pt idx="8">
                        <c:v>19.789979379999998</c:v>
                      </c:pt>
                      <c:pt idx="9">
                        <c:v>22.102144330000002</c:v>
                      </c:pt>
                      <c:pt idx="10">
                        <c:v>26.142461539999999</c:v>
                      </c:pt>
                      <c:pt idx="11">
                        <c:v>29.47625532</c:v>
                      </c:pt>
                      <c:pt idx="12">
                        <c:v>30.86361905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Total!$J$2:$J$16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0.48</c:v>
                      </c:pt>
                      <c:pt idx="1">
                        <c:v>7.37</c:v>
                      </c:pt>
                      <c:pt idx="2">
                        <c:v>4.8600000000000003</c:v>
                      </c:pt>
                      <c:pt idx="3">
                        <c:v>9.4600000000000009</c:v>
                      </c:pt>
                      <c:pt idx="4">
                        <c:v>25.52</c:v>
                      </c:pt>
                      <c:pt idx="5">
                        <c:v>1.31</c:v>
                      </c:pt>
                      <c:pt idx="6">
                        <c:v>90.08</c:v>
                      </c:pt>
                      <c:pt idx="7">
                        <c:v>1.24</c:v>
                      </c:pt>
                      <c:pt idx="8">
                        <c:v>2.65</c:v>
                      </c:pt>
                      <c:pt idx="9">
                        <c:v>1.93</c:v>
                      </c:pt>
                      <c:pt idx="10">
                        <c:v>8.6</c:v>
                      </c:pt>
                      <c:pt idx="11">
                        <c:v>0.14000000000000001</c:v>
                      </c:pt>
                      <c:pt idx="12">
                        <c:v>0.19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A0F-4D3B-8CC5-E26B53214AF6}"/>
                  </c:ext>
                </c:extLst>
              </c15:ser>
            </c15:filteredScatterSeries>
          </c:ext>
        </c:extLst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General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'[1]XRF selectie'!$AB$1</c:f>
              <c:strCache>
                <c:ptCount val="1"/>
                <c:pt idx="0">
                  <c:v>ln Br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'[1]XRF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'[1]XRF selectie'!$AB$2:$AB$1067</c:f>
              <c:numCache>
                <c:formatCode>General</c:formatCode>
                <c:ptCount val="1066"/>
                <c:pt idx="0">
                  <c:v>-5.2773137012743945</c:v>
                </c:pt>
                <c:pt idx="1">
                  <c:v>-5.2856694600456313</c:v>
                </c:pt>
                <c:pt idx="2">
                  <c:v>-5.2585936781828879</c:v>
                </c:pt>
                <c:pt idx="3">
                  <c:v>-5.1981420802431488</c:v>
                </c:pt>
                <c:pt idx="4">
                  <c:v>-5.2510321927225592</c:v>
                </c:pt>
                <c:pt idx="5">
                  <c:v>-5.3314177315585125</c:v>
                </c:pt>
                <c:pt idx="6">
                  <c:v>-5.3978792321704692</c:v>
                </c:pt>
                <c:pt idx="7">
                  <c:v>-5.3348316636459918</c:v>
                </c:pt>
                <c:pt idx="8">
                  <c:v>-5.3611870198946141</c:v>
                </c:pt>
                <c:pt idx="9">
                  <c:v>-5.297339961169361</c:v>
                </c:pt>
                <c:pt idx="10">
                  <c:v>-5.2621598103059117</c:v>
                </c:pt>
                <c:pt idx="11">
                  <c:v>-5.2906809543275974</c:v>
                </c:pt>
                <c:pt idx="12">
                  <c:v>-5.2423107177165118</c:v>
                </c:pt>
                <c:pt idx="13">
                  <c:v>-5.1954995767225469</c:v>
                </c:pt>
                <c:pt idx="14">
                  <c:v>-5.2655407408929333</c:v>
                </c:pt>
                <c:pt idx="15">
                  <c:v>-5.2985404314608511</c:v>
                </c:pt>
                <c:pt idx="16">
                  <c:v>-5.3888187141911956</c:v>
                </c:pt>
                <c:pt idx="17">
                  <c:v>-5.3634154527226752</c:v>
                </c:pt>
                <c:pt idx="18">
                  <c:v>-5.3457045140018771</c:v>
                </c:pt>
                <c:pt idx="19">
                  <c:v>-5.3985745140621182</c:v>
                </c:pt>
                <c:pt idx="20">
                  <c:v>-5.3909795969647343</c:v>
                </c:pt>
                <c:pt idx="21">
                  <c:v>-5.4015773093554449</c:v>
                </c:pt>
                <c:pt idx="22">
                  <c:v>-5.4164484568680997</c:v>
                </c:pt>
                <c:pt idx="23">
                  <c:v>-5.4084202198857909</c:v>
                </c:pt>
                <c:pt idx="24">
                  <c:v>-5.3899345006680672</c:v>
                </c:pt>
                <c:pt idx="25">
                  <c:v>-5.4335737365925647</c:v>
                </c:pt>
                <c:pt idx="26">
                  <c:v>-5.428855974548024</c:v>
                </c:pt>
                <c:pt idx="27">
                  <c:v>-5.4375980546913638</c:v>
                </c:pt>
                <c:pt idx="28">
                  <c:v>-5.3685258591133369</c:v>
                </c:pt>
                <c:pt idx="29">
                  <c:v>-5.3640346123067761</c:v>
                </c:pt>
                <c:pt idx="30">
                  <c:v>-5.3732751482569006</c:v>
                </c:pt>
                <c:pt idx="31">
                  <c:v>-5.4524190900626746</c:v>
                </c:pt>
                <c:pt idx="32">
                  <c:v>-5.4330121446771331</c:v>
                </c:pt>
                <c:pt idx="33">
                  <c:v>-5.4239828417695133</c:v>
                </c:pt>
                <c:pt idx="34">
                  <c:v>-5.3879486740504703</c:v>
                </c:pt>
                <c:pt idx="35">
                  <c:v>-5.3820046262171166</c:v>
                </c:pt>
                <c:pt idx="36">
                  <c:v>-5.4549942061190624</c:v>
                </c:pt>
                <c:pt idx="37">
                  <c:v>-5.4126239727936891</c:v>
                </c:pt>
                <c:pt idx="38">
                  <c:v>-5.4151259015588415</c:v>
                </c:pt>
                <c:pt idx="39">
                  <c:v>-5.3946109272950169</c:v>
                </c:pt>
                <c:pt idx="40">
                  <c:v>-5.3605348767675167</c:v>
                </c:pt>
                <c:pt idx="41">
                  <c:v>-5.3878465109670746</c:v>
                </c:pt>
                <c:pt idx="42">
                  <c:v>-5.3890657528505281</c:v>
                </c:pt>
                <c:pt idx="43">
                  <c:v>-5.3902838293248481</c:v>
                </c:pt>
                <c:pt idx="44">
                  <c:v>-5.3915007415651575</c:v>
                </c:pt>
                <c:pt idx="45">
                  <c:v>-5.3532098994202704</c:v>
                </c:pt>
                <c:pt idx="46">
                  <c:v>-5.421799962480323</c:v>
                </c:pt>
                <c:pt idx="47">
                  <c:v>-5.388323497356593</c:v>
                </c:pt>
                <c:pt idx="48">
                  <c:v>-5.3370185841774989</c:v>
                </c:pt>
                <c:pt idx="49">
                  <c:v>-5.3463479408594505</c:v>
                </c:pt>
                <c:pt idx="50">
                  <c:v>-5.3324709768074605</c:v>
                </c:pt>
                <c:pt idx="51">
                  <c:v>-5.3245292785752616</c:v>
                </c:pt>
                <c:pt idx="52">
                  <c:v>-5.2876129488252044</c:v>
                </c:pt>
                <c:pt idx="53">
                  <c:v>-5.3003553806334454</c:v>
                </c:pt>
                <c:pt idx="54">
                  <c:v>-5.4261770535011413</c:v>
                </c:pt>
                <c:pt idx="55">
                  <c:v>-5.3950989965246787</c:v>
                </c:pt>
                <c:pt idx="56">
                  <c:v>-5.3512537914074425</c:v>
                </c:pt>
                <c:pt idx="57">
                  <c:v>-5.428645103531748</c:v>
                </c:pt>
                <c:pt idx="58">
                  <c:v>-5.394834973101446</c:v>
                </c:pt>
                <c:pt idx="59">
                  <c:v>-5.4643867542619988</c:v>
                </c:pt>
                <c:pt idx="60">
                  <c:v>-5.3654438792575974</c:v>
                </c:pt>
                <c:pt idx="61">
                  <c:v>-5.3420049845263859</c:v>
                </c:pt>
                <c:pt idx="62">
                  <c:v>-5.4531180301485849</c:v>
                </c:pt>
                <c:pt idx="63">
                  <c:v>-5.4434898931801907</c:v>
                </c:pt>
                <c:pt idx="64">
                  <c:v>-5.4240352945370764</c:v>
                </c:pt>
                <c:pt idx="65">
                  <c:v>-5.390757860942033</c:v>
                </c:pt>
                <c:pt idx="66">
                  <c:v>-5.442078383353123</c:v>
                </c:pt>
                <c:pt idx="67">
                  <c:v>-5.4449198657384619</c:v>
                </c:pt>
                <c:pt idx="68">
                  <c:v>-5.4045851596499199</c:v>
                </c:pt>
                <c:pt idx="69">
                  <c:v>-5.4154023928893205</c:v>
                </c:pt>
                <c:pt idx="70">
                  <c:v>-5.4130918695368662</c:v>
                </c:pt>
                <c:pt idx="71">
                  <c:v>-5.4322678458920324</c:v>
                </c:pt>
                <c:pt idx="72">
                  <c:v>-5.4889113938847931</c:v>
                </c:pt>
                <c:pt idx="73">
                  <c:v>-5.4608196181215458</c:v>
                </c:pt>
                <c:pt idx="74">
                  <c:v>-5.3398925399617232</c:v>
                </c:pt>
                <c:pt idx="75">
                  <c:v>-5.343687528895595</c:v>
                </c:pt>
                <c:pt idx="76">
                  <c:v>-5.4210354359845692</c:v>
                </c:pt>
                <c:pt idx="77">
                  <c:v>-5.4372755630505258</c:v>
                </c:pt>
                <c:pt idx="78">
                  <c:v>-5.4271292445177162</c:v>
                </c:pt>
                <c:pt idx="79">
                  <c:v>-5.3971817516678646</c:v>
                </c:pt>
                <c:pt idx="80">
                  <c:v>-5.3679395727293882</c:v>
                </c:pt>
                <c:pt idx="81">
                  <c:v>-5.3678496141264107</c:v>
                </c:pt>
                <c:pt idx="82">
                  <c:v>-5.3457478742291133</c:v>
                </c:pt>
                <c:pt idx="83">
                  <c:v>-5.2875986259077674</c:v>
                </c:pt>
                <c:pt idx="84">
                  <c:v>-5.3654148899697658</c:v>
                </c:pt>
                <c:pt idx="85">
                  <c:v>-5.3803459781896876</c:v>
                </c:pt>
                <c:pt idx="86">
                  <c:v>-5.3954858508118013</c:v>
                </c:pt>
                <c:pt idx="87">
                  <c:v>-5.4108406925114405</c:v>
                </c:pt>
                <c:pt idx="88">
                  <c:v>-5.4202337534031724</c:v>
                </c:pt>
                <c:pt idx="89">
                  <c:v>-5.3522435383504412</c:v>
                </c:pt>
                <c:pt idx="90">
                  <c:v>-5.3529692122138002</c:v>
                </c:pt>
                <c:pt idx="91">
                  <c:v>-5.3900668195454466</c:v>
                </c:pt>
                <c:pt idx="92">
                  <c:v>-5.3016971600729494</c:v>
                </c:pt>
                <c:pt idx="93">
                  <c:v>-5.3501791399667891</c:v>
                </c:pt>
                <c:pt idx="94">
                  <c:v>-5.3823290173822755</c:v>
                </c:pt>
                <c:pt idx="95">
                  <c:v>-5.3527942653168159</c:v>
                </c:pt>
                <c:pt idx="96">
                  <c:v>-5.3980507786879723</c:v>
                </c:pt>
                <c:pt idx="97">
                  <c:v>-5.3474514874909245</c:v>
                </c:pt>
                <c:pt idx="98">
                  <c:v>-5.3409623663157069</c:v>
                </c:pt>
                <c:pt idx="99">
                  <c:v>-5.375527790372292</c:v>
                </c:pt>
                <c:pt idx="100">
                  <c:v>-5.427844064391361</c:v>
                </c:pt>
                <c:pt idx="101">
                  <c:v>-5.3539472643565045</c:v>
                </c:pt>
                <c:pt idx="102">
                  <c:v>-5.4022278352489179</c:v>
                </c:pt>
                <c:pt idx="103">
                  <c:v>-5.4078116621188261</c:v>
                </c:pt>
                <c:pt idx="104">
                  <c:v>-5.4596937402285546</c:v>
                </c:pt>
                <c:pt idx="105">
                  <c:v>-5.4149285264107068</c:v>
                </c:pt>
                <c:pt idx="106">
                  <c:v>-5.4523659789086105</c:v>
                </c:pt>
                <c:pt idx="107">
                  <c:v>-5.430409738991381</c:v>
                </c:pt>
                <c:pt idx="108">
                  <c:v>-5.4240912235696603</c:v>
                </c:pt>
                <c:pt idx="109">
                  <c:v>-5.4641734066474896</c:v>
                </c:pt>
                <c:pt idx="110">
                  <c:v>-5.4817717124768146</c:v>
                </c:pt>
                <c:pt idx="111">
                  <c:v>-5.3777948848900703</c:v>
                </c:pt>
                <c:pt idx="112">
                  <c:v>-5.4905064783512172</c:v>
                </c:pt>
                <c:pt idx="113">
                  <c:v>-5.5019592610468688</c:v>
                </c:pt>
                <c:pt idx="114">
                  <c:v>-5.4242199331374295</c:v>
                </c:pt>
                <c:pt idx="115">
                  <c:v>-5.5099185780770012</c:v>
                </c:pt>
                <c:pt idx="116">
                  <c:v>-5.5270542982883288</c:v>
                </c:pt>
                <c:pt idx="117">
                  <c:v>-5.450053143839769</c:v>
                </c:pt>
                <c:pt idx="118">
                  <c:v>-5.454371392674811</c:v>
                </c:pt>
                <c:pt idx="119">
                  <c:v>-5.4786221999221434</c:v>
                </c:pt>
                <c:pt idx="120">
                  <c:v>-5.4703368138989212</c:v>
                </c:pt>
                <c:pt idx="121">
                  <c:v>-5.4207596454554938</c:v>
                </c:pt>
                <c:pt idx="122">
                  <c:v>-5.4164260312177195</c:v>
                </c:pt>
                <c:pt idx="123">
                  <c:v>-5.4332071382474894</c:v>
                </c:pt>
                <c:pt idx="124">
                  <c:v>-5.4365045539383834</c:v>
                </c:pt>
                <c:pt idx="125">
                  <c:v>-5.4278351699246317</c:v>
                </c:pt>
                <c:pt idx="126">
                  <c:v>-5.429002328219628</c:v>
                </c:pt>
                <c:pt idx="127">
                  <c:v>-5.4190020023139969</c:v>
                </c:pt>
                <c:pt idx="128">
                  <c:v>-5.4154310463463453</c:v>
                </c:pt>
                <c:pt idx="129">
                  <c:v>-5.4420711872717957</c:v>
                </c:pt>
                <c:pt idx="130">
                  <c:v>-5.4137456585895398</c:v>
                </c:pt>
                <c:pt idx="131">
                  <c:v>-5.3692810166562266</c:v>
                </c:pt>
                <c:pt idx="132">
                  <c:v>-5.4601791896622771</c:v>
                </c:pt>
                <c:pt idx="133">
                  <c:v>-5.4655819695502323</c:v>
                </c:pt>
                <c:pt idx="134">
                  <c:v>-5.4554292051319546</c:v>
                </c:pt>
                <c:pt idx="135">
                  <c:v>-5.45357636868453</c:v>
                </c:pt>
                <c:pt idx="136">
                  <c:v>-5.4555188747627756</c:v>
                </c:pt>
                <c:pt idx="137">
                  <c:v>-5.4833991460992761</c:v>
                </c:pt>
                <c:pt idx="138">
                  <c:v>-5.4767033288937963</c:v>
                </c:pt>
                <c:pt idx="139">
                  <c:v>-5.5145892177367388</c:v>
                </c:pt>
                <c:pt idx="140">
                  <c:v>-5.5066419803604916</c:v>
                </c:pt>
                <c:pt idx="141">
                  <c:v>-5.4647303558366982</c:v>
                </c:pt>
                <c:pt idx="142">
                  <c:v>-5.4848618348694762</c:v>
                </c:pt>
                <c:pt idx="143">
                  <c:v>-5.4778037113430047</c:v>
                </c:pt>
                <c:pt idx="144">
                  <c:v>-5.4520076893812472</c:v>
                </c:pt>
                <c:pt idx="145">
                  <c:v>-5.4916663845585472</c:v>
                </c:pt>
                <c:pt idx="146">
                  <c:v>-5.5291654115948718</c:v>
                </c:pt>
                <c:pt idx="147">
                  <c:v>-5.4873151435301351</c:v>
                </c:pt>
                <c:pt idx="148">
                  <c:v>-5.4539407408134792</c:v>
                </c:pt>
                <c:pt idx="149">
                  <c:v>-5.4405826405538669</c:v>
                </c:pt>
                <c:pt idx="150">
                  <c:v>-5.4344660901771329</c:v>
                </c:pt>
                <c:pt idx="151">
                  <c:v>-5.4403264397945774</c:v>
                </c:pt>
                <c:pt idx="152">
                  <c:v>-5.4033718156420507</c:v>
                </c:pt>
                <c:pt idx="153">
                  <c:v>-5.4735023589263614</c:v>
                </c:pt>
                <c:pt idx="154">
                  <c:v>-5.4862481167047887</c:v>
                </c:pt>
                <c:pt idx="155">
                  <c:v>-5.4644587778245128</c:v>
                </c:pt>
                <c:pt idx="156">
                  <c:v>-5.4513601538909935</c:v>
                </c:pt>
                <c:pt idx="157">
                  <c:v>-5.4529555562028564</c:v>
                </c:pt>
                <c:pt idx="158">
                  <c:v>-5.4461206453812565</c:v>
                </c:pt>
                <c:pt idx="159">
                  <c:v>-5.4678498197229652</c:v>
                </c:pt>
                <c:pt idx="160">
                  <c:v>-5.4124588849292898</c:v>
                </c:pt>
                <c:pt idx="161">
                  <c:v>-5.4595405309004095</c:v>
                </c:pt>
                <c:pt idx="162">
                  <c:v>-5.4686884430035301</c:v>
                </c:pt>
                <c:pt idx="163">
                  <c:v>-5.5187746673488904</c:v>
                </c:pt>
                <c:pt idx="164">
                  <c:v>-5.3692149147452914</c:v>
                </c:pt>
                <c:pt idx="165">
                  <c:v>-5.4427361323371191</c:v>
                </c:pt>
                <c:pt idx="166">
                  <c:v>-5.4280822467291809</c:v>
                </c:pt>
                <c:pt idx="167">
                  <c:v>-5.433182037150158</c:v>
                </c:pt>
                <c:pt idx="168">
                  <c:v>-5.3955268821560143</c:v>
                </c:pt>
                <c:pt idx="169">
                  <c:v>-5.4287669726219328</c:v>
                </c:pt>
                <c:pt idx="170">
                  <c:v>-5.4284004026799551</c:v>
                </c:pt>
                <c:pt idx="171">
                  <c:v>-5.4007705607850536</c:v>
                </c:pt>
                <c:pt idx="172">
                  <c:v>-5.3664442801263075</c:v>
                </c:pt>
                <c:pt idx="173">
                  <c:v>-5.4614459967230689</c:v>
                </c:pt>
                <c:pt idx="174">
                  <c:v>-5.4494862939146316</c:v>
                </c:pt>
                <c:pt idx="175">
                  <c:v>-5.4372019452992113</c:v>
                </c:pt>
                <c:pt idx="176">
                  <c:v>-5.4145901513735613</c:v>
                </c:pt>
                <c:pt idx="177">
                  <c:v>-5.4279303262357965</c:v>
                </c:pt>
                <c:pt idx="178">
                  <c:v>-5.42815575291666</c:v>
                </c:pt>
                <c:pt idx="179">
                  <c:v>-5.473576805316533</c:v>
                </c:pt>
                <c:pt idx="180">
                  <c:v>-5.4272729833566213</c:v>
                </c:pt>
                <c:pt idx="181">
                  <c:v>-5.4689698664851303</c:v>
                </c:pt>
                <c:pt idx="182">
                  <c:v>-5.4645306599456376</c:v>
                </c:pt>
                <c:pt idx="183">
                  <c:v>-5.3914487302100156</c:v>
                </c:pt>
                <c:pt idx="184">
                  <c:v>-5.4339764181869619</c:v>
                </c:pt>
                <c:pt idx="185">
                  <c:v>-5.4950732899871193</c:v>
                </c:pt>
                <c:pt idx="186">
                  <c:v>-5.4090899910283312</c:v>
                </c:pt>
                <c:pt idx="187">
                  <c:v>-5.3810777133613419</c:v>
                </c:pt>
                <c:pt idx="188">
                  <c:v>-5.4108531651396605</c:v>
                </c:pt>
                <c:pt idx="189">
                  <c:v>-5.3758793838824808</c:v>
                </c:pt>
                <c:pt idx="190">
                  <c:v>-5.4257072007957836</c:v>
                </c:pt>
                <c:pt idx="191">
                  <c:v>-5.3721561452227684</c:v>
                </c:pt>
                <c:pt idx="192">
                  <c:v>-5.427141027107182</c:v>
                </c:pt>
                <c:pt idx="193">
                  <c:v>-5.3500394738644985</c:v>
                </c:pt>
                <c:pt idx="194">
                  <c:v>-5.4328992779381728</c:v>
                </c:pt>
                <c:pt idx="195">
                  <c:v>-5.4889249891227596</c:v>
                </c:pt>
                <c:pt idx="196">
                  <c:v>-5.4572593205787818</c:v>
                </c:pt>
                <c:pt idx="197">
                  <c:v>-5.4547517647692976</c:v>
                </c:pt>
                <c:pt idx="198">
                  <c:v>-5.5101264511373111</c:v>
                </c:pt>
                <c:pt idx="199">
                  <c:v>-5.5853184699754346</c:v>
                </c:pt>
                <c:pt idx="200">
                  <c:v>-5.4707219533595097</c:v>
                </c:pt>
                <c:pt idx="201">
                  <c:v>-5.5185461906841349</c:v>
                </c:pt>
                <c:pt idx="202">
                  <c:v>-5.4768356479445979</c:v>
                </c:pt>
                <c:pt idx="203">
                  <c:v>-5.4959221637103566</c:v>
                </c:pt>
                <c:pt idx="204">
                  <c:v>-5.4933613319000596</c:v>
                </c:pt>
                <c:pt idx="205">
                  <c:v>-5.4925850319848655</c:v>
                </c:pt>
                <c:pt idx="206">
                  <c:v>-5.4780038757039859</c:v>
                </c:pt>
                <c:pt idx="207">
                  <c:v>-5.5689371247600628</c:v>
                </c:pt>
                <c:pt idx="208">
                  <c:v>-5.4958367026336905</c:v>
                </c:pt>
                <c:pt idx="209">
                  <c:v>-5.4325598574690792</c:v>
                </c:pt>
                <c:pt idx="210">
                  <c:v>-5.5194867053634269</c:v>
                </c:pt>
                <c:pt idx="211">
                  <c:v>-5.5424333468213636</c:v>
                </c:pt>
                <c:pt idx="212">
                  <c:v>-5.5105278356882712</c:v>
                </c:pt>
                <c:pt idx="213">
                  <c:v>-5.5740471928194184</c:v>
                </c:pt>
                <c:pt idx="214">
                  <c:v>-5.5124640453666398</c:v>
                </c:pt>
                <c:pt idx="215">
                  <c:v>-5.5085107149175796</c:v>
                </c:pt>
                <c:pt idx="216">
                  <c:v>-5.4721599582653129</c:v>
                </c:pt>
                <c:pt idx="217">
                  <c:v>-5.4914651141191957</c:v>
                </c:pt>
                <c:pt idx="218">
                  <c:v>-5.6021373636067802</c:v>
                </c:pt>
                <c:pt idx="219">
                  <c:v>-5.5348858489255068</c:v>
                </c:pt>
                <c:pt idx="220">
                  <c:v>-5.4852314350347715</c:v>
                </c:pt>
                <c:pt idx="221">
                  <c:v>-5.5518844811473516</c:v>
                </c:pt>
                <c:pt idx="222">
                  <c:v>-5.5164651748466591</c:v>
                </c:pt>
                <c:pt idx="223">
                  <c:v>-5.5370632694136814</c:v>
                </c:pt>
                <c:pt idx="224">
                  <c:v>-5.5246831268713592</c:v>
                </c:pt>
                <c:pt idx="225">
                  <c:v>-5.5543867909373272</c:v>
                </c:pt>
                <c:pt idx="226">
                  <c:v>-5.5276226533371524</c:v>
                </c:pt>
                <c:pt idx="227">
                  <c:v>-5.4916423937950753</c:v>
                </c:pt>
                <c:pt idx="228">
                  <c:v>-5.5103408529303692</c:v>
                </c:pt>
                <c:pt idx="229">
                  <c:v>-5.4910892959925324</c:v>
                </c:pt>
                <c:pt idx="230">
                  <c:v>-5.4825511893485324</c:v>
                </c:pt>
                <c:pt idx="231">
                  <c:v>-5.549205981575235</c:v>
                </c:pt>
                <c:pt idx="232">
                  <c:v>-5.5411416958336686</c:v>
                </c:pt>
                <c:pt idx="233">
                  <c:v>-5.5699532148238946</c:v>
                </c:pt>
                <c:pt idx="234">
                  <c:v>-5.558426330104691</c:v>
                </c:pt>
                <c:pt idx="235">
                  <c:v>-5.5439043917636353</c:v>
                </c:pt>
                <c:pt idx="236">
                  <c:v>-5.5284822103607292</c:v>
                </c:pt>
                <c:pt idx="237">
                  <c:v>-5.4721703196639782</c:v>
                </c:pt>
                <c:pt idx="238">
                  <c:v>-5.5524271949935375</c:v>
                </c:pt>
                <c:pt idx="239">
                  <c:v>-5.5305570529663788</c:v>
                </c:pt>
                <c:pt idx="240">
                  <c:v>-5.5994668822230818</c:v>
                </c:pt>
                <c:pt idx="241">
                  <c:v>-5.4490543088141417</c:v>
                </c:pt>
                <c:pt idx="242">
                  <c:v>-5.5446935494238669</c:v>
                </c:pt>
                <c:pt idx="243">
                  <c:v>-5.5320722337777637</c:v>
                </c:pt>
                <c:pt idx="244">
                  <c:v>-5.4658248524735891</c:v>
                </c:pt>
                <c:pt idx="245">
                  <c:v>-5.5499172272299404</c:v>
                </c:pt>
                <c:pt idx="246">
                  <c:v>-5.5606904282180176</c:v>
                </c:pt>
                <c:pt idx="247">
                  <c:v>-5.547547850739539</c:v>
                </c:pt>
                <c:pt idx="248">
                  <c:v>-5.541180327708993</c:v>
                </c:pt>
                <c:pt idx="249">
                  <c:v>-5.5288978594416731</c:v>
                </c:pt>
                <c:pt idx="250">
                  <c:v>-5.5724384212273881</c:v>
                </c:pt>
                <c:pt idx="251">
                  <c:v>-5.4896603197187179</c:v>
                </c:pt>
                <c:pt idx="252">
                  <c:v>-5.4917833067786352</c:v>
                </c:pt>
                <c:pt idx="253">
                  <c:v>-5.5193284682921702</c:v>
                </c:pt>
                <c:pt idx="254">
                  <c:v>-5.4754937447734529</c:v>
                </c:pt>
                <c:pt idx="255">
                  <c:v>-5.4515947768067257</c:v>
                </c:pt>
                <c:pt idx="256">
                  <c:v>-5.5093523524767978</c:v>
                </c:pt>
                <c:pt idx="257">
                  <c:v>-5.4903031241130229</c:v>
                </c:pt>
                <c:pt idx="258">
                  <c:v>-5.5198672644216655</c:v>
                </c:pt>
                <c:pt idx="259">
                  <c:v>-5.4537975520125226</c:v>
                </c:pt>
                <c:pt idx="260">
                  <c:v>-5.4760153956825919</c:v>
                </c:pt>
                <c:pt idx="261">
                  <c:v>-5.5030513439741116</c:v>
                </c:pt>
                <c:pt idx="262">
                  <c:v>-5.5617273624097354</c:v>
                </c:pt>
                <c:pt idx="263">
                  <c:v>-5.5081776526095574</c:v>
                </c:pt>
                <c:pt idx="264">
                  <c:v>-5.5690656946056576</c:v>
                </c:pt>
                <c:pt idx="265">
                  <c:v>-5.5171138148237917</c:v>
                </c:pt>
                <c:pt idx="266">
                  <c:v>-5.4951880530016926</c:v>
                </c:pt>
                <c:pt idx="267">
                  <c:v>-5.5561997414769522</c:v>
                </c:pt>
                <c:pt idx="268">
                  <c:v>-5.5667508092064493</c:v>
                </c:pt>
                <c:pt idx="269">
                  <c:v>-5.5832257094024262</c:v>
                </c:pt>
                <c:pt idx="270">
                  <c:v>-5.4942011575443415</c:v>
                </c:pt>
                <c:pt idx="271">
                  <c:v>-5.477557284172283</c:v>
                </c:pt>
                <c:pt idx="272">
                  <c:v>-5.5451952607404644</c:v>
                </c:pt>
                <c:pt idx="273">
                  <c:v>-5.6142269814306287</c:v>
                </c:pt>
                <c:pt idx="274">
                  <c:v>-5.6083800544733844</c:v>
                </c:pt>
                <c:pt idx="275">
                  <c:v>-5.5808524952500331</c:v>
                </c:pt>
                <c:pt idx="276">
                  <c:v>-5.593424923020236</c:v>
                </c:pt>
                <c:pt idx="277">
                  <c:v>-5.5435474866982526</c:v>
                </c:pt>
                <c:pt idx="278">
                  <c:v>-5.5369664860421057</c:v>
                </c:pt>
                <c:pt idx="279">
                  <c:v>-5.6065991404414008</c:v>
                </c:pt>
                <c:pt idx="280">
                  <c:v>-5.546436478331489</c:v>
                </c:pt>
                <c:pt idx="281">
                  <c:v>-5.5581400653981641</c:v>
                </c:pt>
                <c:pt idx="282">
                  <c:v>-5.5651847747378387</c:v>
                </c:pt>
                <c:pt idx="283">
                  <c:v>-5.5070535214189738</c:v>
                </c:pt>
                <c:pt idx="284">
                  <c:v>-5.4536113306059271</c:v>
                </c:pt>
                <c:pt idx="285">
                  <c:v>-5.5831476828573026</c:v>
                </c:pt>
                <c:pt idx="286">
                  <c:v>-5.600651888371563</c:v>
                </c:pt>
                <c:pt idx="287">
                  <c:v>-5.6043841341332019</c:v>
                </c:pt>
                <c:pt idx="288">
                  <c:v>-5.5665222667962482</c:v>
                </c:pt>
                <c:pt idx="289">
                  <c:v>-5.5365650669123987</c:v>
                </c:pt>
                <c:pt idx="290">
                  <c:v>-5.5026344464233743</c:v>
                </c:pt>
                <c:pt idx="291">
                  <c:v>-5.5150169709489827</c:v>
                </c:pt>
                <c:pt idx="292">
                  <c:v>-5.5901340391278209</c:v>
                </c:pt>
                <c:pt idx="293">
                  <c:v>-5.5828902277503172</c:v>
                </c:pt>
                <c:pt idx="294">
                  <c:v>-5.4549362656047071</c:v>
                </c:pt>
                <c:pt idx="295">
                  <c:v>-5.4810364270241347</c:v>
                </c:pt>
                <c:pt idx="296">
                  <c:v>-5.5406014951627123</c:v>
                </c:pt>
                <c:pt idx="297">
                  <c:v>-5.4815435470846223</c:v>
                </c:pt>
                <c:pt idx="298">
                  <c:v>-5.4437781966500749</c:v>
                </c:pt>
                <c:pt idx="299">
                  <c:v>-5.396710683314744</c:v>
                </c:pt>
                <c:pt idx="300">
                  <c:v>-5.4270868730581574</c:v>
                </c:pt>
                <c:pt idx="301">
                  <c:v>-5.4039545039023125</c:v>
                </c:pt>
                <c:pt idx="302">
                  <c:v>-5.4170147222937715</c:v>
                </c:pt>
                <c:pt idx="303">
                  <c:v>-5.4112130797495075</c:v>
                </c:pt>
                <c:pt idx="304">
                  <c:v>-5.4412821042082307</c:v>
                </c:pt>
                <c:pt idx="305">
                  <c:v>-5.4016334119399394</c:v>
                </c:pt>
                <c:pt idx="306">
                  <c:v>-5.4239841334815475</c:v>
                </c:pt>
                <c:pt idx="307">
                  <c:v>-5.4007669775889617</c:v>
                </c:pt>
                <c:pt idx="308">
                  <c:v>-5.4095935368044135</c:v>
                </c:pt>
                <c:pt idx="309">
                  <c:v>-5.3527643004073573</c:v>
                </c:pt>
                <c:pt idx="310">
                  <c:v>-5.4218543258311351</c:v>
                </c:pt>
                <c:pt idx="311">
                  <c:v>-5.3332711244483422</c:v>
                </c:pt>
                <c:pt idx="312">
                  <c:v>-5.4113486245985962</c:v>
                </c:pt>
                <c:pt idx="313">
                  <c:v>-5.3836697842107446</c:v>
                </c:pt>
                <c:pt idx="314">
                  <c:v>-5.3913531325165307</c:v>
                </c:pt>
                <c:pt idx="315">
                  <c:v>-5.3946038087913708</c:v>
                </c:pt>
                <c:pt idx="316">
                  <c:v>-5.43213361888108</c:v>
                </c:pt>
                <c:pt idx="317">
                  <c:v>-5.3496144395039256</c:v>
                </c:pt>
                <c:pt idx="318">
                  <c:v>-5.3984065064228579</c:v>
                </c:pt>
                <c:pt idx="319">
                  <c:v>-5.3581424724979456</c:v>
                </c:pt>
                <c:pt idx="320">
                  <c:v>-5.4037791881588664</c:v>
                </c:pt>
                <c:pt idx="321">
                  <c:v>-5.420422950767616</c:v>
                </c:pt>
                <c:pt idx="322">
                  <c:v>-5.3628469997052681</c:v>
                </c:pt>
                <c:pt idx="323">
                  <c:v>-5.409973654632668</c:v>
                </c:pt>
                <c:pt idx="324">
                  <c:v>-5.4154890821327557</c:v>
                </c:pt>
                <c:pt idx="325">
                  <c:v>-5.3873644594467098</c:v>
                </c:pt>
                <c:pt idx="326">
                  <c:v>-5.4512200083156355</c:v>
                </c:pt>
                <c:pt idx="327">
                  <c:v>-5.4422098540805601</c:v>
                </c:pt>
                <c:pt idx="328">
                  <c:v>-5.3605996245632292</c:v>
                </c:pt>
                <c:pt idx="329">
                  <c:v>-5.3867637974973972</c:v>
                </c:pt>
                <c:pt idx="330">
                  <c:v>-5.3844736134905373</c:v>
                </c:pt>
                <c:pt idx="331">
                  <c:v>-5.4029144795151538</c:v>
                </c:pt>
                <c:pt idx="332">
                  <c:v>-5.4143486699306962</c:v>
                </c:pt>
                <c:pt idx="333">
                  <c:v>-5.4105148057170309</c:v>
                </c:pt>
                <c:pt idx="334">
                  <c:v>-5.3996686728572367</c:v>
                </c:pt>
                <c:pt idx="335">
                  <c:v>-5.4062469202500179</c:v>
                </c:pt>
                <c:pt idx="336">
                  <c:v>-5.4095430016582613</c:v>
                </c:pt>
                <c:pt idx="337">
                  <c:v>-5.4198038730852209</c:v>
                </c:pt>
                <c:pt idx="338">
                  <c:v>-5.3063714874628989</c:v>
                </c:pt>
                <c:pt idx="339">
                  <c:v>-5.3912393791150182</c:v>
                </c:pt>
                <c:pt idx="340">
                  <c:v>-5.3855921653890189</c:v>
                </c:pt>
                <c:pt idx="341">
                  <c:v>-5.3438865403725471</c:v>
                </c:pt>
                <c:pt idx="342">
                  <c:v>-5.4191502854607574</c:v>
                </c:pt>
                <c:pt idx="343">
                  <c:v>-5.4083807765351599</c:v>
                </c:pt>
                <c:pt idx="344">
                  <c:v>-5.4031575558908331</c:v>
                </c:pt>
                <c:pt idx="345">
                  <c:v>-5.3613785590673437</c:v>
                </c:pt>
                <c:pt idx="346">
                  <c:v>-5.405186122902367</c:v>
                </c:pt>
                <c:pt idx="347">
                  <c:v>-5.3745729301773633</c:v>
                </c:pt>
                <c:pt idx="348">
                  <c:v>-5.3427403569308876</c:v>
                </c:pt>
                <c:pt idx="349">
                  <c:v>-5.3534151849752467</c:v>
                </c:pt>
                <c:pt idx="350">
                  <c:v>-5.3810155757309852</c:v>
                </c:pt>
                <c:pt idx="351">
                  <c:v>-5.3791054311074671</c:v>
                </c:pt>
                <c:pt idx="352">
                  <c:v>-5.411296389019812</c:v>
                </c:pt>
                <c:pt idx="353">
                  <c:v>-5.3891578147191064</c:v>
                </c:pt>
                <c:pt idx="354">
                  <c:v>-5.4013551402885973</c:v>
                </c:pt>
                <c:pt idx="355">
                  <c:v>-5.3128651428276328</c:v>
                </c:pt>
                <c:pt idx="356">
                  <c:v>-5.2325252346539273</c:v>
                </c:pt>
                <c:pt idx="357">
                  <c:v>-5.3123692869513688</c:v>
                </c:pt>
                <c:pt idx="358">
                  <c:v>-5.2987759769665308</c:v>
                </c:pt>
                <c:pt idx="359">
                  <c:v>-5.3232979332266153</c:v>
                </c:pt>
                <c:pt idx="360">
                  <c:v>-5.3489654710566032</c:v>
                </c:pt>
                <c:pt idx="361">
                  <c:v>-5.3551270850860275</c:v>
                </c:pt>
                <c:pt idx="362">
                  <c:v>-5.3267912808376199</c:v>
                </c:pt>
                <c:pt idx="363">
                  <c:v>-5.3394897103262888</c:v>
                </c:pt>
                <c:pt idx="364">
                  <c:v>-5.4175681302685215</c:v>
                </c:pt>
                <c:pt idx="365">
                  <c:v>-5.3233832295315437</c:v>
                </c:pt>
                <c:pt idx="366">
                  <c:v>-5.3206239288615427</c:v>
                </c:pt>
                <c:pt idx="367">
                  <c:v>-5.3371799441821253</c:v>
                </c:pt>
                <c:pt idx="368">
                  <c:v>-5.3810592167976008</c:v>
                </c:pt>
                <c:pt idx="369">
                  <c:v>-5.3169974098244817</c:v>
                </c:pt>
                <c:pt idx="370">
                  <c:v>-5.310490753563009</c:v>
                </c:pt>
                <c:pt idx="371">
                  <c:v>-5.3564799340666847</c:v>
                </c:pt>
                <c:pt idx="372">
                  <c:v>-5.319918786568735</c:v>
                </c:pt>
                <c:pt idx="373">
                  <c:v>-5.3564855300506533</c:v>
                </c:pt>
                <c:pt idx="374">
                  <c:v>-5.3610242002333521</c:v>
                </c:pt>
                <c:pt idx="375">
                  <c:v>-5.3249818107632167</c:v>
                </c:pt>
                <c:pt idx="376">
                  <c:v>-5.424336553568728</c:v>
                </c:pt>
                <c:pt idx="377">
                  <c:v>-5.3489887875022086</c:v>
                </c:pt>
                <c:pt idx="378">
                  <c:v>-5.3352054226622583</c:v>
                </c:pt>
                <c:pt idx="379">
                  <c:v>-5.3489149192556917</c:v>
                </c:pt>
                <c:pt idx="380">
                  <c:v>-5.344814543784663</c:v>
                </c:pt>
                <c:pt idx="381">
                  <c:v>-5.3057023031254449</c:v>
                </c:pt>
                <c:pt idx="382">
                  <c:v>-5.314775765425261</c:v>
                </c:pt>
                <c:pt idx="383">
                  <c:v>-5.3283638318615818</c:v>
                </c:pt>
                <c:pt idx="384">
                  <c:v>-5.3496257474482212</c:v>
                </c:pt>
                <c:pt idx="385">
                  <c:v>-5.3871873462920066</c:v>
                </c:pt>
                <c:pt idx="386">
                  <c:v>-5.3350025363123201</c:v>
                </c:pt>
                <c:pt idx="387">
                  <c:v>-5.285530118741983</c:v>
                </c:pt>
                <c:pt idx="388">
                  <c:v>-5.2884554646207365</c:v>
                </c:pt>
                <c:pt idx="389">
                  <c:v>-5.3401179304780184</c:v>
                </c:pt>
                <c:pt idx="390">
                  <c:v>-5.3066810229095482</c:v>
                </c:pt>
                <c:pt idx="391">
                  <c:v>-5.3098773211304744</c:v>
                </c:pt>
                <c:pt idx="392">
                  <c:v>-5.3105023518758951</c:v>
                </c:pt>
                <c:pt idx="393">
                  <c:v>-5.4545337672638725</c:v>
                </c:pt>
                <c:pt idx="394">
                  <c:v>-5.3306875077440283</c:v>
                </c:pt>
                <c:pt idx="395">
                  <c:v>-5.3070694438142452</c:v>
                </c:pt>
                <c:pt idx="396">
                  <c:v>-5.2820181319833672</c:v>
                </c:pt>
                <c:pt idx="397">
                  <c:v>-5.3241776920137598</c:v>
                </c:pt>
                <c:pt idx="398">
                  <c:v>-5.2592190087782287</c:v>
                </c:pt>
                <c:pt idx="399">
                  <c:v>-5.2909609648529896</c:v>
                </c:pt>
                <c:pt idx="400">
                  <c:v>-5.2926916319772905</c:v>
                </c:pt>
                <c:pt idx="401">
                  <c:v>-5.2839054818145499</c:v>
                </c:pt>
                <c:pt idx="402">
                  <c:v>-5.2071591456984097</c:v>
                </c:pt>
                <c:pt idx="403">
                  <c:v>-5.3003221711837352</c:v>
                </c:pt>
                <c:pt idx="404">
                  <c:v>-5.3555931288010932</c:v>
                </c:pt>
                <c:pt idx="405">
                  <c:v>-5.2816124446583279</c:v>
                </c:pt>
                <c:pt idx="406">
                  <c:v>-5.2512183182196583</c:v>
                </c:pt>
                <c:pt idx="407">
                  <c:v>-5.2912933080942546</c:v>
                </c:pt>
                <c:pt idx="408">
                  <c:v>-5.2802509006278049</c:v>
                </c:pt>
                <c:pt idx="409">
                  <c:v>-5.3664138901403522</c:v>
                </c:pt>
                <c:pt idx="410">
                  <c:v>-5.3465254402800024</c:v>
                </c:pt>
                <c:pt idx="411">
                  <c:v>-5.3449938458326613</c:v>
                </c:pt>
                <c:pt idx="412">
                  <c:v>-5.3869422697276317</c:v>
                </c:pt>
                <c:pt idx="413">
                  <c:v>-5.331822370709026</c:v>
                </c:pt>
                <c:pt idx="414">
                  <c:v>-5.306287338309108</c:v>
                </c:pt>
                <c:pt idx="415">
                  <c:v>-5.350481132785311</c:v>
                </c:pt>
                <c:pt idx="416">
                  <c:v>-5.3124750193617203</c:v>
                </c:pt>
                <c:pt idx="417">
                  <c:v>-5.310473722132107</c:v>
                </c:pt>
                <c:pt idx="418">
                  <c:v>-5.3148257124545504</c:v>
                </c:pt>
                <c:pt idx="419">
                  <c:v>-5.3865518676035995</c:v>
                </c:pt>
                <c:pt idx="420">
                  <c:v>-5.3703389737176179</c:v>
                </c:pt>
                <c:pt idx="421">
                  <c:v>-5.3421710839510554</c:v>
                </c:pt>
                <c:pt idx="422">
                  <c:v>-5.4294336317490357</c:v>
                </c:pt>
                <c:pt idx="423">
                  <c:v>-5.3614555662066143</c:v>
                </c:pt>
                <c:pt idx="424">
                  <c:v>-5.3360451110869205</c:v>
                </c:pt>
                <c:pt idx="425">
                  <c:v>-5.3918605844287892</c:v>
                </c:pt>
                <c:pt idx="426">
                  <c:v>-5.3595243207826826</c:v>
                </c:pt>
                <c:pt idx="427">
                  <c:v>-5.329501926476536</c:v>
                </c:pt>
                <c:pt idx="428">
                  <c:v>-5.3679062231835299</c:v>
                </c:pt>
                <c:pt idx="429">
                  <c:v>-5.3372886367582364</c:v>
                </c:pt>
                <c:pt idx="430">
                  <c:v>-5.3412869661541071</c:v>
                </c:pt>
                <c:pt idx="431">
                  <c:v>-5.3861112194970202</c:v>
                </c:pt>
                <c:pt idx="432">
                  <c:v>-5.4082869103467068</c:v>
                </c:pt>
                <c:pt idx="433">
                  <c:v>-5.3786840058285614</c:v>
                </c:pt>
                <c:pt idx="434">
                  <c:v>-5.3581893789530186</c:v>
                </c:pt>
                <c:pt idx="435">
                  <c:v>-5.4195076867126541</c:v>
                </c:pt>
                <c:pt idx="436">
                  <c:v>-5.3648997810695818</c:v>
                </c:pt>
                <c:pt idx="437">
                  <c:v>-5.393655449305891</c:v>
                </c:pt>
                <c:pt idx="438">
                  <c:v>-5.3833450597362509</c:v>
                </c:pt>
                <c:pt idx="439">
                  <c:v>-5.3975422520831646</c:v>
                </c:pt>
                <c:pt idx="440">
                  <c:v>-5.3764619657018535</c:v>
                </c:pt>
                <c:pt idx="441">
                  <c:v>-5.3971351895878668</c:v>
                </c:pt>
                <c:pt idx="442">
                  <c:v>-5.4171370581673797</c:v>
                </c:pt>
                <c:pt idx="443">
                  <c:v>-5.4238215831431473</c:v>
                </c:pt>
                <c:pt idx="444">
                  <c:v>-5.4162006204068627</c:v>
                </c:pt>
                <c:pt idx="445">
                  <c:v>-5.4072955265238827</c:v>
                </c:pt>
                <c:pt idx="446">
                  <c:v>-5.3991690682890701</c:v>
                </c:pt>
                <c:pt idx="447">
                  <c:v>-5.4246018552342798</c:v>
                </c:pt>
                <c:pt idx="448">
                  <c:v>-5.4146601858770511</c:v>
                </c:pt>
                <c:pt idx="449">
                  <c:v>-5.416561337912051</c:v>
                </c:pt>
                <c:pt idx="450">
                  <c:v>-5.367447467995671</c:v>
                </c:pt>
                <c:pt idx="451">
                  <c:v>-5.3904193247104937</c:v>
                </c:pt>
                <c:pt idx="452">
                  <c:v>-5.3757245375153433</c:v>
                </c:pt>
                <c:pt idx="453">
                  <c:v>-5.4021474094968136</c:v>
                </c:pt>
                <c:pt idx="454">
                  <c:v>-5.3765118422857316</c:v>
                </c:pt>
                <c:pt idx="455">
                  <c:v>-5.3871723460094643</c:v>
                </c:pt>
                <c:pt idx="456">
                  <c:v>-5.4060660631404334</c:v>
                </c:pt>
                <c:pt idx="457">
                  <c:v>-5.3569322624659801</c:v>
                </c:pt>
                <c:pt idx="458">
                  <c:v>-5.3919063124988602</c:v>
                </c:pt>
                <c:pt idx="459">
                  <c:v>-5.3998674726334732</c:v>
                </c:pt>
                <c:pt idx="460">
                  <c:v>-5.3370497581043121</c:v>
                </c:pt>
                <c:pt idx="461">
                  <c:v>-5.3865769669747383</c:v>
                </c:pt>
                <c:pt idx="462">
                  <c:v>-5.3687383579135615</c:v>
                </c:pt>
                <c:pt idx="463">
                  <c:v>-5.3341328350171322</c:v>
                </c:pt>
                <c:pt idx="464">
                  <c:v>-5.351055570421134</c:v>
                </c:pt>
                <c:pt idx="465">
                  <c:v>-5.3730647930558515</c:v>
                </c:pt>
                <c:pt idx="466">
                  <c:v>-5.3661420906276858</c:v>
                </c:pt>
                <c:pt idx="467">
                  <c:v>-5.3485090206097201</c:v>
                </c:pt>
                <c:pt idx="468">
                  <c:v>-5.306927784552733</c:v>
                </c:pt>
                <c:pt idx="469">
                  <c:v>-5.3606666575771706</c:v>
                </c:pt>
                <c:pt idx="470">
                  <c:v>-5.3703223701359635</c:v>
                </c:pt>
                <c:pt idx="471">
                  <c:v>-5.3425017246886481</c:v>
                </c:pt>
                <c:pt idx="472">
                  <c:v>-5.3933688937525757</c:v>
                </c:pt>
                <c:pt idx="473">
                  <c:v>-5.3730783009982872</c:v>
                </c:pt>
                <c:pt idx="474">
                  <c:v>-5.3454028234195201</c:v>
                </c:pt>
                <c:pt idx="475">
                  <c:v>-5.3674096404734879</c:v>
                </c:pt>
                <c:pt idx="476">
                  <c:v>-5.3793239469754797</c:v>
                </c:pt>
                <c:pt idx="477">
                  <c:v>-5.3755494954611933</c:v>
                </c:pt>
                <c:pt idx="478">
                  <c:v>-5.3673639278688308</c:v>
                </c:pt>
                <c:pt idx="479">
                  <c:v>-5.3895891718614672</c:v>
                </c:pt>
                <c:pt idx="480">
                  <c:v>-5.3401248756031059</c:v>
                </c:pt>
                <c:pt idx="481">
                  <c:v>-5.3719944860432367</c:v>
                </c:pt>
                <c:pt idx="482">
                  <c:v>-5.3624526383869497</c:v>
                </c:pt>
                <c:pt idx="483">
                  <c:v>-5.354073415290058</c:v>
                </c:pt>
                <c:pt idx="484">
                  <c:v>-5.3493016724290676</c:v>
                </c:pt>
                <c:pt idx="485">
                  <c:v>-5.4106646083273953</c:v>
                </c:pt>
                <c:pt idx="486">
                  <c:v>-5.3472901724479591</c:v>
                </c:pt>
                <c:pt idx="487">
                  <c:v>-5.348378038539038</c:v>
                </c:pt>
                <c:pt idx="488">
                  <c:v>-5.3985188779084883</c:v>
                </c:pt>
                <c:pt idx="489">
                  <c:v>-5.3706334348297435</c:v>
                </c:pt>
                <c:pt idx="490">
                  <c:v>-5.3538148729365975</c:v>
                </c:pt>
                <c:pt idx="491">
                  <c:v>-5.3610218898660884</c:v>
                </c:pt>
                <c:pt idx="492">
                  <c:v>-5.3785318031253251</c:v>
                </c:pt>
                <c:pt idx="493">
                  <c:v>-5.3509004425280056</c:v>
                </c:pt>
                <c:pt idx="494">
                  <c:v>-5.3624325271878259</c:v>
                </c:pt>
                <c:pt idx="495">
                  <c:v>-5.3962764584007363</c:v>
                </c:pt>
                <c:pt idx="496">
                  <c:v>-5.3616532417198473</c:v>
                </c:pt>
                <c:pt idx="497">
                  <c:v>-5.4034307033707183</c:v>
                </c:pt>
                <c:pt idx="498">
                  <c:v>-5.3285104784765025</c:v>
                </c:pt>
                <c:pt idx="499">
                  <c:v>-5.2973639261452838</c:v>
                </c:pt>
                <c:pt idx="500">
                  <c:v>-5.283899997168473</c:v>
                </c:pt>
                <c:pt idx="501">
                  <c:v>-5.2824658664925748</c:v>
                </c:pt>
                <c:pt idx="502">
                  <c:v>-5.22303084387487</c:v>
                </c:pt>
                <c:pt idx="503">
                  <c:v>-5.1283889617409528</c:v>
                </c:pt>
                <c:pt idx="504">
                  <c:v>-5.1024820316383011</c:v>
                </c:pt>
                <c:pt idx="505">
                  <c:v>-5.2138679072589555</c:v>
                </c:pt>
                <c:pt idx="506">
                  <c:v>-5.2241164675797203</c:v>
                </c:pt>
                <c:pt idx="507">
                  <c:v>-5.227556344048466</c:v>
                </c:pt>
                <c:pt idx="508">
                  <c:v>-5.2310702580036361</c:v>
                </c:pt>
                <c:pt idx="509">
                  <c:v>-5.2346606500900545</c:v>
                </c:pt>
                <c:pt idx="510">
                  <c:v>-5.2383300663205787</c:v>
                </c:pt>
                <c:pt idx="511">
                  <c:v>-5.242081172211325</c:v>
                </c:pt>
                <c:pt idx="512">
                  <c:v>-5.2459167527362558</c:v>
                </c:pt>
                <c:pt idx="513">
                  <c:v>-5.2498397222278435</c:v>
                </c:pt>
                <c:pt idx="514">
                  <c:v>-5.2538531347778603</c:v>
                </c:pt>
                <c:pt idx="515">
                  <c:v>-5.2579601870890293</c:v>
                </c:pt>
                <c:pt idx="516">
                  <c:v>-5.2621642301431102</c:v>
                </c:pt>
                <c:pt idx="517">
                  <c:v>-5.2664687807923389</c:v>
                </c:pt>
                <c:pt idx="518">
                  <c:v>-5.2708775265594037</c:v>
                </c:pt>
                <c:pt idx="519">
                  <c:v>-5.2753943433818504</c:v>
                </c:pt>
                <c:pt idx="520">
                  <c:v>-5.2800233010787077</c:v>
                </c:pt>
                <c:pt idx="521">
                  <c:v>-5.2847686789166479</c:v>
                </c:pt>
                <c:pt idx="522">
                  <c:v>-5.2896349823692352</c:v>
                </c:pt>
                <c:pt idx="523">
                  <c:v>-5.2946269514319937</c:v>
                </c:pt>
                <c:pt idx="524">
                  <c:v>-5.2997495839234379</c:v>
                </c:pt>
                <c:pt idx="525">
                  <c:v>-5.3050081464601524</c:v>
                </c:pt>
                <c:pt idx="526">
                  <c:v>-5.3104081984162281</c:v>
                </c:pt>
                <c:pt idx="527">
                  <c:v>-5.3159556102563634</c:v>
                </c:pt>
                <c:pt idx="528">
                  <c:v>-5.3216565860394853</c:v>
                </c:pt>
                <c:pt idx="529">
                  <c:v>-5.3275176884480349</c:v>
                </c:pt>
                <c:pt idx="530">
                  <c:v>-5.3335458652099925</c:v>
                </c:pt>
                <c:pt idx="531">
                  <c:v>-5.3397484773676727</c:v>
                </c:pt>
                <c:pt idx="532">
                  <c:v>-5.3461333323581348</c:v>
                </c:pt>
                <c:pt idx="533">
                  <c:v>-5.3527087180163848</c:v>
                </c:pt>
                <c:pt idx="534">
                  <c:v>-5.3594834404741967</c:v>
                </c:pt>
                <c:pt idx="535">
                  <c:v>-5.3664668666873681</c:v>
                </c:pt>
                <c:pt idx="536">
                  <c:v>-5.3736689700446814</c:v>
                </c:pt>
                <c:pt idx="537">
                  <c:v>-5.381100381466398</c:v>
                </c:pt>
                <c:pt idx="538">
                  <c:v>-5.3887724445128269</c:v>
                </c:pt>
                <c:pt idx="539">
                  <c:v>-5.3966972783320726</c:v>
                </c:pt>
                <c:pt idx="540">
                  <c:v>-5.4048878459538532</c:v>
                </c:pt>
                <c:pt idx="541">
                  <c:v>-5.4750392966163863</c:v>
                </c:pt>
                <c:pt idx="542">
                  <c:v>-5.51439463271082</c:v>
                </c:pt>
                <c:pt idx="543">
                  <c:v>-5.510538467510794</c:v>
                </c:pt>
                <c:pt idx="544">
                  <c:v>-5.4437848581815897</c:v>
                </c:pt>
                <c:pt idx="545">
                  <c:v>-5.4390770858042732</c:v>
                </c:pt>
                <c:pt idx="546">
                  <c:v>-5.4877489551806882</c:v>
                </c:pt>
                <c:pt idx="547">
                  <c:v>-5.4014644743001474</c:v>
                </c:pt>
                <c:pt idx="548">
                  <c:v>-5.3997596734356286</c:v>
                </c:pt>
                <c:pt idx="549">
                  <c:v>-5.3979849584310715</c:v>
                </c:pt>
                <c:pt idx="550">
                  <c:v>-5.396135935760257</c:v>
                </c:pt>
                <c:pt idx="551">
                  <c:v>-5.4341583826898336</c:v>
                </c:pt>
                <c:pt idx="552">
                  <c:v>-5.4096880109514887</c:v>
                </c:pt>
                <c:pt idx="553">
                  <c:v>-5.4343537142829383</c:v>
                </c:pt>
                <c:pt idx="554">
                  <c:v>-5.3333148513212345</c:v>
                </c:pt>
                <c:pt idx="555">
                  <c:v>-5.3646239893081633</c:v>
                </c:pt>
                <c:pt idx="556">
                  <c:v>-5.4308577606605368</c:v>
                </c:pt>
                <c:pt idx="557">
                  <c:v>-5.499721034288072</c:v>
                </c:pt>
                <c:pt idx="558">
                  <c:v>-5.5056074360582681</c:v>
                </c:pt>
                <c:pt idx="559">
                  <c:v>-5.4786640867145424</c:v>
                </c:pt>
                <c:pt idx="560">
                  <c:v>-5.4637900854983998</c:v>
                </c:pt>
                <c:pt idx="561">
                  <c:v>-5.4247439221199878</c:v>
                </c:pt>
                <c:pt idx="562">
                  <c:v>-5.4422780554695454</c:v>
                </c:pt>
                <c:pt idx="563">
                  <c:v>-5.4533759048237664</c:v>
                </c:pt>
                <c:pt idx="564">
                  <c:v>-5.4902659151841986</c:v>
                </c:pt>
                <c:pt idx="565">
                  <c:v>-5.5397098115700674</c:v>
                </c:pt>
                <c:pt idx="566">
                  <c:v>-5.5210812386424735</c:v>
                </c:pt>
                <c:pt idx="567">
                  <c:v>-5.5165525705396794</c:v>
                </c:pt>
                <c:pt idx="568">
                  <c:v>-5.5999914316899337</c:v>
                </c:pt>
                <c:pt idx="569">
                  <c:v>-5.5670966917669418</c:v>
                </c:pt>
                <c:pt idx="570">
                  <c:v>-5.5536699890147814</c:v>
                </c:pt>
                <c:pt idx="571">
                  <c:v>-5.5417789321847941</c:v>
                </c:pt>
                <c:pt idx="572">
                  <c:v>-5.6155829527719137</c:v>
                </c:pt>
                <c:pt idx="573">
                  <c:v>-5.5376025389383718</c:v>
                </c:pt>
                <c:pt idx="574">
                  <c:v>-5.6178778436481878</c:v>
                </c:pt>
                <c:pt idx="575">
                  <c:v>-5.4893335502180616</c:v>
                </c:pt>
                <c:pt idx="576">
                  <c:v>-5.5552259626255021</c:v>
                </c:pt>
                <c:pt idx="577">
                  <c:v>-5.5301427178811933</c:v>
                </c:pt>
                <c:pt idx="578">
                  <c:v>-5.4785825638282484</c:v>
                </c:pt>
                <c:pt idx="579">
                  <c:v>-5.538191860352498</c:v>
                </c:pt>
                <c:pt idx="580">
                  <c:v>-5.5698397315252093</c:v>
                </c:pt>
                <c:pt idx="581">
                  <c:v>-5.5159597460137144</c:v>
                </c:pt>
                <c:pt idx="582">
                  <c:v>-5.5129413513782879</c:v>
                </c:pt>
                <c:pt idx="583">
                  <c:v>-5.5107193331210143</c:v>
                </c:pt>
                <c:pt idx="584">
                  <c:v>-5.4512363706101414</c:v>
                </c:pt>
                <c:pt idx="585">
                  <c:v>-5.470699711340866</c:v>
                </c:pt>
                <c:pt idx="586">
                  <c:v>-5.4307014454307074</c:v>
                </c:pt>
                <c:pt idx="587">
                  <c:v>-5.4818538956872773</c:v>
                </c:pt>
                <c:pt idx="588">
                  <c:v>-5.410168022096558</c:v>
                </c:pt>
                <c:pt idx="589">
                  <c:v>-5.4215656014225901</c:v>
                </c:pt>
                <c:pt idx="590">
                  <c:v>-5.4330001882982231</c:v>
                </c:pt>
                <c:pt idx="591">
                  <c:v>-5.5061398513787667</c:v>
                </c:pt>
                <c:pt idx="592">
                  <c:v>-5.4135368674208815</c:v>
                </c:pt>
                <c:pt idx="593">
                  <c:v>-5.4197116709454187</c:v>
                </c:pt>
                <c:pt idx="594">
                  <c:v>-5.4697131987769483</c:v>
                </c:pt>
                <c:pt idx="595">
                  <c:v>-5.4729419998047986</c:v>
                </c:pt>
                <c:pt idx="596">
                  <c:v>-5.5157189159120961</c:v>
                </c:pt>
                <c:pt idx="597">
                  <c:v>-5.5448007487279245</c:v>
                </c:pt>
                <c:pt idx="598">
                  <c:v>-5.4822492709403479</c:v>
                </c:pt>
                <c:pt idx="599">
                  <c:v>-5.5270242285396307</c:v>
                </c:pt>
                <c:pt idx="600">
                  <c:v>-5.4339942665619851</c:v>
                </c:pt>
                <c:pt idx="601">
                  <c:v>-5.5074478897164587</c:v>
                </c:pt>
                <c:pt idx="602">
                  <c:v>-5.7293687559763846</c:v>
                </c:pt>
                <c:pt idx="603">
                  <c:v>-6.2179249599711497</c:v>
                </c:pt>
                <c:pt idx="604">
                  <c:v>-5.4630451750021356</c:v>
                </c:pt>
                <c:pt idx="605">
                  <c:v>-5.465441487536169</c:v>
                </c:pt>
                <c:pt idx="606">
                  <c:v>-5.3790827046275824</c:v>
                </c:pt>
                <c:pt idx="607">
                  <c:v>-5.4198994445023905</c:v>
                </c:pt>
                <c:pt idx="608">
                  <c:v>-5.4702061806646523</c:v>
                </c:pt>
                <c:pt idx="609">
                  <c:v>-5.4769784195743938</c:v>
                </c:pt>
                <c:pt idx="610">
                  <c:v>-5.4764738154121648</c:v>
                </c:pt>
                <c:pt idx="611">
                  <c:v>-5.540293096145442</c:v>
                </c:pt>
                <c:pt idx="612">
                  <c:v>-5.5277515948885023</c:v>
                </c:pt>
                <c:pt idx="613">
                  <c:v>-5.5159162915693241</c:v>
                </c:pt>
                <c:pt idx="614">
                  <c:v>-5.5047284078418688</c:v>
                </c:pt>
                <c:pt idx="615">
                  <c:v>-5.4941355887391596</c:v>
                </c:pt>
                <c:pt idx="616">
                  <c:v>-5.4840910388737241</c:v>
                </c:pt>
                <c:pt idx="617">
                  <c:v>-5.4745527960692115</c:v>
                </c:pt>
                <c:pt idx="618">
                  <c:v>-5.4654831165131874</c:v>
                </c:pt>
                <c:pt idx="619">
                  <c:v>-5.4736062427598933</c:v>
                </c:pt>
                <c:pt idx="620">
                  <c:v>-5.4210028475948802</c:v>
                </c:pt>
                <c:pt idx="621">
                  <c:v>-5.4159471337544307</c:v>
                </c:pt>
                <c:pt idx="622">
                  <c:v>-5.3693659079414999</c:v>
                </c:pt>
                <c:pt idx="623">
                  <c:v>-5.3456598050280739</c:v>
                </c:pt>
                <c:pt idx="624">
                  <c:v>-5.3104114901034603</c:v>
                </c:pt>
                <c:pt idx="625">
                  <c:v>-5.3208667159364289</c:v>
                </c:pt>
                <c:pt idx="626">
                  <c:v>-5.3766045878773285</c:v>
                </c:pt>
                <c:pt idx="627">
                  <c:v>-5.3968925250947732</c:v>
                </c:pt>
                <c:pt idx="628">
                  <c:v>-5.3745499946166495</c:v>
                </c:pt>
                <c:pt idx="629">
                  <c:v>-5.4514143881786588</c:v>
                </c:pt>
                <c:pt idx="630">
                  <c:v>-5.3881679524101616</c:v>
                </c:pt>
                <c:pt idx="631">
                  <c:v>-5.3797071025444652</c:v>
                </c:pt>
                <c:pt idx="632">
                  <c:v>-5.4434217952530677</c:v>
                </c:pt>
                <c:pt idx="633">
                  <c:v>-5.4606852592279314</c:v>
                </c:pt>
                <c:pt idx="634">
                  <c:v>-5.3927688407049423</c:v>
                </c:pt>
                <c:pt idx="635">
                  <c:v>-5.3558158586092528</c:v>
                </c:pt>
                <c:pt idx="636">
                  <c:v>-5.3667906225387556</c:v>
                </c:pt>
                <c:pt idx="637">
                  <c:v>-5.4584314459260526</c:v>
                </c:pt>
                <c:pt idx="638">
                  <c:v>-5.399477699110431</c:v>
                </c:pt>
                <c:pt idx="639">
                  <c:v>-5.3557385761979877</c:v>
                </c:pt>
                <c:pt idx="640">
                  <c:v>-5.3706520235045234</c:v>
                </c:pt>
                <c:pt idx="641">
                  <c:v>-5.3198951672196948</c:v>
                </c:pt>
                <c:pt idx="642">
                  <c:v>-5.3127573286579715</c:v>
                </c:pt>
                <c:pt idx="643">
                  <c:v>-5.2773931040644495</c:v>
                </c:pt>
                <c:pt idx="644">
                  <c:v>-5.2424417084147139</c:v>
                </c:pt>
                <c:pt idx="645">
                  <c:v>-5.2227125105938521</c:v>
                </c:pt>
                <c:pt idx="646">
                  <c:v>-5.1082397390111201</c:v>
                </c:pt>
                <c:pt idx="647">
                  <c:v>-5.1418184878901672</c:v>
                </c:pt>
                <c:pt idx="648">
                  <c:v>-5.1240060512784913</c:v>
                </c:pt>
                <c:pt idx="649">
                  <c:v>-5.128598297896426</c:v>
                </c:pt>
                <c:pt idx="650">
                  <c:v>-5.1479665646305532</c:v>
                </c:pt>
                <c:pt idx="651">
                  <c:v>-5.1523477966595257</c:v>
                </c:pt>
                <c:pt idx="652">
                  <c:v>-5.0963606918625564</c:v>
                </c:pt>
                <c:pt idx="653">
                  <c:v>-5.1632356076059063</c:v>
                </c:pt>
                <c:pt idx="654">
                  <c:v>-5.2035439043691749</c:v>
                </c:pt>
                <c:pt idx="655">
                  <c:v>-5.1716287999850916</c:v>
                </c:pt>
                <c:pt idx="656">
                  <c:v>-5.1244515788721277</c:v>
                </c:pt>
                <c:pt idx="657">
                  <c:v>-5.1630813418162678</c:v>
                </c:pt>
                <c:pt idx="658">
                  <c:v>-5.0949656533960042</c:v>
                </c:pt>
                <c:pt idx="659">
                  <c:v>-5.1194839008211988</c:v>
                </c:pt>
                <c:pt idx="660">
                  <c:v>-5.1586062472770724</c:v>
                </c:pt>
                <c:pt idx="661">
                  <c:v>-5.1925713564888731</c:v>
                </c:pt>
                <c:pt idx="662">
                  <c:v>-5.1355510563071327</c:v>
                </c:pt>
                <c:pt idx="663">
                  <c:v>-5.2154343219387265</c:v>
                </c:pt>
                <c:pt idx="664">
                  <c:v>-5.1834341008808424</c:v>
                </c:pt>
                <c:pt idx="665">
                  <c:v>-5.2094244001810832</c:v>
                </c:pt>
                <c:pt idx="666">
                  <c:v>-5.1759593519003335</c:v>
                </c:pt>
                <c:pt idx="667">
                  <c:v>-5.1714781376902703</c:v>
                </c:pt>
                <c:pt idx="668">
                  <c:v>-5.1540805158038037</c:v>
                </c:pt>
                <c:pt idx="669">
                  <c:v>-5.0340966995378427</c:v>
                </c:pt>
                <c:pt idx="670">
                  <c:v>-5.0853563111445563</c:v>
                </c:pt>
                <c:pt idx="671">
                  <c:v>-5.1055703887015271</c:v>
                </c:pt>
                <c:pt idx="672">
                  <c:v>-5.1198321099920143</c:v>
                </c:pt>
                <c:pt idx="673">
                  <c:v>-5.0492814596899223</c:v>
                </c:pt>
                <c:pt idx="674">
                  <c:v>-5.0739043422572614</c:v>
                </c:pt>
                <c:pt idx="675">
                  <c:v>-5.1238910532409658</c:v>
                </c:pt>
                <c:pt idx="676">
                  <c:v>-5.1370384767067163</c:v>
                </c:pt>
                <c:pt idx="677">
                  <c:v>-5.1680808088307719</c:v>
                </c:pt>
                <c:pt idx="678">
                  <c:v>-5.1307857101323826</c:v>
                </c:pt>
                <c:pt idx="679">
                  <c:v>-5.2173564944585786</c:v>
                </c:pt>
                <c:pt idx="680">
                  <c:v>-5.1893703863994141</c:v>
                </c:pt>
                <c:pt idx="681">
                  <c:v>-5.1598316112861671</c:v>
                </c:pt>
                <c:pt idx="682">
                  <c:v>-5.1622716549568013</c:v>
                </c:pt>
                <c:pt idx="683">
                  <c:v>-5.1844690143437262</c:v>
                </c:pt>
                <c:pt idx="684">
                  <c:v>-5.2474512757480634</c:v>
                </c:pt>
                <c:pt idx="685">
                  <c:v>-5.2045302815648355</c:v>
                </c:pt>
                <c:pt idx="686">
                  <c:v>-5.1933295124433041</c:v>
                </c:pt>
                <c:pt idx="687">
                  <c:v>-5.1971667938657538</c:v>
                </c:pt>
                <c:pt idx="688">
                  <c:v>-5.2716516017393404</c:v>
                </c:pt>
                <c:pt idx="689">
                  <c:v>-5.2198307085560325</c:v>
                </c:pt>
                <c:pt idx="690">
                  <c:v>-5.2372546918018177</c:v>
                </c:pt>
                <c:pt idx="691">
                  <c:v>-5.1994746632099513</c:v>
                </c:pt>
                <c:pt idx="692">
                  <c:v>-5.2100630385409783</c:v>
                </c:pt>
                <c:pt idx="693">
                  <c:v>-5.2437137620450445</c:v>
                </c:pt>
                <c:pt idx="694">
                  <c:v>-5.2328159932717488</c:v>
                </c:pt>
                <c:pt idx="695">
                  <c:v>-5.1948989475837664</c:v>
                </c:pt>
                <c:pt idx="696">
                  <c:v>-5.1650577825350705</c:v>
                </c:pt>
                <c:pt idx="697">
                  <c:v>-5.1909598962715577</c:v>
                </c:pt>
                <c:pt idx="698">
                  <c:v>-5.2539078159986357</c:v>
                </c:pt>
                <c:pt idx="699">
                  <c:v>-5.2103770729932597</c:v>
                </c:pt>
                <c:pt idx="700">
                  <c:v>-5.1751546078666051</c:v>
                </c:pt>
                <c:pt idx="701">
                  <c:v>-5.2703545940260392</c:v>
                </c:pt>
                <c:pt idx="702">
                  <c:v>-5.1948776926070295</c:v>
                </c:pt>
                <c:pt idx="703">
                  <c:v>-5.2004820313982467</c:v>
                </c:pt>
                <c:pt idx="704">
                  <c:v>-5.1751083334578993</c:v>
                </c:pt>
                <c:pt idx="705">
                  <c:v>-5.2205482675867199</c:v>
                </c:pt>
                <c:pt idx="706">
                  <c:v>-5.1998545024911786</c:v>
                </c:pt>
                <c:pt idx="707">
                  <c:v>-5.1410447800150214</c:v>
                </c:pt>
                <c:pt idx="708">
                  <c:v>-5.1810418163123391</c:v>
                </c:pt>
                <c:pt idx="709">
                  <c:v>-5.186107875538049</c:v>
                </c:pt>
                <c:pt idx="710">
                  <c:v>-5.2111673450589056</c:v>
                </c:pt>
                <c:pt idx="711">
                  <c:v>-5.201630239186386</c:v>
                </c:pt>
                <c:pt idx="712">
                  <c:v>-5.2221842014405029</c:v>
                </c:pt>
                <c:pt idx="713">
                  <c:v>-5.2044432175254638</c:v>
                </c:pt>
                <c:pt idx="714">
                  <c:v>-5.1822156090587974</c:v>
                </c:pt>
                <c:pt idx="715">
                  <c:v>-5.1390943672096467</c:v>
                </c:pt>
                <c:pt idx="716">
                  <c:v>-5.2208415732079425</c:v>
                </c:pt>
                <c:pt idx="717">
                  <c:v>-5.1771074658912219</c:v>
                </c:pt>
                <c:pt idx="718">
                  <c:v>-5.1928414732724528</c:v>
                </c:pt>
                <c:pt idx="719">
                  <c:v>-5.2206185290037563</c:v>
                </c:pt>
                <c:pt idx="720">
                  <c:v>-5.1721118835899542</c:v>
                </c:pt>
                <c:pt idx="721">
                  <c:v>-5.1755328002389422</c:v>
                </c:pt>
                <c:pt idx="722">
                  <c:v>-5.1977691016541296</c:v>
                </c:pt>
                <c:pt idx="723">
                  <c:v>-5.2528698922923329</c:v>
                </c:pt>
                <c:pt idx="724">
                  <c:v>-5.233329102987768</c:v>
                </c:pt>
                <c:pt idx="725">
                  <c:v>-5.2403124539661583</c:v>
                </c:pt>
                <c:pt idx="726">
                  <c:v>-5.2575989047109237</c:v>
                </c:pt>
                <c:pt idx="727">
                  <c:v>-5.238205697342857</c:v>
                </c:pt>
                <c:pt idx="728">
                  <c:v>-5.2264823000930001</c:v>
                </c:pt>
                <c:pt idx="729">
                  <c:v>-5.2954224679488435</c:v>
                </c:pt>
                <c:pt idx="730">
                  <c:v>-5.2780598884603416</c:v>
                </c:pt>
                <c:pt idx="731">
                  <c:v>-5.2218666846669555</c:v>
                </c:pt>
                <c:pt idx="732">
                  <c:v>-5.2744535755411084</c:v>
                </c:pt>
                <c:pt idx="733">
                  <c:v>-5.2687944345629889</c:v>
                </c:pt>
                <c:pt idx="734">
                  <c:v>-5.2755653332769166</c:v>
                </c:pt>
                <c:pt idx="735">
                  <c:v>-5.2266482346014502</c:v>
                </c:pt>
                <c:pt idx="736">
                  <c:v>-5.2490839559790379</c:v>
                </c:pt>
                <c:pt idx="737">
                  <c:v>-5.2329580663579884</c:v>
                </c:pt>
                <c:pt idx="738">
                  <c:v>-5.1987189589155607</c:v>
                </c:pt>
                <c:pt idx="739">
                  <c:v>-5.2285010083232795</c:v>
                </c:pt>
                <c:pt idx="740">
                  <c:v>-5.2543271635089734</c:v>
                </c:pt>
                <c:pt idx="741">
                  <c:v>-5.2383414175436167</c:v>
                </c:pt>
                <c:pt idx="742">
                  <c:v>-5.2020351902199993</c:v>
                </c:pt>
                <c:pt idx="743">
                  <c:v>-5.2313671422440127</c:v>
                </c:pt>
                <c:pt idx="744">
                  <c:v>-5.1873941870907814</c:v>
                </c:pt>
                <c:pt idx="745">
                  <c:v>-5.2501514604908825</c:v>
                </c:pt>
                <c:pt idx="746">
                  <c:v>-5.2562771687540488</c:v>
                </c:pt>
                <c:pt idx="747">
                  <c:v>-5.2435121760058081</c:v>
                </c:pt>
                <c:pt idx="748">
                  <c:v>-5.2414518195901074</c:v>
                </c:pt>
                <c:pt idx="749">
                  <c:v>-5.2731210726291495</c:v>
                </c:pt>
                <c:pt idx="750">
                  <c:v>-5.3494797747766114</c:v>
                </c:pt>
                <c:pt idx="751">
                  <c:v>-5.3274939336192917</c:v>
                </c:pt>
                <c:pt idx="752">
                  <c:v>-5.3313588894853181</c:v>
                </c:pt>
                <c:pt idx="753">
                  <c:v>-5.2905042509566531</c:v>
                </c:pt>
                <c:pt idx="754">
                  <c:v>-5.3093189049985945</c:v>
                </c:pt>
                <c:pt idx="755">
                  <c:v>-5.2804883604122868</c:v>
                </c:pt>
                <c:pt idx="756">
                  <c:v>-5.3262805156453323</c:v>
                </c:pt>
                <c:pt idx="757">
                  <c:v>-5.2981431992278027</c:v>
                </c:pt>
                <c:pt idx="758">
                  <c:v>-5.3837559065547724</c:v>
                </c:pt>
                <c:pt idx="759">
                  <c:v>-5.3216653110963836</c:v>
                </c:pt>
                <c:pt idx="760">
                  <c:v>-5.3675856821904278</c:v>
                </c:pt>
                <c:pt idx="761">
                  <c:v>-5.3676089386893722</c:v>
                </c:pt>
                <c:pt idx="762">
                  <c:v>-5.3473092046114665</c:v>
                </c:pt>
                <c:pt idx="763">
                  <c:v>-5.2738682879237544</c:v>
                </c:pt>
                <c:pt idx="764">
                  <c:v>-5.3693490013009422</c:v>
                </c:pt>
                <c:pt idx="765">
                  <c:v>-5.3238972260167587</c:v>
                </c:pt>
                <c:pt idx="766">
                  <c:v>-5.3991946737431666</c:v>
                </c:pt>
                <c:pt idx="767">
                  <c:v>-5.4150288154547797</c:v>
                </c:pt>
                <c:pt idx="768">
                  <c:v>-5.3963314491883683</c:v>
                </c:pt>
                <c:pt idx="769">
                  <c:v>-5.4305338099224398</c:v>
                </c:pt>
                <c:pt idx="770">
                  <c:v>-5.4696576719090428</c:v>
                </c:pt>
                <c:pt idx="771">
                  <c:v>-5.4344520435285606</c:v>
                </c:pt>
                <c:pt idx="772">
                  <c:v>-5.4169817806016036</c:v>
                </c:pt>
                <c:pt idx="773">
                  <c:v>-5.394813797646119</c:v>
                </c:pt>
                <c:pt idx="774">
                  <c:v>-5.4264890731713971</c:v>
                </c:pt>
                <c:pt idx="775">
                  <c:v>-5.2899828362383818</c:v>
                </c:pt>
                <c:pt idx="776">
                  <c:v>-5.2964437975387071</c:v>
                </c:pt>
                <c:pt idx="777">
                  <c:v>-5.2380269676411357</c:v>
                </c:pt>
                <c:pt idx="778">
                  <c:v>-5.2712764906923413</c:v>
                </c:pt>
                <c:pt idx="779">
                  <c:v>-5.2304405610939595</c:v>
                </c:pt>
                <c:pt idx="780">
                  <c:v>-5.2223836624401914</c:v>
                </c:pt>
                <c:pt idx="781">
                  <c:v>-5.2241219291025658</c:v>
                </c:pt>
                <c:pt idx="782">
                  <c:v>-5.2440768084429665</c:v>
                </c:pt>
                <c:pt idx="783">
                  <c:v>-5.2825500729568038</c:v>
                </c:pt>
                <c:pt idx="784">
                  <c:v>-5.1988737913528507</c:v>
                </c:pt>
                <c:pt idx="785">
                  <c:v>-5.3271362384044938</c:v>
                </c:pt>
                <c:pt idx="786">
                  <c:v>-5.2397887041698965</c:v>
                </c:pt>
                <c:pt idx="787">
                  <c:v>-5.2965104288150195</c:v>
                </c:pt>
                <c:pt idx="788">
                  <c:v>-5.3398799196025308</c:v>
                </c:pt>
                <c:pt idx="789">
                  <c:v>-5.2586499185525133</c:v>
                </c:pt>
                <c:pt idx="790">
                  <c:v>-5.3721445545051596</c:v>
                </c:pt>
                <c:pt idx="791">
                  <c:v>-5.3624883871038405</c:v>
                </c:pt>
                <c:pt idx="792">
                  <c:v>-5.3203038478480327</c:v>
                </c:pt>
                <c:pt idx="793">
                  <c:v>-5.3552718746658696</c:v>
                </c:pt>
                <c:pt idx="794">
                  <c:v>-5.3533177728668822</c:v>
                </c:pt>
                <c:pt idx="795">
                  <c:v>-5.3015694668175701</c:v>
                </c:pt>
                <c:pt idx="796">
                  <c:v>-5.2468365780191286</c:v>
                </c:pt>
                <c:pt idx="797">
                  <c:v>-5.3462651500007876</c:v>
                </c:pt>
                <c:pt idx="798">
                  <c:v>-5.270818928036535</c:v>
                </c:pt>
                <c:pt idx="799">
                  <c:v>-5.3044244022029678</c:v>
                </c:pt>
                <c:pt idx="800">
                  <c:v>-5.275152075494618</c:v>
                </c:pt>
                <c:pt idx="801">
                  <c:v>-5.2547397100753628</c:v>
                </c:pt>
                <c:pt idx="802">
                  <c:v>-5.2572187851085799</c:v>
                </c:pt>
                <c:pt idx="803">
                  <c:v>-5.1819515056163636</c:v>
                </c:pt>
                <c:pt idx="804">
                  <c:v>-5.2146620332477065</c:v>
                </c:pt>
                <c:pt idx="805">
                  <c:v>-5.2097194316948654</c:v>
                </c:pt>
                <c:pt idx="806">
                  <c:v>-5.2017840609172552</c:v>
                </c:pt>
                <c:pt idx="807">
                  <c:v>-5.2371760963314529</c:v>
                </c:pt>
                <c:pt idx="808">
                  <c:v>-5.2265553026589453</c:v>
                </c:pt>
                <c:pt idx="809">
                  <c:v>-5.3027759879285075</c:v>
                </c:pt>
                <c:pt idx="810">
                  <c:v>-5.34050003396381</c:v>
                </c:pt>
                <c:pt idx="811">
                  <c:v>-5.236823340912049</c:v>
                </c:pt>
                <c:pt idx="812">
                  <c:v>-5.2141941700155385</c:v>
                </c:pt>
                <c:pt idx="813">
                  <c:v>-5.2487378199584036</c:v>
                </c:pt>
                <c:pt idx="814">
                  <c:v>-5.2293308183919631</c:v>
                </c:pt>
                <c:pt idx="815">
                  <c:v>-5.2471921205588199</c:v>
                </c:pt>
                <c:pt idx="816">
                  <c:v>-5.2526803690462511</c:v>
                </c:pt>
                <c:pt idx="817">
                  <c:v>-5.2638068544359635</c:v>
                </c:pt>
                <c:pt idx="818">
                  <c:v>-5.2939591980017511</c:v>
                </c:pt>
                <c:pt idx="819">
                  <c:v>-5.3282640347153185</c:v>
                </c:pt>
                <c:pt idx="820">
                  <c:v>-5.2730644451744171</c:v>
                </c:pt>
                <c:pt idx="821">
                  <c:v>-5.2769591885465372</c:v>
                </c:pt>
                <c:pt idx="822">
                  <c:v>-5.3811414069642183</c:v>
                </c:pt>
                <c:pt idx="823">
                  <c:v>-5.283621825267506</c:v>
                </c:pt>
                <c:pt idx="824">
                  <c:v>-5.2426147901941826</c:v>
                </c:pt>
                <c:pt idx="825">
                  <c:v>-5.2932809709955571</c:v>
                </c:pt>
                <c:pt idx="826">
                  <c:v>-5.2447061572451821</c:v>
                </c:pt>
                <c:pt idx="827">
                  <c:v>-5.3122179492102539</c:v>
                </c:pt>
                <c:pt idx="828">
                  <c:v>-5.366742153444382</c:v>
                </c:pt>
                <c:pt idx="829">
                  <c:v>-5.4192908149536265</c:v>
                </c:pt>
                <c:pt idx="830">
                  <c:v>-5.4700382545972683</c:v>
                </c:pt>
                <c:pt idx="831">
                  <c:v>-5.519137716844484</c:v>
                </c:pt>
                <c:pt idx="832">
                  <c:v>-5.5667246669620916</c:v>
                </c:pt>
                <c:pt idx="833">
                  <c:v>-5.6129194694969504</c:v>
                </c:pt>
                <c:pt idx="834">
                  <c:v>-5.6578295812186203</c:v>
                </c:pt>
                <c:pt idx="835">
                  <c:v>-5.683686014682598</c:v>
                </c:pt>
                <c:pt idx="836">
                  <c:v>-5.720530131193537</c:v>
                </c:pt>
                <c:pt idx="837">
                  <c:v>-5.2207999379701375</c:v>
                </c:pt>
                <c:pt idx="838">
                  <c:v>-5.287083863408097</c:v>
                </c:pt>
                <c:pt idx="839">
                  <c:v>-5.2852852985264116</c:v>
                </c:pt>
                <c:pt idx="840">
                  <c:v>-5.2622449430997875</c:v>
                </c:pt>
                <c:pt idx="841">
                  <c:v>-5.2266044001236001</c:v>
                </c:pt>
                <c:pt idx="842">
                  <c:v>-5.1906226489035427</c:v>
                </c:pt>
                <c:pt idx="843">
                  <c:v>-5.2460455172048581</c:v>
                </c:pt>
                <c:pt idx="844">
                  <c:v>-5.1587291153588497</c:v>
                </c:pt>
                <c:pt idx="845">
                  <c:v>-5.2284020977337491</c:v>
                </c:pt>
                <c:pt idx="846">
                  <c:v>-5.2271144769470492</c:v>
                </c:pt>
                <c:pt idx="847">
                  <c:v>-5.2586874379140838</c:v>
                </c:pt>
                <c:pt idx="848">
                  <c:v>-5.2739314399778694</c:v>
                </c:pt>
                <c:pt idx="849">
                  <c:v>-5.1422468112370989</c:v>
                </c:pt>
                <c:pt idx="850">
                  <c:v>-5.2319764178475614</c:v>
                </c:pt>
                <c:pt idx="851">
                  <c:v>-5.2430154689644635</c:v>
                </c:pt>
                <c:pt idx="852">
                  <c:v>-5.2189830433756761</c:v>
                </c:pt>
                <c:pt idx="853">
                  <c:v>-5.236783455154713</c:v>
                </c:pt>
                <c:pt idx="854">
                  <c:v>-5.4088460176975213</c:v>
                </c:pt>
                <c:pt idx="855">
                  <c:v>-5.6362046464009037</c:v>
                </c:pt>
                <c:pt idx="856">
                  <c:v>-5.3072888026366636</c:v>
                </c:pt>
                <c:pt idx="857">
                  <c:v>-5.7469754004356455</c:v>
                </c:pt>
                <c:pt idx="858">
                  <c:v>-5.2426143320233551</c:v>
                </c:pt>
                <c:pt idx="859">
                  <c:v>-5.2825875022429338</c:v>
                </c:pt>
                <c:pt idx="860">
                  <c:v>-5.2315024319601493</c:v>
                </c:pt>
                <c:pt idx="861">
                  <c:v>-5.2401092273285821</c:v>
                </c:pt>
                <c:pt idx="862">
                  <c:v>-5.2720644377324337</c:v>
                </c:pt>
                <c:pt idx="863">
                  <c:v>-5.4904291366430291</c:v>
                </c:pt>
                <c:pt idx="864">
                  <c:v>-5.4608234160040805</c:v>
                </c:pt>
                <c:pt idx="865">
                  <c:v>-5.3496438408870572</c:v>
                </c:pt>
                <c:pt idx="866">
                  <c:v>-5.3137209576804132</c:v>
                </c:pt>
                <c:pt idx="867">
                  <c:v>-4.954350417833477</c:v>
                </c:pt>
                <c:pt idx="868">
                  <c:v>-5.3942605104777668</c:v>
                </c:pt>
                <c:pt idx="869">
                  <c:v>-5.4504328434298577</c:v>
                </c:pt>
                <c:pt idx="870">
                  <c:v>-5.5043327547009051</c:v>
                </c:pt>
                <c:pt idx="871">
                  <c:v>-5.5561692692027114</c:v>
                </c:pt>
                <c:pt idx="872">
                  <c:v>-5.6061245506026163</c:v>
                </c:pt>
                <c:pt idx="873">
                  <c:v>-5.6543583334747236</c:v>
                </c:pt>
                <c:pt idx="874">
                  <c:v>-5.3554805755539103</c:v>
                </c:pt>
                <c:pt idx="875">
                  <c:v>-5.3710069395147846</c:v>
                </c:pt>
                <c:pt idx="876">
                  <c:v>-5.3065120226930382</c:v>
                </c:pt>
                <c:pt idx="877">
                  <c:v>-5.2672434491274158</c:v>
                </c:pt>
                <c:pt idx="878">
                  <c:v>-5.2621889375955275</c:v>
                </c:pt>
                <c:pt idx="879">
                  <c:v>-5.2750682649904475</c:v>
                </c:pt>
                <c:pt idx="880">
                  <c:v>-5.2888929380954908</c:v>
                </c:pt>
                <c:pt idx="881">
                  <c:v>-5.3184240574392874</c:v>
                </c:pt>
                <c:pt idx="882">
                  <c:v>-5.3014530146560617</c:v>
                </c:pt>
                <c:pt idx="883">
                  <c:v>-5.2632698445950581</c:v>
                </c:pt>
                <c:pt idx="884">
                  <c:v>-5.3039122074319147</c:v>
                </c:pt>
                <c:pt idx="885">
                  <c:v>-5.2518717187320352</c:v>
                </c:pt>
                <c:pt idx="886">
                  <c:v>-5.2021534043208648</c:v>
                </c:pt>
                <c:pt idx="887">
                  <c:v>-5.2503998029723302</c:v>
                </c:pt>
                <c:pt idx="888">
                  <c:v>-5.2416405675930156</c:v>
                </c:pt>
                <c:pt idx="889">
                  <c:v>-5.208734250187546</c:v>
                </c:pt>
                <c:pt idx="890">
                  <c:v>-5.231661025799168</c:v>
                </c:pt>
                <c:pt idx="891">
                  <c:v>-5.2586384214042123</c:v>
                </c:pt>
                <c:pt idx="892">
                  <c:v>-5.2580338249346523</c:v>
                </c:pt>
                <c:pt idx="893">
                  <c:v>-5.257473564392928</c:v>
                </c:pt>
                <c:pt idx="894">
                  <c:v>-5.2569529353619915</c:v>
                </c:pt>
                <c:pt idx="895">
                  <c:v>-5.2564678762694097</c:v>
                </c:pt>
                <c:pt idx="896">
                  <c:v>-5.2459171517457248</c:v>
                </c:pt>
                <c:pt idx="897">
                  <c:v>-5.3135488771576487</c:v>
                </c:pt>
                <c:pt idx="898">
                  <c:v>-5.2899854612809163</c:v>
                </c:pt>
                <c:pt idx="899">
                  <c:v>-5.317556772201617</c:v>
                </c:pt>
                <c:pt idx="900">
                  <c:v>-5.2510610853909743</c:v>
                </c:pt>
                <c:pt idx="901">
                  <c:v>-5.3129757026523095</c:v>
                </c:pt>
                <c:pt idx="902">
                  <c:v>-5.2943921675968548</c:v>
                </c:pt>
                <c:pt idx="903">
                  <c:v>-5.3088672777129613</c:v>
                </c:pt>
                <c:pt idx="904">
                  <c:v>-5.3195050356168778</c:v>
                </c:pt>
                <c:pt idx="905">
                  <c:v>-5.2602883106903278</c:v>
                </c:pt>
                <c:pt idx="906">
                  <c:v>-5.2437868084606682</c:v>
                </c:pt>
                <c:pt idx="907">
                  <c:v>-5.3126667971826347</c:v>
                </c:pt>
                <c:pt idx="908">
                  <c:v>-5.2950991278127759</c:v>
                </c:pt>
                <c:pt idx="909">
                  <c:v>-5.1576212477741432</c:v>
                </c:pt>
                <c:pt idx="910">
                  <c:v>-5.1908356321300424</c:v>
                </c:pt>
                <c:pt idx="911">
                  <c:v>-5.3136418038471165</c:v>
                </c:pt>
                <c:pt idx="912">
                  <c:v>-5.3617451402772716</c:v>
                </c:pt>
                <c:pt idx="913">
                  <c:v>-5.3378942262000075</c:v>
                </c:pt>
                <c:pt idx="914">
                  <c:v>-5.368854299221872</c:v>
                </c:pt>
                <c:pt idx="915">
                  <c:v>-5.3388545429939098</c:v>
                </c:pt>
                <c:pt idx="916">
                  <c:v>-5.3304295252304543</c:v>
                </c:pt>
                <c:pt idx="917">
                  <c:v>-5.3689739205259883</c:v>
                </c:pt>
                <c:pt idx="918">
                  <c:v>-5.272418163198533</c:v>
                </c:pt>
                <c:pt idx="919">
                  <c:v>-5.3067322520690263</c:v>
                </c:pt>
                <c:pt idx="920">
                  <c:v>-5.3002308164532783</c:v>
                </c:pt>
                <c:pt idx="921">
                  <c:v>-5.2978959005597561</c:v>
                </c:pt>
                <c:pt idx="922">
                  <c:v>-5.3113590618415687</c:v>
                </c:pt>
                <c:pt idx="923">
                  <c:v>-5.2590738731310687</c:v>
                </c:pt>
                <c:pt idx="924">
                  <c:v>-5.3323982270414456</c:v>
                </c:pt>
                <c:pt idx="925">
                  <c:v>-5.3493947906427364</c:v>
                </c:pt>
                <c:pt idx="926">
                  <c:v>-5.3222469929978784</c:v>
                </c:pt>
                <c:pt idx="927">
                  <c:v>-5.2656373783028485</c:v>
                </c:pt>
                <c:pt idx="928">
                  <c:v>-5.2004128178532136</c:v>
                </c:pt>
                <c:pt idx="929">
                  <c:v>-5.2812073457747477</c:v>
                </c:pt>
                <c:pt idx="930">
                  <c:v>-5.3504521258280562</c:v>
                </c:pt>
                <c:pt idx="931">
                  <c:v>-5.2936945831592874</c:v>
                </c:pt>
                <c:pt idx="932">
                  <c:v>-5.3728864316765854</c:v>
                </c:pt>
                <c:pt idx="933">
                  <c:v>-5.2600267020488163</c:v>
                </c:pt>
                <c:pt idx="934">
                  <c:v>-5.348553529092702</c:v>
                </c:pt>
                <c:pt idx="935">
                  <c:v>-5.3179767242448461</c:v>
                </c:pt>
                <c:pt idx="936">
                  <c:v>-5.3720968020012547</c:v>
                </c:pt>
                <c:pt idx="937">
                  <c:v>-5.4047856600017967</c:v>
                </c:pt>
                <c:pt idx="938">
                  <c:v>-5.3892778580083531</c:v>
                </c:pt>
                <c:pt idx="939">
                  <c:v>-5.3909965280703478</c:v>
                </c:pt>
                <c:pt idx="940">
                  <c:v>-5.3993309588822491</c:v>
                </c:pt>
                <c:pt idx="941">
                  <c:v>-5.3806070814421849</c:v>
                </c:pt>
                <c:pt idx="942">
                  <c:v>-5.356299589509379</c:v>
                </c:pt>
                <c:pt idx="943">
                  <c:v>-5.3634337206873024</c:v>
                </c:pt>
                <c:pt idx="944">
                  <c:v>-5.3946129600193506</c:v>
                </c:pt>
                <c:pt idx="945">
                  <c:v>-5.2598756629555101</c:v>
                </c:pt>
                <c:pt idx="946">
                  <c:v>-5.3706489309345908</c:v>
                </c:pt>
                <c:pt idx="947">
                  <c:v>-5.3675309212451365</c:v>
                </c:pt>
                <c:pt idx="948">
                  <c:v>-5.4197178169283378</c:v>
                </c:pt>
                <c:pt idx="949">
                  <c:v>-5.3326486579247607</c:v>
                </c:pt>
                <c:pt idx="950">
                  <c:v>-5.3355895752574147</c:v>
                </c:pt>
                <c:pt idx="951">
                  <c:v>-5.3553300732292115</c:v>
                </c:pt>
                <c:pt idx="952">
                  <c:v>-5.3563616827157796</c:v>
                </c:pt>
                <c:pt idx="953">
                  <c:v>-5.3599775854655913</c:v>
                </c:pt>
                <c:pt idx="954">
                  <c:v>-5.3328680492837028</c:v>
                </c:pt>
                <c:pt idx="955">
                  <c:v>-5.2710189515656172</c:v>
                </c:pt>
                <c:pt idx="956">
                  <c:v>-5.2959713616043178</c:v>
                </c:pt>
                <c:pt idx="957">
                  <c:v>-5.2815212612655813</c:v>
                </c:pt>
                <c:pt idx="958">
                  <c:v>-5.2647798786052018</c:v>
                </c:pt>
                <c:pt idx="959">
                  <c:v>-5.2328171251005031</c:v>
                </c:pt>
                <c:pt idx="960">
                  <c:v>-5.3594248155352071</c:v>
                </c:pt>
                <c:pt idx="961">
                  <c:v>-5.2935361210924485</c:v>
                </c:pt>
                <c:pt idx="962">
                  <c:v>-5.234779345744049</c:v>
                </c:pt>
                <c:pt idx="963">
                  <c:v>-5.2242459332844868</c:v>
                </c:pt>
                <c:pt idx="964">
                  <c:v>-5.2448236291654418</c:v>
                </c:pt>
                <c:pt idx="965">
                  <c:v>-5.2576342223473604</c:v>
                </c:pt>
                <c:pt idx="966">
                  <c:v>-5.2286657565914663</c:v>
                </c:pt>
                <c:pt idx="967">
                  <c:v>-5.2043582124905443</c:v>
                </c:pt>
                <c:pt idx="968">
                  <c:v>-5.202814176039845</c:v>
                </c:pt>
                <c:pt idx="969">
                  <c:v>-5.2012187305501998</c:v>
                </c:pt>
                <c:pt idx="970">
                  <c:v>-5.1995692603704446</c:v>
                </c:pt>
                <c:pt idx="971">
                  <c:v>-5.1978629735013042</c:v>
                </c:pt>
                <c:pt idx="972">
                  <c:v>-5.1960968800439478</c:v>
                </c:pt>
                <c:pt idx="973">
                  <c:v>-5.1942677766871457</c:v>
                </c:pt>
                <c:pt idx="974">
                  <c:v>-5.1923722264947223</c:v>
                </c:pt>
                <c:pt idx="975">
                  <c:v>-5.1796116451356973</c:v>
                </c:pt>
                <c:pt idx="976">
                  <c:v>-5.3010970476375183</c:v>
                </c:pt>
                <c:pt idx="977">
                  <c:v>-5.1764904162523315</c:v>
                </c:pt>
                <c:pt idx="978">
                  <c:v>-5.2022081690414419</c:v>
                </c:pt>
                <c:pt idx="979">
                  <c:v>-5.2228138444209034</c:v>
                </c:pt>
                <c:pt idx="980">
                  <c:v>-5.2610186066286815</c:v>
                </c:pt>
                <c:pt idx="981">
                  <c:v>-5.28067003986851</c:v>
                </c:pt>
                <c:pt idx="982">
                  <c:v>-5.2082002907773157</c:v>
                </c:pt>
                <c:pt idx="983">
                  <c:v>-5.2388877394316253</c:v>
                </c:pt>
                <c:pt idx="984">
                  <c:v>-5.1966837737201121</c:v>
                </c:pt>
                <c:pt idx="985">
                  <c:v>-5.2338130036656656</c:v>
                </c:pt>
                <c:pt idx="986">
                  <c:v>-5.2857991986274548</c:v>
                </c:pt>
                <c:pt idx="987">
                  <c:v>-5.2504720058158565</c:v>
                </c:pt>
                <c:pt idx="988">
                  <c:v>-5.2679620657552126</c:v>
                </c:pt>
                <c:pt idx="989">
                  <c:v>-5.302925575669355</c:v>
                </c:pt>
                <c:pt idx="990">
                  <c:v>-5.2976235441283803</c:v>
                </c:pt>
                <c:pt idx="991">
                  <c:v>-5.3197232474985796</c:v>
                </c:pt>
                <c:pt idx="992">
                  <c:v>-5.3940370551522854</c:v>
                </c:pt>
                <c:pt idx="993">
                  <c:v>-5.3531227685718941</c:v>
                </c:pt>
                <c:pt idx="994">
                  <c:v>-5.2924509627382763</c:v>
                </c:pt>
                <c:pt idx="995">
                  <c:v>-5.2687648492029435</c:v>
                </c:pt>
                <c:pt idx="996">
                  <c:v>-5.2349102319047365</c:v>
                </c:pt>
                <c:pt idx="997">
                  <c:v>-5.27203303320091</c:v>
                </c:pt>
                <c:pt idx="998">
                  <c:v>-5.261963567902634</c:v>
                </c:pt>
                <c:pt idx="999">
                  <c:v>-5.2865331337741539</c:v>
                </c:pt>
                <c:pt idx="1000">
                  <c:v>-5.3452428525000304</c:v>
                </c:pt>
                <c:pt idx="1001">
                  <c:v>-5.3849098437824612</c:v>
                </c:pt>
                <c:pt idx="1002">
                  <c:v>-5.3824760206238604</c:v>
                </c:pt>
                <c:pt idx="1003">
                  <c:v>-5.2936053379717434</c:v>
                </c:pt>
                <c:pt idx="1004">
                  <c:v>-5.2603009607094817</c:v>
                </c:pt>
                <c:pt idx="1005">
                  <c:v>-5.2255912231118886</c:v>
                </c:pt>
                <c:pt idx="1006">
                  <c:v>-5.2541502575340377</c:v>
                </c:pt>
                <c:pt idx="1007">
                  <c:v>-5.267830093483421</c:v>
                </c:pt>
                <c:pt idx="1008">
                  <c:v>-5.2338206418201603</c:v>
                </c:pt>
                <c:pt idx="1009">
                  <c:v>-5.2510055098924697</c:v>
                </c:pt>
                <c:pt idx="1010">
                  <c:v>-5.2918793275906397</c:v>
                </c:pt>
                <c:pt idx="1011">
                  <c:v>-5.2424179258973442</c:v>
                </c:pt>
                <c:pt idx="1012">
                  <c:v>-5.2213245626123941</c:v>
                </c:pt>
                <c:pt idx="1013">
                  <c:v>-5.2128460060751127</c:v>
                </c:pt>
                <c:pt idx="1014">
                  <c:v>-5.2187113210359293</c:v>
                </c:pt>
                <c:pt idx="1015">
                  <c:v>-5.2080631328196425</c:v>
                </c:pt>
                <c:pt idx="1016">
                  <c:v>-5.2006926823867579</c:v>
                </c:pt>
                <c:pt idx="1017">
                  <c:v>-5.2066129027784012</c:v>
                </c:pt>
                <c:pt idx="1018">
                  <c:v>-5.2585970577181449</c:v>
                </c:pt>
                <c:pt idx="1019">
                  <c:v>-5.1882177025482683</c:v>
                </c:pt>
                <c:pt idx="1020">
                  <c:v>-5.2634777400785069</c:v>
                </c:pt>
                <c:pt idx="1021">
                  <c:v>-5.2259968839344451</c:v>
                </c:pt>
                <c:pt idx="1022">
                  <c:v>-5.2587935880003593</c:v>
                </c:pt>
                <c:pt idx="1023">
                  <c:v>-5.2392739593822748</c:v>
                </c:pt>
                <c:pt idx="1024">
                  <c:v>-5.2340180007711474</c:v>
                </c:pt>
                <c:pt idx="1025">
                  <c:v>-5.2472012985676848</c:v>
                </c:pt>
                <c:pt idx="1026">
                  <c:v>-5.2348985121971641</c:v>
                </c:pt>
                <c:pt idx="1027">
                  <c:v>-5.206294135385809</c:v>
                </c:pt>
                <c:pt idx="1028">
                  <c:v>-5.2174812023890329</c:v>
                </c:pt>
                <c:pt idx="1029">
                  <c:v>-5.2163275153717068</c:v>
                </c:pt>
                <c:pt idx="1030">
                  <c:v>-5.3251568359199535</c:v>
                </c:pt>
                <c:pt idx="1031">
                  <c:v>-5.2796343926806033</c:v>
                </c:pt>
                <c:pt idx="1032">
                  <c:v>-5.2057374463384143</c:v>
                </c:pt>
                <c:pt idx="1033">
                  <c:v>-5.2429000279301592</c:v>
                </c:pt>
                <c:pt idx="1034">
                  <c:v>-5.2851112178900053</c:v>
                </c:pt>
                <c:pt idx="1035">
                  <c:v>-5.2611721948112669</c:v>
                </c:pt>
                <c:pt idx="1036">
                  <c:v>-5.2725906405905487</c:v>
                </c:pt>
                <c:pt idx="1037">
                  <c:v>-5.2801189898934195</c:v>
                </c:pt>
                <c:pt idx="1038">
                  <c:v>-5.2646182199736549</c:v>
                </c:pt>
                <c:pt idx="1039">
                  <c:v>-5.2994581065609374</c:v>
                </c:pt>
                <c:pt idx="1040">
                  <c:v>-5.2714302874176591</c:v>
                </c:pt>
                <c:pt idx="1041">
                  <c:v>-5.2733885931591944</c:v>
                </c:pt>
                <c:pt idx="1042">
                  <c:v>-5.3181554504364872</c:v>
                </c:pt>
                <c:pt idx="1043">
                  <c:v>-5.288519612372049</c:v>
                </c:pt>
                <c:pt idx="1044">
                  <c:v>-5.3069353724418367</c:v>
                </c:pt>
                <c:pt idx="1045">
                  <c:v>-5.2211164205275651</c:v>
                </c:pt>
                <c:pt idx="1046">
                  <c:v>-5.1675741322425512</c:v>
                </c:pt>
                <c:pt idx="1047">
                  <c:v>-5.1193731158280498</c:v>
                </c:pt>
                <c:pt idx="1048">
                  <c:v>-5.1158811283889616</c:v>
                </c:pt>
                <c:pt idx="1049">
                  <c:v>-5.1070951505794788</c:v>
                </c:pt>
                <c:pt idx="1050">
                  <c:v>-5.082937211608713</c:v>
                </c:pt>
                <c:pt idx="1051">
                  <c:v>-5.0643988073916741</c:v>
                </c:pt>
                <c:pt idx="1052">
                  <c:v>-5.1684915730284713</c:v>
                </c:pt>
                <c:pt idx="1053">
                  <c:v>-5.1501520794561992</c:v>
                </c:pt>
                <c:pt idx="1054">
                  <c:v>-5.1631400914224477</c:v>
                </c:pt>
                <c:pt idx="1055">
                  <c:v>-5.14185515502915</c:v>
                </c:pt>
                <c:pt idx="1056">
                  <c:v>-5.0904527168900211</c:v>
                </c:pt>
                <c:pt idx="1057">
                  <c:v>-5.1343591186787441</c:v>
                </c:pt>
                <c:pt idx="1058">
                  <c:v>-5.2192150767580081</c:v>
                </c:pt>
                <c:pt idx="1059">
                  <c:v>-5.0842954560785332</c:v>
                </c:pt>
                <c:pt idx="1060">
                  <c:v>-5.0712115590357589</c:v>
                </c:pt>
                <c:pt idx="1061">
                  <c:v>-5.1074377887574434</c:v>
                </c:pt>
                <c:pt idx="1062">
                  <c:v>-5.1435766686254265</c:v>
                </c:pt>
                <c:pt idx="1063">
                  <c:v>-5.1140437379963197</c:v>
                </c:pt>
                <c:pt idx="1064">
                  <c:v>-5.1140516046528566</c:v>
                </c:pt>
                <c:pt idx="1065">
                  <c:v>-5.1092093762456923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7A-4A7A-82BA-96BD4B10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General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  <c:max val="-5"/>
          <c:min val="-5.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4648503665854"/>
          <c:y val="9.3888990467665662E-2"/>
          <c:w val="0.87211510071390164"/>
          <c:h val="0.81222201906466873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Total!$J$2:$J$16</c:f>
              <c:numCache>
                <c:formatCode>General</c:formatCode>
                <c:ptCount val="15"/>
                <c:pt idx="0">
                  <c:v>0.48</c:v>
                </c:pt>
                <c:pt idx="1">
                  <c:v>7.37</c:v>
                </c:pt>
                <c:pt idx="2">
                  <c:v>4.8600000000000003</c:v>
                </c:pt>
                <c:pt idx="3">
                  <c:v>9.4600000000000009</c:v>
                </c:pt>
                <c:pt idx="4">
                  <c:v>25.52</c:v>
                </c:pt>
                <c:pt idx="5">
                  <c:v>1.31</c:v>
                </c:pt>
                <c:pt idx="6">
                  <c:v>90.08</c:v>
                </c:pt>
                <c:pt idx="7">
                  <c:v>1.24</c:v>
                </c:pt>
                <c:pt idx="8">
                  <c:v>2.65</c:v>
                </c:pt>
                <c:pt idx="9">
                  <c:v>1.93</c:v>
                </c:pt>
                <c:pt idx="10">
                  <c:v>8.6</c:v>
                </c:pt>
                <c:pt idx="11">
                  <c:v>0.14000000000000001</c:v>
                </c:pt>
                <c:pt idx="12">
                  <c:v>0.19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17-4A77-BB9B-05544DB8F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0.00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Total!$G$2:$G$16</c:f>
              <c:numCache>
                <c:formatCode>0%</c:formatCode>
                <c:ptCount val="15"/>
                <c:pt idx="0">
                  <c:v>0.33333333333333331</c:v>
                </c:pt>
                <c:pt idx="1">
                  <c:v>0.18888888888888888</c:v>
                </c:pt>
                <c:pt idx="2">
                  <c:v>0.27160493827160492</c:v>
                </c:pt>
                <c:pt idx="3">
                  <c:v>0.21621621621621623</c:v>
                </c:pt>
                <c:pt idx="4">
                  <c:v>0.22368421052631579</c:v>
                </c:pt>
                <c:pt idx="5">
                  <c:v>0.45454545454545453</c:v>
                </c:pt>
                <c:pt idx="6">
                  <c:v>0.24365482233502539</c:v>
                </c:pt>
                <c:pt idx="7">
                  <c:v>0.44827586206896552</c:v>
                </c:pt>
                <c:pt idx="8">
                  <c:v>0.2608695652173913</c:v>
                </c:pt>
                <c:pt idx="9">
                  <c:v>0.39215686274509803</c:v>
                </c:pt>
                <c:pt idx="10">
                  <c:v>0.36015325670498083</c:v>
                </c:pt>
                <c:pt idx="11">
                  <c:v>0.75</c:v>
                </c:pt>
                <c:pt idx="12">
                  <c:v>0.72727272727272729</c:v>
                </c:pt>
                <c:pt idx="13">
                  <c:v>0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63-4A5C-9946-D6F0B14F0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600" b="0"/>
                </a:pPr>
                <a:r>
                  <a:rPr lang="nl-NL" sz="1600" b="0"/>
                  <a:t>Age</a:t>
                </a:r>
                <a:r>
                  <a:rPr lang="nl-NL" sz="1600" b="0" baseline="0"/>
                  <a:t> (ka BP)</a:t>
                </a:r>
                <a:endParaRPr lang="nl-NL" sz="1600" b="0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>
            <a:solidFill>
              <a:schemeClr val="tx1">
                <a:lumMod val="95000"/>
                <a:lumOff val="5000"/>
              </a:schemeClr>
            </a:solidFill>
          </a:ln>
        </c:spPr>
        <c:txPr>
          <a:bodyPr/>
          <a:lstStyle/>
          <a:p>
            <a:pPr>
              <a:defRPr sz="1400"/>
            </a:pPr>
            <a:endParaRPr lang="nl-NL"/>
          </a:p>
        </c:txPr>
        <c:crossAx val="1089266600"/>
        <c:crosses val="autoZero"/>
        <c:crossBetween val="midCat"/>
      </c:valAx>
      <c:valAx>
        <c:axId val="10892666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'Species percentage'!$D$1</c:f>
              <c:strCache>
                <c:ptCount val="1"/>
                <c:pt idx="0">
                  <c:v>Total Heliconoides inflatus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percentage'!$D$2:$D$16</c:f>
              <c:numCache>
                <c:formatCode>0%</c:formatCode>
                <c:ptCount val="15"/>
                <c:pt idx="0">
                  <c:v>0.25</c:v>
                </c:pt>
                <c:pt idx="1">
                  <c:v>0.36986301369863012</c:v>
                </c:pt>
                <c:pt idx="2">
                  <c:v>0.13559322033898305</c:v>
                </c:pt>
                <c:pt idx="3">
                  <c:v>0.20689655172413793</c:v>
                </c:pt>
                <c:pt idx="4">
                  <c:v>0.20338983050847459</c:v>
                </c:pt>
                <c:pt idx="5">
                  <c:v>0.27777777777777779</c:v>
                </c:pt>
                <c:pt idx="6">
                  <c:v>0.67114093959731547</c:v>
                </c:pt>
                <c:pt idx="7">
                  <c:v>0.5625</c:v>
                </c:pt>
                <c:pt idx="8">
                  <c:v>0.26470588235294118</c:v>
                </c:pt>
                <c:pt idx="9">
                  <c:v>0.5161290322580645</c:v>
                </c:pt>
                <c:pt idx="10">
                  <c:v>0.56287425149700598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AE-45BC-8297-5C1B7D7AA71D}"/>
            </c:ext>
          </c:extLst>
        </c:ser>
        <c:ser>
          <c:idx val="1"/>
          <c:order val="1"/>
          <c:tx>
            <c:strRef>
              <c:f>'Species percentage'!$E$1</c:f>
              <c:strCache>
                <c:ptCount val="1"/>
                <c:pt idx="0">
                  <c:v>Total Heliconoides inflatus</c:v>
                </c:pt>
              </c:strCache>
            </c:strRef>
          </c:tx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percentage'!$E$2:$E$16</c:f>
              <c:numCache>
                <c:formatCode>0%</c:formatCode>
                <c:ptCount val="15"/>
                <c:pt idx="0">
                  <c:v>0.25</c:v>
                </c:pt>
                <c:pt idx="1">
                  <c:v>0.54794520547945202</c:v>
                </c:pt>
                <c:pt idx="2">
                  <c:v>0.64406779661016944</c:v>
                </c:pt>
                <c:pt idx="3">
                  <c:v>0.48275862068965519</c:v>
                </c:pt>
                <c:pt idx="4">
                  <c:v>0.56779661016949157</c:v>
                </c:pt>
                <c:pt idx="5">
                  <c:v>0.3888888888888889</c:v>
                </c:pt>
                <c:pt idx="6">
                  <c:v>0.13422818791946309</c:v>
                </c:pt>
                <c:pt idx="7">
                  <c:v>0.3125</c:v>
                </c:pt>
                <c:pt idx="8">
                  <c:v>0.17647058823529413</c:v>
                </c:pt>
                <c:pt idx="9">
                  <c:v>3.2258064516129031E-2</c:v>
                </c:pt>
                <c:pt idx="10">
                  <c:v>0.1317365269461078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AE-45BC-8297-5C1B7D7AA71D}"/>
            </c:ext>
          </c:extLst>
        </c:ser>
        <c:ser>
          <c:idx val="2"/>
          <c:order val="2"/>
          <c:tx>
            <c:strRef>
              <c:f>'Species percentage'!$F$1</c:f>
              <c:strCache>
                <c:ptCount val="1"/>
                <c:pt idx="0">
                  <c:v>Total Heliconoides inflatus</c:v>
                </c:pt>
              </c:strCache>
            </c:strRef>
          </c:tx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percentage'!$F$2:$F$16</c:f>
              <c:numCache>
                <c:formatCode>0%</c:formatCode>
                <c:ptCount val="15"/>
                <c:pt idx="0">
                  <c:v>0</c:v>
                </c:pt>
                <c:pt idx="1">
                  <c:v>2.7397260273972601E-2</c:v>
                </c:pt>
                <c:pt idx="2">
                  <c:v>6.7796610169491525E-2</c:v>
                </c:pt>
                <c:pt idx="3">
                  <c:v>0.10344827586206896</c:v>
                </c:pt>
                <c:pt idx="4">
                  <c:v>1.6949152542372881E-2</c:v>
                </c:pt>
                <c:pt idx="5">
                  <c:v>5.5555555555555552E-2</c:v>
                </c:pt>
                <c:pt idx="6">
                  <c:v>8.0536912751677847E-2</c:v>
                </c:pt>
                <c:pt idx="7">
                  <c:v>0</c:v>
                </c:pt>
                <c:pt idx="8">
                  <c:v>2.9411764705882353E-2</c:v>
                </c:pt>
                <c:pt idx="9">
                  <c:v>0.16129032258064516</c:v>
                </c:pt>
                <c:pt idx="10">
                  <c:v>7.1856287425149698E-2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AE-45BC-8297-5C1B7D7AA71D}"/>
            </c:ext>
          </c:extLst>
        </c:ser>
        <c:ser>
          <c:idx val="3"/>
          <c:order val="3"/>
          <c:tx>
            <c:strRef>
              <c:f>'Species percentage'!$M$1</c:f>
              <c:strCache>
                <c:ptCount val="1"/>
                <c:pt idx="0">
                  <c:v>Total Cavolinia sp.</c:v>
                </c:pt>
              </c:strCache>
            </c:strRef>
          </c:tx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percentage'!$M$2:$M$16</c:f>
              <c:numCache>
                <c:formatCode>0%</c:formatCode>
                <c:ptCount val="15"/>
                <c:pt idx="0">
                  <c:v>0.25</c:v>
                </c:pt>
                <c:pt idx="1">
                  <c:v>1.3698630136986301E-2</c:v>
                </c:pt>
                <c:pt idx="2">
                  <c:v>6.7796610169491525E-2</c:v>
                </c:pt>
                <c:pt idx="3">
                  <c:v>3.4482758620689655E-2</c:v>
                </c:pt>
                <c:pt idx="4">
                  <c:v>8.4745762711864406E-3</c:v>
                </c:pt>
                <c:pt idx="5">
                  <c:v>0.1111111111111111</c:v>
                </c:pt>
                <c:pt idx="6">
                  <c:v>2.0134228187919462E-2</c:v>
                </c:pt>
                <c:pt idx="7">
                  <c:v>6.25E-2</c:v>
                </c:pt>
                <c:pt idx="8">
                  <c:v>5.8823529411764705E-2</c:v>
                </c:pt>
                <c:pt idx="9">
                  <c:v>9.6774193548387094E-2</c:v>
                </c:pt>
                <c:pt idx="10">
                  <c:v>2.9940119760479042E-2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AE-45BC-8297-5C1B7D7AA71D}"/>
            </c:ext>
          </c:extLst>
        </c:ser>
        <c:ser>
          <c:idx val="4"/>
          <c:order val="4"/>
          <c:tx>
            <c:strRef>
              <c:f>'Species percentage'!$Q$1</c:f>
              <c:strCache>
                <c:ptCount val="1"/>
                <c:pt idx="0">
                  <c:v>Creseis spp.</c:v>
                </c:pt>
              </c:strCache>
            </c:strRef>
          </c:tx>
          <c:marker>
            <c:symbol val="none"/>
          </c:marker>
          <c:xVal>
            <c:numRef>
              <c:f>'Species percentage'!$C$2:$C$16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'Species percentage'!$Q$2:$Q$16</c:f>
              <c:numCache>
                <c:formatCode>0%</c:formatCode>
                <c:ptCount val="15"/>
                <c:pt idx="0">
                  <c:v>0</c:v>
                </c:pt>
                <c:pt idx="1">
                  <c:v>4.1095890410958902E-2</c:v>
                </c:pt>
                <c:pt idx="2">
                  <c:v>6.7796610169491525E-2</c:v>
                </c:pt>
                <c:pt idx="3">
                  <c:v>0.10344827586206896</c:v>
                </c:pt>
                <c:pt idx="4">
                  <c:v>0.13559322033898305</c:v>
                </c:pt>
                <c:pt idx="5">
                  <c:v>0.16666666666666666</c:v>
                </c:pt>
                <c:pt idx="6">
                  <c:v>8.0536912751677861E-2</c:v>
                </c:pt>
                <c:pt idx="7">
                  <c:v>6.25E-2</c:v>
                </c:pt>
                <c:pt idx="8">
                  <c:v>0.44117647058823534</c:v>
                </c:pt>
                <c:pt idx="9">
                  <c:v>0.12903225806451613</c:v>
                </c:pt>
                <c:pt idx="10">
                  <c:v>0.15568862275449102</c:v>
                </c:pt>
                <c:pt idx="11">
                  <c:v>0.5</c:v>
                </c:pt>
                <c:pt idx="12">
                  <c:v>0.66666666666666663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0AE-45BC-8297-5C1B7D7AA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0"/>
        <c:axPos val="b"/>
        <c:numFmt formatCode="0.00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600"/>
                  <a:t>SST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nl-N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'Aragonite%'!$G$1</c:f>
              <c:strCache>
                <c:ptCount val="1"/>
                <c:pt idx="0">
                  <c:v>Aragonite %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'Aragonite%'!$C$2:$C$16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'Aragonite%'!$G$2:$G$16</c:f>
              <c:numCache>
                <c:formatCode>0%</c:formatCode>
                <c:ptCount val="15"/>
                <c:pt idx="0">
                  <c:v>0.03</c:v>
                </c:pt>
                <c:pt idx="1">
                  <c:v>0.15</c:v>
                </c:pt>
                <c:pt idx="2">
                  <c:v>0.15</c:v>
                </c:pt>
                <c:pt idx="3">
                  <c:v>0.18</c:v>
                </c:pt>
                <c:pt idx="4">
                  <c:v>0.09</c:v>
                </c:pt>
                <c:pt idx="5">
                  <c:v>0.01</c:v>
                </c:pt>
                <c:pt idx="6">
                  <c:v>0.14000000000000001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57-4A7E-87CD-2197A135F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1"/>
        <c:axPos val="b"/>
        <c:numFmt formatCode="0.00" sourceLinked="1"/>
        <c:majorTickMark val="out"/>
        <c:minorTickMark val="none"/>
        <c:tickLblPos val="nextTo"/>
        <c:crossAx val="1089266600"/>
        <c:crossesAt val="21"/>
        <c:crossBetween val="midCat"/>
      </c:valAx>
      <c:valAx>
        <c:axId val="1089266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600"/>
                  <a:t>Aragonite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14787183571646"/>
          <c:y val="4.5976000220814529E-2"/>
          <c:w val="0.86151674317187121"/>
          <c:h val="0.8118004664706938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'[1]XRF selectie'!$T:$T</c:f>
              <c:numCache>
                <c:formatCode>General</c:formatCode>
                <c:ptCount val="1048576"/>
                <c:pt idx="0">
                  <c:v>0</c:v>
                </c:pt>
                <c:pt idx="2">
                  <c:v>1.2007184544674683</c:v>
                </c:pt>
                <c:pt idx="3">
                  <c:v>1.2249034793224851</c:v>
                </c:pt>
                <c:pt idx="4">
                  <c:v>1.2509364473548226</c:v>
                </c:pt>
                <c:pt idx="5">
                  <c:v>1.2646114801454607</c:v>
                </c:pt>
                <c:pt idx="6">
                  <c:v>1.2962595263983177</c:v>
                </c:pt>
                <c:pt idx="7">
                  <c:v>1.2947969661674348</c:v>
                </c:pt>
                <c:pt idx="8">
                  <c:v>1.280639655366836</c:v>
                </c:pt>
                <c:pt idx="9">
                  <c:v>1.2859090477511381</c:v>
                </c:pt>
                <c:pt idx="10">
                  <c:v>1.2966406742574632</c:v>
                </c:pt>
                <c:pt idx="11">
                  <c:v>1.3101076946983812</c:v>
                </c:pt>
                <c:pt idx="12">
                  <c:v>1.2730918757209455</c:v>
                </c:pt>
                <c:pt idx="13">
                  <c:v>1.2456044573789207</c:v>
                </c:pt>
                <c:pt idx="14">
                  <c:v>1.2374661325834397</c:v>
                </c:pt>
                <c:pt idx="15">
                  <c:v>1.2525252220920899</c:v>
                </c:pt>
                <c:pt idx="16">
                  <c:v>1.2581997511565011</c:v>
                </c:pt>
                <c:pt idx="17">
                  <c:v>1.2817238137738338</c:v>
                </c:pt>
                <c:pt idx="18">
                  <c:v>1.3036013836419693</c:v>
                </c:pt>
                <c:pt idx="19">
                  <c:v>1.2797685626703414</c:v>
                </c:pt>
                <c:pt idx="20">
                  <c:v>1.3203791187740574</c:v>
                </c:pt>
                <c:pt idx="21">
                  <c:v>1.3257380339906317</c:v>
                </c:pt>
                <c:pt idx="22">
                  <c:v>1.4221732502260238</c:v>
                </c:pt>
                <c:pt idx="23">
                  <c:v>1.4114783195577358</c:v>
                </c:pt>
                <c:pt idx="24">
                  <c:v>1.3887765395589506</c:v>
                </c:pt>
                <c:pt idx="25">
                  <c:v>1.3550099867996768</c:v>
                </c:pt>
                <c:pt idx="26">
                  <c:v>1.3260592581285497</c:v>
                </c:pt>
                <c:pt idx="27">
                  <c:v>1.3385788641800793</c:v>
                </c:pt>
                <c:pt idx="28">
                  <c:v>1.3557566384073587</c:v>
                </c:pt>
                <c:pt idx="29">
                  <c:v>1.3704438304211433</c:v>
                </c:pt>
                <c:pt idx="30">
                  <c:v>1.3678124757715697</c:v>
                </c:pt>
                <c:pt idx="31">
                  <c:v>1.3578600849307267</c:v>
                </c:pt>
                <c:pt idx="32">
                  <c:v>1.3575119394477355</c:v>
                </c:pt>
                <c:pt idx="33">
                  <c:v>1.3490087108445807</c:v>
                </c:pt>
                <c:pt idx="34">
                  <c:v>1.2868948390364199</c:v>
                </c:pt>
                <c:pt idx="35">
                  <c:v>1.2725593575084302</c:v>
                </c:pt>
                <c:pt idx="36">
                  <c:v>1.2992983532668825</c:v>
                </c:pt>
                <c:pt idx="37">
                  <c:v>1.3662358756319026</c:v>
                </c:pt>
                <c:pt idx="38">
                  <c:v>1.3607502575152364</c:v>
                </c:pt>
                <c:pt idx="39">
                  <c:v>1.3282847204200066</c:v>
                </c:pt>
                <c:pt idx="40">
                  <c:v>1.2724680274203228</c:v>
                </c:pt>
                <c:pt idx="41">
                  <c:v>1.2261044701174013</c:v>
                </c:pt>
                <c:pt idx="42">
                  <c:v>1.2056776273328287</c:v>
                </c:pt>
                <c:pt idx="43">
                  <c:v>1.2180050301889622</c:v>
                </c:pt>
                <c:pt idx="44">
                  <c:v>1.2587142376301221</c:v>
                </c:pt>
                <c:pt idx="45">
                  <c:v>1.1681406123765727</c:v>
                </c:pt>
                <c:pt idx="46">
                  <c:v>1.1898532147237717</c:v>
                </c:pt>
                <c:pt idx="47">
                  <c:v>1.1875606215040835</c:v>
                </c:pt>
                <c:pt idx="48">
                  <c:v>1.2527980170810042</c:v>
                </c:pt>
                <c:pt idx="49">
                  <c:v>1.1953902300004022</c:v>
                </c:pt>
                <c:pt idx="50">
                  <c:v>1.202762871635545</c:v>
                </c:pt>
                <c:pt idx="51">
                  <c:v>1.2615816336793684</c:v>
                </c:pt>
                <c:pt idx="52">
                  <c:v>1.3432009665318987</c:v>
                </c:pt>
                <c:pt idx="53">
                  <c:v>1.3130620664238013</c:v>
                </c:pt>
                <c:pt idx="54">
                  <c:v>1.2967295748321013</c:v>
                </c:pt>
                <c:pt idx="55">
                  <c:v>1.2826282330181416</c:v>
                </c:pt>
                <c:pt idx="56">
                  <c:v>1.295182627201318</c:v>
                </c:pt>
                <c:pt idx="57">
                  <c:v>1.2794444776384841</c:v>
                </c:pt>
                <c:pt idx="58">
                  <c:v>1.2454278570225392</c:v>
                </c:pt>
                <c:pt idx="59">
                  <c:v>1.2343264713568067</c:v>
                </c:pt>
                <c:pt idx="60">
                  <c:v>1.237448487769103</c:v>
                </c:pt>
                <c:pt idx="61">
                  <c:v>1.2373282145771987</c:v>
                </c:pt>
                <c:pt idx="62">
                  <c:v>1.2392097102549302</c:v>
                </c:pt>
                <c:pt idx="63">
                  <c:v>1.2349800334854308</c:v>
                </c:pt>
                <c:pt idx="64">
                  <c:v>1.2302811687880106</c:v>
                </c:pt>
                <c:pt idx="65">
                  <c:v>1.2198671508297469</c:v>
                </c:pt>
                <c:pt idx="66">
                  <c:v>1.2053245286719441</c:v>
                </c:pt>
                <c:pt idx="67">
                  <c:v>1.1846978765678253</c:v>
                </c:pt>
                <c:pt idx="68">
                  <c:v>1.1504840257896571</c:v>
                </c:pt>
                <c:pt idx="69">
                  <c:v>1.1553580179108838</c:v>
                </c:pt>
                <c:pt idx="70">
                  <c:v>1.1696429503698198</c:v>
                </c:pt>
                <c:pt idx="71">
                  <c:v>1.208730438597134</c:v>
                </c:pt>
                <c:pt idx="72">
                  <c:v>1.2282978671074003</c:v>
                </c:pt>
                <c:pt idx="73">
                  <c:v>1.2061391076775041</c:v>
                </c:pt>
                <c:pt idx="74">
                  <c:v>1.2038161414463375</c:v>
                </c:pt>
                <c:pt idx="75">
                  <c:v>1.2091925640967596</c:v>
                </c:pt>
                <c:pt idx="76">
                  <c:v>1.2469804196589667</c:v>
                </c:pt>
                <c:pt idx="77">
                  <c:v>1.2373695792899022</c:v>
                </c:pt>
                <c:pt idx="78">
                  <c:v>1.246923996398307</c:v>
                </c:pt>
                <c:pt idx="79">
                  <c:v>1.2464491385299803</c:v>
                </c:pt>
                <c:pt idx="80">
                  <c:v>1.2817977818553135</c:v>
                </c:pt>
                <c:pt idx="81">
                  <c:v>1.285499877583661</c:v>
                </c:pt>
                <c:pt idx="82">
                  <c:v>1.2925363733048227</c:v>
                </c:pt>
                <c:pt idx="83">
                  <c:v>1.2782374579488731</c:v>
                </c:pt>
                <c:pt idx="84">
                  <c:v>1.2643107174672874</c:v>
                </c:pt>
                <c:pt idx="85">
                  <c:v>1.2565333956414229</c:v>
                </c:pt>
                <c:pt idx="86">
                  <c:v>1.2619862786744953</c:v>
                </c:pt>
                <c:pt idx="87">
                  <c:v>1.2611100110926279</c:v>
                </c:pt>
                <c:pt idx="88">
                  <c:v>1.2576533814017281</c:v>
                </c:pt>
                <c:pt idx="89">
                  <c:v>1.25630265410938</c:v>
                </c:pt>
                <c:pt idx="90">
                  <c:v>1.26928633199476</c:v>
                </c:pt>
                <c:pt idx="91">
                  <c:v>1.2816889362645096</c:v>
                </c:pt>
                <c:pt idx="92">
                  <c:v>1.2929053459733344</c:v>
                </c:pt>
                <c:pt idx="93">
                  <c:v>1.2883869078990837</c:v>
                </c:pt>
                <c:pt idx="94">
                  <c:v>1.276951771601486</c:v>
                </c:pt>
                <c:pt idx="95">
                  <c:v>1.2785048221206059</c:v>
                </c:pt>
                <c:pt idx="96">
                  <c:v>1.2844442218536825</c:v>
                </c:pt>
                <c:pt idx="97">
                  <c:v>1.3035114952811124</c:v>
                </c:pt>
                <c:pt idx="98">
                  <c:v>1.2872239211498284</c:v>
                </c:pt>
                <c:pt idx="99">
                  <c:v>1.2544499172195911</c:v>
                </c:pt>
                <c:pt idx="100">
                  <c:v>1.2413095024156282</c:v>
                </c:pt>
                <c:pt idx="101">
                  <c:v>1.2405781408120105</c:v>
                </c:pt>
                <c:pt idx="102">
                  <c:v>1.247767791537624</c:v>
                </c:pt>
                <c:pt idx="103">
                  <c:v>1.2433631277805708</c:v>
                </c:pt>
                <c:pt idx="104">
                  <c:v>1.2318391380384819</c:v>
                </c:pt>
                <c:pt idx="105">
                  <c:v>1.2352577129088202</c:v>
                </c:pt>
                <c:pt idx="106">
                  <c:v>1.1760682884748792</c:v>
                </c:pt>
                <c:pt idx="107">
                  <c:v>1.186098183885065</c:v>
                </c:pt>
                <c:pt idx="108">
                  <c:v>1.1928269022141438</c:v>
                </c:pt>
                <c:pt idx="109">
                  <c:v>1.2531599692241218</c:v>
                </c:pt>
                <c:pt idx="110">
                  <c:v>1.2515755668227733</c:v>
                </c:pt>
                <c:pt idx="111">
                  <c:v>1.2417054950087556</c:v>
                </c:pt>
                <c:pt idx="112">
                  <c:v>1.2434915055961169</c:v>
                </c:pt>
                <c:pt idx="113">
                  <c:v>1.250833287354473</c:v>
                </c:pt>
                <c:pt idx="114">
                  <c:v>1.2561675557919318</c:v>
                </c:pt>
                <c:pt idx="115">
                  <c:v>1.2622266223350689</c:v>
                </c:pt>
                <c:pt idx="116">
                  <c:v>1.2812234001131693</c:v>
                </c:pt>
                <c:pt idx="117">
                  <c:v>1.3022822793904263</c:v>
                </c:pt>
                <c:pt idx="118">
                  <c:v>1.3008361872093275</c:v>
                </c:pt>
                <c:pt idx="119">
                  <c:v>1.3033722524537339</c:v>
                </c:pt>
                <c:pt idx="120">
                  <c:v>1.3035188858679401</c:v>
                </c:pt>
                <c:pt idx="121">
                  <c:v>1.3054648771353419</c:v>
                </c:pt>
                <c:pt idx="122">
                  <c:v>1.2715913396047438</c:v>
                </c:pt>
                <c:pt idx="123">
                  <c:v>1.2443725249990718</c:v>
                </c:pt>
                <c:pt idx="124">
                  <c:v>1.2389975717210031</c:v>
                </c:pt>
                <c:pt idx="125">
                  <c:v>1.2435343898643465</c:v>
                </c:pt>
                <c:pt idx="126">
                  <c:v>1.2448251757798869</c:v>
                </c:pt>
                <c:pt idx="127">
                  <c:v>1.2454724447369439</c:v>
                </c:pt>
                <c:pt idx="128">
                  <c:v>1.2457953196968157</c:v>
                </c:pt>
                <c:pt idx="129">
                  <c:v>1.2725745730863609</c:v>
                </c:pt>
                <c:pt idx="130">
                  <c:v>1.2692017402869864</c:v>
                </c:pt>
                <c:pt idx="131">
                  <c:v>1.2801666976565063</c:v>
                </c:pt>
                <c:pt idx="132">
                  <c:v>1.2660874231639978</c:v>
                </c:pt>
                <c:pt idx="133">
                  <c:v>1.2547545957189685</c:v>
                </c:pt>
                <c:pt idx="134">
                  <c:v>1.2412336664886443</c:v>
                </c:pt>
                <c:pt idx="135">
                  <c:v>1.2120765133791129</c:v>
                </c:pt>
                <c:pt idx="136">
                  <c:v>1.1704362251055442</c:v>
                </c:pt>
                <c:pt idx="137">
                  <c:v>1.1775760240564048</c:v>
                </c:pt>
                <c:pt idx="138">
                  <c:v>1.183678008068288</c:v>
                </c:pt>
                <c:pt idx="139">
                  <c:v>1.2219749804492699</c:v>
                </c:pt>
                <c:pt idx="140">
                  <c:v>1.2206442864691078</c:v>
                </c:pt>
                <c:pt idx="141">
                  <c:v>1.2076689547977422</c:v>
                </c:pt>
                <c:pt idx="142">
                  <c:v>1.212448754983148</c:v>
                </c:pt>
                <c:pt idx="143">
                  <c:v>1.18604756522888</c:v>
                </c:pt>
                <c:pt idx="144">
                  <c:v>1.2099421422871346</c:v>
                </c:pt>
                <c:pt idx="145">
                  <c:v>1.1978111747142919</c:v>
                </c:pt>
                <c:pt idx="146">
                  <c:v>1.2041924533480615</c:v>
                </c:pt>
                <c:pt idx="147">
                  <c:v>1.1960786133979944</c:v>
                </c:pt>
                <c:pt idx="148">
                  <c:v>1.1317586396737582</c:v>
                </c:pt>
                <c:pt idx="149">
                  <c:v>1.0715370383511333</c:v>
                </c:pt>
                <c:pt idx="150">
                  <c:v>1.0450909138231506</c:v>
                </c:pt>
                <c:pt idx="151">
                  <c:v>1.0785457824545353</c:v>
                </c:pt>
                <c:pt idx="152">
                  <c:v>1.1239299742979256</c:v>
                </c:pt>
                <c:pt idx="153">
                  <c:v>1.1202100229641305</c:v>
                </c:pt>
                <c:pt idx="154">
                  <c:v>1.1264611725121831</c:v>
                </c:pt>
                <c:pt idx="155">
                  <c:v>1.1231643868361256</c:v>
                </c:pt>
                <c:pt idx="156">
                  <c:v>1.1129222102384688</c:v>
                </c:pt>
                <c:pt idx="157">
                  <c:v>1.1171912933121437</c:v>
                </c:pt>
                <c:pt idx="158">
                  <c:v>1.1043385971720265</c:v>
                </c:pt>
                <c:pt idx="159">
                  <c:v>1.1081010276239511</c:v>
                </c:pt>
                <c:pt idx="160">
                  <c:v>1.1083376900158965</c:v>
                </c:pt>
                <c:pt idx="161">
                  <c:v>1.0944637002888182</c:v>
                </c:pt>
                <c:pt idx="162">
                  <c:v>1.0616438401844599</c:v>
                </c:pt>
                <c:pt idx="163">
                  <c:v>1.0226240447410586</c:v>
                </c:pt>
                <c:pt idx="164">
                  <c:v>1.033028323474996</c:v>
                </c:pt>
                <c:pt idx="165">
                  <c:v>1.0518120865841967</c:v>
                </c:pt>
                <c:pt idx="166">
                  <c:v>1.0453481536804832</c:v>
                </c:pt>
                <c:pt idx="167">
                  <c:v>1.0268383844520756</c:v>
                </c:pt>
                <c:pt idx="168">
                  <c:v>1.0060776585110414</c:v>
                </c:pt>
                <c:pt idx="169">
                  <c:v>0.99805956412161778</c:v>
                </c:pt>
                <c:pt idx="170">
                  <c:v>0.9803402745368377</c:v>
                </c:pt>
                <c:pt idx="171">
                  <c:v>0.94490166693171418</c:v>
                </c:pt>
                <c:pt idx="172">
                  <c:v>0.9268611919167139</c:v>
                </c:pt>
                <c:pt idx="173">
                  <c:v>0.92458512355969791</c:v>
                </c:pt>
                <c:pt idx="174">
                  <c:v>0.9453536860252546</c:v>
                </c:pt>
                <c:pt idx="175">
                  <c:v>0.93375931065791118</c:v>
                </c:pt>
                <c:pt idx="176">
                  <c:v>0.93049780562472817</c:v>
                </c:pt>
                <c:pt idx="177">
                  <c:v>0.92652848490957218</c:v>
                </c:pt>
                <c:pt idx="178">
                  <c:v>0.92123583113104068</c:v>
                </c:pt>
                <c:pt idx="179">
                  <c:v>0.86105400795456155</c:v>
                </c:pt>
                <c:pt idx="180">
                  <c:v>0.79886357200310998</c:v>
                </c:pt>
                <c:pt idx="181">
                  <c:v>0.71280132758905712</c:v>
                </c:pt>
                <c:pt idx="182">
                  <c:v>0.67576296725057194</c:v>
                </c:pt>
                <c:pt idx="183">
                  <c:v>0.57521260318546774</c:v>
                </c:pt>
                <c:pt idx="184">
                  <c:v>0.63412962310305587</c:v>
                </c:pt>
                <c:pt idx="185">
                  <c:v>0.65838357575141659</c:v>
                </c:pt>
                <c:pt idx="186">
                  <c:v>0.76286283876470529</c:v>
                </c:pt>
                <c:pt idx="187">
                  <c:v>0.74159950513273687</c:v>
                </c:pt>
                <c:pt idx="188">
                  <c:v>0.70327676847550469</c:v>
                </c:pt>
                <c:pt idx="189">
                  <c:v>0.68182796749520191</c:v>
                </c:pt>
                <c:pt idx="190">
                  <c:v>0.69636532925998151</c:v>
                </c:pt>
                <c:pt idx="191">
                  <c:v>0.70371021346636853</c:v>
                </c:pt>
                <c:pt idx="192">
                  <c:v>0.69830519598119822</c:v>
                </c:pt>
                <c:pt idx="193">
                  <c:v>0.63162952530607763</c:v>
                </c:pt>
                <c:pt idx="194">
                  <c:v>0.5423902556321889</c:v>
                </c:pt>
                <c:pt idx="195">
                  <c:v>0.51801096040494743</c:v>
                </c:pt>
                <c:pt idx="196">
                  <c:v>0.60561781749525989</c:v>
                </c:pt>
                <c:pt idx="197">
                  <c:v>0.69344832347886831</c:v>
                </c:pt>
                <c:pt idx="198">
                  <c:v>0.72411444254187673</c:v>
                </c:pt>
                <c:pt idx="199">
                  <c:v>0.72482820270159054</c:v>
                </c:pt>
                <c:pt idx="200">
                  <c:v>0.73358227709441415</c:v>
                </c:pt>
                <c:pt idx="201">
                  <c:v>0.56696272879852883</c:v>
                </c:pt>
                <c:pt idx="202">
                  <c:v>0.5182689751560009</c:v>
                </c:pt>
                <c:pt idx="203">
                  <c:v>0.58585671813091078</c:v>
                </c:pt>
                <c:pt idx="204">
                  <c:v>0.85223552684367687</c:v>
                </c:pt>
                <c:pt idx="205">
                  <c:v>0.9369490003324582</c:v>
                </c:pt>
                <c:pt idx="206">
                  <c:v>0.98015827747961604</c:v>
                </c:pt>
                <c:pt idx="207">
                  <c:v>0.98404803234839855</c:v>
                </c:pt>
                <c:pt idx="208">
                  <c:v>1.0016869695239581</c:v>
                </c:pt>
                <c:pt idx="209">
                  <c:v>0.98869408120506774</c:v>
                </c:pt>
                <c:pt idx="210">
                  <c:v>0.96738378473984177</c:v>
                </c:pt>
                <c:pt idx="211">
                  <c:v>0.94360413430508583</c:v>
                </c:pt>
                <c:pt idx="212">
                  <c:v>0.94352448319192384</c:v>
                </c:pt>
                <c:pt idx="213">
                  <c:v>0.95873791818913789</c:v>
                </c:pt>
                <c:pt idx="214">
                  <c:v>0.96259604492548279</c:v>
                </c:pt>
                <c:pt idx="215">
                  <c:v>0.95372811457024242</c:v>
                </c:pt>
                <c:pt idx="216">
                  <c:v>0.92176562192507516</c:v>
                </c:pt>
                <c:pt idx="217">
                  <c:v>0.93454041442706559</c:v>
                </c:pt>
                <c:pt idx="218">
                  <c:v>0.94712314784483642</c:v>
                </c:pt>
                <c:pt idx="219">
                  <c:v>0.96056328532646873</c:v>
                </c:pt>
                <c:pt idx="220">
                  <c:v>0.95771785593680836</c:v>
                </c:pt>
                <c:pt idx="221">
                  <c:v>0.96107395684408081</c:v>
                </c:pt>
                <c:pt idx="222">
                  <c:v>0.96962095317644226</c:v>
                </c:pt>
                <c:pt idx="223">
                  <c:v>0.95672647398215505</c:v>
                </c:pt>
                <c:pt idx="224">
                  <c:v>0.93780568396649266</c:v>
                </c:pt>
                <c:pt idx="225">
                  <c:v>0.92264358911310851</c:v>
                </c:pt>
                <c:pt idx="226">
                  <c:v>0.91635907832039198</c:v>
                </c:pt>
                <c:pt idx="227">
                  <c:v>0.90267724694177265</c:v>
                </c:pt>
                <c:pt idx="228">
                  <c:v>0.8953322162424282</c:v>
                </c:pt>
                <c:pt idx="229">
                  <c:v>0.90146935762374236</c:v>
                </c:pt>
                <c:pt idx="230">
                  <c:v>0.91295716383998526</c:v>
                </c:pt>
                <c:pt idx="231">
                  <c:v>0.91036318902447799</c:v>
                </c:pt>
                <c:pt idx="232">
                  <c:v>0.91566022533385338</c:v>
                </c:pt>
                <c:pt idx="233">
                  <c:v>0.8977764898817292</c:v>
                </c:pt>
                <c:pt idx="234">
                  <c:v>0.89148136600109096</c:v>
                </c:pt>
                <c:pt idx="235">
                  <c:v>0.85793069901060337</c:v>
                </c:pt>
                <c:pt idx="236">
                  <c:v>0.84907075895531159</c:v>
                </c:pt>
                <c:pt idx="237">
                  <c:v>0.83370285470200056</c:v>
                </c:pt>
                <c:pt idx="238">
                  <c:v>0.81495376865144298</c:v>
                </c:pt>
                <c:pt idx="239">
                  <c:v>0.80169594809912681</c:v>
                </c:pt>
                <c:pt idx="240">
                  <c:v>0.79897565813806537</c:v>
                </c:pt>
                <c:pt idx="241">
                  <c:v>0.79874346098173732</c:v>
                </c:pt>
                <c:pt idx="242">
                  <c:v>0.78367772521203027</c:v>
                </c:pt>
                <c:pt idx="243">
                  <c:v>0.75870253006031552</c:v>
                </c:pt>
                <c:pt idx="244">
                  <c:v>0.65977303434593704</c:v>
                </c:pt>
                <c:pt idx="245">
                  <c:v>0.62685132541054811</c:v>
                </c:pt>
                <c:pt idx="246">
                  <c:v>0.59399610269560477</c:v>
                </c:pt>
                <c:pt idx="247">
                  <c:v>0.65270483782799793</c:v>
                </c:pt>
                <c:pt idx="248">
                  <c:v>0.64202284989173164</c:v>
                </c:pt>
                <c:pt idx="249">
                  <c:v>0.62760935168450704</c:v>
                </c:pt>
                <c:pt idx="250">
                  <c:v>0.60458372240668989</c:v>
                </c:pt>
                <c:pt idx="251">
                  <c:v>0.58813391306405549</c:v>
                </c:pt>
                <c:pt idx="252">
                  <c:v>0.58478470202050492</c:v>
                </c:pt>
                <c:pt idx="253">
                  <c:v>0.5817032524329625</c:v>
                </c:pt>
                <c:pt idx="254">
                  <c:v>0.57525989453575754</c:v>
                </c:pt>
                <c:pt idx="255">
                  <c:v>0.56549171800983522</c:v>
                </c:pt>
                <c:pt idx="256">
                  <c:v>0.55986899438856985</c:v>
                </c:pt>
                <c:pt idx="257">
                  <c:v>0.56355141610614723</c:v>
                </c:pt>
                <c:pt idx="258">
                  <c:v>0.55217118057260561</c:v>
                </c:pt>
                <c:pt idx="259">
                  <c:v>0.54652890334709658</c:v>
                </c:pt>
                <c:pt idx="260">
                  <c:v>0.5019671742871602</c:v>
                </c:pt>
                <c:pt idx="261">
                  <c:v>0.48581046426371138</c:v>
                </c:pt>
                <c:pt idx="262">
                  <c:v>0.44587693077173823</c:v>
                </c:pt>
                <c:pt idx="263">
                  <c:v>0.31689972972762936</c:v>
                </c:pt>
                <c:pt idx="264">
                  <c:v>0.13575758141160243</c:v>
                </c:pt>
                <c:pt idx="265">
                  <c:v>-3.1248578873288895E-2</c:v>
                </c:pt>
                <c:pt idx="266">
                  <c:v>-9.4097683178200678E-2</c:v>
                </c:pt>
                <c:pt idx="267">
                  <c:v>-9.7365520383539406E-2</c:v>
                </c:pt>
                <c:pt idx="268">
                  <c:v>-9.6671026376118893E-2</c:v>
                </c:pt>
                <c:pt idx="269">
                  <c:v>-8.792470453817984E-2</c:v>
                </c:pt>
                <c:pt idx="270">
                  <c:v>-0.10715412494041489</c:v>
                </c:pt>
                <c:pt idx="271">
                  <c:v>-0.16386763600766938</c:v>
                </c:pt>
                <c:pt idx="272">
                  <c:v>-0.18325024668303172</c:v>
                </c:pt>
                <c:pt idx="273">
                  <c:v>-0.20957086494358315</c:v>
                </c:pt>
                <c:pt idx="274">
                  <c:v>-0.21782545167678521</c:v>
                </c:pt>
                <c:pt idx="275">
                  <c:v>-0.23241940411054404</c:v>
                </c:pt>
                <c:pt idx="276">
                  <c:v>-0.24693068953668598</c:v>
                </c:pt>
                <c:pt idx="277">
                  <c:v>-0.23556274535824684</c:v>
                </c:pt>
                <c:pt idx="278">
                  <c:v>-0.25209986307813215</c:v>
                </c:pt>
                <c:pt idx="279">
                  <c:v>-0.26235451974119034</c:v>
                </c:pt>
                <c:pt idx="280">
                  <c:v>-0.29583723873842616</c:v>
                </c:pt>
                <c:pt idx="281">
                  <c:v>-0.31250249118071527</c:v>
                </c:pt>
                <c:pt idx="282">
                  <c:v>-0.35183242952405053</c:v>
                </c:pt>
                <c:pt idx="283">
                  <c:v>-0.44953506518488112</c:v>
                </c:pt>
                <c:pt idx="284">
                  <c:v>-0.55957397244821061</c:v>
                </c:pt>
                <c:pt idx="285">
                  <c:v>-0.59237905456824735</c:v>
                </c:pt>
                <c:pt idx="286">
                  <c:v>-0.51165057037208783</c:v>
                </c:pt>
                <c:pt idx="287">
                  <c:v>-0.41494749675282039</c:v>
                </c:pt>
                <c:pt idx="288">
                  <c:v>-0.35058675226774111</c:v>
                </c:pt>
                <c:pt idx="289">
                  <c:v>-0.34179121874799923</c:v>
                </c:pt>
                <c:pt idx="290">
                  <c:v>-0.37014080018029621</c:v>
                </c:pt>
                <c:pt idx="291">
                  <c:v>-0.39236495635103469</c:v>
                </c:pt>
                <c:pt idx="292">
                  <c:v>-0.41392595783253511</c:v>
                </c:pt>
                <c:pt idx="293">
                  <c:v>-0.43173783278288691</c:v>
                </c:pt>
                <c:pt idx="294">
                  <c:v>-0.5149022093990453</c:v>
                </c:pt>
                <c:pt idx="295">
                  <c:v>-0.59053697219747336</c:v>
                </c:pt>
                <c:pt idx="296">
                  <c:v>-0.61030779105552113</c:v>
                </c:pt>
                <c:pt idx="297">
                  <c:v>-0.5842148326298231</c:v>
                </c:pt>
                <c:pt idx="298">
                  <c:v>-0.57994941802895461</c:v>
                </c:pt>
                <c:pt idx="299">
                  <c:v>-0.63083295100431813</c:v>
                </c:pt>
                <c:pt idx="300">
                  <c:v>-0.67146414290417622</c:v>
                </c:pt>
                <c:pt idx="301">
                  <c:v>-0.71786586585061318</c:v>
                </c:pt>
                <c:pt idx="302">
                  <c:v>-0.75861414227686519</c:v>
                </c:pt>
                <c:pt idx="303">
                  <c:v>-0.81756898384441179</c:v>
                </c:pt>
                <c:pt idx="304">
                  <c:v>-0.85077189102756101</c:v>
                </c:pt>
                <c:pt idx="305">
                  <c:v>-0.87394211131719757</c:v>
                </c:pt>
                <c:pt idx="306">
                  <c:v>-0.88248865200093674</c:v>
                </c:pt>
                <c:pt idx="307">
                  <c:v>-0.89998887228076319</c:v>
                </c:pt>
                <c:pt idx="308">
                  <c:v>-0.89272449432829093</c:v>
                </c:pt>
                <c:pt idx="309">
                  <c:v>-0.91314543411212934</c:v>
                </c:pt>
                <c:pt idx="310">
                  <c:v>-0.94636907833445783</c:v>
                </c:pt>
                <c:pt idx="311">
                  <c:v>-0.97537441924500456</c:v>
                </c:pt>
                <c:pt idx="312">
                  <c:v>-0.99242757088149514</c:v>
                </c:pt>
                <c:pt idx="313">
                  <c:v>-1.0124835735694504</c:v>
                </c:pt>
                <c:pt idx="314">
                  <c:v>-1.0296925632311276</c:v>
                </c:pt>
                <c:pt idx="315">
                  <c:v>-1.081737501084528</c:v>
                </c:pt>
                <c:pt idx="316">
                  <c:v>-1.0967172824447062</c:v>
                </c:pt>
                <c:pt idx="317">
                  <c:v>-1.0963374514194901</c:v>
                </c:pt>
                <c:pt idx="318">
                  <c:v>-1.0700136083879006</c:v>
                </c:pt>
                <c:pt idx="319">
                  <c:v>-1.0445942032212594</c:v>
                </c:pt>
                <c:pt idx="320">
                  <c:v>-1.0531391390914719</c:v>
                </c:pt>
                <c:pt idx="321">
                  <c:v>-1.0387302095360491</c:v>
                </c:pt>
                <c:pt idx="322">
                  <c:v>-1.0528492100257492</c:v>
                </c:pt>
                <c:pt idx="323">
                  <c:v>-1.0365728934965726</c:v>
                </c:pt>
                <c:pt idx="324">
                  <c:v>-1.0332580492508801</c:v>
                </c:pt>
                <c:pt idx="325">
                  <c:v>-1.0098173408498912</c:v>
                </c:pt>
                <c:pt idx="326">
                  <c:v>-1.0809753916973186</c:v>
                </c:pt>
                <c:pt idx="327">
                  <c:v>-1.071892472546395</c:v>
                </c:pt>
                <c:pt idx="328">
                  <c:v>-1.0593204038979953</c:v>
                </c:pt>
                <c:pt idx="329">
                  <c:v>-0.98855236391926915</c:v>
                </c:pt>
                <c:pt idx="330">
                  <c:v>-1.000826450544136</c:v>
                </c:pt>
                <c:pt idx="331">
                  <c:v>-1.0020236223896759</c:v>
                </c:pt>
                <c:pt idx="332">
                  <c:v>-1.0083153042280613</c:v>
                </c:pt>
                <c:pt idx="333">
                  <c:v>-1.0031937566328994</c:v>
                </c:pt>
                <c:pt idx="334">
                  <c:v>-1.0167613183886377</c:v>
                </c:pt>
                <c:pt idx="335">
                  <c:v>-1.0278013889165323</c:v>
                </c:pt>
                <c:pt idx="336">
                  <c:v>-1.0357815239559089</c:v>
                </c:pt>
                <c:pt idx="337">
                  <c:v>-1.0315523158559567</c:v>
                </c:pt>
                <c:pt idx="338">
                  <c:v>-1.0131549722584106</c:v>
                </c:pt>
                <c:pt idx="339">
                  <c:v>-1.0134550679938359</c:v>
                </c:pt>
                <c:pt idx="340">
                  <c:v>-1.0227162540729982</c:v>
                </c:pt>
                <c:pt idx="341">
                  <c:v>-1.0163928568967731</c:v>
                </c:pt>
                <c:pt idx="342">
                  <c:v>-1.006024874433525</c:v>
                </c:pt>
                <c:pt idx="343">
                  <c:v>-0.98058054559426766</c:v>
                </c:pt>
                <c:pt idx="344">
                  <c:v>-0.96102968190143834</c:v>
                </c:pt>
                <c:pt idx="345">
                  <c:v>-0.94935430504521057</c:v>
                </c:pt>
                <c:pt idx="346">
                  <c:v>-0.94404002819752897</c:v>
                </c:pt>
                <c:pt idx="347">
                  <c:v>-0.95906347538614012</c:v>
                </c:pt>
                <c:pt idx="348">
                  <c:v>-0.94692813717348656</c:v>
                </c:pt>
                <c:pt idx="349">
                  <c:v>-0.94216387577744609</c:v>
                </c:pt>
                <c:pt idx="350">
                  <c:v>-0.93853475613631743</c:v>
                </c:pt>
                <c:pt idx="351">
                  <c:v>-0.93744729508804869</c:v>
                </c:pt>
                <c:pt idx="352">
                  <c:v>-0.92731584504337838</c:v>
                </c:pt>
                <c:pt idx="353">
                  <c:v>-0.91717926569105979</c:v>
                </c:pt>
                <c:pt idx="354">
                  <c:v>-0.92721100698889725</c:v>
                </c:pt>
                <c:pt idx="355">
                  <c:v>-0.92788028162730729</c:v>
                </c:pt>
                <c:pt idx="356">
                  <c:v>-0.90962459275812757</c:v>
                </c:pt>
                <c:pt idx="357">
                  <c:v>-0.88395099075356276</c:v>
                </c:pt>
                <c:pt idx="358">
                  <c:v>-0.87559475464689296</c:v>
                </c:pt>
                <c:pt idx="359">
                  <c:v>-0.86515138501836508</c:v>
                </c:pt>
                <c:pt idx="360">
                  <c:v>-0.85732856805894153</c:v>
                </c:pt>
                <c:pt idx="361">
                  <c:v>-0.84667338206195852</c:v>
                </c:pt>
                <c:pt idx="362">
                  <c:v>-0.88091761711022809</c:v>
                </c:pt>
                <c:pt idx="363">
                  <c:v>-0.91133086044780587</c:v>
                </c:pt>
                <c:pt idx="364">
                  <c:v>-0.94592653079641897</c:v>
                </c:pt>
                <c:pt idx="365">
                  <c:v>-0.93380905727686647</c:v>
                </c:pt>
                <c:pt idx="366">
                  <c:v>-0.91872499945410191</c:v>
                </c:pt>
                <c:pt idx="367">
                  <c:v>-0.89506829241418728</c:v>
                </c:pt>
                <c:pt idx="368">
                  <c:v>-0.89710996194450388</c:v>
                </c:pt>
                <c:pt idx="369">
                  <c:v>-0.90854696257643808</c:v>
                </c:pt>
                <c:pt idx="370">
                  <c:v>-0.89071413505271135</c:v>
                </c:pt>
                <c:pt idx="371">
                  <c:v>-0.86231442046008711</c:v>
                </c:pt>
                <c:pt idx="372">
                  <c:v>-0.83728913590902032</c:v>
                </c:pt>
                <c:pt idx="373">
                  <c:v>-0.8500499760349175</c:v>
                </c:pt>
                <c:pt idx="374">
                  <c:v>-0.86689501614604003</c:v>
                </c:pt>
                <c:pt idx="375">
                  <c:v>-0.86353573964149177</c:v>
                </c:pt>
                <c:pt idx="376">
                  <c:v>-0.86494579436222951</c:v>
                </c:pt>
                <c:pt idx="377">
                  <c:v>-0.85248305458291407</c:v>
                </c:pt>
                <c:pt idx="378">
                  <c:v>-0.8638100394806365</c:v>
                </c:pt>
                <c:pt idx="379">
                  <c:v>-0.86440008356340448</c:v>
                </c:pt>
                <c:pt idx="380">
                  <c:v>-0.86721951686039167</c:v>
                </c:pt>
                <c:pt idx="381">
                  <c:v>-0.8582456011661096</c:v>
                </c:pt>
                <c:pt idx="382">
                  <c:v>-0.83909242455852773</c:v>
                </c:pt>
                <c:pt idx="383">
                  <c:v>-0.84766312617157258</c:v>
                </c:pt>
                <c:pt idx="384">
                  <c:v>-0.84029770399659787</c:v>
                </c:pt>
                <c:pt idx="385">
                  <c:v>-0.85108016353166815</c:v>
                </c:pt>
                <c:pt idx="386">
                  <c:v>-0.85595231883900313</c:v>
                </c:pt>
                <c:pt idx="387">
                  <c:v>-0.85674402286455076</c:v>
                </c:pt>
                <c:pt idx="388">
                  <c:v>-0.85350667698326455</c:v>
                </c:pt>
                <c:pt idx="389">
                  <c:v>-0.84132243766093273</c:v>
                </c:pt>
                <c:pt idx="390">
                  <c:v>-0.76379622647825995</c:v>
                </c:pt>
                <c:pt idx="391">
                  <c:v>-0.7285720967251107</c:v>
                </c:pt>
                <c:pt idx="392">
                  <c:v>-0.69592861607258383</c:v>
                </c:pt>
                <c:pt idx="393">
                  <c:v>-0.74581360274452779</c:v>
                </c:pt>
                <c:pt idx="394">
                  <c:v>-0.76858276308660434</c:v>
                </c:pt>
                <c:pt idx="395">
                  <c:v>-0.7879394840406011</c:v>
                </c:pt>
                <c:pt idx="396">
                  <c:v>-0.81541628408391509</c:v>
                </c:pt>
                <c:pt idx="397">
                  <c:v>-0.83131990409052126</c:v>
                </c:pt>
                <c:pt idx="398">
                  <c:v>-0.8371165921742808</c:v>
                </c:pt>
                <c:pt idx="399">
                  <c:v>-0.83945299033059195</c:v>
                </c:pt>
                <c:pt idx="400">
                  <c:v>-0.83297172971848221</c:v>
                </c:pt>
                <c:pt idx="401">
                  <c:v>-0.82398027811999508</c:v>
                </c:pt>
                <c:pt idx="402">
                  <c:v>-0.80563259175001711</c:v>
                </c:pt>
                <c:pt idx="403">
                  <c:v>-0.79471656913031741</c:v>
                </c:pt>
                <c:pt idx="404">
                  <c:v>-0.7933534642389608</c:v>
                </c:pt>
                <c:pt idx="405">
                  <c:v>-0.79627964893559089</c:v>
                </c:pt>
                <c:pt idx="406">
                  <c:v>-0.79526927508559686</c:v>
                </c:pt>
                <c:pt idx="407">
                  <c:v>-0.79977916866636589</c:v>
                </c:pt>
                <c:pt idx="408">
                  <c:v>-0.79051213461638126</c:v>
                </c:pt>
                <c:pt idx="409">
                  <c:v>-0.8205432275851795</c:v>
                </c:pt>
                <c:pt idx="410">
                  <c:v>-0.84865292365412104</c:v>
                </c:pt>
                <c:pt idx="411">
                  <c:v>-0.85712619015728597</c:v>
                </c:pt>
                <c:pt idx="412">
                  <c:v>-0.82407633070572006</c:v>
                </c:pt>
                <c:pt idx="413">
                  <c:v>-0.78050516255624691</c:v>
                </c:pt>
                <c:pt idx="414">
                  <c:v>-0.73670974269491341</c:v>
                </c:pt>
                <c:pt idx="415">
                  <c:v>-0.69823923153325917</c:v>
                </c:pt>
                <c:pt idx="416">
                  <c:v>-0.6416815997932227</c:v>
                </c:pt>
                <c:pt idx="417">
                  <c:v>-0.6161379444988605</c:v>
                </c:pt>
                <c:pt idx="418">
                  <c:v>-0.62331444112070533</c:v>
                </c:pt>
                <c:pt idx="419">
                  <c:v>-0.61617924619375886</c:v>
                </c:pt>
                <c:pt idx="420">
                  <c:v>-0.65714992764748714</c:v>
                </c:pt>
                <c:pt idx="421">
                  <c:v>-0.64996084826302258</c:v>
                </c:pt>
                <c:pt idx="422">
                  <c:v>-0.61876229875799715</c:v>
                </c:pt>
                <c:pt idx="423">
                  <c:v>-0.55641400825911613</c:v>
                </c:pt>
                <c:pt idx="424">
                  <c:v>-0.56355804564733258</c:v>
                </c:pt>
                <c:pt idx="425">
                  <c:v>-0.58253118627252287</c:v>
                </c:pt>
                <c:pt idx="426">
                  <c:v>-0.56859079160742576</c:v>
                </c:pt>
                <c:pt idx="427">
                  <c:v>-0.49513410370573058</c:v>
                </c:pt>
                <c:pt idx="428">
                  <c:v>-0.46531673697757481</c:v>
                </c:pt>
                <c:pt idx="429">
                  <c:v>-0.44133731168481322</c:v>
                </c:pt>
                <c:pt idx="430">
                  <c:v>-0.40713198265618261</c:v>
                </c:pt>
                <c:pt idx="431">
                  <c:v>-0.39112884554198318</c:v>
                </c:pt>
                <c:pt idx="432">
                  <c:v>-0.36352497990887828</c:v>
                </c:pt>
                <c:pt idx="433">
                  <c:v>-0.37194511940296088</c:v>
                </c:pt>
                <c:pt idx="434">
                  <c:v>-0.36119783434758562</c:v>
                </c:pt>
                <c:pt idx="435">
                  <c:v>-0.37567359149171198</c:v>
                </c:pt>
                <c:pt idx="436">
                  <c:v>-0.354482915733354</c:v>
                </c:pt>
                <c:pt idx="437">
                  <c:v>-0.34680663126166539</c:v>
                </c:pt>
                <c:pt idx="438">
                  <c:v>-0.34258530072905047</c:v>
                </c:pt>
                <c:pt idx="439">
                  <c:v>-0.35915733601316063</c:v>
                </c:pt>
                <c:pt idx="440">
                  <c:v>-0.35434935379782523</c:v>
                </c:pt>
                <c:pt idx="441">
                  <c:v>-0.35208920590334869</c:v>
                </c:pt>
                <c:pt idx="442">
                  <c:v>-0.336873335880644</c:v>
                </c:pt>
                <c:pt idx="443">
                  <c:v>-0.34024548134431382</c:v>
                </c:pt>
                <c:pt idx="444">
                  <c:v>-0.34229750002563114</c:v>
                </c:pt>
                <c:pt idx="445">
                  <c:v>-0.32551690500764902</c:v>
                </c:pt>
                <c:pt idx="446">
                  <c:v>-0.31597896323999802</c:v>
                </c:pt>
                <c:pt idx="447">
                  <c:v>-0.29810759494887956</c:v>
                </c:pt>
                <c:pt idx="448">
                  <c:v>-0.30072664130108856</c:v>
                </c:pt>
                <c:pt idx="449">
                  <c:v>-0.29294324853952497</c:v>
                </c:pt>
                <c:pt idx="450">
                  <c:v>-0.32209713503928744</c:v>
                </c:pt>
                <c:pt idx="451">
                  <c:v>-0.42896739569001446</c:v>
                </c:pt>
                <c:pt idx="452">
                  <c:v>-0.63326870050651995</c:v>
                </c:pt>
                <c:pt idx="453">
                  <c:v>-0.65740762179525969</c:v>
                </c:pt>
                <c:pt idx="454">
                  <c:v>-0.55170822665866126</c:v>
                </c:pt>
                <c:pt idx="455">
                  <c:v>-0.35387898145239571</c:v>
                </c:pt>
                <c:pt idx="456">
                  <c:v>-0.30032508688187121</c:v>
                </c:pt>
                <c:pt idx="457">
                  <c:v>-0.30428716535061273</c:v>
                </c:pt>
                <c:pt idx="458">
                  <c:v>-0.31433621602706302</c:v>
                </c:pt>
                <c:pt idx="459">
                  <c:v>-0.30424663225906906</c:v>
                </c:pt>
                <c:pt idx="460">
                  <c:v>-0.33108203980869044</c:v>
                </c:pt>
                <c:pt idx="461">
                  <c:v>-0.40029005319410116</c:v>
                </c:pt>
                <c:pt idx="462">
                  <c:v>-0.52767257615996799</c:v>
                </c:pt>
                <c:pt idx="463">
                  <c:v>-0.53693422757857079</c:v>
                </c:pt>
                <c:pt idx="464">
                  <c:v>-0.50612194725254778</c:v>
                </c:pt>
                <c:pt idx="465">
                  <c:v>-0.45151747629919248</c:v>
                </c:pt>
                <c:pt idx="466">
                  <c:v>-0.45551720075479302</c:v>
                </c:pt>
                <c:pt idx="467">
                  <c:v>-0.41884963408040171</c:v>
                </c:pt>
                <c:pt idx="468">
                  <c:v>-0.36446956222378857</c:v>
                </c:pt>
                <c:pt idx="469">
                  <c:v>-0.32865354039353684</c:v>
                </c:pt>
                <c:pt idx="470">
                  <c:v>-0.34976791547069258</c:v>
                </c:pt>
                <c:pt idx="471">
                  <c:v>-0.3946092531609402</c:v>
                </c:pt>
                <c:pt idx="472">
                  <c:v>-0.43113564078076722</c:v>
                </c:pt>
                <c:pt idx="473">
                  <c:v>-0.45935220597741466</c:v>
                </c:pt>
                <c:pt idx="474">
                  <c:v>-0.45917874992142349</c:v>
                </c:pt>
                <c:pt idx="475">
                  <c:v>-0.49930764586483267</c:v>
                </c:pt>
                <c:pt idx="476">
                  <c:v>-0.49188194902011412</c:v>
                </c:pt>
                <c:pt idx="477">
                  <c:v>-0.49419148330129398</c:v>
                </c:pt>
                <c:pt idx="478">
                  <c:v>-0.48548849655133702</c:v>
                </c:pt>
                <c:pt idx="479">
                  <c:v>-0.50707289026912228</c:v>
                </c:pt>
                <c:pt idx="480">
                  <c:v>-0.50296345839632139</c:v>
                </c:pt>
                <c:pt idx="481">
                  <c:v>-0.47323540315461621</c:v>
                </c:pt>
                <c:pt idx="482">
                  <c:v>-0.46572545054158687</c:v>
                </c:pt>
                <c:pt idx="483">
                  <c:v>-0.45993079634645256</c:v>
                </c:pt>
                <c:pt idx="484">
                  <c:v>-0.46404337790014849</c:v>
                </c:pt>
                <c:pt idx="485">
                  <c:v>-0.46240000569950251</c:v>
                </c:pt>
                <c:pt idx="486">
                  <c:v>-0.43257927873405905</c:v>
                </c:pt>
                <c:pt idx="487">
                  <c:v>-0.42844344919547012</c:v>
                </c:pt>
                <c:pt idx="488">
                  <c:v>-0.40742730252335163</c:v>
                </c:pt>
                <c:pt idx="489">
                  <c:v>-0.40699455956324931</c:v>
                </c:pt>
                <c:pt idx="490">
                  <c:v>-0.38253474806301635</c:v>
                </c:pt>
                <c:pt idx="491">
                  <c:v>-0.34669335745631019</c:v>
                </c:pt>
                <c:pt idx="492">
                  <c:v>-0.35646470971583727</c:v>
                </c:pt>
                <c:pt idx="493">
                  <c:v>-0.3629502637068045</c:v>
                </c:pt>
                <c:pt idx="494">
                  <c:v>-0.40294440598548853</c:v>
                </c:pt>
                <c:pt idx="495">
                  <c:v>-0.3831407935187523</c:v>
                </c:pt>
                <c:pt idx="496">
                  <c:v>-0.36206057058257318</c:v>
                </c:pt>
                <c:pt idx="497">
                  <c:v>-0.35981089914238162</c:v>
                </c:pt>
                <c:pt idx="498">
                  <c:v>-0.47937008158223104</c:v>
                </c:pt>
                <c:pt idx="499">
                  <c:v>-0.56045118668053762</c:v>
                </c:pt>
                <c:pt idx="500">
                  <c:v>-0.55267256512441632</c:v>
                </c:pt>
                <c:pt idx="501">
                  <c:v>-0.48518675083913454</c:v>
                </c:pt>
                <c:pt idx="502">
                  <c:v>-0.48907729097606545</c:v>
                </c:pt>
                <c:pt idx="503">
                  <c:v>-0.57579382843353255</c:v>
                </c:pt>
                <c:pt idx="504">
                  <c:v>-0.63599010989063398</c:v>
                </c:pt>
                <c:pt idx="505">
                  <c:v>-0.54934391812576866</c:v>
                </c:pt>
                <c:pt idx="506">
                  <c:v>-0.41050883276371392</c:v>
                </c:pt>
                <c:pt idx="507">
                  <c:v>-0.28256455839979594</c:v>
                </c:pt>
                <c:pt idx="508">
                  <c:v>-0.26918165247259829</c:v>
                </c:pt>
                <c:pt idx="509">
                  <c:v>-0.27424942257140628</c:v>
                </c:pt>
                <c:pt idx="510">
                  <c:v>-0.27942936840841598</c:v>
                </c:pt>
                <c:pt idx="511">
                  <c:v>-0.28472532881898727</c:v>
                </c:pt>
                <c:pt idx="512">
                  <c:v>-0.29014132252756591</c:v>
                </c:pt>
                <c:pt idx="513">
                  <c:v>-0.29568155992517547</c:v>
                </c:pt>
                <c:pt idx="514">
                  <c:v>-0.3013504544378382</c:v>
                </c:pt>
                <c:pt idx="515">
                  <c:v>-0.30715263520090286</c:v>
                </c:pt>
                <c:pt idx="516">
                  <c:v>-0.31309296074383275</c:v>
                </c:pt>
                <c:pt idx="517">
                  <c:v>-0.3191765332423937</c:v>
                </c:pt>
                <c:pt idx="518">
                  <c:v>-0.32540871524375214</c:v>
                </c:pt>
                <c:pt idx="519">
                  <c:v>-0.33179514554542849</c:v>
                </c:pt>
                <c:pt idx="520">
                  <c:v>-0.33834175859237031</c:v>
                </c:pt>
                <c:pt idx="521">
                  <c:v>-0.34505480407904104</c:v>
                </c:pt>
                <c:pt idx="522">
                  <c:v>-0.35194086867359403</c:v>
                </c:pt>
                <c:pt idx="523">
                  <c:v>-0.35900689963843746</c:v>
                </c:pt>
                <c:pt idx="524">
                  <c:v>-0.36626022995568097</c:v>
                </c:pt>
                <c:pt idx="525">
                  <c:v>-0.37370860713029347</c:v>
                </c:pt>
                <c:pt idx="526">
                  <c:v>-0.38136022217576021</c:v>
                </c:pt>
                <c:pt idx="527">
                  <c:v>-0.38922374367972462</c:v>
                </c:pt>
                <c:pt idx="528">
                  <c:v>-0.39730835349405363</c:v>
                </c:pt>
                <c:pt idx="529">
                  <c:v>-0.40562378630160495</c:v>
                </c:pt>
                <c:pt idx="530">
                  <c:v>-0.41418037303197169</c:v>
                </c:pt>
                <c:pt idx="531">
                  <c:v>-0.42298908792470091</c:v>
                </c:pt>
                <c:pt idx="532">
                  <c:v>-0.43206160188507331</c:v>
                </c:pt>
                <c:pt idx="533">
                  <c:v>-0.44141033859759754</c:v>
                </c:pt>
                <c:pt idx="534">
                  <c:v>-0.45104853914850773</c:v>
                </c:pt>
                <c:pt idx="535">
                  <c:v>-0.46099033176789056</c:v>
                </c:pt>
                <c:pt idx="536">
                  <c:v>-0.47125080963024102</c:v>
                </c:pt>
                <c:pt idx="537">
                  <c:v>-0.48184611726435822</c:v>
                </c:pt>
                <c:pt idx="538">
                  <c:v>-0.49279354599463127</c:v>
                </c:pt>
                <c:pt idx="539">
                  <c:v>-0.50411164210651993</c:v>
                </c:pt>
                <c:pt idx="540">
                  <c:v>-0.51582032470255257</c:v>
                </c:pt>
                <c:pt idx="541">
                  <c:v>-0.58901867604677483</c:v>
                </c:pt>
                <c:pt idx="542">
                  <c:v>-0.54239048228057252</c:v>
                </c:pt>
                <c:pt idx="543">
                  <c:v>-0.5083661431327311</c:v>
                </c:pt>
                <c:pt idx="544">
                  <c:v>-0.43121670050132238</c:v>
                </c:pt>
                <c:pt idx="545">
                  <c:v>-0.46090076328241647</c:v>
                </c:pt>
                <c:pt idx="546">
                  <c:v>-0.47687118007708817</c:v>
                </c:pt>
                <c:pt idx="547">
                  <c:v>-0.46069222882967198</c:v>
                </c:pt>
                <c:pt idx="548">
                  <c:v>-0.44684283974894073</c:v>
                </c:pt>
                <c:pt idx="549">
                  <c:v>-0.42275794277375095</c:v>
                </c:pt>
                <c:pt idx="550">
                  <c:v>-0.40076451506052929</c:v>
                </c:pt>
                <c:pt idx="551">
                  <c:v>-0.40997696942460821</c:v>
                </c:pt>
                <c:pt idx="552">
                  <c:v>-0.42924161933752164</c:v>
                </c:pt>
                <c:pt idx="553">
                  <c:v>-0.44957009068414822</c:v>
                </c:pt>
                <c:pt idx="554">
                  <c:v>-0.46364261455075195</c:v>
                </c:pt>
                <c:pt idx="555">
                  <c:v>-0.48865664538528525</c:v>
                </c:pt>
                <c:pt idx="556">
                  <c:v>-0.59566456013663627</c:v>
                </c:pt>
                <c:pt idx="557">
                  <c:v>-0.69382314791960376</c:v>
                </c:pt>
                <c:pt idx="558">
                  <c:v>-0.74600348997840404</c:v>
                </c:pt>
                <c:pt idx="559">
                  <c:v>-0.73830634522027294</c:v>
                </c:pt>
                <c:pt idx="560">
                  <c:v>-0.72852671461673835</c:v>
                </c:pt>
                <c:pt idx="561">
                  <c:v>-0.7555351778110696</c:v>
                </c:pt>
                <c:pt idx="562">
                  <c:v>-0.75222127856569954</c:v>
                </c:pt>
                <c:pt idx="563">
                  <c:v>-0.74400366634157844</c:v>
                </c:pt>
                <c:pt idx="564">
                  <c:v>-0.75881786667750217</c:v>
                </c:pt>
                <c:pt idx="565">
                  <c:v>-0.75125013060901324</c:v>
                </c:pt>
                <c:pt idx="566">
                  <c:v>-0.78034647940312774</c:v>
                </c:pt>
                <c:pt idx="567">
                  <c:v>-0.80087901560101482</c:v>
                </c:pt>
                <c:pt idx="568">
                  <c:v>-0.89018663152710664</c:v>
                </c:pt>
                <c:pt idx="569">
                  <c:v>-1.004285889800286</c:v>
                </c:pt>
                <c:pt idx="570">
                  <c:v>-1.0881230370067698</c:v>
                </c:pt>
                <c:pt idx="571">
                  <c:v>-1.1174415566588882</c:v>
                </c:pt>
                <c:pt idx="572">
                  <c:v>-1.0784908468904399</c:v>
                </c:pt>
                <c:pt idx="573">
                  <c:v>-1.0417271532714683</c:v>
                </c:pt>
                <c:pt idx="574">
                  <c:v>-1.0819174493254822</c:v>
                </c:pt>
                <c:pt idx="575">
                  <c:v>-1.1165917264724856</c:v>
                </c:pt>
                <c:pt idx="576">
                  <c:v>-1.154549701714872</c:v>
                </c:pt>
                <c:pt idx="577">
                  <c:v>-1.176720040640501</c:v>
                </c:pt>
                <c:pt idx="578">
                  <c:v>-1.2300208250123854</c:v>
                </c:pt>
                <c:pt idx="579">
                  <c:v>-1.3147879087052239</c:v>
                </c:pt>
                <c:pt idx="580">
                  <c:v>-1.4018437373194468</c:v>
                </c:pt>
                <c:pt idx="581">
                  <c:v>-1.4675931485803531</c:v>
                </c:pt>
                <c:pt idx="582">
                  <c:v>-1.5660458458302287</c:v>
                </c:pt>
                <c:pt idx="583">
                  <c:v>-1.6592740470703014</c:v>
                </c:pt>
                <c:pt idx="584">
                  <c:v>-1.7524792038172015</c:v>
                </c:pt>
                <c:pt idx="585">
                  <c:v>-1.8004055839654498</c:v>
                </c:pt>
                <c:pt idx="586">
                  <c:v>-1.8092095666101733</c:v>
                </c:pt>
                <c:pt idx="587">
                  <c:v>-1.8486404446828828</c:v>
                </c:pt>
                <c:pt idx="588">
                  <c:v>-1.8683187133062376</c:v>
                </c:pt>
                <c:pt idx="589">
                  <c:v>-1.8876305364601729</c:v>
                </c:pt>
                <c:pt idx="590">
                  <c:v>-1.8563147619254752</c:v>
                </c:pt>
                <c:pt idx="591">
                  <c:v>-1.8740987465604722</c:v>
                </c:pt>
                <c:pt idx="592">
                  <c:v>-1.8824618067302812</c:v>
                </c:pt>
                <c:pt idx="593">
                  <c:v>-1.9167087139608565</c:v>
                </c:pt>
                <c:pt idx="594">
                  <c:v>-1.8830971679378592</c:v>
                </c:pt>
                <c:pt idx="595">
                  <c:v>-1.8887209656906851</c:v>
                </c:pt>
                <c:pt idx="596">
                  <c:v>-1.9039860045297463</c:v>
                </c:pt>
                <c:pt idx="597">
                  <c:v>-1.9262145785973006</c:v>
                </c:pt>
                <c:pt idx="598">
                  <c:v>-1.9124839377259224</c:v>
                </c:pt>
                <c:pt idx="599">
                  <c:v>-1.8954186888340312</c:v>
                </c:pt>
                <c:pt idx="600">
                  <c:v>-1.9126239847353774</c:v>
                </c:pt>
                <c:pt idx="601">
                  <c:v>-1.9545546778288425</c:v>
                </c:pt>
                <c:pt idx="602">
                  <c:v>-1.9806622481705911</c:v>
                </c:pt>
                <c:pt idx="603">
                  <c:v>-1.9758531801591703</c:v>
                </c:pt>
                <c:pt idx="604">
                  <c:v>-1.9770036819884058</c:v>
                </c:pt>
                <c:pt idx="605">
                  <c:v>-1.968481686914102</c:v>
                </c:pt>
                <c:pt idx="606">
                  <c:v>-1.989546233549192</c:v>
                </c:pt>
                <c:pt idx="607">
                  <c:v>-1.9702548780374094</c:v>
                </c:pt>
                <c:pt idx="608">
                  <c:v>-1.9598161592244112</c:v>
                </c:pt>
                <c:pt idx="609">
                  <c:v>-1.9249564611590335</c:v>
                </c:pt>
                <c:pt idx="610">
                  <c:v>-1.9172512451257937</c:v>
                </c:pt>
                <c:pt idx="611">
                  <c:v>-1.8957215985877232</c:v>
                </c:pt>
                <c:pt idx="612">
                  <c:v>-1.8839702632859232</c:v>
                </c:pt>
                <c:pt idx="613">
                  <c:v>-1.8651494938372004</c:v>
                </c:pt>
                <c:pt idx="614">
                  <c:v>-1.8646108937806518</c:v>
                </c:pt>
                <c:pt idx="615">
                  <c:v>-1.864092849837762</c:v>
                </c:pt>
                <c:pt idx="616">
                  <c:v>-1.8635942068260896</c:v>
                </c:pt>
                <c:pt idx="617">
                  <c:v>-1.86311389462127</c:v>
                </c:pt>
                <c:pt idx="618">
                  <c:v>-1.8626509203210633</c:v>
                </c:pt>
                <c:pt idx="619">
                  <c:v>-1.8715197806921273</c:v>
                </c:pt>
                <c:pt idx="620">
                  <c:v>-1.9029219404765809</c:v>
                </c:pt>
                <c:pt idx="621">
                  <c:v>-1.9487137030741526</c:v>
                </c:pt>
                <c:pt idx="622">
                  <c:v>-2.0343449821121431</c:v>
                </c:pt>
                <c:pt idx="623">
                  <c:v>-2.0725996004575693</c:v>
                </c:pt>
                <c:pt idx="624">
                  <c:v>-2.0892758044642772</c:v>
                </c:pt>
                <c:pt idx="625">
                  <c:v>-2.0690289619116853</c:v>
                </c:pt>
                <c:pt idx="626">
                  <c:v>-2.0741786942400782</c:v>
                </c:pt>
                <c:pt idx="627">
                  <c:v>-2.0992480399345372</c:v>
                </c:pt>
                <c:pt idx="628">
                  <c:v>-2.0897880337482451</c:v>
                </c:pt>
                <c:pt idx="629">
                  <c:v>-2.0476399720608653</c:v>
                </c:pt>
                <c:pt idx="630">
                  <c:v>-2.0351590161105872</c:v>
                </c:pt>
                <c:pt idx="631">
                  <c:v>-2.063024772361985</c:v>
                </c:pt>
                <c:pt idx="632">
                  <c:v>-2.134777203585438</c:v>
                </c:pt>
                <c:pt idx="633">
                  <c:v>-2.1614334883062534</c:v>
                </c:pt>
                <c:pt idx="634">
                  <c:v>-2.1416627303240929</c:v>
                </c:pt>
                <c:pt idx="635">
                  <c:v>-2.12616329145665</c:v>
                </c:pt>
                <c:pt idx="636">
                  <c:v>-2.053838572647344</c:v>
                </c:pt>
                <c:pt idx="637">
                  <c:v>-2.0432081251989227</c:v>
                </c:pt>
                <c:pt idx="638">
                  <c:v>-2.0352126112130851</c:v>
                </c:pt>
                <c:pt idx="639">
                  <c:v>-2.0739062820220791</c:v>
                </c:pt>
                <c:pt idx="640">
                  <c:v>-2.0682567005590555</c:v>
                </c:pt>
                <c:pt idx="641">
                  <c:v>-2.0447614103597913</c:v>
                </c:pt>
                <c:pt idx="642">
                  <c:v>-2.0509613187001334</c:v>
                </c:pt>
                <c:pt idx="643">
                  <c:v>-2.0632909540634405</c:v>
                </c:pt>
                <c:pt idx="644">
                  <c:v>-2.0456002002162488</c:v>
                </c:pt>
                <c:pt idx="645">
                  <c:v>-2.0059795079097911</c:v>
                </c:pt>
                <c:pt idx="646">
                  <c:v>-1.977560690506061</c:v>
                </c:pt>
                <c:pt idx="647">
                  <c:v>-1.9427160784280491</c:v>
                </c:pt>
                <c:pt idx="648">
                  <c:v>-1.9181022959612284</c:v>
                </c:pt>
                <c:pt idx="649">
                  <c:v>-1.898348159482165</c:v>
                </c:pt>
                <c:pt idx="650">
                  <c:v>-1.9098471911570465</c:v>
                </c:pt>
                <c:pt idx="651">
                  <c:v>-1.8991120442108798</c:v>
                </c:pt>
                <c:pt idx="652">
                  <c:v>-1.856690037614219</c:v>
                </c:pt>
                <c:pt idx="653">
                  <c:v>-1.8049583500844191</c:v>
                </c:pt>
                <c:pt idx="654">
                  <c:v>-1.768511356876483</c:v>
                </c:pt>
                <c:pt idx="655">
                  <c:v>-1.7368445541875446</c:v>
                </c:pt>
                <c:pt idx="656">
                  <c:v>-1.7276252449530933</c:v>
                </c:pt>
                <c:pt idx="657">
                  <c:v>-1.7520829302628442</c:v>
                </c:pt>
                <c:pt idx="658">
                  <c:v>-1.7424184794037654</c:v>
                </c:pt>
                <c:pt idx="659">
                  <c:v>-1.7593362948544959</c:v>
                </c:pt>
                <c:pt idx="660">
                  <c:v>-1.7375469550318616</c:v>
                </c:pt>
                <c:pt idx="661">
                  <c:v>-1.7504345510720187</c:v>
                </c:pt>
                <c:pt idx="662">
                  <c:v>-1.7513552965133883</c:v>
                </c:pt>
                <c:pt idx="663">
                  <c:v>-1.7611548528008443</c:v>
                </c:pt>
                <c:pt idx="664">
                  <c:v>-1.7897800782743201</c:v>
                </c:pt>
                <c:pt idx="665">
                  <c:v>-1.7847595202263375</c:v>
                </c:pt>
                <c:pt idx="666">
                  <c:v>-1.780677594021068</c:v>
                </c:pt>
                <c:pt idx="667">
                  <c:v>-1.7356117826115025</c:v>
                </c:pt>
                <c:pt idx="668">
                  <c:v>-1.7729009069757986</c:v>
                </c:pt>
                <c:pt idx="669">
                  <c:v>-1.7547812903702411</c:v>
                </c:pt>
                <c:pt idx="670">
                  <c:v>-1.768385270276486</c:v>
                </c:pt>
                <c:pt idx="671">
                  <c:v>-1.7605977393318042</c:v>
                </c:pt>
                <c:pt idx="672">
                  <c:v>-1.7605798601297877</c:v>
                </c:pt>
                <c:pt idx="673">
                  <c:v>-1.7619554312442876</c:v>
                </c:pt>
                <c:pt idx="674">
                  <c:v>-1.7330007557885903</c:v>
                </c:pt>
                <c:pt idx="675">
                  <c:v>-1.7502760429395565</c:v>
                </c:pt>
                <c:pt idx="676">
                  <c:v>-1.7861497405496098</c:v>
                </c:pt>
                <c:pt idx="677">
                  <c:v>-1.773715120338428</c:v>
                </c:pt>
                <c:pt idx="678">
                  <c:v>-1.7816504114964948</c:v>
                </c:pt>
                <c:pt idx="679">
                  <c:v>-1.7640543880651087</c:v>
                </c:pt>
                <c:pt idx="680">
                  <c:v>-1.7832982897202303</c:v>
                </c:pt>
                <c:pt idx="681">
                  <c:v>-1.7861030374143876</c:v>
                </c:pt>
                <c:pt idx="682">
                  <c:v>-1.7877035429833967</c:v>
                </c:pt>
                <c:pt idx="683">
                  <c:v>-1.786808841671305</c:v>
                </c:pt>
                <c:pt idx="684">
                  <c:v>-1.790801203118763</c:v>
                </c:pt>
                <c:pt idx="685">
                  <c:v>-1.7985653928341563</c:v>
                </c:pt>
                <c:pt idx="686">
                  <c:v>-1.8097639118452797</c:v>
                </c:pt>
                <c:pt idx="687">
                  <c:v>-1.8009380318126949</c:v>
                </c:pt>
                <c:pt idx="688">
                  <c:v>-1.8136746003616506</c:v>
                </c:pt>
                <c:pt idx="689">
                  <c:v>-1.833797331978354</c:v>
                </c:pt>
                <c:pt idx="690">
                  <c:v>-1.8811815806050269</c:v>
                </c:pt>
                <c:pt idx="691">
                  <c:v>-1.8951814670342877</c:v>
                </c:pt>
                <c:pt idx="692">
                  <c:v>-1.8867564404251205</c:v>
                </c:pt>
                <c:pt idx="693">
                  <c:v>-1.9102032307066832</c:v>
                </c:pt>
                <c:pt idx="694">
                  <c:v>-1.9365488331502674</c:v>
                </c:pt>
                <c:pt idx="695">
                  <c:v>-1.9761523948038329</c:v>
                </c:pt>
                <c:pt idx="696">
                  <c:v>-1.944945149106112</c:v>
                </c:pt>
                <c:pt idx="697">
                  <c:v>-1.948926454675038</c:v>
                </c:pt>
                <c:pt idx="698">
                  <c:v>-1.9680838424757117</c:v>
                </c:pt>
                <c:pt idx="699">
                  <c:v>-1.9808653428947596</c:v>
                </c:pt>
                <c:pt idx="700">
                  <c:v>-1.97357735662342</c:v>
                </c:pt>
                <c:pt idx="701">
                  <c:v>-1.9493277141887664</c:v>
                </c:pt>
                <c:pt idx="702">
                  <c:v>-1.9414875680641286</c:v>
                </c:pt>
                <c:pt idx="703">
                  <c:v>-1.9537417981721168</c:v>
                </c:pt>
                <c:pt idx="704">
                  <c:v>-1.9459400308354666</c:v>
                </c:pt>
                <c:pt idx="705">
                  <c:v>-1.9707748559680276</c:v>
                </c:pt>
                <c:pt idx="706">
                  <c:v>-1.9481349046984064</c:v>
                </c:pt>
                <c:pt idx="707">
                  <c:v>-1.9309542471216987</c:v>
                </c:pt>
                <c:pt idx="708">
                  <c:v>-1.8878168441290242</c:v>
                </c:pt>
                <c:pt idx="709">
                  <c:v>-1.8725505939307669</c:v>
                </c:pt>
                <c:pt idx="710">
                  <c:v>-1.8745167385348627</c:v>
                </c:pt>
                <c:pt idx="711">
                  <c:v>-1.8882322697898684</c:v>
                </c:pt>
                <c:pt idx="712">
                  <c:v>-1.931034351672049</c:v>
                </c:pt>
                <c:pt idx="713">
                  <c:v>-1.9068253500499985</c:v>
                </c:pt>
                <c:pt idx="714">
                  <c:v>-1.8558976871507682</c:v>
                </c:pt>
                <c:pt idx="715">
                  <c:v>-1.7848355713072361</c:v>
                </c:pt>
                <c:pt idx="716">
                  <c:v>-1.8007476872320296</c:v>
                </c:pt>
                <c:pt idx="717">
                  <c:v>-1.8066144575785605</c:v>
                </c:pt>
                <c:pt idx="718">
                  <c:v>-1.7837409921291858</c:v>
                </c:pt>
                <c:pt idx="719">
                  <c:v>-1.7679595745890893</c:v>
                </c:pt>
                <c:pt idx="720">
                  <c:v>-1.7707016732267942</c:v>
                </c:pt>
                <c:pt idx="721">
                  <c:v>-1.8096441687304619</c:v>
                </c:pt>
                <c:pt idx="722">
                  <c:v>-1.8117856689634779</c:v>
                </c:pt>
                <c:pt idx="723">
                  <c:v>-1.8131474875956002</c:v>
                </c:pt>
                <c:pt idx="724">
                  <c:v>-1.809568480633964</c:v>
                </c:pt>
                <c:pt idx="725">
                  <c:v>-1.8084934851020502</c:v>
                </c:pt>
                <c:pt idx="726">
                  <c:v>-1.8325102450178437</c:v>
                </c:pt>
                <c:pt idx="727">
                  <c:v>-1.8493675821884563</c:v>
                </c:pt>
                <c:pt idx="728">
                  <c:v>-1.8855036514781673</c:v>
                </c:pt>
                <c:pt idx="729">
                  <c:v>-1.903772777348868</c:v>
                </c:pt>
                <c:pt idx="730">
                  <c:v>-1.8503888394033821</c:v>
                </c:pt>
                <c:pt idx="731">
                  <c:v>-1.7330156058429669</c:v>
                </c:pt>
                <c:pt idx="732">
                  <c:v>-1.642450873769622</c:v>
                </c:pt>
                <c:pt idx="733">
                  <c:v>-1.667679430666908</c:v>
                </c:pt>
                <c:pt idx="734">
                  <c:v>-1.7507842369863653</c:v>
                </c:pt>
                <c:pt idx="735">
                  <c:v>-1.7726834110213006</c:v>
                </c:pt>
                <c:pt idx="736">
                  <c:v>-1.7876318281782961</c:v>
                </c:pt>
                <c:pt idx="737">
                  <c:v>-1.7117365736811501</c:v>
                </c:pt>
                <c:pt idx="738">
                  <c:v>-1.6539023902104546</c:v>
                </c:pt>
                <c:pt idx="739">
                  <c:v>-1.5704393713838891</c:v>
                </c:pt>
                <c:pt idx="740">
                  <c:v>-1.5680776503514462</c:v>
                </c:pt>
                <c:pt idx="741">
                  <c:v>-1.597461903637061</c:v>
                </c:pt>
                <c:pt idx="742">
                  <c:v>-1.6299731948814629</c:v>
                </c:pt>
                <c:pt idx="743">
                  <c:v>-1.651466793837115</c:v>
                </c:pt>
                <c:pt idx="744">
                  <c:v>-1.6534229217503871</c:v>
                </c:pt>
                <c:pt idx="745">
                  <c:v>-1.6062399594748171</c:v>
                </c:pt>
                <c:pt idx="746">
                  <c:v>-1.5840408364028995</c:v>
                </c:pt>
                <c:pt idx="747">
                  <c:v>-1.5715075637724676</c:v>
                </c:pt>
                <c:pt idx="748">
                  <c:v>-1.6049094784575131</c:v>
                </c:pt>
                <c:pt idx="749">
                  <c:v>-1.579551953969103</c:v>
                </c:pt>
                <c:pt idx="750">
                  <c:v>-1.5774805364177009</c:v>
                </c:pt>
                <c:pt idx="751">
                  <c:v>-1.5848024237061662</c:v>
                </c:pt>
                <c:pt idx="752">
                  <c:v>-1.6258606757661627</c:v>
                </c:pt>
                <c:pt idx="753">
                  <c:v>-1.6609701601116804</c:v>
                </c:pt>
                <c:pt idx="754">
                  <c:v>-1.6541890816720191</c:v>
                </c:pt>
                <c:pt idx="755">
                  <c:v>-1.6531347470480757</c:v>
                </c:pt>
                <c:pt idx="756">
                  <c:v>-1.6428563610629023</c:v>
                </c:pt>
                <c:pt idx="757">
                  <c:v>-1.6439098458610053</c:v>
                </c:pt>
                <c:pt idx="758">
                  <c:v>-1.6612619149664785</c:v>
                </c:pt>
                <c:pt idx="759">
                  <c:v>-1.6550161803559209</c:v>
                </c:pt>
                <c:pt idx="760">
                  <c:v>-1.6829585775423703</c:v>
                </c:pt>
                <c:pt idx="761">
                  <c:v>-1.6702897867935953</c:v>
                </c:pt>
                <c:pt idx="762">
                  <c:v>-1.6545377469934397</c:v>
                </c:pt>
                <c:pt idx="763">
                  <c:v>-1.620219809822762</c:v>
                </c:pt>
                <c:pt idx="764">
                  <c:v>-1.6142945865310612</c:v>
                </c:pt>
                <c:pt idx="765">
                  <c:v>-1.601906646358022</c:v>
                </c:pt>
                <c:pt idx="766">
                  <c:v>-1.5148006407969925</c:v>
                </c:pt>
                <c:pt idx="767">
                  <c:v>-1.4294102483977982</c:v>
                </c:pt>
                <c:pt idx="768">
                  <c:v>-1.3765837979002606</c:v>
                </c:pt>
                <c:pt idx="769">
                  <c:v>-1.4037084936247775</c:v>
                </c:pt>
                <c:pt idx="770">
                  <c:v>-1.4034393300855326</c:v>
                </c:pt>
                <c:pt idx="771">
                  <c:v>-1.3874902775585884</c:v>
                </c:pt>
                <c:pt idx="772">
                  <c:v>-1.3771401369781326</c:v>
                </c:pt>
                <c:pt idx="773">
                  <c:v>-1.4161189073584595</c:v>
                </c:pt>
                <c:pt idx="774">
                  <c:v>-1.4231749969030021</c:v>
                </c:pt>
                <c:pt idx="775">
                  <c:v>-1.4328162661710373</c:v>
                </c:pt>
                <c:pt idx="776">
                  <c:v>-1.3609251341164539</c:v>
                </c:pt>
                <c:pt idx="777">
                  <c:v>-1.3503309591525208</c:v>
                </c:pt>
                <c:pt idx="778">
                  <c:v>-1.3289489182483445</c:v>
                </c:pt>
                <c:pt idx="779">
                  <c:v>-1.369608741500306</c:v>
                </c:pt>
                <c:pt idx="780">
                  <c:v>-1.3736418063660485</c:v>
                </c:pt>
                <c:pt idx="781">
                  <c:v>-1.3824922619487443</c:v>
                </c:pt>
                <c:pt idx="782">
                  <c:v>-1.3636705000642122</c:v>
                </c:pt>
                <c:pt idx="783">
                  <c:v>-1.3564101950731489</c:v>
                </c:pt>
                <c:pt idx="784">
                  <c:v>-1.3437123843008345</c:v>
                </c:pt>
                <c:pt idx="785">
                  <c:v>-1.3296085995816176</c:v>
                </c:pt>
                <c:pt idx="786">
                  <c:v>-1.3287833805350904</c:v>
                </c:pt>
                <c:pt idx="787">
                  <c:v>-1.3357044441079093</c:v>
                </c:pt>
                <c:pt idx="788">
                  <c:v>-1.3718969300485782</c:v>
                </c:pt>
                <c:pt idx="789">
                  <c:v>-1.3975577980037592</c:v>
                </c:pt>
                <c:pt idx="790">
                  <c:v>-1.4338331521006709</c:v>
                </c:pt>
                <c:pt idx="791">
                  <c:v>-1.430276425659595</c:v>
                </c:pt>
                <c:pt idx="792">
                  <c:v>-1.4246114352584314</c:v>
                </c:pt>
                <c:pt idx="793">
                  <c:v>-1.4011379344779453</c:v>
                </c:pt>
                <c:pt idx="794">
                  <c:v>-1.4095747367140141</c:v>
                </c:pt>
                <c:pt idx="795">
                  <c:v>-1.4073246751237651</c:v>
                </c:pt>
                <c:pt idx="796">
                  <c:v>-1.3805803898586613</c:v>
                </c:pt>
                <c:pt idx="797">
                  <c:v>-1.3606009628629809</c:v>
                </c:pt>
                <c:pt idx="798">
                  <c:v>-1.3669017809429989</c:v>
                </c:pt>
                <c:pt idx="799">
                  <c:v>-1.3920525794203817</c:v>
                </c:pt>
                <c:pt idx="800">
                  <c:v>-1.3756743350212062</c:v>
                </c:pt>
                <c:pt idx="801">
                  <c:v>-1.3415604032128561</c:v>
                </c:pt>
                <c:pt idx="802">
                  <c:v>-1.3036736107053606</c:v>
                </c:pt>
                <c:pt idx="803">
                  <c:v>-1.2874705574505265</c:v>
                </c:pt>
                <c:pt idx="804">
                  <c:v>-1.2647010581759088</c:v>
                </c:pt>
                <c:pt idx="805">
                  <c:v>-1.2189068875721978</c:v>
                </c:pt>
                <c:pt idx="806">
                  <c:v>-1.1859118627610565</c:v>
                </c:pt>
                <c:pt idx="807">
                  <c:v>-1.1440423251240406</c:v>
                </c:pt>
                <c:pt idx="808">
                  <c:v>-1.1384062276910469</c:v>
                </c:pt>
                <c:pt idx="809">
                  <c:v>-1.2235838637887462</c:v>
                </c:pt>
                <c:pt idx="810">
                  <c:v>-1.2995183778192219</c:v>
                </c:pt>
                <c:pt idx="811">
                  <c:v>-1.3573882904820795</c:v>
                </c:pt>
                <c:pt idx="812">
                  <c:v>-1.2937905171726427</c:v>
                </c:pt>
                <c:pt idx="813">
                  <c:v>-1.2541742663320574</c:v>
                </c:pt>
                <c:pt idx="814">
                  <c:v>-1.2232845654947715</c:v>
                </c:pt>
                <c:pt idx="815">
                  <c:v>-1.2124611688434423</c:v>
                </c:pt>
                <c:pt idx="816">
                  <c:v>-1.1989902596960242</c:v>
                </c:pt>
                <c:pt idx="817">
                  <c:v>-1.162262459120595</c:v>
                </c:pt>
                <c:pt idx="818">
                  <c:v>-1.1892603664636641</c:v>
                </c:pt>
                <c:pt idx="819">
                  <c:v>-1.263763295787985</c:v>
                </c:pt>
                <c:pt idx="820">
                  <c:v>-1.3639299199293384</c:v>
                </c:pt>
                <c:pt idx="821">
                  <c:v>-1.4296532582270869</c:v>
                </c:pt>
                <c:pt idx="822">
                  <c:v>-1.4102639110225905</c:v>
                </c:pt>
                <c:pt idx="823">
                  <c:v>-1.3353605750205604</c:v>
                </c:pt>
                <c:pt idx="824">
                  <c:v>-1.2166256772189901</c:v>
                </c:pt>
                <c:pt idx="825">
                  <c:v>-1.1895449653319998</c:v>
                </c:pt>
                <c:pt idx="826">
                  <c:v>-1.2358426958079873</c:v>
                </c:pt>
                <c:pt idx="827">
                  <c:v>-1.245113923635113</c:v>
                </c:pt>
                <c:pt idx="828">
                  <c:v>-1.194294984170347</c:v>
                </c:pt>
                <c:pt idx="829">
                  <c:v>-1.1045290318730396</c:v>
                </c:pt>
                <c:pt idx="830">
                  <c:v>-1.0641144937370177</c:v>
                </c:pt>
                <c:pt idx="831">
                  <c:v>-1.0251275001316069</c:v>
                </c:pt>
                <c:pt idx="832">
                  <c:v>-0.98746544308217865</c:v>
                </c:pt>
                <c:pt idx="833">
                  <c:v>-0.95103637397364038</c:v>
                </c:pt>
                <c:pt idx="834">
                  <c:v>-0.91575757652992007</c:v>
                </c:pt>
                <c:pt idx="835">
                  <c:v>-0.92647727056292839</c:v>
                </c:pt>
                <c:pt idx="836">
                  <c:v>-1.0091259393719534</c:v>
                </c:pt>
                <c:pt idx="837">
                  <c:v>-1.3139580268550697</c:v>
                </c:pt>
                <c:pt idx="838">
                  <c:v>-1.5242155400934028</c:v>
                </c:pt>
                <c:pt idx="839">
                  <c:v>-1.7314039741899567</c:v>
                </c:pt>
                <c:pt idx="840">
                  <c:v>-1.7166444185382745</c:v>
                </c:pt>
                <c:pt idx="841">
                  <c:v>-1.6860946609056617</c:v>
                </c:pt>
                <c:pt idx="842">
                  <c:v>-1.5023658748401456</c:v>
                </c:pt>
                <c:pt idx="843">
                  <c:v>-1.3519882805768306</c:v>
                </c:pt>
                <c:pt idx="844">
                  <c:v>-1.2405649443760842</c:v>
                </c:pt>
                <c:pt idx="845">
                  <c:v>-1.2368750622246416</c:v>
                </c:pt>
                <c:pt idx="846">
                  <c:v>-1.1813787327619341</c:v>
                </c:pt>
                <c:pt idx="847">
                  <c:v>-1.1992802411587022</c:v>
                </c:pt>
                <c:pt idx="848">
                  <c:v>-1.2138723323114078</c:v>
                </c:pt>
                <c:pt idx="849">
                  <c:v>-1.2844056108892017</c:v>
                </c:pt>
                <c:pt idx="850">
                  <c:v>-1.3042503064513531</c:v>
                </c:pt>
                <c:pt idx="851">
                  <c:v>-1.3203104602551108</c:v>
                </c:pt>
                <c:pt idx="852">
                  <c:v>-1.3402235193433256</c:v>
                </c:pt>
                <c:pt idx="853">
                  <c:v>-1.3214919841835362</c:v>
                </c:pt>
                <c:pt idx="854">
                  <c:v>-1.3020880841036013</c:v>
                </c:pt>
                <c:pt idx="855">
                  <c:v>-1.2593079414720518</c:v>
                </c:pt>
                <c:pt idx="856">
                  <c:v>-1.280438791538242</c:v>
                </c:pt>
                <c:pt idx="857">
                  <c:v>-1.3079324998036184</c:v>
                </c:pt>
                <c:pt idx="858">
                  <c:v>-1.3324378983719598</c:v>
                </c:pt>
                <c:pt idx="859">
                  <c:v>-1.3619683159666913</c:v>
                </c:pt>
                <c:pt idx="860">
                  <c:v>-1.4182725139470236</c:v>
                </c:pt>
                <c:pt idx="861">
                  <c:v>-1.4404782791010291</c:v>
                </c:pt>
                <c:pt idx="862">
                  <c:v>-1.4023665091024935</c:v>
                </c:pt>
                <c:pt idx="863">
                  <c:v>-1.3408423420094693</c:v>
                </c:pt>
                <c:pt idx="864">
                  <c:v>-1.3788771533699649</c:v>
                </c:pt>
                <c:pt idx="865">
                  <c:v>-1.4997649197059848</c:v>
                </c:pt>
                <c:pt idx="866">
                  <c:v>-1.5863273434543574</c:v>
                </c:pt>
                <c:pt idx="867">
                  <c:v>-1.5912834379659735</c:v>
                </c:pt>
                <c:pt idx="868">
                  <c:v>-1.6234437023779658</c:v>
                </c:pt>
                <c:pt idx="869">
                  <c:v>-1.6631291632820375</c:v>
                </c:pt>
                <c:pt idx="870">
                  <c:v>-1.7008705335744791</c:v>
                </c:pt>
                <c:pt idx="871">
                  <c:v>-1.6578921529544035</c:v>
                </c:pt>
                <c:pt idx="872">
                  <c:v>-1.6111244745300206</c:v>
                </c:pt>
                <c:pt idx="873">
                  <c:v>-1.5599823692788852</c:v>
                </c:pt>
                <c:pt idx="874">
                  <c:v>-1.4962833340667865</c:v>
                </c:pt>
                <c:pt idx="875">
                  <c:v>-1.4909836954771578</c:v>
                </c:pt>
                <c:pt idx="876">
                  <c:v>-1.4461255692405572</c:v>
                </c:pt>
                <c:pt idx="877">
                  <c:v>-1.4383753782071906</c:v>
                </c:pt>
                <c:pt idx="878">
                  <c:v>-1.3916586400630153</c:v>
                </c:pt>
                <c:pt idx="879">
                  <c:v>-1.4157042482827809</c:v>
                </c:pt>
                <c:pt idx="880">
                  <c:v>-1.4184751687316384</c:v>
                </c:pt>
                <c:pt idx="881">
                  <c:v>-1.4230939410082384</c:v>
                </c:pt>
                <c:pt idx="882">
                  <c:v>-1.4308144728406635</c:v>
                </c:pt>
                <c:pt idx="883">
                  <c:v>-1.4301902848478543</c:v>
                </c:pt>
                <c:pt idx="884">
                  <c:v>-1.4070145199854505</c:v>
                </c:pt>
                <c:pt idx="885">
                  <c:v>-1.3678328484632811</c:v>
                </c:pt>
                <c:pt idx="886">
                  <c:v>-1.3489380596189779</c:v>
                </c:pt>
                <c:pt idx="887">
                  <c:v>-1.350582494769718</c:v>
                </c:pt>
                <c:pt idx="888">
                  <c:v>-1.3502406341199222</c:v>
                </c:pt>
                <c:pt idx="889">
                  <c:v>-1.3503758633247909</c:v>
                </c:pt>
                <c:pt idx="890">
                  <c:v>-1.3813395309296732</c:v>
                </c:pt>
                <c:pt idx="891">
                  <c:v>-1.4747360012696538</c:v>
                </c:pt>
                <c:pt idx="892">
                  <c:v>-1.5328762452655018</c:v>
                </c:pt>
                <c:pt idx="893">
                  <c:v>-1.5222652035492397</c:v>
                </c:pt>
                <c:pt idx="894">
                  <c:v>-1.4151742582312634</c:v>
                </c:pt>
                <c:pt idx="895">
                  <c:v>-1.3057790102295765</c:v>
                </c:pt>
                <c:pt idx="896">
                  <c:v>-1.2546366735170162</c:v>
                </c:pt>
                <c:pt idx="897">
                  <c:v>-1.2179152497829955</c:v>
                </c:pt>
                <c:pt idx="898">
                  <c:v>-1.229348029801552</c:v>
                </c:pt>
                <c:pt idx="899">
                  <c:v>-1.2202284240824464</c:v>
                </c:pt>
                <c:pt idx="900">
                  <c:v>-1.2422872766551167</c:v>
                </c:pt>
                <c:pt idx="901">
                  <c:v>-1.1911331819472222</c:v>
                </c:pt>
                <c:pt idx="902">
                  <c:v>-1.1469425846222692</c:v>
                </c:pt>
                <c:pt idx="903">
                  <c:v>-1.1149405163231936</c:v>
                </c:pt>
                <c:pt idx="904">
                  <c:v>-1.1511066616039656</c:v>
                </c:pt>
                <c:pt idx="905">
                  <c:v>-1.1172703861220634</c:v>
                </c:pt>
                <c:pt idx="906">
                  <c:v>-1.0364552728505598</c:v>
                </c:pt>
                <c:pt idx="907">
                  <c:v>-1.0199316714236775</c:v>
                </c:pt>
                <c:pt idx="908">
                  <c:v>-1.041384668199302</c:v>
                </c:pt>
                <c:pt idx="909">
                  <c:v>-0.77420522430894445</c:v>
                </c:pt>
                <c:pt idx="910">
                  <c:v>-0.62562065393643451</c:v>
                </c:pt>
                <c:pt idx="911">
                  <c:v>-0.67780513999707892</c:v>
                </c:pt>
                <c:pt idx="912">
                  <c:v>-0.98553487660467842</c:v>
                </c:pt>
                <c:pt idx="913">
                  <c:v>-1.0811528674935045</c:v>
                </c:pt>
                <c:pt idx="914">
                  <c:v>-0.97005450292801554</c:v>
                </c:pt>
                <c:pt idx="915">
                  <c:v>-0.87041237014725292</c:v>
                </c:pt>
                <c:pt idx="916">
                  <c:v>-0.93029692076691495</c:v>
                </c:pt>
                <c:pt idx="917">
                  <c:v>-0.96091700854090245</c:v>
                </c:pt>
                <c:pt idx="918">
                  <c:v>-0.97154631932509083</c:v>
                </c:pt>
                <c:pt idx="919">
                  <c:v>-0.88420058291701242</c:v>
                </c:pt>
                <c:pt idx="920">
                  <c:v>-0.62428004547406057</c:v>
                </c:pt>
                <c:pt idx="921">
                  <c:v>-0.45011015990843828</c:v>
                </c:pt>
                <c:pt idx="922">
                  <c:v>-0.1867232441387979</c:v>
                </c:pt>
                <c:pt idx="923">
                  <c:v>-0.35881597660650538</c:v>
                </c:pt>
                <c:pt idx="924">
                  <c:v>-0.5137038469798586</c:v>
                </c:pt>
                <c:pt idx="925">
                  <c:v>-0.75418502110113383</c:v>
                </c:pt>
                <c:pt idx="926">
                  <c:v>-0.82882961557036083</c:v>
                </c:pt>
                <c:pt idx="927">
                  <c:v>-0.9335126828327075</c:v>
                </c:pt>
                <c:pt idx="928">
                  <c:v>-1.0416553398115025</c:v>
                </c:pt>
                <c:pt idx="929">
                  <c:v>-1.1200515263170312</c:v>
                </c:pt>
                <c:pt idx="930">
                  <c:v>-1.1775772662413866</c:v>
                </c:pt>
                <c:pt idx="931">
                  <c:v>-1.1431206234006499</c:v>
                </c:pt>
                <c:pt idx="932">
                  <c:v>-1.2299644885698806</c:v>
                </c:pt>
                <c:pt idx="933">
                  <c:v>-1.1115521240984361</c:v>
                </c:pt>
                <c:pt idx="934">
                  <c:v>-0.88447807014018609</c:v>
                </c:pt>
                <c:pt idx="935">
                  <c:v>-0.53353561307969122</c:v>
                </c:pt>
                <c:pt idx="936">
                  <c:v>-0.41965188080895155</c:v>
                </c:pt>
                <c:pt idx="937">
                  <c:v>-0.5327514797946129</c:v>
                </c:pt>
                <c:pt idx="938">
                  <c:v>-0.57432971559979273</c:v>
                </c:pt>
                <c:pt idx="939">
                  <c:v>-0.72060809812264826</c:v>
                </c:pt>
                <c:pt idx="940">
                  <c:v>-0.92141130971025031</c:v>
                </c:pt>
                <c:pt idx="941">
                  <c:v>-0.86393926418257905</c:v>
                </c:pt>
                <c:pt idx="942">
                  <c:v>-0.54095139782587076</c:v>
                </c:pt>
                <c:pt idx="943">
                  <c:v>-0.26110009759047653</c:v>
                </c:pt>
                <c:pt idx="944">
                  <c:v>-0.36358083841404448</c:v>
                </c:pt>
                <c:pt idx="945">
                  <c:v>-0.50221556078512808</c:v>
                </c:pt>
                <c:pt idx="946">
                  <c:v>-0.5976953974027821</c:v>
                </c:pt>
                <c:pt idx="947">
                  <c:v>-0.74082859407676771</c:v>
                </c:pt>
                <c:pt idx="948">
                  <c:v>-0.7615193701494819</c:v>
                </c:pt>
                <c:pt idx="949">
                  <c:v>-0.62954288578298512</c:v>
                </c:pt>
                <c:pt idx="950">
                  <c:v>-0.40177021739335211</c:v>
                </c:pt>
                <c:pt idx="951">
                  <c:v>-0.35680664309244498</c:v>
                </c:pt>
                <c:pt idx="952">
                  <c:v>-0.50920582266104386</c:v>
                </c:pt>
                <c:pt idx="953">
                  <c:v>-0.54211798149842227</c:v>
                </c:pt>
                <c:pt idx="954">
                  <c:v>-0.46336689960040073</c:v>
                </c:pt>
                <c:pt idx="955">
                  <c:v>-0.20307460015088208</c:v>
                </c:pt>
                <c:pt idx="956">
                  <c:v>-0.20219833213552837</c:v>
                </c:pt>
                <c:pt idx="957">
                  <c:v>-0.4313540716696232</c:v>
                </c:pt>
                <c:pt idx="958">
                  <c:v>-0.7032306757895791</c:v>
                </c:pt>
                <c:pt idx="959">
                  <c:v>-0.83315663212130031</c:v>
                </c:pt>
                <c:pt idx="960">
                  <c:v>-0.89966491511762425</c:v>
                </c:pt>
                <c:pt idx="961">
                  <c:v>-0.94439832266098411</c:v>
                </c:pt>
                <c:pt idx="962">
                  <c:v>-1.0129720232700199</c:v>
                </c:pt>
                <c:pt idx="963">
                  <c:v>-1.0416809048005782</c:v>
                </c:pt>
                <c:pt idx="964">
                  <c:v>-1.0777376945714019</c:v>
                </c:pt>
                <c:pt idx="965">
                  <c:v>-1.0953059082149792</c:v>
                </c:pt>
                <c:pt idx="966">
                  <c:v>-1.0577089783981422</c:v>
                </c:pt>
                <c:pt idx="967">
                  <c:v>-0.85991249192231389</c:v>
                </c:pt>
                <c:pt idx="968">
                  <c:v>-0.64648828163453032</c:v>
                </c:pt>
                <c:pt idx="969">
                  <c:v>-0.49375365505055452</c:v>
                </c:pt>
                <c:pt idx="970">
                  <c:v>-0.48966583404811415</c:v>
                </c:pt>
                <c:pt idx="971">
                  <c:v>-0.48553292048607849</c:v>
                </c:pt>
                <c:pt idx="972">
                  <c:v>-0.4813541280119637</c:v>
                </c:pt>
                <c:pt idx="973">
                  <c:v>-0.47712865164743173</c:v>
                </c:pt>
                <c:pt idx="974">
                  <c:v>-0.47285566611718394</c:v>
                </c:pt>
                <c:pt idx="975">
                  <c:v>-0.5857525769421591</c:v>
                </c:pt>
                <c:pt idx="976">
                  <c:v>-0.67145173719621687</c:v>
                </c:pt>
                <c:pt idx="977">
                  <c:v>-0.70807108841724153</c:v>
                </c:pt>
                <c:pt idx="978">
                  <c:v>-0.64891927591894671</c:v>
                </c:pt>
                <c:pt idx="979">
                  <c:v>-0.48920401022431131</c:v>
                </c:pt>
                <c:pt idx="980">
                  <c:v>-0.31922025602788479</c:v>
                </c:pt>
                <c:pt idx="981">
                  <c:v>-0.23484029712262644</c:v>
                </c:pt>
                <c:pt idx="982">
                  <c:v>-0.37859853198039045</c:v>
                </c:pt>
                <c:pt idx="983">
                  <c:v>-0.5916587186417599</c:v>
                </c:pt>
                <c:pt idx="984">
                  <c:v>-0.71342713526558599</c:v>
                </c:pt>
                <c:pt idx="985">
                  <c:v>-0.75650374899504758</c:v>
                </c:pt>
                <c:pt idx="986">
                  <c:v>-0.76774947029137885</c:v>
                </c:pt>
                <c:pt idx="987">
                  <c:v>-0.78736753214111266</c:v>
                </c:pt>
                <c:pt idx="988">
                  <c:v>-0.76587248219955362</c:v>
                </c:pt>
                <c:pt idx="989">
                  <c:v>-0.81277219796587608</c:v>
                </c:pt>
                <c:pt idx="990">
                  <c:v>-0.84442474754324748</c:v>
                </c:pt>
                <c:pt idx="991">
                  <c:v>-0.80517813344822475</c:v>
                </c:pt>
                <c:pt idx="992">
                  <c:v>-0.61161819689586938</c:v>
                </c:pt>
                <c:pt idx="993">
                  <c:v>-0.45811092325084229</c:v>
                </c:pt>
                <c:pt idx="994">
                  <c:v>-0.74280455149595281</c:v>
                </c:pt>
                <c:pt idx="995">
                  <c:v>-1.0183902671097309</c:v>
                </c:pt>
                <c:pt idx="996">
                  <c:v>-1.150024177380339</c:v>
                </c:pt>
                <c:pt idx="997">
                  <c:v>-0.96867593455741263</c:v>
                </c:pt>
                <c:pt idx="998">
                  <c:v>-0.8821502784007893</c:v>
                </c:pt>
                <c:pt idx="999">
                  <c:v>-0.88140958223807953</c:v>
                </c:pt>
                <c:pt idx="1000">
                  <c:v>-0.91882054742862318</c:v>
                </c:pt>
                <c:pt idx="1001">
                  <c:v>-1.1173583348012499</c:v>
                </c:pt>
                <c:pt idx="1002">
                  <c:v>-1.204088545589008</c:v>
                </c:pt>
                <c:pt idx="1003">
                  <c:v>-1.1879672269528612</c:v>
                </c:pt>
                <c:pt idx="1004">
                  <c:v>-1.0054853233259169</c:v>
                </c:pt>
                <c:pt idx="1005">
                  <c:v>-0.96140212828889327</c:v>
                </c:pt>
                <c:pt idx="1006">
                  <c:v>-0.96021519967716307</c:v>
                </c:pt>
                <c:pt idx="1007">
                  <c:v>-0.9786453003779485</c:v>
                </c:pt>
                <c:pt idx="1008">
                  <c:v>-0.95913330457060575</c:v>
                </c:pt>
                <c:pt idx="1009">
                  <c:v>-0.9361033376415927</c:v>
                </c:pt>
                <c:pt idx="1010">
                  <c:v>-0.94331737610577893</c:v>
                </c:pt>
                <c:pt idx="1011">
                  <c:v>-0.91553582905150999</c:v>
                </c:pt>
                <c:pt idx="1012">
                  <c:v>-0.92519545422138483</c:v>
                </c:pt>
                <c:pt idx="1013">
                  <c:v>-0.87005765900061682</c:v>
                </c:pt>
                <c:pt idx="1014">
                  <c:v>-0.94454220524422683</c:v>
                </c:pt>
                <c:pt idx="1015">
                  <c:v>-0.93562400568246507</c:v>
                </c:pt>
                <c:pt idx="1016">
                  <c:v>-0.98328020325369625</c:v>
                </c:pt>
                <c:pt idx="1017">
                  <c:v>-0.92476751864418094</c:v>
                </c:pt>
                <c:pt idx="1018">
                  <c:v>-0.9168061877930942</c:v>
                </c:pt>
                <c:pt idx="1019">
                  <c:v>-0.93622223213894173</c:v>
                </c:pt>
                <c:pt idx="1020">
                  <c:v>-0.97486855451017052</c:v>
                </c:pt>
                <c:pt idx="1021">
                  <c:v>-0.98347488282087048</c:v>
                </c:pt>
                <c:pt idx="1022">
                  <c:v>-0.96401486396787017</c:v>
                </c:pt>
                <c:pt idx="1023">
                  <c:v>-0.9348309022288287</c:v>
                </c:pt>
                <c:pt idx="1024">
                  <c:v>-0.94248338079109206</c:v>
                </c:pt>
                <c:pt idx="1025">
                  <c:v>-0.89387082507426985</c:v>
                </c:pt>
                <c:pt idx="1026">
                  <c:v>-0.87091509569757808</c:v>
                </c:pt>
                <c:pt idx="1027">
                  <c:v>-0.8283855395086559</c:v>
                </c:pt>
                <c:pt idx="1028">
                  <c:v>-0.84276891859509229</c:v>
                </c:pt>
                <c:pt idx="1029">
                  <c:v>-0.81945953029926122</c:v>
                </c:pt>
                <c:pt idx="1030">
                  <c:v>-0.83115596074257159</c:v>
                </c:pt>
                <c:pt idx="1031">
                  <c:v>-0.81444710097391881</c:v>
                </c:pt>
                <c:pt idx="1032">
                  <c:v>-0.80704258245463356</c:v>
                </c:pt>
                <c:pt idx="1033">
                  <c:v>-0.73546287752364325</c:v>
                </c:pt>
                <c:pt idx="1034">
                  <c:v>-0.73220431635821059</c:v>
                </c:pt>
                <c:pt idx="1035">
                  <c:v>-0.77367348054494867</c:v>
                </c:pt>
                <c:pt idx="1036">
                  <c:v>-0.86193524775332653</c:v>
                </c:pt>
                <c:pt idx="1037">
                  <c:v>-0.89634963038357596</c:v>
                </c:pt>
                <c:pt idx="1038">
                  <c:v>-0.95276932966853656</c:v>
                </c:pt>
                <c:pt idx="1039">
                  <c:v>-0.96132842647611783</c:v>
                </c:pt>
                <c:pt idx="1040">
                  <c:v>-0.98482664674973641</c:v>
                </c:pt>
                <c:pt idx="1041">
                  <c:v>-1.0212354338102694</c:v>
                </c:pt>
                <c:pt idx="1042">
                  <c:v>-1.037719634954372</c:v>
                </c:pt>
                <c:pt idx="1043">
                  <c:v>-0.99043928356161082</c:v>
                </c:pt>
                <c:pt idx="1044">
                  <c:v>-0.95058572555035992</c:v>
                </c:pt>
                <c:pt idx="1045">
                  <c:v>-0.95765667104561203</c:v>
                </c:pt>
                <c:pt idx="1046">
                  <c:v>-1.2083513312564442</c:v>
                </c:pt>
                <c:pt idx="1047">
                  <c:v>-1.0119640835347425</c:v>
                </c:pt>
                <c:pt idx="1048">
                  <c:v>-0.65127085518205885</c:v>
                </c:pt>
                <c:pt idx="1049">
                  <c:v>-8.6795742024535036E-2</c:v>
                </c:pt>
                <c:pt idx="1050">
                  <c:v>8.4003403704758797E-2</c:v>
                </c:pt>
                <c:pt idx="1051">
                  <c:v>-2.7239601716665209E-3</c:v>
                </c:pt>
                <c:pt idx="1052">
                  <c:v>-1.9573051941507793E-2</c:v>
                </c:pt>
                <c:pt idx="1053">
                  <c:v>-7.2238625010185034E-2</c:v>
                </c:pt>
                <c:pt idx="1054">
                  <c:v>-0.25025068237079207</c:v>
                </c:pt>
                <c:pt idx="1055">
                  <c:v>-0.47294449537700983</c:v>
                </c:pt>
                <c:pt idx="1056">
                  <c:v>-0.75271127958605477</c:v>
                </c:pt>
                <c:pt idx="1057">
                  <c:v>-0.85090167088271984</c:v>
                </c:pt>
                <c:pt idx="1058">
                  <c:v>-1.0335427848490859</c:v>
                </c:pt>
                <c:pt idx="1059">
                  <c:v>-1.0675248567645184</c:v>
                </c:pt>
                <c:pt idx="1060">
                  <c:v>-1.0869459244966453</c:v>
                </c:pt>
                <c:pt idx="1061">
                  <c:v>-1.0470574327743585</c:v>
                </c:pt>
                <c:pt idx="1062">
                  <c:v>-0.96636003191071707</c:v>
                </c:pt>
                <c:pt idx="1063">
                  <c:v>-0.93260474385085157</c:v>
                </c:pt>
                <c:pt idx="1064">
                  <c:v>-0.94002180594807605</c:v>
                </c:pt>
                <c:pt idx="1065">
                  <c:v>-1.0892586148464518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C-4ECE-B83F-D81D20F98147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9-105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95C-4ECE-B83F-D81D20F981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9-015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95C-4ECE-B83F-D81D20F981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8-145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95C-4ECE-B83F-D81D20F981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8-075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95C-4ECE-B83F-D81D20F981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8-020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95C-4ECE-B83F-D81D20F9814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7-025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95C-4ECE-B83F-D81D20F9814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6a-075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095C-4ECE-B83F-D81D20F9814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6a-010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095C-4ECE-B83F-D81D20F9814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6-125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095C-4ECE-B83F-D81D20F9814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6-090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095C-4ECE-B83F-D81D20F9814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6-020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95C-4ECE-B83F-D81D20F98147}"/>
                </c:ext>
              </c:extLst>
            </c:dLbl>
            <c:dLbl>
              <c:idx val="11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ln w="0">
                          <a:noFill/>
                        </a:ln>
                        <a:solidFill>
                          <a:schemeClr val="tx1"/>
                        </a:solidFill>
                        <a:effectLst>
                          <a:outerShdw blurRad="50800" dist="50800" dir="5400000" algn="ctr" rotWithShape="0">
                            <a:schemeClr val="bg1"/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1">
                        <a:ln w="0">
                          <a:noFill/>
                        </a:ln>
                        <a:solidFill>
                          <a:schemeClr val="tx1"/>
                        </a:solidFill>
                        <a:effectLst>
                          <a:outerShdw blurRad="50800" dist="50800" dir="5400000" algn="ctr" rotWithShape="0">
                            <a:schemeClr val="bg1"/>
                          </a:outerShdw>
                        </a:effectLst>
                      </a:rPr>
                      <a:t>4-060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effectLst>
                        <a:outerShdw blurRad="50800" dist="50800" dir="5400000" algn="ctr" rotWithShape="0">
                          <a:schemeClr val="bg1"/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D-095C-4ECE-B83F-D81D20F9814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4-005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095C-4ECE-B83F-D81D20F9814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3-031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095C-4ECE-B83F-D81D20F9814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2-025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095C-4ECE-B83F-D81D20F981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ln w="0">
                      <a:noFill/>
                    </a:ln>
                    <a:solidFill>
                      <a:schemeClr val="tx1"/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('[1]XRF selectie'!$Y$103,'[1]XRF selectie'!$Y$193,'[1]XRF selectie'!$Y$213,'[1]XRF selectie'!$Y$283,'[1]XRF selectie'!$Y$338,'[1]XRF selectie'!$Y$484,'[1]XRF selectie'!$Y$544,'[1]XRF selectie'!$Y$609,'[1]XRF selectie'!$Y$643,'[1]XRF selectie'!$Y$678,'[1]XRF selectie'!$Y$748,'[1]XRF selectie'!$Y$835,'[1]XRF selectie'!$Y$890,'[1]XRF selectie'!$Y$942,'[1]XRF selectie'!$Y$1023)</c:f>
              <c:numCache>
                <c:formatCode>General</c:formatCode>
                <c:ptCount val="15"/>
                <c:pt idx="0">
                  <c:v>10.2980526</c:v>
                </c:pt>
                <c:pt idx="1">
                  <c:v>11.768077699999999</c:v>
                </c:pt>
                <c:pt idx="2">
                  <c:v>12.1405049</c:v>
                </c:pt>
                <c:pt idx="3">
                  <c:v>12.6819275</c:v>
                </c:pt>
                <c:pt idx="4">
                  <c:v>12.904340100000001</c:v>
                </c:pt>
                <c:pt idx="5">
                  <c:v>13.4115</c:v>
                </c:pt>
                <c:pt idx="6">
                  <c:v>15.2977455</c:v>
                </c:pt>
                <c:pt idx="7">
                  <c:v>17.6303333</c:v>
                </c:pt>
                <c:pt idx="8">
                  <c:v>19.7899794</c:v>
                </c:pt>
                <c:pt idx="9">
                  <c:v>22.102144299999999</c:v>
                </c:pt>
                <c:pt idx="10">
                  <c:v>26.1424615</c:v>
                </c:pt>
                <c:pt idx="11">
                  <c:v>29.476255299999998</c:v>
                </c:pt>
                <c:pt idx="12">
                  <c:v>30.863619100000001</c:v>
                </c:pt>
                <c:pt idx="13">
                  <c:v>31.4960381</c:v>
                </c:pt>
                <c:pt idx="14">
                  <c:v>33.121000000000002</c:v>
                </c:pt>
              </c:numCache>
              <c:extLst xmlns:c15="http://schemas.microsoft.com/office/drawing/2012/chart"/>
            </c:numRef>
          </c:xVal>
          <c:yVal>
            <c:numRef>
              <c:f>('[1]XRF selectie'!$T$103,'[1]XRF selectie'!$T$193,'[1]XRF selectie'!$T$213,'[1]XRF selectie'!$T$283,'[1]XRF selectie'!$T$338,'[1]XRF selectie'!$T$484,'[1]XRF selectie'!$T$544,'[1]XRF selectie'!$T$609,'[1]XRF selectie'!$T$643,'[1]XRF selectie'!$T$678,'[1]XRF selectie'!$T$748,'[1]XRF selectie'!$T$835,'[1]XRF selectie'!$T$890,'[1]XRF selectie'!$T$942,'[1]XRF selectie'!$T$1023)</c:f>
              <c:numCache>
                <c:formatCode>General</c:formatCode>
                <c:ptCount val="15"/>
                <c:pt idx="0">
                  <c:v>1.247767791537624</c:v>
                </c:pt>
                <c:pt idx="1">
                  <c:v>0.69830519598119822</c:v>
                </c:pt>
                <c:pt idx="2">
                  <c:v>0.94352448319192384</c:v>
                </c:pt>
                <c:pt idx="3">
                  <c:v>-0.35183242952405053</c:v>
                </c:pt>
                <c:pt idx="4">
                  <c:v>-1.0315523158559567</c:v>
                </c:pt>
                <c:pt idx="5">
                  <c:v>-0.45993079634645256</c:v>
                </c:pt>
                <c:pt idx="6">
                  <c:v>-0.5083661431327311</c:v>
                </c:pt>
                <c:pt idx="7">
                  <c:v>-1.9598161592244112</c:v>
                </c:pt>
                <c:pt idx="8">
                  <c:v>-2.0509613187001334</c:v>
                </c:pt>
                <c:pt idx="9">
                  <c:v>-1.773715120338428</c:v>
                </c:pt>
                <c:pt idx="10">
                  <c:v>-1.5715075637724676</c:v>
                </c:pt>
                <c:pt idx="11">
                  <c:v>-0.91575757652992007</c:v>
                </c:pt>
                <c:pt idx="12">
                  <c:v>-1.3503758633247909</c:v>
                </c:pt>
                <c:pt idx="13">
                  <c:v>-0.86393926418257905</c:v>
                </c:pt>
                <c:pt idx="14">
                  <c:v>-0.96401486396787017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095C-4ECE-B83F-D81D20F98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'[1]XRF samples'!$Y$2:$Y$16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10.2980526</c:v>
                      </c:pt>
                      <c:pt idx="1">
                        <c:v>11.768077699999999</c:v>
                      </c:pt>
                      <c:pt idx="2">
                        <c:v>12.1405049</c:v>
                      </c:pt>
                      <c:pt idx="3">
                        <c:v>12.6819275</c:v>
                      </c:pt>
                      <c:pt idx="4">
                        <c:v>12.904340100000001</c:v>
                      </c:pt>
                      <c:pt idx="5">
                        <c:v>13.4115</c:v>
                      </c:pt>
                      <c:pt idx="6">
                        <c:v>15.2977455</c:v>
                      </c:pt>
                      <c:pt idx="7">
                        <c:v>17.6303333</c:v>
                      </c:pt>
                      <c:pt idx="8">
                        <c:v>19.7899794</c:v>
                      </c:pt>
                      <c:pt idx="9">
                        <c:v>22.102144299999999</c:v>
                      </c:pt>
                      <c:pt idx="10">
                        <c:v>26.1424615</c:v>
                      </c:pt>
                      <c:pt idx="11">
                        <c:v>29.476255299999998</c:v>
                      </c:pt>
                      <c:pt idx="12">
                        <c:v>30.863619100000001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'[1]XRF samples'!$T$1:$T$16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0.94408901712885041</c:v>
                      </c:pt>
                      <c:pt idx="2">
                        <c:v>0.9375661704192314</c:v>
                      </c:pt>
                      <c:pt idx="3">
                        <c:v>0.41573791833812135</c:v>
                      </c:pt>
                      <c:pt idx="4">
                        <c:v>-0.14181589770270375</c:v>
                      </c:pt>
                      <c:pt idx="5">
                        <c:v>-0.61870546704901697</c:v>
                      </c:pt>
                      <c:pt idx="6">
                        <c:v>-0.63691565655264959</c:v>
                      </c:pt>
                      <c:pt idx="7">
                        <c:v>-0.94204294297966096</c:v>
                      </c:pt>
                      <c:pt idx="8">
                        <c:v>-1.4516293214330522</c:v>
                      </c:pt>
                      <c:pt idx="9">
                        <c:v>-1.9317111061209387</c:v>
                      </c:pt>
                      <c:pt idx="10">
                        <c:v>-1.8135296565834829</c:v>
                      </c:pt>
                      <c:pt idx="11">
                        <c:v>-1.4403604749861554</c:v>
                      </c:pt>
                      <c:pt idx="12">
                        <c:v>-1.2843028038601634</c:v>
                      </c:pt>
                      <c:pt idx="13">
                        <c:v>-1.1897315615390827</c:v>
                      </c:pt>
                      <c:pt idx="14">
                        <c:v>-1.1961038536760809</c:v>
                      </c:pt>
                      <c:pt idx="15">
                        <c:v>-1.1202203155084132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95C-4ECE-B83F-D81D20F98147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Total!$C$2:$C$16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17.630333329999999</c:v>
                </c:pt>
                <c:pt idx="8">
                  <c:v>19.789979379999998</c:v>
                </c:pt>
                <c:pt idx="9">
                  <c:v>22.102144330000002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Total!$J$2:$J$16</c:f>
              <c:numCache>
                <c:formatCode>General</c:formatCode>
                <c:ptCount val="15"/>
                <c:pt idx="0">
                  <c:v>0.48</c:v>
                </c:pt>
                <c:pt idx="1">
                  <c:v>7.37</c:v>
                </c:pt>
                <c:pt idx="2">
                  <c:v>4.8600000000000003</c:v>
                </c:pt>
                <c:pt idx="3">
                  <c:v>9.4600000000000009</c:v>
                </c:pt>
                <c:pt idx="4">
                  <c:v>25.52</c:v>
                </c:pt>
                <c:pt idx="5">
                  <c:v>1.31</c:v>
                </c:pt>
                <c:pt idx="6">
                  <c:v>90.08</c:v>
                </c:pt>
                <c:pt idx="7">
                  <c:v>1.24</c:v>
                </c:pt>
                <c:pt idx="8">
                  <c:v>2.65</c:v>
                </c:pt>
                <c:pt idx="9">
                  <c:v>1.93</c:v>
                </c:pt>
                <c:pt idx="10">
                  <c:v>8.6</c:v>
                </c:pt>
                <c:pt idx="11">
                  <c:v>0.14000000000000001</c:v>
                </c:pt>
                <c:pt idx="12">
                  <c:v>0.19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95C-4ECE-B83F-D81D20F98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009176"/>
        <c:axId val="1228002696"/>
      </c:scatterChart>
      <c:valAx>
        <c:axId val="67084908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0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4"/>
      </c:valAx>
      <c:valAx>
        <c:axId val="732139696"/>
        <c:scaling>
          <c:orientation val="minMax"/>
        </c:scaling>
        <c:delete val="0"/>
        <c:axPos val="l"/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000" baseline="0"/>
                  <a:t>ln(Ti/Ca)</a:t>
                </a:r>
              </a:p>
            </c:rich>
          </c:tx>
          <c:layout>
            <c:manualLayout>
              <c:xMode val="edge"/>
              <c:yMode val="edge"/>
              <c:x val="1.4963286927506999E-2"/>
              <c:y val="0.3842724851295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valAx>
        <c:axId val="1228002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Pt/g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28009176"/>
        <c:crosses val="max"/>
        <c:crossBetween val="midCat"/>
      </c:valAx>
      <c:valAx>
        <c:axId val="122800917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2800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46667356946184E-2"/>
          <c:y val="5.5955933194425753E-2"/>
          <c:w val="0.88931938930801602"/>
          <c:h val="0.68085107430990355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'[1]isotopes rr'!$I$3:$I$109</c:f>
              <c:numCache>
                <c:formatCode>General</c:formatCode>
                <c:ptCount val="107"/>
                <c:pt idx="0">
                  <c:v>8.7989999999999995</c:v>
                </c:pt>
                <c:pt idx="1">
                  <c:v>9.1817368419999994</c:v>
                </c:pt>
                <c:pt idx="2">
                  <c:v>9.9312631580000001</c:v>
                </c:pt>
                <c:pt idx="3">
                  <c:v>10.840263160000001</c:v>
                </c:pt>
                <c:pt idx="4">
                  <c:v>11.23894737</c:v>
                </c:pt>
                <c:pt idx="5">
                  <c:v>11.398421050000001</c:v>
                </c:pt>
                <c:pt idx="6">
                  <c:v>11.842563109999999</c:v>
                </c:pt>
                <c:pt idx="7">
                  <c:v>12.50985492</c:v>
                </c:pt>
                <c:pt idx="8">
                  <c:v>12.59397927</c:v>
                </c:pt>
                <c:pt idx="9">
                  <c:v>12.643689119999999</c:v>
                </c:pt>
                <c:pt idx="10">
                  <c:v>12.681927460000001</c:v>
                </c:pt>
                <c:pt idx="11">
                  <c:v>12.73546114</c:v>
                </c:pt>
                <c:pt idx="12">
                  <c:v>12.81576166</c:v>
                </c:pt>
                <c:pt idx="13">
                  <c:v>12.853999999999999</c:v>
                </c:pt>
                <c:pt idx="14">
                  <c:v>12.90434014</c:v>
                </c:pt>
                <c:pt idx="15">
                  <c:v>12.954680270000001</c:v>
                </c:pt>
                <c:pt idx="16">
                  <c:v>13.035224490000001</c:v>
                </c:pt>
                <c:pt idx="17">
                  <c:v>13.08556463</c:v>
                </c:pt>
                <c:pt idx="18">
                  <c:v>13.14597279</c:v>
                </c:pt>
                <c:pt idx="19">
                  <c:v>13.1862449</c:v>
                </c:pt>
                <c:pt idx="20">
                  <c:v>13.21141497</c:v>
                </c:pt>
                <c:pt idx="21">
                  <c:v>13.234950000000001</c:v>
                </c:pt>
                <c:pt idx="22">
                  <c:v>13.25685</c:v>
                </c:pt>
                <c:pt idx="23">
                  <c:v>13.271450000000002</c:v>
                </c:pt>
                <c:pt idx="24">
                  <c:v>13.286049999999999</c:v>
                </c:pt>
                <c:pt idx="25">
                  <c:v>13.30149153</c:v>
                </c:pt>
                <c:pt idx="26">
                  <c:v>13.310474579999999</c:v>
                </c:pt>
                <c:pt idx="27">
                  <c:v>13.32844068</c:v>
                </c:pt>
                <c:pt idx="28">
                  <c:v>13.4115</c:v>
                </c:pt>
                <c:pt idx="29">
                  <c:v>13.5345</c:v>
                </c:pt>
                <c:pt idx="30">
                  <c:v>13.6165</c:v>
                </c:pt>
                <c:pt idx="31">
                  <c:v>13.7395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15.48892727</c:v>
                </c:pt>
                <c:pt idx="35">
                  <c:v>15.68010909</c:v>
                </c:pt>
                <c:pt idx="36">
                  <c:v>15.986000000000001</c:v>
                </c:pt>
                <c:pt idx="37">
                  <c:v>16.057200000000002</c:v>
                </c:pt>
                <c:pt idx="38">
                  <c:v>16.270799999999998</c:v>
                </c:pt>
                <c:pt idx="39">
                  <c:v>16.486222219999998</c:v>
                </c:pt>
                <c:pt idx="40">
                  <c:v>16.84677778</c:v>
                </c:pt>
                <c:pt idx="41">
                  <c:v>17.105166669999999</c:v>
                </c:pt>
                <c:pt idx="42">
                  <c:v>17.24216667</c:v>
                </c:pt>
                <c:pt idx="43">
                  <c:v>17.287833330000002</c:v>
                </c:pt>
                <c:pt idx="44">
                  <c:v>17.402000000000001</c:v>
                </c:pt>
                <c:pt idx="45">
                  <c:v>17.561833330000002</c:v>
                </c:pt>
                <c:pt idx="46">
                  <c:v>17.630333330000003</c:v>
                </c:pt>
                <c:pt idx="47">
                  <c:v>17.874185570000002</c:v>
                </c:pt>
                <c:pt idx="48">
                  <c:v>18.072371130000001</c:v>
                </c:pt>
                <c:pt idx="49">
                  <c:v>18.336618559999998</c:v>
                </c:pt>
                <c:pt idx="50">
                  <c:v>18.46874227</c:v>
                </c:pt>
                <c:pt idx="51">
                  <c:v>18.799051550000001</c:v>
                </c:pt>
                <c:pt idx="52">
                  <c:v>18.997237109999997</c:v>
                </c:pt>
                <c:pt idx="53">
                  <c:v>19.129360820000002</c:v>
                </c:pt>
                <c:pt idx="54">
                  <c:v>19.261484540000001</c:v>
                </c:pt>
                <c:pt idx="55">
                  <c:v>19.4596701</c:v>
                </c:pt>
                <c:pt idx="56">
                  <c:v>19.723917529999998</c:v>
                </c:pt>
                <c:pt idx="57">
                  <c:v>19.789979380000002</c:v>
                </c:pt>
                <c:pt idx="58">
                  <c:v>19.988164949999998</c:v>
                </c:pt>
                <c:pt idx="59">
                  <c:v>20.12028866</c:v>
                </c:pt>
                <c:pt idx="60">
                  <c:v>20.31847423</c:v>
                </c:pt>
                <c:pt idx="61">
                  <c:v>20.450597939999998</c:v>
                </c:pt>
                <c:pt idx="62">
                  <c:v>20.648783510000001</c:v>
                </c:pt>
                <c:pt idx="63">
                  <c:v>20.78090722</c:v>
                </c:pt>
                <c:pt idx="64">
                  <c:v>20.979092779999998</c:v>
                </c:pt>
                <c:pt idx="65">
                  <c:v>21.11121649</c:v>
                </c:pt>
                <c:pt idx="66">
                  <c:v>21.30940206</c:v>
                </c:pt>
                <c:pt idx="67">
                  <c:v>21.441525770000002</c:v>
                </c:pt>
                <c:pt idx="68">
                  <c:v>21.639711340000002</c:v>
                </c:pt>
                <c:pt idx="69">
                  <c:v>21.77183505</c:v>
                </c:pt>
                <c:pt idx="70">
                  <c:v>21.97002062</c:v>
                </c:pt>
                <c:pt idx="71">
                  <c:v>22.102144329999998</c:v>
                </c:pt>
                <c:pt idx="72">
                  <c:v>22.300329900000001</c:v>
                </c:pt>
                <c:pt idx="73">
                  <c:v>22.43245361</c:v>
                </c:pt>
                <c:pt idx="74">
                  <c:v>22.630639179999999</c:v>
                </c:pt>
                <c:pt idx="75">
                  <c:v>22.762762890000001</c:v>
                </c:pt>
                <c:pt idx="76">
                  <c:v>22.96094845</c:v>
                </c:pt>
                <c:pt idx="77">
                  <c:v>23.093072159999998</c:v>
                </c:pt>
                <c:pt idx="78">
                  <c:v>23.291257730000002</c:v>
                </c:pt>
                <c:pt idx="79">
                  <c:v>23.42338144</c:v>
                </c:pt>
                <c:pt idx="80">
                  <c:v>23.62156701</c:v>
                </c:pt>
                <c:pt idx="81">
                  <c:v>23.819752579999999</c:v>
                </c:pt>
                <c:pt idx="82">
                  <c:v>23.951876290000001</c:v>
                </c:pt>
                <c:pt idx="83">
                  <c:v>24.084</c:v>
                </c:pt>
                <c:pt idx="84">
                  <c:v>24.65007692</c:v>
                </c:pt>
                <c:pt idx="85">
                  <c:v>25.62784615</c:v>
                </c:pt>
                <c:pt idx="86">
                  <c:v>26.142461539999999</c:v>
                </c:pt>
                <c:pt idx="87">
                  <c:v>26.91438462</c:v>
                </c:pt>
                <c:pt idx="88">
                  <c:v>27.840692309999998</c:v>
                </c:pt>
                <c:pt idx="89">
                  <c:v>28.18238298</c:v>
                </c:pt>
                <c:pt idx="90">
                  <c:v>28.519914889999999</c:v>
                </c:pt>
                <c:pt idx="91">
                  <c:v>29.082468089999999</c:v>
                </c:pt>
                <c:pt idx="92">
                  <c:v>29.47625532</c:v>
                </c:pt>
                <c:pt idx="93">
                  <c:v>30.038808509999999</c:v>
                </c:pt>
                <c:pt idx="94">
                  <c:v>30.54510638</c:v>
                </c:pt>
                <c:pt idx="95">
                  <c:v>30.80280952</c:v>
                </c:pt>
                <c:pt idx="96">
                  <c:v>30.86361905</c:v>
                </c:pt>
                <c:pt idx="97">
                  <c:v>31.021723810000001</c:v>
                </c:pt>
                <c:pt idx="98">
                  <c:v>31.179828570000002</c:v>
                </c:pt>
                <c:pt idx="99">
                  <c:v>31.690628570000001</c:v>
                </c:pt>
                <c:pt idx="100">
                  <c:v>31.812247619999997</c:v>
                </c:pt>
                <c:pt idx="101">
                  <c:v>32.018999999999998</c:v>
                </c:pt>
                <c:pt idx="102">
                  <c:v>32.250999999999998</c:v>
                </c:pt>
                <c:pt idx="103">
                  <c:v>32.540999999999997</c:v>
                </c:pt>
                <c:pt idx="104">
                  <c:v>33.121000000000002</c:v>
                </c:pt>
                <c:pt idx="105">
                  <c:v>33.411000000000001</c:v>
                </c:pt>
                <c:pt idx="106">
                  <c:v>33.701000000000001</c:v>
                </c:pt>
              </c:numCache>
            </c:numRef>
          </c:xVal>
          <c:yVal>
            <c:numRef>
              <c:f>'[1]isotopes rr'!$L$3:$L$109</c:f>
              <c:numCache>
                <c:formatCode>General</c:formatCode>
                <c:ptCount val="107"/>
                <c:pt idx="1">
                  <c:v>-2.58</c:v>
                </c:pt>
                <c:pt idx="2">
                  <c:v>-2.93</c:v>
                </c:pt>
                <c:pt idx="3">
                  <c:v>-2.4300000000000002</c:v>
                </c:pt>
                <c:pt idx="4">
                  <c:v>-1.96</c:v>
                </c:pt>
                <c:pt idx="5">
                  <c:v>-2.0699999999999998</c:v>
                </c:pt>
                <c:pt idx="6">
                  <c:v>-1.83</c:v>
                </c:pt>
                <c:pt idx="7">
                  <c:v>-2.04</c:v>
                </c:pt>
                <c:pt idx="8">
                  <c:v>-1.97</c:v>
                </c:pt>
                <c:pt idx="9">
                  <c:v>-1.81</c:v>
                </c:pt>
                <c:pt idx="10">
                  <c:v>-1.67</c:v>
                </c:pt>
                <c:pt idx="11">
                  <c:v>-1.63</c:v>
                </c:pt>
                <c:pt idx="12">
                  <c:v>-1.5</c:v>
                </c:pt>
                <c:pt idx="13">
                  <c:v>-1.54</c:v>
                </c:pt>
                <c:pt idx="14">
                  <c:v>-1.27</c:v>
                </c:pt>
                <c:pt idx="15">
                  <c:v>-1.39</c:v>
                </c:pt>
                <c:pt idx="16">
                  <c:v>-1.19</c:v>
                </c:pt>
                <c:pt idx="17">
                  <c:v>-1.2</c:v>
                </c:pt>
                <c:pt idx="18">
                  <c:v>-0.88</c:v>
                </c:pt>
                <c:pt idx="19">
                  <c:v>-0.92</c:v>
                </c:pt>
                <c:pt idx="20">
                  <c:v>-0.84</c:v>
                </c:pt>
                <c:pt idx="21">
                  <c:v>-1.01</c:v>
                </c:pt>
                <c:pt idx="22">
                  <c:v>-1.1000000000000001</c:v>
                </c:pt>
                <c:pt idx="23">
                  <c:v>-1.31</c:v>
                </c:pt>
                <c:pt idx="24">
                  <c:v>-1.29</c:v>
                </c:pt>
                <c:pt idx="25">
                  <c:v>-1.41</c:v>
                </c:pt>
                <c:pt idx="26">
                  <c:v>-1.37</c:v>
                </c:pt>
                <c:pt idx="27">
                  <c:v>-1.19</c:v>
                </c:pt>
                <c:pt idx="28">
                  <c:v>-1.1599999999999999</c:v>
                </c:pt>
                <c:pt idx="29">
                  <c:v>-1.07</c:v>
                </c:pt>
                <c:pt idx="30">
                  <c:v>-1.1599999999999999</c:v>
                </c:pt>
                <c:pt idx="31">
                  <c:v>-1.39</c:v>
                </c:pt>
                <c:pt idx="32">
                  <c:v>-1.33</c:v>
                </c:pt>
                <c:pt idx="33">
                  <c:v>-0.92</c:v>
                </c:pt>
                <c:pt idx="34">
                  <c:v>-1.2</c:v>
                </c:pt>
                <c:pt idx="35">
                  <c:v>-0.76</c:v>
                </c:pt>
                <c:pt idx="36">
                  <c:v>-0.59</c:v>
                </c:pt>
                <c:pt idx="37">
                  <c:v>-0.81</c:v>
                </c:pt>
                <c:pt idx="38">
                  <c:v>-0.78</c:v>
                </c:pt>
                <c:pt idx="39">
                  <c:v>-0.66</c:v>
                </c:pt>
                <c:pt idx="40">
                  <c:v>-0.71</c:v>
                </c:pt>
                <c:pt idx="41">
                  <c:v>-0.64</c:v>
                </c:pt>
                <c:pt idx="42">
                  <c:v>-0.53</c:v>
                </c:pt>
                <c:pt idx="43">
                  <c:v>-0.39</c:v>
                </c:pt>
                <c:pt idx="44">
                  <c:v>-0.8</c:v>
                </c:pt>
                <c:pt idx="45">
                  <c:v>-0.6</c:v>
                </c:pt>
                <c:pt idx="46">
                  <c:v>-0.62</c:v>
                </c:pt>
                <c:pt idx="47">
                  <c:v>-0.52</c:v>
                </c:pt>
                <c:pt idx="48">
                  <c:v>-0.64</c:v>
                </c:pt>
                <c:pt idx="49">
                  <c:v>-0.48</c:v>
                </c:pt>
                <c:pt idx="50">
                  <c:v>-0.03</c:v>
                </c:pt>
                <c:pt idx="51">
                  <c:v>-0.33</c:v>
                </c:pt>
                <c:pt idx="52">
                  <c:v>-0.17</c:v>
                </c:pt>
                <c:pt idx="53">
                  <c:v>-0.54</c:v>
                </c:pt>
                <c:pt idx="54">
                  <c:v>-0.19</c:v>
                </c:pt>
                <c:pt idx="55">
                  <c:v>-0.34</c:v>
                </c:pt>
                <c:pt idx="56">
                  <c:v>-0.18</c:v>
                </c:pt>
                <c:pt idx="57">
                  <c:v>-0.11</c:v>
                </c:pt>
                <c:pt idx="58">
                  <c:v>-0.26</c:v>
                </c:pt>
                <c:pt idx="59">
                  <c:v>-0.11</c:v>
                </c:pt>
                <c:pt idx="60">
                  <c:v>-0.28000000000000003</c:v>
                </c:pt>
                <c:pt idx="61">
                  <c:v>-0.28999999999999998</c:v>
                </c:pt>
                <c:pt idx="62">
                  <c:v>-0.46</c:v>
                </c:pt>
                <c:pt idx="63">
                  <c:v>-0.21</c:v>
                </c:pt>
                <c:pt idx="64">
                  <c:v>-0.36</c:v>
                </c:pt>
                <c:pt idx="65">
                  <c:v>-0.44</c:v>
                </c:pt>
                <c:pt idx="66">
                  <c:v>-0.06</c:v>
                </c:pt>
                <c:pt idx="67">
                  <c:v>-0.5</c:v>
                </c:pt>
                <c:pt idx="68">
                  <c:v>-0.23</c:v>
                </c:pt>
                <c:pt idx="69">
                  <c:v>-0.31</c:v>
                </c:pt>
                <c:pt idx="70">
                  <c:v>-0.37</c:v>
                </c:pt>
                <c:pt idx="71">
                  <c:v>-0.13</c:v>
                </c:pt>
                <c:pt idx="72">
                  <c:v>-7.0000000000000007E-2</c:v>
                </c:pt>
                <c:pt idx="73">
                  <c:v>-0.28999999999999998</c:v>
                </c:pt>
                <c:pt idx="74">
                  <c:v>-0.21</c:v>
                </c:pt>
                <c:pt idx="75">
                  <c:v>-0.31</c:v>
                </c:pt>
                <c:pt idx="76">
                  <c:v>-0.26</c:v>
                </c:pt>
                <c:pt idx="77">
                  <c:v>-0.17</c:v>
                </c:pt>
                <c:pt idx="78">
                  <c:v>-0.27</c:v>
                </c:pt>
                <c:pt idx="79">
                  <c:v>-0.16</c:v>
                </c:pt>
                <c:pt idx="80">
                  <c:v>-0.34</c:v>
                </c:pt>
                <c:pt idx="81">
                  <c:v>-0.15</c:v>
                </c:pt>
                <c:pt idx="82">
                  <c:v>-0.06</c:v>
                </c:pt>
                <c:pt idx="83">
                  <c:v>-0.11</c:v>
                </c:pt>
                <c:pt idx="84">
                  <c:v>-0.12</c:v>
                </c:pt>
                <c:pt idx="85">
                  <c:v>-0.12</c:v>
                </c:pt>
                <c:pt idx="86">
                  <c:v>-0.2</c:v>
                </c:pt>
                <c:pt idx="87">
                  <c:v>-0.53</c:v>
                </c:pt>
                <c:pt idx="88">
                  <c:v>-0.39</c:v>
                </c:pt>
                <c:pt idx="89">
                  <c:v>-0.65</c:v>
                </c:pt>
                <c:pt idx="90">
                  <c:v>-0.42</c:v>
                </c:pt>
                <c:pt idx="91">
                  <c:v>-0.37</c:v>
                </c:pt>
                <c:pt idx="92">
                  <c:v>-0.51</c:v>
                </c:pt>
                <c:pt idx="93">
                  <c:v>-0.43</c:v>
                </c:pt>
                <c:pt idx="94">
                  <c:v>-0.46</c:v>
                </c:pt>
                <c:pt idx="95">
                  <c:v>-0.54</c:v>
                </c:pt>
                <c:pt idx="96">
                  <c:v>-0.44</c:v>
                </c:pt>
                <c:pt idx="97">
                  <c:v>-0.75</c:v>
                </c:pt>
                <c:pt idx="98">
                  <c:v>-0.71</c:v>
                </c:pt>
                <c:pt idx="99">
                  <c:v>-0.55000000000000004</c:v>
                </c:pt>
                <c:pt idx="100">
                  <c:v>-0.57999999999999996</c:v>
                </c:pt>
                <c:pt idx="101">
                  <c:v>-0.68</c:v>
                </c:pt>
                <c:pt idx="102">
                  <c:v>-0.74</c:v>
                </c:pt>
                <c:pt idx="103">
                  <c:v>-0.6</c:v>
                </c:pt>
                <c:pt idx="104">
                  <c:v>-0.63</c:v>
                </c:pt>
                <c:pt idx="105">
                  <c:v>-0.8</c:v>
                </c:pt>
                <c:pt idx="106">
                  <c:v>-0.71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3-4BC6-AB6E-7CA18821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699320"/>
        <c:axId val="2103704888"/>
      </c:scatterChart>
      <c:valAx>
        <c:axId val="2103699320"/>
        <c:scaling>
          <c:orientation val="minMax"/>
          <c:max val="34"/>
          <c:min val="8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b="0"/>
                  <a:t>Age (ka)</a:t>
                </a:r>
              </a:p>
            </c:rich>
          </c:tx>
          <c:layout>
            <c:manualLayout>
              <c:xMode val="edge"/>
              <c:yMode val="edge"/>
              <c:x val="0.43621700569860472"/>
              <c:y val="0.87093093343934447"/>
            </c:manualLayout>
          </c:layout>
          <c:overlay val="0"/>
        </c:title>
        <c:numFmt formatCode="0" sourceLinked="0"/>
        <c:majorTickMark val="cross"/>
        <c:minorTickMark val="in"/>
        <c:tickLblPos val="high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2103704888"/>
        <c:crosses val="autoZero"/>
        <c:crossBetween val="midCat"/>
        <c:majorUnit val="1"/>
      </c:valAx>
      <c:valAx>
        <c:axId val="2103704888"/>
        <c:scaling>
          <c:orientation val="maxMin"/>
          <c:min val="-3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210369932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OMZ!$F$1</c:f>
              <c:strCache>
                <c:ptCount val="1"/>
                <c:pt idx="0">
                  <c:v>O2 [µmol/kg]</c:v>
                </c:pt>
              </c:strCache>
            </c:strRef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OMZ!$B$7:$B$38</c:f>
              <c:numCache>
                <c:formatCode>General</c:formatCode>
                <c:ptCount val="32"/>
                <c:pt idx="0">
                  <c:v>7.91</c:v>
                </c:pt>
                <c:pt idx="1">
                  <c:v>9.06</c:v>
                </c:pt>
                <c:pt idx="2">
                  <c:v>10.210000000000001</c:v>
                </c:pt>
                <c:pt idx="3">
                  <c:v>11.36</c:v>
                </c:pt>
                <c:pt idx="4">
                  <c:v>12.51</c:v>
                </c:pt>
                <c:pt idx="5">
                  <c:v>13.1</c:v>
                </c:pt>
                <c:pt idx="6">
                  <c:v>13.69</c:v>
                </c:pt>
                <c:pt idx="7">
                  <c:v>14.28</c:v>
                </c:pt>
                <c:pt idx="8">
                  <c:v>14.88</c:v>
                </c:pt>
                <c:pt idx="9">
                  <c:v>15.47</c:v>
                </c:pt>
                <c:pt idx="10">
                  <c:v>16.309999999999999</c:v>
                </c:pt>
                <c:pt idx="11">
                  <c:v>17.149999999999999</c:v>
                </c:pt>
                <c:pt idx="12">
                  <c:v>17.989999999999998</c:v>
                </c:pt>
                <c:pt idx="13">
                  <c:v>18.84</c:v>
                </c:pt>
                <c:pt idx="14">
                  <c:v>19.68</c:v>
                </c:pt>
                <c:pt idx="15">
                  <c:v>20.52</c:v>
                </c:pt>
                <c:pt idx="16">
                  <c:v>21.36</c:v>
                </c:pt>
                <c:pt idx="17">
                  <c:v>22.21</c:v>
                </c:pt>
                <c:pt idx="18">
                  <c:v>23.05</c:v>
                </c:pt>
                <c:pt idx="19">
                  <c:v>23.89</c:v>
                </c:pt>
                <c:pt idx="20">
                  <c:v>24.73</c:v>
                </c:pt>
                <c:pt idx="21">
                  <c:v>25.58</c:v>
                </c:pt>
                <c:pt idx="22">
                  <c:v>26.42</c:v>
                </c:pt>
                <c:pt idx="23">
                  <c:v>27.26</c:v>
                </c:pt>
                <c:pt idx="24">
                  <c:v>28.1</c:v>
                </c:pt>
                <c:pt idx="25">
                  <c:v>28.95</c:v>
                </c:pt>
                <c:pt idx="26">
                  <c:v>29.79</c:v>
                </c:pt>
                <c:pt idx="27">
                  <c:v>30.63</c:v>
                </c:pt>
                <c:pt idx="28">
                  <c:v>31.47</c:v>
                </c:pt>
                <c:pt idx="29">
                  <c:v>32.32</c:v>
                </c:pt>
                <c:pt idx="30">
                  <c:v>33.159999999999997</c:v>
                </c:pt>
                <c:pt idx="31">
                  <c:v>34</c:v>
                </c:pt>
              </c:numCache>
            </c:numRef>
          </c:xVal>
          <c:yVal>
            <c:numRef>
              <c:f>OMZ!$F$7:$F$38</c:f>
              <c:numCache>
                <c:formatCode>General</c:formatCode>
                <c:ptCount val="32"/>
                <c:pt idx="0">
                  <c:v>24.18</c:v>
                </c:pt>
                <c:pt idx="1">
                  <c:v>60.45</c:v>
                </c:pt>
                <c:pt idx="2">
                  <c:v>65.91</c:v>
                </c:pt>
                <c:pt idx="3">
                  <c:v>104.73</c:v>
                </c:pt>
                <c:pt idx="4">
                  <c:v>56.18</c:v>
                </c:pt>
                <c:pt idx="5">
                  <c:v>94.45</c:v>
                </c:pt>
                <c:pt idx="6">
                  <c:v>64.45</c:v>
                </c:pt>
                <c:pt idx="7">
                  <c:v>110.27</c:v>
                </c:pt>
                <c:pt idx="8">
                  <c:v>112.36</c:v>
                </c:pt>
                <c:pt idx="9">
                  <c:v>99</c:v>
                </c:pt>
                <c:pt idx="10">
                  <c:v>31.27</c:v>
                </c:pt>
                <c:pt idx="11">
                  <c:v>88.36</c:v>
                </c:pt>
                <c:pt idx="12">
                  <c:v>80.45</c:v>
                </c:pt>
                <c:pt idx="13">
                  <c:v>32</c:v>
                </c:pt>
                <c:pt idx="14">
                  <c:v>42.27</c:v>
                </c:pt>
                <c:pt idx="15">
                  <c:v>63.91</c:v>
                </c:pt>
                <c:pt idx="17">
                  <c:v>95.45</c:v>
                </c:pt>
                <c:pt idx="19">
                  <c:v>77</c:v>
                </c:pt>
                <c:pt idx="22">
                  <c:v>154.36000000000001</c:v>
                </c:pt>
                <c:pt idx="24">
                  <c:v>163.36000000000001</c:v>
                </c:pt>
                <c:pt idx="25">
                  <c:v>53.64</c:v>
                </c:pt>
                <c:pt idx="26">
                  <c:v>136.09</c:v>
                </c:pt>
                <c:pt idx="28">
                  <c:v>143.91</c:v>
                </c:pt>
                <c:pt idx="29">
                  <c:v>99.27</c:v>
                </c:pt>
                <c:pt idx="30">
                  <c:v>176.55</c:v>
                </c:pt>
                <c:pt idx="31">
                  <c:v>124.18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D-4BBA-943F-7DFED0037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153360"/>
        <c:axId val="971147600"/>
      </c:scatterChart>
      <c:valAx>
        <c:axId val="971153360"/>
        <c:scaling>
          <c:orientation val="minMax"/>
          <c:max val="34"/>
          <c:min val="8"/>
        </c:scaling>
        <c:delete val="1"/>
        <c:axPos val="b"/>
        <c:numFmt formatCode="General" sourceLinked="1"/>
        <c:majorTickMark val="none"/>
        <c:minorTickMark val="none"/>
        <c:tickLblPos val="nextTo"/>
        <c:crossAx val="971147600"/>
        <c:crosses val="autoZero"/>
        <c:crossBetween val="midCat"/>
      </c:valAx>
      <c:valAx>
        <c:axId val="971147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11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Pteropods per</a:t>
            </a:r>
            <a:r>
              <a:rPr lang="en-US" baseline="0"/>
              <a:t> gram sediment </a:t>
            </a:r>
            <a:r>
              <a:rPr lang="en-US"/>
              <a:t>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'Total + Sam'!$G$1</c:f>
              <c:strCache>
                <c:ptCount val="1"/>
                <c:pt idx="0">
                  <c:v>Pt per gram sediment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'Total + Sam'!$C$2:$C$35</c:f>
              <c:numCache>
                <c:formatCode>General</c:formatCode>
                <c:ptCount val="34"/>
                <c:pt idx="0">
                  <c:v>8.6999999999999993</c:v>
                </c:pt>
                <c:pt idx="1">
                  <c:v>9.74</c:v>
                </c:pt>
                <c:pt idx="2" formatCode="0.00">
                  <c:v>10.298052630000001</c:v>
                </c:pt>
                <c:pt idx="3">
                  <c:v>10.7</c:v>
                </c:pt>
                <c:pt idx="4">
                  <c:v>11.49</c:v>
                </c:pt>
                <c:pt idx="5" formatCode="0.00">
                  <c:v>11.76807767</c:v>
                </c:pt>
                <c:pt idx="6" formatCode="0.00">
                  <c:v>12.140504849999999</c:v>
                </c:pt>
                <c:pt idx="7">
                  <c:v>12.55</c:v>
                </c:pt>
                <c:pt idx="8" formatCode="0.00">
                  <c:v>12.681927460000001</c:v>
                </c:pt>
                <c:pt idx="9">
                  <c:v>12.82</c:v>
                </c:pt>
                <c:pt idx="10" formatCode="0.00">
                  <c:v>12.90434014</c:v>
                </c:pt>
                <c:pt idx="11">
                  <c:v>13.14</c:v>
                </c:pt>
                <c:pt idx="12">
                  <c:v>13.29</c:v>
                </c:pt>
                <c:pt idx="13">
                  <c:v>13.33</c:v>
                </c:pt>
                <c:pt idx="14" formatCode="0.00">
                  <c:v>13.4115</c:v>
                </c:pt>
                <c:pt idx="15">
                  <c:v>13.82</c:v>
                </c:pt>
                <c:pt idx="16" formatCode="0.00">
                  <c:v>15.297745450000001</c:v>
                </c:pt>
                <c:pt idx="17">
                  <c:v>15.99</c:v>
                </c:pt>
                <c:pt idx="18">
                  <c:v>17.29</c:v>
                </c:pt>
                <c:pt idx="19" formatCode="0.00">
                  <c:v>17.630333330000003</c:v>
                </c:pt>
                <c:pt idx="20" formatCode="0.00">
                  <c:v>19.789979380000002</c:v>
                </c:pt>
                <c:pt idx="21">
                  <c:v>20.78</c:v>
                </c:pt>
                <c:pt idx="22" formatCode="0.00">
                  <c:v>22.102144329999998</c:v>
                </c:pt>
                <c:pt idx="23">
                  <c:v>23.42</c:v>
                </c:pt>
                <c:pt idx="24">
                  <c:v>25.21</c:v>
                </c:pt>
                <c:pt idx="25" formatCode="0.00">
                  <c:v>26.142461539999999</c:v>
                </c:pt>
                <c:pt idx="26">
                  <c:v>28.52</c:v>
                </c:pt>
                <c:pt idx="27" formatCode="0.00">
                  <c:v>29.47625532</c:v>
                </c:pt>
                <c:pt idx="28">
                  <c:v>30.55</c:v>
                </c:pt>
                <c:pt idx="29" formatCode="0.00">
                  <c:v>30.86361905</c:v>
                </c:pt>
                <c:pt idx="30">
                  <c:v>31.39</c:v>
                </c:pt>
                <c:pt idx="31" formatCode="0.00">
                  <c:v>31.4960381</c:v>
                </c:pt>
                <c:pt idx="32" formatCode="0.00">
                  <c:v>32.020000000000003</c:v>
                </c:pt>
                <c:pt idx="33" formatCode="0.00">
                  <c:v>33.121000000000002</c:v>
                </c:pt>
              </c:numCache>
            </c:numRef>
          </c:xVal>
          <c:yVal>
            <c:numRef>
              <c:f>'Total + Sam'!$G$2:$G$35</c:f>
              <c:numCache>
                <c:formatCode>General</c:formatCode>
                <c:ptCount val="34"/>
                <c:pt idx="0">
                  <c:v>0.16</c:v>
                </c:pt>
                <c:pt idx="1">
                  <c:v>0.11</c:v>
                </c:pt>
                <c:pt idx="2">
                  <c:v>0.48</c:v>
                </c:pt>
                <c:pt idx="3">
                  <c:v>0.87</c:v>
                </c:pt>
                <c:pt idx="4">
                  <c:v>1.82</c:v>
                </c:pt>
                <c:pt idx="5">
                  <c:v>7.37</c:v>
                </c:pt>
                <c:pt idx="6">
                  <c:v>4.8600000000000003</c:v>
                </c:pt>
                <c:pt idx="7">
                  <c:v>5.08</c:v>
                </c:pt>
                <c:pt idx="8">
                  <c:v>9.4600000000000009</c:v>
                </c:pt>
                <c:pt idx="9">
                  <c:v>40.869999999999997</c:v>
                </c:pt>
                <c:pt idx="10">
                  <c:v>25.52</c:v>
                </c:pt>
                <c:pt idx="11">
                  <c:v>0.56999999999999995</c:v>
                </c:pt>
                <c:pt idx="12">
                  <c:v>1.96</c:v>
                </c:pt>
                <c:pt idx="13">
                  <c:v>11.03</c:v>
                </c:pt>
                <c:pt idx="14">
                  <c:v>1.31</c:v>
                </c:pt>
                <c:pt idx="15">
                  <c:v>12.54</c:v>
                </c:pt>
                <c:pt idx="16">
                  <c:v>90.08</c:v>
                </c:pt>
                <c:pt idx="17">
                  <c:v>137.94999999999999</c:v>
                </c:pt>
                <c:pt idx="18">
                  <c:v>0</c:v>
                </c:pt>
                <c:pt idx="19">
                  <c:v>1.24</c:v>
                </c:pt>
                <c:pt idx="20">
                  <c:v>2.65</c:v>
                </c:pt>
                <c:pt idx="21">
                  <c:v>0.43</c:v>
                </c:pt>
                <c:pt idx="22">
                  <c:v>1.93</c:v>
                </c:pt>
                <c:pt idx="23">
                  <c:v>1.21</c:v>
                </c:pt>
                <c:pt idx="24">
                  <c:v>0.65</c:v>
                </c:pt>
                <c:pt idx="25">
                  <c:v>8.6</c:v>
                </c:pt>
                <c:pt idx="26">
                  <c:v>7.0000000000000007E-2</c:v>
                </c:pt>
                <c:pt idx="27">
                  <c:v>0.14000000000000001</c:v>
                </c:pt>
                <c:pt idx="28">
                  <c:v>0.8</c:v>
                </c:pt>
                <c:pt idx="29">
                  <c:v>0.19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9-4A62-96BB-64D094B53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384968"/>
        <c:axId val="995261376"/>
      </c:scatterChart>
      <c:valAx>
        <c:axId val="99238496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95261376"/>
        <c:crosses val="autoZero"/>
        <c:crossBetween val="midCat"/>
      </c:valAx>
      <c:valAx>
        <c:axId val="9952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Pteropods per gram sediment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9238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Sedimentation</a:t>
            </a:r>
            <a:r>
              <a:rPr lang="nl-NL" baseline="0"/>
              <a:t> rate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'Sedimentation speed'!$B$2:$B$18</c:f>
              <c:numCache>
                <c:formatCode>General</c:formatCode>
                <c:ptCount val="17"/>
                <c:pt idx="0">
                  <c:v>8.7989999999999995</c:v>
                </c:pt>
                <c:pt idx="1">
                  <c:v>11.526</c:v>
                </c:pt>
                <c:pt idx="2">
                  <c:v>12.484999999999999</c:v>
                </c:pt>
                <c:pt idx="3">
                  <c:v>12.853999999999999</c:v>
                </c:pt>
                <c:pt idx="4">
                  <c:v>13.224</c:v>
                </c:pt>
                <c:pt idx="5">
                  <c:v>13.297000000000001</c:v>
                </c:pt>
                <c:pt idx="6">
                  <c:v>13.35</c:v>
                </c:pt>
                <c:pt idx="7">
                  <c:v>13.882999999999999</c:v>
                </c:pt>
                <c:pt idx="8">
                  <c:v>15.986000000000001</c:v>
                </c:pt>
                <c:pt idx="9">
                  <c:v>16.341999999999999</c:v>
                </c:pt>
                <c:pt idx="10">
                  <c:v>16.991</c:v>
                </c:pt>
                <c:pt idx="11">
                  <c:v>17.675999999999998</c:v>
                </c:pt>
                <c:pt idx="12">
                  <c:v>24.084</c:v>
                </c:pt>
                <c:pt idx="13">
                  <c:v>28.097999999999999</c:v>
                </c:pt>
                <c:pt idx="14">
                  <c:v>30.742000000000001</c:v>
                </c:pt>
                <c:pt idx="15">
                  <c:v>32.018999999999998</c:v>
                </c:pt>
                <c:pt idx="16">
                  <c:v>33.613999999999997</c:v>
                </c:pt>
              </c:numCache>
            </c:numRef>
          </c:xVal>
          <c:yVal>
            <c:numRef>
              <c:f>'Sedimentation speed'!$C$2:$C$18</c:f>
              <c:numCache>
                <c:formatCode>General</c:formatCode>
                <c:ptCount val="17"/>
                <c:pt idx="0">
                  <c:v>62.71</c:v>
                </c:pt>
                <c:pt idx="1">
                  <c:v>53.7</c:v>
                </c:pt>
                <c:pt idx="2">
                  <c:v>261.52</c:v>
                </c:pt>
                <c:pt idx="3">
                  <c:v>198.65</c:v>
                </c:pt>
                <c:pt idx="4">
                  <c:v>684.93</c:v>
                </c:pt>
                <c:pt idx="5">
                  <c:v>556.6</c:v>
                </c:pt>
                <c:pt idx="6">
                  <c:v>48.78</c:v>
                </c:pt>
                <c:pt idx="7">
                  <c:v>26.15</c:v>
                </c:pt>
                <c:pt idx="8">
                  <c:v>28.09</c:v>
                </c:pt>
                <c:pt idx="9">
                  <c:v>13.87</c:v>
                </c:pt>
                <c:pt idx="10">
                  <c:v>52.55</c:v>
                </c:pt>
                <c:pt idx="11">
                  <c:v>14.2</c:v>
                </c:pt>
                <c:pt idx="12">
                  <c:v>19.43</c:v>
                </c:pt>
                <c:pt idx="13">
                  <c:v>35.549999999999997</c:v>
                </c:pt>
                <c:pt idx="14">
                  <c:v>82.22</c:v>
                </c:pt>
                <c:pt idx="15">
                  <c:v>34.479999999999997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8-487F-BCC3-B8D0A1076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200520"/>
        <c:axId val="952207000"/>
      </c:scatterChart>
      <c:valAx>
        <c:axId val="95220052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2207000"/>
        <c:crosses val="autoZero"/>
        <c:crossBetween val="midCat"/>
      </c:valAx>
      <c:valAx>
        <c:axId val="9522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Cm/ka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2200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Aragonite/calcite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'Aragonite%'!$G$1</c:f>
              <c:strCache>
                <c:ptCount val="1"/>
                <c:pt idx="0">
                  <c:v>Aragonite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'Aragonite%'!$C$2:$C$16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'Aragonite%'!$G$2:$G$16</c:f>
              <c:numCache>
                <c:formatCode>0%</c:formatCode>
                <c:ptCount val="15"/>
                <c:pt idx="0">
                  <c:v>0.03</c:v>
                </c:pt>
                <c:pt idx="1">
                  <c:v>0.15</c:v>
                </c:pt>
                <c:pt idx="2">
                  <c:v>0.15</c:v>
                </c:pt>
                <c:pt idx="3">
                  <c:v>0.18</c:v>
                </c:pt>
                <c:pt idx="4">
                  <c:v>0.09</c:v>
                </c:pt>
                <c:pt idx="5">
                  <c:v>0.01</c:v>
                </c:pt>
                <c:pt idx="6">
                  <c:v>0.14000000000000001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C-4929-B02C-C2A46E6DA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74080"/>
        <c:axId val="1258974440"/>
      </c:scatterChart>
      <c:valAx>
        <c:axId val="125897408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</a:t>
                </a:r>
                <a:r>
                  <a:rPr lang="nl-NL" baseline="0"/>
                  <a:t> (ka)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8974440"/>
        <c:crosses val="autoZero"/>
        <c:crossBetween val="midCat"/>
      </c:valAx>
      <c:valAx>
        <c:axId val="125897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Aragonite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897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water O2 concentration</a:t>
            </a:r>
            <a:br>
              <a:rPr lang="en-US"/>
            </a:br>
            <a:r>
              <a:rPr lang="en-US"/>
              <a:t>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OMZ!$F$1</c:f>
              <c:strCache>
                <c:ptCount val="1"/>
                <c:pt idx="0">
                  <c:v>O2 [µmol/kg]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OMZ!$B$7:$B$38</c:f>
              <c:numCache>
                <c:formatCode>General</c:formatCode>
                <c:ptCount val="32"/>
                <c:pt idx="0">
                  <c:v>7.91</c:v>
                </c:pt>
                <c:pt idx="1">
                  <c:v>9.06</c:v>
                </c:pt>
                <c:pt idx="2">
                  <c:v>10.210000000000001</c:v>
                </c:pt>
                <c:pt idx="3">
                  <c:v>11.36</c:v>
                </c:pt>
                <c:pt idx="4">
                  <c:v>12.51</c:v>
                </c:pt>
                <c:pt idx="5">
                  <c:v>13.1</c:v>
                </c:pt>
                <c:pt idx="6">
                  <c:v>13.69</c:v>
                </c:pt>
                <c:pt idx="7">
                  <c:v>14.28</c:v>
                </c:pt>
                <c:pt idx="8">
                  <c:v>14.88</c:v>
                </c:pt>
                <c:pt idx="9">
                  <c:v>15.47</c:v>
                </c:pt>
                <c:pt idx="10">
                  <c:v>16.309999999999999</c:v>
                </c:pt>
                <c:pt idx="11">
                  <c:v>17.149999999999999</c:v>
                </c:pt>
                <c:pt idx="12">
                  <c:v>17.989999999999998</c:v>
                </c:pt>
                <c:pt idx="13">
                  <c:v>18.84</c:v>
                </c:pt>
                <c:pt idx="14">
                  <c:v>19.68</c:v>
                </c:pt>
                <c:pt idx="15">
                  <c:v>20.52</c:v>
                </c:pt>
                <c:pt idx="16">
                  <c:v>21.36</c:v>
                </c:pt>
                <c:pt idx="17">
                  <c:v>22.21</c:v>
                </c:pt>
                <c:pt idx="18">
                  <c:v>23.05</c:v>
                </c:pt>
                <c:pt idx="19">
                  <c:v>23.89</c:v>
                </c:pt>
                <c:pt idx="20">
                  <c:v>24.73</c:v>
                </c:pt>
                <c:pt idx="21">
                  <c:v>25.58</c:v>
                </c:pt>
                <c:pt idx="22">
                  <c:v>26.42</c:v>
                </c:pt>
                <c:pt idx="23">
                  <c:v>27.26</c:v>
                </c:pt>
                <c:pt idx="24">
                  <c:v>28.1</c:v>
                </c:pt>
                <c:pt idx="25">
                  <c:v>28.95</c:v>
                </c:pt>
                <c:pt idx="26">
                  <c:v>29.79</c:v>
                </c:pt>
                <c:pt idx="27">
                  <c:v>30.63</c:v>
                </c:pt>
                <c:pt idx="28">
                  <c:v>31.47</c:v>
                </c:pt>
                <c:pt idx="29">
                  <c:v>32.32</c:v>
                </c:pt>
                <c:pt idx="30">
                  <c:v>33.159999999999997</c:v>
                </c:pt>
                <c:pt idx="31">
                  <c:v>34</c:v>
                </c:pt>
              </c:numCache>
            </c:numRef>
          </c:xVal>
          <c:yVal>
            <c:numRef>
              <c:f>OMZ!$F$7:$F$38</c:f>
              <c:numCache>
                <c:formatCode>General</c:formatCode>
                <c:ptCount val="32"/>
                <c:pt idx="0">
                  <c:v>24.18</c:v>
                </c:pt>
                <c:pt idx="1">
                  <c:v>60.45</c:v>
                </c:pt>
                <c:pt idx="2">
                  <c:v>65.91</c:v>
                </c:pt>
                <c:pt idx="3">
                  <c:v>104.73</c:v>
                </c:pt>
                <c:pt idx="4">
                  <c:v>56.18</c:v>
                </c:pt>
                <c:pt idx="5">
                  <c:v>94.45</c:v>
                </c:pt>
                <c:pt idx="6">
                  <c:v>64.45</c:v>
                </c:pt>
                <c:pt idx="7">
                  <c:v>110.27</c:v>
                </c:pt>
                <c:pt idx="8">
                  <c:v>112.36</c:v>
                </c:pt>
                <c:pt idx="9">
                  <c:v>99</c:v>
                </c:pt>
                <c:pt idx="10">
                  <c:v>31.27</c:v>
                </c:pt>
                <c:pt idx="11">
                  <c:v>88.36</c:v>
                </c:pt>
                <c:pt idx="12">
                  <c:v>80.45</c:v>
                </c:pt>
                <c:pt idx="13">
                  <c:v>32</c:v>
                </c:pt>
                <c:pt idx="14">
                  <c:v>42.27</c:v>
                </c:pt>
                <c:pt idx="15">
                  <c:v>63.91</c:v>
                </c:pt>
                <c:pt idx="17">
                  <c:v>95.45</c:v>
                </c:pt>
                <c:pt idx="19">
                  <c:v>77</c:v>
                </c:pt>
                <c:pt idx="22">
                  <c:v>154.36000000000001</c:v>
                </c:pt>
                <c:pt idx="24">
                  <c:v>163.36000000000001</c:v>
                </c:pt>
                <c:pt idx="25">
                  <c:v>53.64</c:v>
                </c:pt>
                <c:pt idx="26">
                  <c:v>136.09</c:v>
                </c:pt>
                <c:pt idx="28">
                  <c:v>143.91</c:v>
                </c:pt>
                <c:pt idx="29">
                  <c:v>99.27</c:v>
                </c:pt>
                <c:pt idx="30">
                  <c:v>176.55</c:v>
                </c:pt>
                <c:pt idx="31">
                  <c:v>124.18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6-4E74-9E17-3F577E27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153360"/>
        <c:axId val="971147600"/>
      </c:scatterChart>
      <c:valAx>
        <c:axId val="97115336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1147600"/>
        <c:crosses val="autoZero"/>
        <c:crossBetween val="midCat"/>
      </c:valAx>
      <c:valAx>
        <c:axId val="9711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O2 [µmol/kg]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11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SST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SST!$B$2:$B$16</c:f>
              <c:numCache>
                <c:formatCode>0.00</c:formatCode>
                <c:ptCount val="15"/>
                <c:pt idx="0">
                  <c:v>10.298052630000001</c:v>
                </c:pt>
                <c:pt idx="1">
                  <c:v>11.76807767</c:v>
                </c:pt>
                <c:pt idx="2">
                  <c:v>12.140504849999999</c:v>
                </c:pt>
                <c:pt idx="3">
                  <c:v>12.681927460000001</c:v>
                </c:pt>
                <c:pt idx="4">
                  <c:v>12.90434014</c:v>
                </c:pt>
                <c:pt idx="5">
                  <c:v>13.4115</c:v>
                </c:pt>
                <c:pt idx="6">
                  <c:v>15.297745450000001</c:v>
                </c:pt>
                <c:pt idx="7">
                  <c:v>17.630333330000003</c:v>
                </c:pt>
                <c:pt idx="8">
                  <c:v>19.789979380000002</c:v>
                </c:pt>
                <c:pt idx="9">
                  <c:v>22.102144329999998</c:v>
                </c:pt>
                <c:pt idx="10">
                  <c:v>26.142461539999999</c:v>
                </c:pt>
                <c:pt idx="11">
                  <c:v>29.47625532</c:v>
                </c:pt>
                <c:pt idx="12">
                  <c:v>30.86361905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SST!$C$2:$C$16</c:f>
              <c:numCache>
                <c:formatCode>General</c:formatCode>
                <c:ptCount val="15"/>
                <c:pt idx="0">
                  <c:v>24.63</c:v>
                </c:pt>
                <c:pt idx="1">
                  <c:v>24.81</c:v>
                </c:pt>
                <c:pt idx="2">
                  <c:v>24.5</c:v>
                </c:pt>
                <c:pt idx="3">
                  <c:v>24.02</c:v>
                </c:pt>
                <c:pt idx="4">
                  <c:v>23.83</c:v>
                </c:pt>
                <c:pt idx="5">
                  <c:v>23.38</c:v>
                </c:pt>
                <c:pt idx="6">
                  <c:v>22.83</c:v>
                </c:pt>
                <c:pt idx="7">
                  <c:v>21.91</c:v>
                </c:pt>
                <c:pt idx="8">
                  <c:v>22.3</c:v>
                </c:pt>
                <c:pt idx="9">
                  <c:v>21.72</c:v>
                </c:pt>
                <c:pt idx="10">
                  <c:v>21.51</c:v>
                </c:pt>
                <c:pt idx="11">
                  <c:v>22.84</c:v>
                </c:pt>
                <c:pt idx="12">
                  <c:v>22.71</c:v>
                </c:pt>
                <c:pt idx="13">
                  <c:v>22.66</c:v>
                </c:pt>
                <c:pt idx="14">
                  <c:v>22.69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1-42C2-94D8-630E632B4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61200"/>
        <c:axId val="1089266600"/>
      </c:scatterChart>
      <c:valAx>
        <c:axId val="108926120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6600"/>
        <c:crosses val="autoZero"/>
        <c:crossBetween val="midCat"/>
      </c:valAx>
      <c:valAx>
        <c:axId val="108926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8926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RSL!$B$4:$B$103</c:f>
              <c:numCache>
                <c:formatCode>General</c:formatCode>
                <c:ptCount val="100"/>
                <c:pt idx="0">
                  <c:v>27.236999999999998</c:v>
                </c:pt>
                <c:pt idx="1">
                  <c:v>26.67</c:v>
                </c:pt>
                <c:pt idx="2">
                  <c:v>26.52</c:v>
                </c:pt>
                <c:pt idx="3">
                  <c:v>26.37</c:v>
                </c:pt>
                <c:pt idx="4">
                  <c:v>26.22</c:v>
                </c:pt>
                <c:pt idx="5">
                  <c:v>26.07</c:v>
                </c:pt>
                <c:pt idx="6">
                  <c:v>25.92</c:v>
                </c:pt>
                <c:pt idx="7">
                  <c:v>25.77</c:v>
                </c:pt>
                <c:pt idx="8">
                  <c:v>25.62</c:v>
                </c:pt>
                <c:pt idx="9">
                  <c:v>25.47</c:v>
                </c:pt>
                <c:pt idx="10">
                  <c:v>25.32</c:v>
                </c:pt>
                <c:pt idx="11">
                  <c:v>25.17</c:v>
                </c:pt>
                <c:pt idx="12">
                  <c:v>25.02</c:v>
                </c:pt>
                <c:pt idx="13">
                  <c:v>24.87</c:v>
                </c:pt>
                <c:pt idx="14">
                  <c:v>24.72</c:v>
                </c:pt>
                <c:pt idx="15">
                  <c:v>24.57</c:v>
                </c:pt>
                <c:pt idx="16">
                  <c:v>24.42</c:v>
                </c:pt>
                <c:pt idx="17">
                  <c:v>24.27</c:v>
                </c:pt>
                <c:pt idx="18">
                  <c:v>24.12</c:v>
                </c:pt>
                <c:pt idx="19">
                  <c:v>23.97</c:v>
                </c:pt>
                <c:pt idx="20">
                  <c:v>23.82</c:v>
                </c:pt>
                <c:pt idx="21">
                  <c:v>23.67</c:v>
                </c:pt>
                <c:pt idx="22">
                  <c:v>23.52</c:v>
                </c:pt>
                <c:pt idx="23">
                  <c:v>23.37</c:v>
                </c:pt>
                <c:pt idx="24">
                  <c:v>23.22</c:v>
                </c:pt>
                <c:pt idx="25">
                  <c:v>23.07</c:v>
                </c:pt>
                <c:pt idx="26">
                  <c:v>22.92</c:v>
                </c:pt>
                <c:pt idx="27">
                  <c:v>22.77</c:v>
                </c:pt>
                <c:pt idx="28">
                  <c:v>22.62</c:v>
                </c:pt>
                <c:pt idx="29">
                  <c:v>22.47</c:v>
                </c:pt>
                <c:pt idx="30">
                  <c:v>22.32</c:v>
                </c:pt>
                <c:pt idx="31">
                  <c:v>22.17</c:v>
                </c:pt>
                <c:pt idx="32">
                  <c:v>22.02</c:v>
                </c:pt>
                <c:pt idx="33">
                  <c:v>21.87</c:v>
                </c:pt>
                <c:pt idx="34">
                  <c:v>21.72</c:v>
                </c:pt>
                <c:pt idx="35">
                  <c:v>21.57</c:v>
                </c:pt>
                <c:pt idx="36">
                  <c:v>21.42</c:v>
                </c:pt>
                <c:pt idx="37">
                  <c:v>21.27</c:v>
                </c:pt>
                <c:pt idx="38">
                  <c:v>21.12</c:v>
                </c:pt>
                <c:pt idx="39">
                  <c:v>20.97</c:v>
                </c:pt>
                <c:pt idx="40">
                  <c:v>20.82</c:v>
                </c:pt>
                <c:pt idx="41">
                  <c:v>20.67</c:v>
                </c:pt>
                <c:pt idx="42">
                  <c:v>20.52</c:v>
                </c:pt>
                <c:pt idx="43">
                  <c:v>20.37</c:v>
                </c:pt>
                <c:pt idx="44">
                  <c:v>20.22</c:v>
                </c:pt>
                <c:pt idx="45">
                  <c:v>20.07</c:v>
                </c:pt>
                <c:pt idx="46">
                  <c:v>19.920000000000002</c:v>
                </c:pt>
                <c:pt idx="47">
                  <c:v>19.77</c:v>
                </c:pt>
                <c:pt idx="48">
                  <c:v>19.62</c:v>
                </c:pt>
                <c:pt idx="49">
                  <c:v>19.47</c:v>
                </c:pt>
                <c:pt idx="50">
                  <c:v>19.32</c:v>
                </c:pt>
                <c:pt idx="51">
                  <c:v>19.170000000000002</c:v>
                </c:pt>
                <c:pt idx="52">
                  <c:v>19.02</c:v>
                </c:pt>
                <c:pt idx="53">
                  <c:v>18.87</c:v>
                </c:pt>
                <c:pt idx="54">
                  <c:v>18.72</c:v>
                </c:pt>
                <c:pt idx="55">
                  <c:v>18.57</c:v>
                </c:pt>
                <c:pt idx="56">
                  <c:v>18.420000000000002</c:v>
                </c:pt>
                <c:pt idx="57">
                  <c:v>18.27</c:v>
                </c:pt>
                <c:pt idx="58">
                  <c:v>18.12</c:v>
                </c:pt>
                <c:pt idx="59">
                  <c:v>17.97</c:v>
                </c:pt>
                <c:pt idx="60">
                  <c:v>17.82</c:v>
                </c:pt>
                <c:pt idx="61">
                  <c:v>17.670000000000002</c:v>
                </c:pt>
                <c:pt idx="62">
                  <c:v>17.52</c:v>
                </c:pt>
                <c:pt idx="63">
                  <c:v>17.37</c:v>
                </c:pt>
                <c:pt idx="64">
                  <c:v>17.22</c:v>
                </c:pt>
                <c:pt idx="65">
                  <c:v>17.07</c:v>
                </c:pt>
                <c:pt idx="66">
                  <c:v>16.920000000000002</c:v>
                </c:pt>
                <c:pt idx="67">
                  <c:v>16.77</c:v>
                </c:pt>
                <c:pt idx="68">
                  <c:v>16.62</c:v>
                </c:pt>
                <c:pt idx="69">
                  <c:v>16.47</c:v>
                </c:pt>
                <c:pt idx="70">
                  <c:v>16.32</c:v>
                </c:pt>
                <c:pt idx="71">
                  <c:v>16.170000000000002</c:v>
                </c:pt>
                <c:pt idx="72">
                  <c:v>16.02</c:v>
                </c:pt>
                <c:pt idx="73">
                  <c:v>15.87</c:v>
                </c:pt>
                <c:pt idx="74">
                  <c:v>15.72</c:v>
                </c:pt>
                <c:pt idx="75">
                  <c:v>15.57</c:v>
                </c:pt>
                <c:pt idx="76">
                  <c:v>15.42</c:v>
                </c:pt>
                <c:pt idx="77">
                  <c:v>15.27</c:v>
                </c:pt>
                <c:pt idx="78">
                  <c:v>15.12</c:v>
                </c:pt>
                <c:pt idx="79">
                  <c:v>14.97</c:v>
                </c:pt>
                <c:pt idx="80">
                  <c:v>14.82</c:v>
                </c:pt>
                <c:pt idx="81">
                  <c:v>14.67</c:v>
                </c:pt>
                <c:pt idx="82">
                  <c:v>14.52</c:v>
                </c:pt>
                <c:pt idx="83">
                  <c:v>14.37</c:v>
                </c:pt>
                <c:pt idx="84">
                  <c:v>14.22</c:v>
                </c:pt>
                <c:pt idx="85">
                  <c:v>14.07</c:v>
                </c:pt>
                <c:pt idx="86">
                  <c:v>13.92</c:v>
                </c:pt>
                <c:pt idx="87">
                  <c:v>13.77</c:v>
                </c:pt>
                <c:pt idx="88">
                  <c:v>13.62</c:v>
                </c:pt>
                <c:pt idx="89">
                  <c:v>13.47</c:v>
                </c:pt>
                <c:pt idx="90">
                  <c:v>13.32</c:v>
                </c:pt>
                <c:pt idx="91">
                  <c:v>13.17</c:v>
                </c:pt>
                <c:pt idx="92">
                  <c:v>13.02</c:v>
                </c:pt>
                <c:pt idx="93">
                  <c:v>12.87</c:v>
                </c:pt>
                <c:pt idx="94">
                  <c:v>12.72</c:v>
                </c:pt>
                <c:pt idx="95">
                  <c:v>12.57</c:v>
                </c:pt>
                <c:pt idx="96">
                  <c:v>12.42</c:v>
                </c:pt>
                <c:pt idx="97">
                  <c:v>12.27</c:v>
                </c:pt>
                <c:pt idx="98">
                  <c:v>12.12</c:v>
                </c:pt>
                <c:pt idx="99">
                  <c:v>11.401999999999999</c:v>
                </c:pt>
              </c:numCache>
            </c:numRef>
          </c:xVal>
          <c:yVal>
            <c:numRef>
              <c:f>RSL!$C$4:$C$103</c:f>
              <c:numCache>
                <c:formatCode>0.0</c:formatCode>
                <c:ptCount val="100"/>
                <c:pt idx="0">
                  <c:v>-100.1</c:v>
                </c:pt>
                <c:pt idx="1">
                  <c:v>-100.3</c:v>
                </c:pt>
                <c:pt idx="2">
                  <c:v>-100.3</c:v>
                </c:pt>
                <c:pt idx="3">
                  <c:v>-100.4</c:v>
                </c:pt>
                <c:pt idx="4">
                  <c:v>-100.5</c:v>
                </c:pt>
                <c:pt idx="5">
                  <c:v>-100.6</c:v>
                </c:pt>
                <c:pt idx="6">
                  <c:v>-100.7</c:v>
                </c:pt>
                <c:pt idx="7">
                  <c:v>-100.8</c:v>
                </c:pt>
                <c:pt idx="8">
                  <c:v>-100.9</c:v>
                </c:pt>
                <c:pt idx="9">
                  <c:v>-101.1</c:v>
                </c:pt>
                <c:pt idx="10">
                  <c:v>-101.2</c:v>
                </c:pt>
                <c:pt idx="11">
                  <c:v>-101.4</c:v>
                </c:pt>
                <c:pt idx="12">
                  <c:v>-101.6</c:v>
                </c:pt>
                <c:pt idx="13">
                  <c:v>-101.8</c:v>
                </c:pt>
                <c:pt idx="14">
                  <c:v>-102</c:v>
                </c:pt>
                <c:pt idx="15">
                  <c:v>-102.2</c:v>
                </c:pt>
                <c:pt idx="16">
                  <c:v>-102.4</c:v>
                </c:pt>
                <c:pt idx="17">
                  <c:v>-102.6</c:v>
                </c:pt>
                <c:pt idx="18">
                  <c:v>-102.8</c:v>
                </c:pt>
                <c:pt idx="19">
                  <c:v>-102.9</c:v>
                </c:pt>
                <c:pt idx="20">
                  <c:v>-103.1</c:v>
                </c:pt>
                <c:pt idx="21">
                  <c:v>-103.3</c:v>
                </c:pt>
                <c:pt idx="22">
                  <c:v>-103.5</c:v>
                </c:pt>
                <c:pt idx="23">
                  <c:v>-103.6</c:v>
                </c:pt>
                <c:pt idx="24">
                  <c:v>-103.8</c:v>
                </c:pt>
                <c:pt idx="25">
                  <c:v>-103.9</c:v>
                </c:pt>
                <c:pt idx="26">
                  <c:v>-104.1</c:v>
                </c:pt>
                <c:pt idx="27">
                  <c:v>-104.2</c:v>
                </c:pt>
                <c:pt idx="28">
                  <c:v>-104.4</c:v>
                </c:pt>
                <c:pt idx="29">
                  <c:v>-104.5</c:v>
                </c:pt>
                <c:pt idx="30">
                  <c:v>-104.6</c:v>
                </c:pt>
                <c:pt idx="31">
                  <c:v>-104.7</c:v>
                </c:pt>
                <c:pt idx="32">
                  <c:v>-104.8</c:v>
                </c:pt>
                <c:pt idx="33">
                  <c:v>-104.9</c:v>
                </c:pt>
                <c:pt idx="34">
                  <c:v>-105</c:v>
                </c:pt>
                <c:pt idx="35">
                  <c:v>-105.1</c:v>
                </c:pt>
                <c:pt idx="36">
                  <c:v>-105.1</c:v>
                </c:pt>
                <c:pt idx="37">
                  <c:v>-105.1</c:v>
                </c:pt>
                <c:pt idx="38">
                  <c:v>-105.1</c:v>
                </c:pt>
                <c:pt idx="39">
                  <c:v>-105.1</c:v>
                </c:pt>
                <c:pt idx="40">
                  <c:v>-105.1</c:v>
                </c:pt>
                <c:pt idx="41">
                  <c:v>-105</c:v>
                </c:pt>
                <c:pt idx="42">
                  <c:v>-104.9</c:v>
                </c:pt>
                <c:pt idx="43">
                  <c:v>-104.8</c:v>
                </c:pt>
                <c:pt idx="44">
                  <c:v>-104.6</c:v>
                </c:pt>
                <c:pt idx="45">
                  <c:v>-104.3</c:v>
                </c:pt>
                <c:pt idx="46">
                  <c:v>-104</c:v>
                </c:pt>
                <c:pt idx="47">
                  <c:v>-103.7</c:v>
                </c:pt>
                <c:pt idx="48">
                  <c:v>-103.2</c:v>
                </c:pt>
                <c:pt idx="49">
                  <c:v>-102.7</c:v>
                </c:pt>
                <c:pt idx="50">
                  <c:v>-102.1</c:v>
                </c:pt>
                <c:pt idx="51">
                  <c:v>-101.4</c:v>
                </c:pt>
                <c:pt idx="52">
                  <c:v>-100.7</c:v>
                </c:pt>
                <c:pt idx="53">
                  <c:v>-99.9</c:v>
                </c:pt>
                <c:pt idx="54">
                  <c:v>-99</c:v>
                </c:pt>
                <c:pt idx="55">
                  <c:v>-98</c:v>
                </c:pt>
                <c:pt idx="56">
                  <c:v>-96.9</c:v>
                </c:pt>
                <c:pt idx="57">
                  <c:v>-95.8</c:v>
                </c:pt>
                <c:pt idx="58">
                  <c:v>-94.7</c:v>
                </c:pt>
                <c:pt idx="59">
                  <c:v>-93.4</c:v>
                </c:pt>
                <c:pt idx="60">
                  <c:v>-92.2</c:v>
                </c:pt>
                <c:pt idx="61">
                  <c:v>-90.9</c:v>
                </c:pt>
                <c:pt idx="62">
                  <c:v>-89.6</c:v>
                </c:pt>
                <c:pt idx="63">
                  <c:v>-88.2</c:v>
                </c:pt>
                <c:pt idx="64">
                  <c:v>-86.9</c:v>
                </c:pt>
                <c:pt idx="65">
                  <c:v>-85.5</c:v>
                </c:pt>
                <c:pt idx="66">
                  <c:v>-84.2</c:v>
                </c:pt>
                <c:pt idx="67">
                  <c:v>-82.8</c:v>
                </c:pt>
                <c:pt idx="68">
                  <c:v>-81.5</c:v>
                </c:pt>
                <c:pt idx="69">
                  <c:v>-80.099999999999994</c:v>
                </c:pt>
                <c:pt idx="70">
                  <c:v>-78.8</c:v>
                </c:pt>
                <c:pt idx="71">
                  <c:v>-77.5</c:v>
                </c:pt>
                <c:pt idx="72">
                  <c:v>-76.2</c:v>
                </c:pt>
                <c:pt idx="73">
                  <c:v>-75</c:v>
                </c:pt>
                <c:pt idx="74">
                  <c:v>-73.8</c:v>
                </c:pt>
                <c:pt idx="75">
                  <c:v>-72.599999999999994</c:v>
                </c:pt>
                <c:pt idx="76">
                  <c:v>-71.5</c:v>
                </c:pt>
                <c:pt idx="77">
                  <c:v>-70.5</c:v>
                </c:pt>
                <c:pt idx="78">
                  <c:v>-69.5</c:v>
                </c:pt>
                <c:pt idx="79">
                  <c:v>-68.599999999999994</c:v>
                </c:pt>
                <c:pt idx="80">
                  <c:v>-67.8</c:v>
                </c:pt>
                <c:pt idx="81">
                  <c:v>-67</c:v>
                </c:pt>
                <c:pt idx="82">
                  <c:v>-66.3</c:v>
                </c:pt>
                <c:pt idx="83">
                  <c:v>-65.7</c:v>
                </c:pt>
                <c:pt idx="84">
                  <c:v>-65.2</c:v>
                </c:pt>
                <c:pt idx="85">
                  <c:v>-64.7</c:v>
                </c:pt>
                <c:pt idx="86">
                  <c:v>-64.3</c:v>
                </c:pt>
                <c:pt idx="87">
                  <c:v>-63.9</c:v>
                </c:pt>
                <c:pt idx="88">
                  <c:v>-63.5</c:v>
                </c:pt>
                <c:pt idx="89">
                  <c:v>-63.2</c:v>
                </c:pt>
                <c:pt idx="90">
                  <c:v>-62.9</c:v>
                </c:pt>
                <c:pt idx="91">
                  <c:v>-62.5</c:v>
                </c:pt>
                <c:pt idx="92">
                  <c:v>-62.1</c:v>
                </c:pt>
                <c:pt idx="93">
                  <c:v>-61.7</c:v>
                </c:pt>
                <c:pt idx="94">
                  <c:v>-61.3</c:v>
                </c:pt>
                <c:pt idx="95">
                  <c:v>-60.8</c:v>
                </c:pt>
                <c:pt idx="96">
                  <c:v>-60.3</c:v>
                </c:pt>
                <c:pt idx="97">
                  <c:v>-59.8</c:v>
                </c:pt>
                <c:pt idx="98">
                  <c:v>-59.3</c:v>
                </c:pt>
                <c:pt idx="99">
                  <c:v>-57.1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6E-49A9-8A49-152CE619B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230760"/>
        <c:axId val="1122075896"/>
      </c:scatterChart>
      <c:valAx>
        <c:axId val="1122230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22075896"/>
        <c:crosses val="autoZero"/>
        <c:crossBetween val="midCat"/>
      </c:valAx>
      <c:valAx>
        <c:axId val="112207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22230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  <cx:data id="10">
      <cx:numDim type="val">
        <cx:f>_xlchart.v1.21</cx:f>
      </cx:numDim>
    </cx:data>
  </cx:chartData>
  <cx:chart>
    <cx:title pos="t" align="ctr" overlay="0"/>
    <cx:plotArea>
      <cx:plotAreaRegion>
        <cx:series layoutId="boxWhisker" uniqueId="{754FD037-61EC-4C64-A7F1-B8FB4F861A94}">
          <cx:tx>
            <cx:txData>
              <cx:f>_xlchart.v1.0</cx:f>
              <cx:v>Total Heliconoides inflatus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C8DF667-BE52-443C-B175-EF2FFC9D2AD1}">
          <cx:tx>
            <cx:txData>
              <cx:f>_xlchart.v1.2</cx:f>
              <cx:v>Total Heliconoides inflatus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2D90544-3A08-4A84-8A75-4904CBBC567F}">
          <cx:tx>
            <cx:txData>
              <cx:f>_xlchart.v1.4</cx:f>
              <cx:v>Total Heliconoides inflatus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C140CB4-6E0C-4BCF-B6A5-298CAC8FD9DC}">
          <cx:tx>
            <cx:txData>
              <cx:f>_xlchart.v1.6</cx:f>
              <cx:v>Total Limacina bulimoides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63C56D6-EFE5-49BB-B842-231E7CB94EC7}">
          <cx:tx>
            <cx:txData>
              <cx:f>_xlchart.v1.8</cx:f>
              <cx:v>Total Creseis sp.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7C4FCE08-A796-4F9A-81AC-38E50B9FE74F}">
          <cx:tx>
            <cx:txData>
              <cx:f>_xlchart.v1.10</cx:f>
              <cx:v>Total Creseis conica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E4E3E520-84FE-4742-B8FD-44647D259559}">
          <cx:tx>
            <cx:txData>
              <cx:f>_xlchart.v1.12</cx:f>
              <cx:v>Total Creseis acicula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5534E46-63C3-4CE0-8665-5D1FC32718CE}">
          <cx:tx>
            <cx:txData>
              <cx:f>_xlchart.v1.14</cx:f>
              <cx:v>Total Clio cuspidata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D95DB17A-EFCA-49FF-9B50-80C1C9B135AC}">
          <cx:tx>
            <cx:txData>
              <cx:f>_xlchart.v1.16</cx:f>
              <cx:v>Total Clio pyramidata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F8C7AF72-E0FF-4725-AA8E-7FE7AE8A8A25}">
          <cx:tx>
            <cx:txData>
              <cx:f>_xlchart.v1.18</cx:f>
              <cx:v>Total Cavolinia sp.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34F9ABB1-46FB-4E46-A05C-92E7C0B57BEB}">
          <cx:tx>
            <cx:txData>
              <cx:f>_xlchart.v1.20</cx:f>
              <cx:v>Total Clionidarum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20.xml"/><Relationship Id="rId7" Type="http://schemas.openxmlformats.org/officeDocument/2006/relationships/chart" Target="../charts/chart23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microsoft.com/office/2014/relationships/chartEx" Target="../charts/chartEx1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chart" Target="../charts/chart36.xml"/><Relationship Id="rId3" Type="http://schemas.openxmlformats.org/officeDocument/2006/relationships/chart" Target="../charts/chart27.xml"/><Relationship Id="rId7" Type="http://schemas.openxmlformats.org/officeDocument/2006/relationships/chart" Target="../charts/chart30.xml"/><Relationship Id="rId12" Type="http://schemas.openxmlformats.org/officeDocument/2006/relationships/chart" Target="../charts/chart35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image" Target="../media/image1.jpeg"/><Relationship Id="rId11" Type="http://schemas.openxmlformats.org/officeDocument/2006/relationships/chart" Target="../charts/chart34.xml"/><Relationship Id="rId5" Type="http://schemas.openxmlformats.org/officeDocument/2006/relationships/chart" Target="../charts/chart29.xml"/><Relationship Id="rId10" Type="http://schemas.openxmlformats.org/officeDocument/2006/relationships/chart" Target="../charts/chart33.xml"/><Relationship Id="rId4" Type="http://schemas.openxmlformats.org/officeDocument/2006/relationships/chart" Target="../charts/chart28.xml"/><Relationship Id="rId9" Type="http://schemas.openxmlformats.org/officeDocument/2006/relationships/chart" Target="../charts/chart32.xml"/><Relationship Id="rId14" Type="http://schemas.openxmlformats.org/officeDocument/2006/relationships/chart" Target="../charts/chart3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5.xml"/><Relationship Id="rId13" Type="http://schemas.openxmlformats.org/officeDocument/2006/relationships/chart" Target="../charts/chart50.xml"/><Relationship Id="rId3" Type="http://schemas.openxmlformats.org/officeDocument/2006/relationships/chart" Target="../charts/chart40.xml"/><Relationship Id="rId7" Type="http://schemas.openxmlformats.org/officeDocument/2006/relationships/chart" Target="../charts/chart44.xml"/><Relationship Id="rId12" Type="http://schemas.openxmlformats.org/officeDocument/2006/relationships/chart" Target="../charts/chart49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11" Type="http://schemas.openxmlformats.org/officeDocument/2006/relationships/chart" Target="../charts/chart48.xml"/><Relationship Id="rId5" Type="http://schemas.openxmlformats.org/officeDocument/2006/relationships/chart" Target="../charts/chart42.xml"/><Relationship Id="rId10" Type="http://schemas.openxmlformats.org/officeDocument/2006/relationships/chart" Target="../charts/chart47.xml"/><Relationship Id="rId4" Type="http://schemas.openxmlformats.org/officeDocument/2006/relationships/chart" Target="../charts/chart41.xml"/><Relationship Id="rId9" Type="http://schemas.openxmlformats.org/officeDocument/2006/relationships/chart" Target="../charts/chart46.xml"/><Relationship Id="rId14" Type="http://schemas.openxmlformats.org/officeDocument/2006/relationships/chart" Target="../charts/chart5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359978</xdr:colOff>
      <xdr:row>0</xdr:row>
      <xdr:rowOff>0</xdr:rowOff>
    </xdr:from>
    <xdr:to>
      <xdr:col>20</xdr:col>
      <xdr:colOff>75143</xdr:colOff>
      <xdr:row>15</xdr:row>
      <xdr:rowOff>21771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8B255E-3744-8D58-F639-0B13F819B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319423</xdr:colOff>
      <xdr:row>15</xdr:row>
      <xdr:rowOff>52100</xdr:rowOff>
    </xdr:from>
    <xdr:to>
      <xdr:col>20</xdr:col>
      <xdr:colOff>42332</xdr:colOff>
      <xdr:row>30</xdr:row>
      <xdr:rowOff>53254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1EBA97-DA72-2A0A-E4CB-9643C7BD3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428625</xdr:colOff>
      <xdr:row>0</xdr:row>
      <xdr:rowOff>0</xdr:rowOff>
    </xdr:from>
    <xdr:to>
      <xdr:col>28</xdr:col>
      <xdr:colOff>143790</xdr:colOff>
      <xdr:row>15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2DE04-5159-473A-A700-24B035706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428625</xdr:colOff>
      <xdr:row>15</xdr:row>
      <xdr:rowOff>47626</xdr:rowOff>
    </xdr:from>
    <xdr:to>
      <xdr:col>28</xdr:col>
      <xdr:colOff>142875</xdr:colOff>
      <xdr:row>30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16C5D2-6086-425B-86AD-73C43E328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313134</xdr:colOff>
      <xdr:row>31</xdr:row>
      <xdr:rowOff>2030</xdr:rowOff>
    </xdr:from>
    <xdr:to>
      <xdr:col>20</xdr:col>
      <xdr:colOff>24723</xdr:colOff>
      <xdr:row>45</xdr:row>
      <xdr:rowOff>78230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F0E2E5-12AA-885F-6109-75515FE31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428625</xdr:colOff>
      <xdr:row>31</xdr:row>
      <xdr:rowOff>0</xdr:rowOff>
    </xdr:from>
    <xdr:to>
      <xdr:col>28</xdr:col>
      <xdr:colOff>158257</xdr:colOff>
      <xdr:row>46</xdr:row>
      <xdr:rowOff>1154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F9459C-56FD-45F2-8006-822D20F23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2722</xdr:rowOff>
    </xdr:from>
    <xdr:to>
      <xdr:col>7</xdr:col>
      <xdr:colOff>317500</xdr:colOff>
      <xdr:row>34</xdr:row>
      <xdr:rowOff>24494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1122A-6155-8FA4-1D4A-A989D62FC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317500</xdr:colOff>
      <xdr:row>34</xdr:row>
      <xdr:rowOff>21772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582DD-D86A-4836-BD69-FDC7C63BE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23</xdr:col>
      <xdr:colOff>317500</xdr:colOff>
      <xdr:row>34</xdr:row>
      <xdr:rowOff>21772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E345D4-72EF-4291-B196-B6F9B22D0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19</xdr:row>
      <xdr:rowOff>0</xdr:rowOff>
    </xdr:from>
    <xdr:to>
      <xdr:col>31</xdr:col>
      <xdr:colOff>317500</xdr:colOff>
      <xdr:row>34</xdr:row>
      <xdr:rowOff>21772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0CDFDB-89F4-4B3A-9FC0-1317E10B5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19</xdr:row>
      <xdr:rowOff>0</xdr:rowOff>
    </xdr:from>
    <xdr:to>
      <xdr:col>39</xdr:col>
      <xdr:colOff>317500</xdr:colOff>
      <xdr:row>34</xdr:row>
      <xdr:rowOff>21772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DA1B09-F155-4037-BDEA-82903A3A0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317500</xdr:colOff>
      <xdr:row>50</xdr:row>
      <xdr:rowOff>21771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9DE7F8-AC89-40F9-BD9E-895FAC7F2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15</xdr:col>
      <xdr:colOff>317500</xdr:colOff>
      <xdr:row>50</xdr:row>
      <xdr:rowOff>21771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876D6A-2ED3-4ED8-AB58-170901D83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35</xdr:row>
      <xdr:rowOff>0</xdr:rowOff>
    </xdr:from>
    <xdr:to>
      <xdr:col>23</xdr:col>
      <xdr:colOff>317500</xdr:colOff>
      <xdr:row>50</xdr:row>
      <xdr:rowOff>21771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191ABD-50DE-492E-8812-2BF1AE356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35</xdr:row>
      <xdr:rowOff>0</xdr:rowOff>
    </xdr:from>
    <xdr:to>
      <xdr:col>31</xdr:col>
      <xdr:colOff>317500</xdr:colOff>
      <xdr:row>50</xdr:row>
      <xdr:rowOff>21771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567F0F5-DCF7-499D-8F5C-79F969665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35</xdr:row>
      <xdr:rowOff>0</xdr:rowOff>
    </xdr:from>
    <xdr:to>
      <xdr:col>39</xdr:col>
      <xdr:colOff>317500</xdr:colOff>
      <xdr:row>50</xdr:row>
      <xdr:rowOff>21771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89848B-C2C4-4692-9365-AFA15E40B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48</xdr:col>
      <xdr:colOff>317501</xdr:colOff>
      <xdr:row>15</xdr:row>
      <xdr:rowOff>21772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90A3C72-0E26-4794-A159-76BED95FC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529166</xdr:colOff>
      <xdr:row>0</xdr:row>
      <xdr:rowOff>0</xdr:rowOff>
    </xdr:from>
    <xdr:to>
      <xdr:col>30</xdr:col>
      <xdr:colOff>548216</xdr:colOff>
      <xdr:row>24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F0DE1-6201-18B9-0DBC-EACAD97A3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4762</xdr:rowOff>
    </xdr:from>
    <xdr:to>
      <xdr:col>7</xdr:col>
      <xdr:colOff>304800</xdr:colOff>
      <xdr:row>32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45189-D4FE-55E3-2B64-2E861D528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E9632A-4F6A-4F4E-9A9A-2088F9C2D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588065</xdr:colOff>
      <xdr:row>34</xdr:row>
      <xdr:rowOff>7211</xdr:rowOff>
    </xdr:from>
    <xdr:to>
      <xdr:col>12</xdr:col>
      <xdr:colOff>248478</xdr:colOff>
      <xdr:row>50</xdr:row>
      <xdr:rowOff>8282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46BDFF-015A-4190-A04D-EA456526F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8281</xdr:colOff>
      <xdr:row>24</xdr:row>
      <xdr:rowOff>69573</xdr:rowOff>
    </xdr:from>
    <xdr:to>
      <xdr:col>26</xdr:col>
      <xdr:colOff>596348</xdr:colOff>
      <xdr:row>47</xdr:row>
      <xdr:rowOff>33130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99DFAB-3F5E-5C55-3CB6-06EEA5BC1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264584</xdr:colOff>
      <xdr:row>27</xdr:row>
      <xdr:rowOff>62441</xdr:rowOff>
    </xdr:from>
    <xdr:to>
      <xdr:col>34</xdr:col>
      <xdr:colOff>539751</xdr:colOff>
      <xdr:row>41</xdr:row>
      <xdr:rowOff>138641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934F345-D6DB-679E-E405-968D3E443F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23784" y="5205941"/>
              <a:ext cx="45423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599600</xdr:colOff>
      <xdr:row>0</xdr:row>
      <xdr:rowOff>0</xdr:rowOff>
    </xdr:from>
    <xdr:to>
      <xdr:col>39</xdr:col>
      <xdr:colOff>260933</xdr:colOff>
      <xdr:row>14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3E738C-B0BE-1C3D-5D48-69611E004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123263</xdr:colOff>
      <xdr:row>14</xdr:row>
      <xdr:rowOff>180975</xdr:rowOff>
    </xdr:from>
    <xdr:to>
      <xdr:col>59</xdr:col>
      <xdr:colOff>600074</xdr:colOff>
      <xdr:row>37</xdr:row>
      <xdr:rowOff>54908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FBE038-6096-862D-40BB-B890B65BD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9524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505DE-37D4-440C-99F2-DF06B63B1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609599</xdr:colOff>
      <xdr:row>0</xdr:row>
      <xdr:rowOff>0</xdr:rowOff>
    </xdr:from>
    <xdr:to>
      <xdr:col>20</xdr:col>
      <xdr:colOff>9524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EC02CF-0704-482A-998A-A5ECA9793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190499</xdr:rowOff>
    </xdr:from>
    <xdr:to>
      <xdr:col>10</xdr:col>
      <xdr:colOff>0</xdr:colOff>
      <xdr:row>40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978E6B-F311-491E-87F2-B36045722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609599</xdr:colOff>
      <xdr:row>20</xdr:row>
      <xdr:rowOff>190499</xdr:rowOff>
    </xdr:from>
    <xdr:to>
      <xdr:col>20</xdr:col>
      <xdr:colOff>28574</xdr:colOff>
      <xdr:row>40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ED83D2-E3EF-4F23-B5B8-4EF4D5396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40379</xdr:colOff>
      <xdr:row>33</xdr:row>
      <xdr:rowOff>8969</xdr:rowOff>
    </xdr:from>
    <xdr:to>
      <xdr:col>48</xdr:col>
      <xdr:colOff>357188</xdr:colOff>
      <xdr:row>65</xdr:row>
      <xdr:rowOff>63397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D9AC48-806F-4F5B-9AFF-A2A0F4EFC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B80811EF-B580-67C4-620A-85E765B39DFE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48</xdr:col>
      <xdr:colOff>466148</xdr:colOff>
      <xdr:row>13</xdr:row>
      <xdr:rowOff>58449</xdr:rowOff>
    </xdr:from>
    <xdr:to>
      <xdr:col>62</xdr:col>
      <xdr:colOff>400781</xdr:colOff>
      <xdr:row>38</xdr:row>
      <xdr:rowOff>141617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31A6E1-8AEF-013C-430F-BF50A8B7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84148" y="2534949"/>
          <a:ext cx="8602383" cy="4845668"/>
        </a:xfrm>
        <a:prstGeom prst="rect">
          <a:avLst/>
        </a:prstGeom>
      </xdr:spPr>
    </xdr:pic>
    <xdr:clientData/>
  </xdr:twoCellAnchor>
  <xdr:twoCellAnchor>
    <xdr:from>
      <xdr:col>31</xdr:col>
      <xdr:colOff>17319</xdr:colOff>
      <xdr:row>0</xdr:row>
      <xdr:rowOff>0</xdr:rowOff>
    </xdr:from>
    <xdr:to>
      <xdr:col>48</xdr:col>
      <xdr:colOff>259773</xdr:colOff>
      <xdr:row>32</xdr:row>
      <xdr:rowOff>34636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FA065E-3E63-4FDD-8CC4-349F4D6B9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15875</xdr:colOff>
      <xdr:row>41</xdr:row>
      <xdr:rowOff>0</xdr:rowOff>
    </xdr:from>
    <xdr:to>
      <xdr:col>10</xdr:col>
      <xdr:colOff>0</xdr:colOff>
      <xdr:row>60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148FD8-5288-420F-8C9A-F9687BD4F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20</xdr:col>
      <xdr:colOff>0</xdr:colOff>
      <xdr:row>60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82B663-354B-4D78-88BB-BC97B2C54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13607</xdr:colOff>
      <xdr:row>0</xdr:row>
      <xdr:rowOff>0</xdr:rowOff>
    </xdr:from>
    <xdr:to>
      <xdr:col>30</xdr:col>
      <xdr:colOff>40821</xdr:colOff>
      <xdr:row>20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F3443FF-0403-461F-85CC-8DBB74648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0</xdr:colOff>
      <xdr:row>21</xdr:row>
      <xdr:rowOff>0</xdr:rowOff>
    </xdr:from>
    <xdr:to>
      <xdr:col>30</xdr:col>
      <xdr:colOff>34636</xdr:colOff>
      <xdr:row>40</xdr:row>
      <xdr:rowOff>17318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1F7AEE2-A62D-455D-B8C3-D249A0DA4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127000</xdr:colOff>
      <xdr:row>60</xdr:row>
      <xdr:rowOff>63500</xdr:rowOff>
    </xdr:from>
    <xdr:to>
      <xdr:col>10</xdr:col>
      <xdr:colOff>0</xdr:colOff>
      <xdr:row>79</xdr:row>
      <xdr:rowOff>88900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0B96B79-DC37-4BB6-8D1F-D1386F830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41</xdr:row>
      <xdr:rowOff>0</xdr:rowOff>
    </xdr:from>
    <xdr:to>
      <xdr:col>30</xdr:col>
      <xdr:colOff>25400</xdr:colOff>
      <xdr:row>59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25064EA-09AD-4BF1-93E9-DB232243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0</xdr:colOff>
      <xdr:row>60</xdr:row>
      <xdr:rowOff>0</xdr:rowOff>
    </xdr:from>
    <xdr:to>
      <xdr:col>30</xdr:col>
      <xdr:colOff>0</xdr:colOff>
      <xdr:row>78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F194456-410C-4DAA-907E-F2349DF95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9897</xdr:colOff>
      <xdr:row>3</xdr:row>
      <xdr:rowOff>180604</xdr:rowOff>
    </xdr:from>
    <xdr:to>
      <xdr:col>34</xdr:col>
      <xdr:colOff>352342</xdr:colOff>
      <xdr:row>13</xdr:row>
      <xdr:rowOff>99105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C6D6FF-8481-4835-9FA8-D98740ED1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68</xdr:row>
      <xdr:rowOff>56030</xdr:rowOff>
    </xdr:from>
    <xdr:to>
      <xdr:col>10</xdr:col>
      <xdr:colOff>318567</xdr:colOff>
      <xdr:row>78</xdr:row>
      <xdr:rowOff>44824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079B73-60B3-49C6-9F87-1C1DFBC9C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345911</xdr:colOff>
      <xdr:row>9</xdr:row>
      <xdr:rowOff>116152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28CAF5-17B5-4C69-8DB1-719D69996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140694</xdr:rowOff>
    </xdr:from>
    <xdr:to>
      <xdr:col>10</xdr:col>
      <xdr:colOff>336261</xdr:colOff>
      <xdr:row>19</xdr:row>
      <xdr:rowOff>59196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694857-F970-4A4F-A738-633375591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87</xdr:row>
      <xdr:rowOff>80491</xdr:rowOff>
    </xdr:from>
    <xdr:to>
      <xdr:col>10</xdr:col>
      <xdr:colOff>344463</xdr:colOff>
      <xdr:row>97</xdr:row>
      <xdr:rowOff>19405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C96859-FE2E-405C-8F9C-8A8E12F15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19</xdr:row>
      <xdr:rowOff>16332</xdr:rowOff>
    </xdr:from>
    <xdr:to>
      <xdr:col>10</xdr:col>
      <xdr:colOff>336261</xdr:colOff>
      <xdr:row>28</xdr:row>
      <xdr:rowOff>134600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B79FC9F-29AE-4093-8BDF-818DA8A54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28</xdr:row>
      <xdr:rowOff>68919</xdr:rowOff>
    </xdr:from>
    <xdr:to>
      <xdr:col>10</xdr:col>
      <xdr:colOff>336261</xdr:colOff>
      <xdr:row>38</xdr:row>
      <xdr:rowOff>8142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E77064A-07EF-4964-BFDF-9C4A61687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77</xdr:row>
      <xdr:rowOff>166249</xdr:rowOff>
    </xdr:from>
    <xdr:to>
      <xdr:col>10</xdr:col>
      <xdr:colOff>330401</xdr:colOff>
      <xdr:row>87</xdr:row>
      <xdr:rowOff>93434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6CF3D89-7460-4DB3-A84A-4D9538AD2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96</xdr:row>
      <xdr:rowOff>164202</xdr:rowOff>
    </xdr:from>
    <xdr:to>
      <xdr:col>10</xdr:col>
      <xdr:colOff>381000</xdr:colOff>
      <xdr:row>108</xdr:row>
      <xdr:rowOff>44301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2FBAD54-27F3-4A2C-B91F-728140405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216478</xdr:colOff>
      <xdr:row>28</xdr:row>
      <xdr:rowOff>67539</xdr:rowOff>
    </xdr:from>
    <xdr:to>
      <xdr:col>39</xdr:col>
      <xdr:colOff>385949</xdr:colOff>
      <xdr:row>45</xdr:row>
      <xdr:rowOff>101743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2DA7C91-CB31-40C6-8AD4-B782E55E2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57</xdr:row>
      <xdr:rowOff>0</xdr:rowOff>
    </xdr:from>
    <xdr:to>
      <xdr:col>23</xdr:col>
      <xdr:colOff>533400</xdr:colOff>
      <xdr:row>73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3DB6C1-4412-4E19-ABDF-189AE2E7A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0</xdr:colOff>
      <xdr:row>57</xdr:row>
      <xdr:rowOff>0</xdr:rowOff>
    </xdr:from>
    <xdr:to>
      <xdr:col>35</xdr:col>
      <xdr:colOff>177098</xdr:colOff>
      <xdr:row>71</xdr:row>
      <xdr:rowOff>103367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59B433-08F5-4D4D-A9B1-35882CE09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49</xdr:row>
      <xdr:rowOff>36738</xdr:rowOff>
    </xdr:from>
    <xdr:to>
      <xdr:col>10</xdr:col>
      <xdr:colOff>406065</xdr:colOff>
      <xdr:row>59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2C6E09-362B-4EE5-B36C-97FF2F343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37</xdr:row>
      <xdr:rowOff>142875</xdr:rowOff>
    </xdr:from>
    <xdr:to>
      <xdr:col>10</xdr:col>
      <xdr:colOff>342900</xdr:colOff>
      <xdr:row>49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A2231C-4345-4413-BDB9-704DBA87E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176211</xdr:rowOff>
    </xdr:from>
    <xdr:to>
      <xdr:col>19</xdr:col>
      <xdr:colOff>0</xdr:colOff>
      <xdr:row>18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4E451-E0B1-5A94-C637-FA7A10A6C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323849</xdr:colOff>
      <xdr:row>0</xdr:row>
      <xdr:rowOff>185737</xdr:rowOff>
    </xdr:from>
    <xdr:to>
      <xdr:col>13</xdr:col>
      <xdr:colOff>314324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0EEA5-5097-6685-B625-E450D768E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0</xdr:rowOff>
    </xdr:from>
    <xdr:to>
      <xdr:col>17</xdr:col>
      <xdr:colOff>9525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A0602-6DDD-96A2-DC2C-9E6C432F6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3</xdr:row>
      <xdr:rowOff>52387</xdr:rowOff>
    </xdr:from>
    <xdr:to>
      <xdr:col>20</xdr:col>
      <xdr:colOff>190500</xdr:colOff>
      <xdr:row>17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934EF8-5959-2E2D-444C-DF7F23630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14287</xdr:rowOff>
    </xdr:from>
    <xdr:to>
      <xdr:col>13</xdr:col>
      <xdr:colOff>314325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8422E-28D4-0B39-76C6-08F9D6555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6</xdr:row>
      <xdr:rowOff>42862</xdr:rowOff>
    </xdr:from>
    <xdr:to>
      <xdr:col>17</xdr:col>
      <xdr:colOff>447675</xdr:colOff>
      <xdr:row>20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65156-D2A4-E2BB-3F5E-1C877FA26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Bachelor%20thesis\T89-16t%20.xlsx" TargetMode="External"/><Relationship Id="rId1" Type="http://schemas.openxmlformats.org/officeDocument/2006/relationships/externalLinkPath" Target="T89-16t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Bachelor%20thesis\SST%20reconstruction%20Schneider%20et%20al.,%201995.xlsx" TargetMode="External"/><Relationship Id="rId1" Type="http://schemas.openxmlformats.org/officeDocument/2006/relationships/externalLinkPath" Target="SST%20reconstruction%20Schneider%20et%20al.,%20199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ot"/>
      <sheetName val="T89-16t"/>
      <sheetName val="pteropoda"/>
      <sheetName val="CN"/>
      <sheetName val="XRF selectie"/>
      <sheetName val="XRF samples"/>
      <sheetName val="grainsize"/>
      <sheetName val="TGA"/>
      <sheetName val="agemodel 500"/>
      <sheetName val="isotopes rr"/>
      <sheetName val="Sheet1"/>
      <sheetName val="isotopes bull"/>
    </sheetNames>
    <sheetDataSet>
      <sheetData sheetId="0" refreshError="1"/>
      <sheetData sheetId="1">
        <row r="6">
          <cell r="F6">
            <v>8.7033157889999995</v>
          </cell>
          <cell r="AR6">
            <v>16.53290529695024</v>
          </cell>
          <cell r="AT6">
            <v>58.5</v>
          </cell>
          <cell r="BM6">
            <v>39.805825242718448</v>
          </cell>
          <cell r="BN6">
            <v>13.592233009708737</v>
          </cell>
        </row>
        <row r="7">
          <cell r="F7">
            <v>9.0541578949999995</v>
          </cell>
          <cell r="AR7">
            <v>2.8156996587030716</v>
          </cell>
          <cell r="AT7">
            <v>42.31</v>
          </cell>
          <cell r="BM7">
            <v>39.393939393939391</v>
          </cell>
          <cell r="BN7">
            <v>18.181818181818183</v>
          </cell>
        </row>
        <row r="8">
          <cell r="F8">
            <v>9.3412105260000011</v>
          </cell>
          <cell r="AR8">
            <v>29.481733220050977</v>
          </cell>
          <cell r="AT8">
            <v>61.2</v>
          </cell>
          <cell r="BM8">
            <v>29.10662824207493</v>
          </cell>
          <cell r="BN8">
            <v>32.853025936599394</v>
          </cell>
        </row>
        <row r="9">
          <cell r="F9">
            <v>9.5006842109999994</v>
          </cell>
          <cell r="AR9">
            <v>23.335826477187734</v>
          </cell>
          <cell r="AT9">
            <v>57.46</v>
          </cell>
          <cell r="BM9">
            <v>30.769230769230774</v>
          </cell>
          <cell r="BN9">
            <v>33.333333333333336</v>
          </cell>
        </row>
        <row r="10">
          <cell r="F10">
            <v>9.7398947370000002</v>
          </cell>
          <cell r="AR10">
            <v>18.965517241379313</v>
          </cell>
          <cell r="AT10">
            <v>54.5</v>
          </cell>
          <cell r="BM10">
            <v>28.409090909090907</v>
          </cell>
          <cell r="BN10">
            <v>39.772727272727273</v>
          </cell>
        </row>
        <row r="11">
          <cell r="F11">
            <v>10.058842109999999</v>
          </cell>
          <cell r="AR11">
            <v>26.730564430244939</v>
          </cell>
          <cell r="AT11">
            <v>50.5</v>
          </cell>
          <cell r="BM11">
            <v>35.059760956175296</v>
          </cell>
          <cell r="BN11">
            <v>31.474103585657371</v>
          </cell>
        </row>
        <row r="12">
          <cell r="F12">
            <v>10.298052630000001</v>
          </cell>
          <cell r="AR12">
            <v>15.375302663438257</v>
          </cell>
          <cell r="AT12">
            <v>50.6</v>
          </cell>
          <cell r="BM12">
            <v>26.771653543307085</v>
          </cell>
          <cell r="BN12">
            <v>35.433070866141733</v>
          </cell>
        </row>
        <row r="13">
          <cell r="F13">
            <v>10.53726316</v>
          </cell>
          <cell r="AR13">
            <v>23.642943305186975</v>
          </cell>
          <cell r="AT13">
            <v>45.5</v>
          </cell>
          <cell r="BM13">
            <v>32.142857142857139</v>
          </cell>
          <cell r="BN13">
            <v>30.612244897959183</v>
          </cell>
        </row>
        <row r="14">
          <cell r="F14">
            <v>10.69673684</v>
          </cell>
          <cell r="AR14">
            <v>18.243243243243246</v>
          </cell>
          <cell r="AT14">
            <v>44.4</v>
          </cell>
          <cell r="BM14">
            <v>35.978835978835981</v>
          </cell>
          <cell r="BN14">
            <v>33.862433862433861</v>
          </cell>
        </row>
        <row r="15">
          <cell r="F15">
            <v>10.935947369999999</v>
          </cell>
          <cell r="AR15">
            <v>21.963070942662782</v>
          </cell>
          <cell r="AT15">
            <v>44.9</v>
          </cell>
          <cell r="BM15">
            <v>34.513274336283189</v>
          </cell>
          <cell r="BN15">
            <v>34.955752212389378</v>
          </cell>
        </row>
        <row r="16">
          <cell r="F16">
            <v>11.095421050000001</v>
          </cell>
          <cell r="AR16">
            <v>22.107674684994272</v>
          </cell>
          <cell r="AT16">
            <v>43.7</v>
          </cell>
          <cell r="BM16">
            <v>22.279792746113987</v>
          </cell>
          <cell r="BN16">
            <v>36.269430051813472</v>
          </cell>
        </row>
        <row r="17">
          <cell r="F17">
            <v>11.33463158</v>
          </cell>
          <cell r="AR17">
            <v>23.593618807724599</v>
          </cell>
          <cell r="AT17">
            <v>51.6</v>
          </cell>
          <cell r="BM17">
            <v>30.987544483985765</v>
          </cell>
          <cell r="BN17">
            <v>40.258007117437721</v>
          </cell>
        </row>
        <row r="18">
          <cell r="F18">
            <v>11.49410526</v>
          </cell>
          <cell r="AR18">
            <v>22.672064777327932</v>
          </cell>
          <cell r="AT18">
            <v>57.4</v>
          </cell>
          <cell r="BM18">
            <v>23.660714285714288</v>
          </cell>
          <cell r="BN18">
            <v>40.625</v>
          </cell>
        </row>
        <row r="19">
          <cell r="F19">
            <v>11.76807767</v>
          </cell>
          <cell r="AR19">
            <v>40.867810292633706</v>
          </cell>
          <cell r="AT19">
            <v>58</v>
          </cell>
          <cell r="BM19">
            <v>34.814814814814817</v>
          </cell>
          <cell r="BN19">
            <v>34.814814814814817</v>
          </cell>
        </row>
        <row r="20">
          <cell r="F20">
            <v>12.140504849999999</v>
          </cell>
          <cell r="AR20">
            <v>27.452596867271225</v>
          </cell>
          <cell r="AT20">
            <v>50.2</v>
          </cell>
          <cell r="BM20">
            <v>29.42942942942943</v>
          </cell>
          <cell r="BN20">
            <v>28.828828828828829</v>
          </cell>
        </row>
        <row r="21">
          <cell r="F21">
            <v>12.41982524</v>
          </cell>
          <cell r="AR21">
            <v>26.169064748201439</v>
          </cell>
          <cell r="AT21">
            <v>40.799999999999997</v>
          </cell>
          <cell r="BM21">
            <v>29.209621993127147</v>
          </cell>
          <cell r="BN21">
            <v>40.893470790378004</v>
          </cell>
        </row>
        <row r="22">
          <cell r="F22">
            <v>12.54809326</v>
          </cell>
          <cell r="AR22">
            <v>44.339622641509436</v>
          </cell>
          <cell r="AT22">
            <v>42.7</v>
          </cell>
          <cell r="BM22">
            <v>43.53518821603928</v>
          </cell>
          <cell r="BN22">
            <v>25.695581014729953</v>
          </cell>
        </row>
        <row r="23">
          <cell r="F23">
            <v>12.60545078</v>
          </cell>
          <cell r="AR23">
            <v>32.745398773006137</v>
          </cell>
          <cell r="AT23">
            <v>41.7</v>
          </cell>
          <cell r="BM23">
            <v>39.344262295081968</v>
          </cell>
          <cell r="BN23">
            <v>27.634660421545668</v>
          </cell>
        </row>
        <row r="24">
          <cell r="F24">
            <v>12.681927460000001</v>
          </cell>
          <cell r="AR24">
            <v>42.597898758357211</v>
          </cell>
          <cell r="AT24">
            <v>46.9</v>
          </cell>
          <cell r="BM24">
            <v>41.255605381165921</v>
          </cell>
          <cell r="BN24">
            <v>24.215246636771301</v>
          </cell>
        </row>
        <row r="25">
          <cell r="F25">
            <v>12.73928497</v>
          </cell>
          <cell r="AR25">
            <v>69.409660107334531</v>
          </cell>
          <cell r="AT25">
            <v>52.1</v>
          </cell>
          <cell r="BM25">
            <v>39.432989690721655</v>
          </cell>
          <cell r="BN25">
            <v>18.298969072164951</v>
          </cell>
        </row>
        <row r="26">
          <cell r="F26">
            <v>12.81576166</v>
          </cell>
          <cell r="AR26">
            <v>264.21455938697318</v>
          </cell>
          <cell r="AT26">
            <v>77.900000000000006</v>
          </cell>
          <cell r="BM26">
            <v>48.259860788863108</v>
          </cell>
          <cell r="BN26">
            <v>16.705336426914155</v>
          </cell>
        </row>
        <row r="27">
          <cell r="F27">
            <v>12.90434014</v>
          </cell>
          <cell r="AR27">
            <v>262.89962825278809</v>
          </cell>
          <cell r="AT27">
            <v>78.5</v>
          </cell>
          <cell r="BM27">
            <v>47.285067873303163</v>
          </cell>
          <cell r="BN27">
            <v>15.384615384615383</v>
          </cell>
        </row>
        <row r="28">
          <cell r="F28">
            <v>12.954680270000001</v>
          </cell>
          <cell r="AR28">
            <v>240.10484927916121</v>
          </cell>
          <cell r="AT28">
            <v>79.900000000000006</v>
          </cell>
          <cell r="BM28">
            <v>51.091703056768559</v>
          </cell>
          <cell r="BN28">
            <v>14.410480349344978</v>
          </cell>
        </row>
        <row r="29">
          <cell r="F29">
            <v>13.035224490000001</v>
          </cell>
          <cell r="AR29">
            <v>36.942675159235669</v>
          </cell>
          <cell r="AT29">
            <v>18.2</v>
          </cell>
          <cell r="BM29">
            <v>46.982758620689658</v>
          </cell>
          <cell r="BN29">
            <v>15.086206896551724</v>
          </cell>
        </row>
        <row r="30">
          <cell r="F30">
            <v>13.135904759999999</v>
          </cell>
          <cell r="AR30">
            <v>61.16642958748222</v>
          </cell>
          <cell r="AT30">
            <v>26.3</v>
          </cell>
          <cell r="BM30">
            <v>47.441860465116278</v>
          </cell>
          <cell r="BN30">
            <v>15.813953488372093</v>
          </cell>
        </row>
        <row r="31">
          <cell r="F31">
            <v>13.21141497</v>
          </cell>
          <cell r="AR31">
            <v>61.661129568106311</v>
          </cell>
          <cell r="AT31">
            <v>42.7</v>
          </cell>
          <cell r="BM31">
            <v>49.137931034482762</v>
          </cell>
          <cell r="BN31">
            <v>15.517241379310345</v>
          </cell>
        </row>
        <row r="32">
          <cell r="F32">
            <v>13.234950000000001</v>
          </cell>
          <cell r="AR32">
            <v>60.981496379726472</v>
          </cell>
          <cell r="AT32">
            <v>33</v>
          </cell>
          <cell r="BM32">
            <v>47.229551451187334</v>
          </cell>
          <cell r="BN32">
            <v>14.248021108179419</v>
          </cell>
        </row>
        <row r="33">
          <cell r="F33">
            <v>13.25685</v>
          </cell>
          <cell r="AR33">
            <v>101.42671854734111</v>
          </cell>
          <cell r="AT33">
            <v>60.6</v>
          </cell>
          <cell r="BM33">
            <v>51.918158567774938</v>
          </cell>
          <cell r="BN33">
            <v>10.997442455242966</v>
          </cell>
        </row>
        <row r="34">
          <cell r="F34">
            <v>13.286049999999999</v>
          </cell>
          <cell r="AR34">
            <v>116.84542586750788</v>
          </cell>
          <cell r="AT34">
            <v>64.2</v>
          </cell>
          <cell r="BM34">
            <v>50.323974082073434</v>
          </cell>
          <cell r="BN34">
            <v>9.0712742980561565</v>
          </cell>
        </row>
        <row r="35">
          <cell r="F35">
            <v>13.310474579999999</v>
          </cell>
          <cell r="AR35">
            <v>207.2852233676976</v>
          </cell>
          <cell r="AT35">
            <v>78.2</v>
          </cell>
          <cell r="BM35">
            <v>57.294429708222808</v>
          </cell>
          <cell r="BN35">
            <v>6.6312997347480112</v>
          </cell>
        </row>
        <row r="36">
          <cell r="F36">
            <v>13.32844068</v>
          </cell>
          <cell r="AR36">
            <v>205.22875816993465</v>
          </cell>
          <cell r="AT36">
            <v>74.8</v>
          </cell>
          <cell r="BM36">
            <v>59.872611464968152</v>
          </cell>
          <cell r="BN36">
            <v>9.8726114649681538</v>
          </cell>
        </row>
        <row r="37">
          <cell r="F37">
            <v>13.4115</v>
          </cell>
          <cell r="AR37">
            <v>240</v>
          </cell>
          <cell r="AT37">
            <v>84.2</v>
          </cell>
          <cell r="BM37">
            <v>56.934306569343065</v>
          </cell>
          <cell r="BN37">
            <v>14.111922141119221</v>
          </cell>
        </row>
        <row r="38">
          <cell r="F38">
            <v>13.8215</v>
          </cell>
          <cell r="AR38">
            <v>220.26947861745754</v>
          </cell>
          <cell r="AT38">
            <v>75.599999999999994</v>
          </cell>
          <cell r="BM38">
            <v>46.808510638297875</v>
          </cell>
          <cell r="BN38">
            <v>14.042553191489361</v>
          </cell>
        </row>
        <row r="39">
          <cell r="F39">
            <v>15.297745450000001</v>
          </cell>
          <cell r="AR39">
            <v>534.11420204978037</v>
          </cell>
          <cell r="AT39">
            <v>84.1</v>
          </cell>
          <cell r="BM39">
            <v>56.798245614035089</v>
          </cell>
          <cell r="BN39">
            <v>6.5789473684210531</v>
          </cell>
        </row>
        <row r="40">
          <cell r="F40">
            <v>15.986000000000001</v>
          </cell>
          <cell r="AR40">
            <v>589.11660777385157</v>
          </cell>
          <cell r="AT40">
            <v>80.7</v>
          </cell>
          <cell r="BM40">
            <v>61.420345489443378</v>
          </cell>
          <cell r="BN40">
            <v>9.5969289827255295</v>
          </cell>
        </row>
        <row r="41">
          <cell r="F41">
            <v>16.84677778</v>
          </cell>
          <cell r="AR41">
            <v>441.96226415094338</v>
          </cell>
          <cell r="AT41">
            <v>82.6</v>
          </cell>
          <cell r="BM41">
            <v>61.202185792349724</v>
          </cell>
          <cell r="BN41">
            <v>9.8360655737704921</v>
          </cell>
        </row>
        <row r="42">
          <cell r="F42">
            <v>17.287833330000002</v>
          </cell>
          <cell r="AR42">
            <v>104.98141263940521</v>
          </cell>
          <cell r="AT42">
            <v>38.700000000000003</v>
          </cell>
          <cell r="BM42">
            <v>49.291784702549577</v>
          </cell>
          <cell r="BN42">
            <v>12.747875354107649</v>
          </cell>
        </row>
        <row r="43">
          <cell r="F43">
            <v>17.630333330000003</v>
          </cell>
          <cell r="AR43">
            <v>69.51124903025601</v>
          </cell>
          <cell r="AT43">
            <v>11</v>
          </cell>
          <cell r="BM43">
            <v>51.785714285714285</v>
          </cell>
          <cell r="BN43">
            <v>8.9285714285714288</v>
          </cell>
        </row>
        <row r="44">
          <cell r="F44">
            <v>18.46874227</v>
          </cell>
          <cell r="AR44">
            <v>918.76750700280115</v>
          </cell>
          <cell r="AT44">
            <v>43.8</v>
          </cell>
          <cell r="BM44">
            <v>65</v>
          </cell>
          <cell r="BN44">
            <v>3.9024390243902438</v>
          </cell>
        </row>
        <row r="45">
          <cell r="F45">
            <v>19.789979380000002</v>
          </cell>
          <cell r="AR45">
            <v>783.77535101404055</v>
          </cell>
          <cell r="AT45">
            <v>64.099999999999994</v>
          </cell>
          <cell r="BM45">
            <v>69.426751592356695</v>
          </cell>
          <cell r="BN45">
            <v>3.1847133757961785</v>
          </cell>
        </row>
        <row r="46">
          <cell r="F46">
            <v>20.78090722</v>
          </cell>
          <cell r="AR46">
            <v>783.71375694016035</v>
          </cell>
          <cell r="AT46">
            <v>37.700000000000003</v>
          </cell>
          <cell r="BM46">
            <v>61.712846347607055</v>
          </cell>
          <cell r="BN46">
            <v>4.7858942065491181</v>
          </cell>
        </row>
        <row r="47">
          <cell r="F47">
            <v>22.102144329999998</v>
          </cell>
          <cell r="AR47">
            <v>1317.4129353233832</v>
          </cell>
          <cell r="AT47">
            <v>63.3</v>
          </cell>
          <cell r="BM47">
            <v>61.933534743202415</v>
          </cell>
          <cell r="BN47">
            <v>2.7190332326283988</v>
          </cell>
        </row>
        <row r="48">
          <cell r="F48">
            <v>23.42338144</v>
          </cell>
          <cell r="AR48">
            <v>1330.9222423146473</v>
          </cell>
          <cell r="AT48">
            <v>65.7</v>
          </cell>
          <cell r="BM48">
            <v>63.768115942028984</v>
          </cell>
          <cell r="BN48">
            <v>2.6086956521739131</v>
          </cell>
        </row>
        <row r="49">
          <cell r="F49">
            <v>24.65007692</v>
          </cell>
          <cell r="AR49">
            <v>1210.6154714850366</v>
          </cell>
          <cell r="AT49">
            <v>68</v>
          </cell>
          <cell r="BM49">
            <v>60.298507462686572</v>
          </cell>
          <cell r="BN49">
            <v>1.1940298507462686</v>
          </cell>
        </row>
        <row r="50">
          <cell r="F50">
            <v>25.62784615</v>
          </cell>
          <cell r="AR50">
            <v>348.90077243018425</v>
          </cell>
          <cell r="AT50">
            <v>72</v>
          </cell>
          <cell r="BM50">
            <v>67.302452316076298</v>
          </cell>
          <cell r="BN50">
            <v>3.2697547683923704</v>
          </cell>
        </row>
        <row r="51">
          <cell r="F51">
            <v>26.142461539999999</v>
          </cell>
          <cell r="AR51">
            <v>367.6455435342607</v>
          </cell>
          <cell r="AT51">
            <v>65.599999999999994</v>
          </cell>
          <cell r="BM51">
            <v>59.641255605381161</v>
          </cell>
          <cell r="BN51">
            <v>8.071748878923767</v>
          </cell>
        </row>
        <row r="52">
          <cell r="F52">
            <v>26.91438462</v>
          </cell>
          <cell r="AR52">
            <v>246.69260700389106</v>
          </cell>
          <cell r="AT52">
            <v>72.400000000000006</v>
          </cell>
          <cell r="BM52">
            <v>29.337539432176655</v>
          </cell>
          <cell r="BN52">
            <v>13.564668769716089</v>
          </cell>
        </row>
        <row r="53">
          <cell r="F53">
            <v>27.840692309999998</v>
          </cell>
          <cell r="AR53">
            <v>333.70165745856355</v>
          </cell>
          <cell r="AT53">
            <v>64.5</v>
          </cell>
          <cell r="BM53">
            <v>64.238410596026483</v>
          </cell>
          <cell r="BN53">
            <v>4.9668874172185431</v>
          </cell>
        </row>
        <row r="54">
          <cell r="F54">
            <v>28.519914889999999</v>
          </cell>
          <cell r="AR54">
            <v>855.65217391304338</v>
          </cell>
          <cell r="AT54">
            <v>33.200000000000003</v>
          </cell>
          <cell r="BM54">
            <v>59.620596205962066</v>
          </cell>
          <cell r="BN54">
            <v>4.0650406504065044</v>
          </cell>
        </row>
        <row r="55">
          <cell r="F55">
            <v>29.082468089999999</v>
          </cell>
          <cell r="AR55">
            <v>1045.8658346333852</v>
          </cell>
          <cell r="AT55">
            <v>33.299999999999997</v>
          </cell>
          <cell r="BM55">
            <v>63.723150357995216</v>
          </cell>
          <cell r="BN55">
            <v>4.0572792362768499</v>
          </cell>
        </row>
        <row r="56">
          <cell r="F56">
            <v>29.47625532</v>
          </cell>
          <cell r="AR56">
            <v>454.96598639455783</v>
          </cell>
          <cell r="AT56">
            <v>30.4</v>
          </cell>
          <cell r="BM56">
            <v>58.373205741626791</v>
          </cell>
          <cell r="BN56">
            <v>4.545454545454545</v>
          </cell>
        </row>
        <row r="57">
          <cell r="F57">
            <v>30.038808509999999</v>
          </cell>
          <cell r="AR57">
            <v>250.74626865671641</v>
          </cell>
          <cell r="AT57">
            <v>63.1</v>
          </cell>
          <cell r="BM57">
            <v>55.090311986863711</v>
          </cell>
          <cell r="BN57">
            <v>7.6354679802955667</v>
          </cell>
        </row>
        <row r="58">
          <cell r="F58">
            <v>30.54510638</v>
          </cell>
          <cell r="AR58">
            <v>264.18109187749667</v>
          </cell>
          <cell r="AT58">
            <v>65.3</v>
          </cell>
          <cell r="BM58">
            <v>53.225806451612904</v>
          </cell>
          <cell r="BN58">
            <v>9.2741935483870961</v>
          </cell>
        </row>
        <row r="59">
          <cell r="F59">
            <v>30.86361905</v>
          </cell>
          <cell r="AR59">
            <v>362.3800383877159</v>
          </cell>
          <cell r="AT59">
            <v>49.5</v>
          </cell>
          <cell r="BM59">
            <v>56.779661016949156</v>
          </cell>
          <cell r="BN59">
            <v>8.1920903954802249</v>
          </cell>
        </row>
        <row r="60">
          <cell r="F60">
            <v>31.021723810000001</v>
          </cell>
          <cell r="AR60">
            <v>572.11474316210808</v>
          </cell>
          <cell r="AT60">
            <v>33.700000000000003</v>
          </cell>
          <cell r="BM60">
            <v>65.298507462686572</v>
          </cell>
          <cell r="BN60">
            <v>4.1044776119402986</v>
          </cell>
        </row>
        <row r="61">
          <cell r="F61">
            <v>31.179828570000002</v>
          </cell>
          <cell r="AR61">
            <v>388.02045288531775</v>
          </cell>
          <cell r="AT61">
            <v>48</v>
          </cell>
          <cell r="BM61">
            <v>67.771084337349407</v>
          </cell>
          <cell r="BN61">
            <v>5.4216867469879526</v>
          </cell>
        </row>
        <row r="62">
          <cell r="F62">
            <v>31.386580949999999</v>
          </cell>
          <cell r="AR62">
            <v>180.21390374331548</v>
          </cell>
          <cell r="AT62">
            <v>30.3</v>
          </cell>
          <cell r="BM62">
            <v>64.39169139465875</v>
          </cell>
          <cell r="BN62">
            <v>3.2640949554896141</v>
          </cell>
        </row>
        <row r="63">
          <cell r="F63">
            <v>31.4960381</v>
          </cell>
          <cell r="AR63">
            <v>596.36363636363637</v>
          </cell>
          <cell r="AT63">
            <v>48.4</v>
          </cell>
          <cell r="BM63">
            <v>71.080139372822302</v>
          </cell>
          <cell r="BN63">
            <v>1.0452961672473868</v>
          </cell>
        </row>
        <row r="64">
          <cell r="F64">
            <v>31.690628570000001</v>
          </cell>
          <cell r="AR64">
            <v>393.25301204819272</v>
          </cell>
          <cell r="AT64">
            <v>54.7</v>
          </cell>
          <cell r="BM64">
            <v>67.156862745098039</v>
          </cell>
          <cell r="BN64">
            <v>3.4313725490196081</v>
          </cell>
        </row>
        <row r="65">
          <cell r="F65">
            <v>31.812247619999997</v>
          </cell>
          <cell r="AR65">
            <v>427.91788856304981</v>
          </cell>
          <cell r="AT65">
            <v>41.6</v>
          </cell>
          <cell r="BM65">
            <v>65.78947368421052</v>
          </cell>
          <cell r="BN65">
            <v>3.5087719298245617</v>
          </cell>
        </row>
        <row r="66">
          <cell r="F66">
            <v>32.018999999999998</v>
          </cell>
          <cell r="AR66">
            <v>332.46753246753246</v>
          </cell>
          <cell r="AT66">
            <v>69.900000000000006</v>
          </cell>
          <cell r="BM66">
            <v>63.815789473684212</v>
          </cell>
          <cell r="BN66">
            <v>9.8684210526315788</v>
          </cell>
        </row>
        <row r="67">
          <cell r="F67">
            <v>32.540999999999997</v>
          </cell>
          <cell r="AR67">
            <v>339.67046894803548</v>
          </cell>
          <cell r="AT67">
            <v>65.900000000000006</v>
          </cell>
          <cell r="BM67">
            <v>66.268656716417908</v>
          </cell>
          <cell r="BN67">
            <v>3.2835820895522385</v>
          </cell>
        </row>
        <row r="68">
          <cell r="F68">
            <v>33.121000000000002</v>
          </cell>
          <cell r="AR68">
            <v>385.96491228070175</v>
          </cell>
          <cell r="AT68">
            <v>67</v>
          </cell>
          <cell r="BM68">
            <v>72.987012987012989</v>
          </cell>
          <cell r="BN68">
            <v>3.1168831168831166</v>
          </cell>
        </row>
        <row r="69">
          <cell r="F69">
            <v>33.701000000000001</v>
          </cell>
          <cell r="AR69">
            <v>404.22927100723433</v>
          </cell>
          <cell r="AT69">
            <v>48.8</v>
          </cell>
          <cell r="BM69">
            <v>68.281938325991192</v>
          </cell>
          <cell r="BN69">
            <v>3.9647577092511015</v>
          </cell>
        </row>
      </sheetData>
      <sheetData sheetId="2" refreshError="1"/>
      <sheetData sheetId="3" refreshError="1"/>
      <sheetData sheetId="4">
        <row r="1">
          <cell r="T1" t="str">
            <v>ln Ti/Ca 3pma</v>
          </cell>
          <cell r="V1" t="str">
            <v>ln Fe/K 3pma</v>
          </cell>
          <cell r="AB1" t="str">
            <v>ln Br</v>
          </cell>
        </row>
        <row r="2">
          <cell r="Y2">
            <v>8.6873684200000003</v>
          </cell>
          <cell r="AB2">
            <v>-5.2773137012743945</v>
          </cell>
        </row>
        <row r="3">
          <cell r="T3">
            <v>1.2007184544674683</v>
          </cell>
          <cell r="V3">
            <v>2.3335766305732855</v>
          </cell>
          <cell r="Y3">
            <v>8.7033157899999996</v>
          </cell>
          <cell r="AB3">
            <v>-5.2856694600456313</v>
          </cell>
        </row>
        <row r="4">
          <cell r="T4">
            <v>1.2249034793224851</v>
          </cell>
          <cell r="V4">
            <v>2.3354802684064313</v>
          </cell>
          <cell r="Y4">
            <v>8.7192631600000006</v>
          </cell>
          <cell r="AB4">
            <v>-5.2585936781828879</v>
          </cell>
        </row>
        <row r="5">
          <cell r="T5">
            <v>1.2509364473548226</v>
          </cell>
          <cell r="V5">
            <v>2.3288907074217859</v>
          </cell>
          <cell r="Y5">
            <v>8.7352105299999998</v>
          </cell>
          <cell r="AB5">
            <v>-5.1981420802431488</v>
          </cell>
        </row>
        <row r="6">
          <cell r="T6">
            <v>1.2646114801454607</v>
          </cell>
          <cell r="V6">
            <v>2.327129439682166</v>
          </cell>
          <cell r="Y6">
            <v>8.7511579000000008</v>
          </cell>
          <cell r="AB6">
            <v>-5.2510321927225592</v>
          </cell>
        </row>
        <row r="7">
          <cell r="T7">
            <v>1.2962595263983177</v>
          </cell>
          <cell r="V7">
            <v>2.3283348288399131</v>
          </cell>
          <cell r="Y7">
            <v>8.7671052599999992</v>
          </cell>
          <cell r="AB7">
            <v>-5.3314177315585125</v>
          </cell>
        </row>
        <row r="8">
          <cell r="T8">
            <v>1.2947969661674348</v>
          </cell>
          <cell r="V8">
            <v>2.3453167001582571</v>
          </cell>
          <cell r="Y8">
            <v>8.7830526300000002</v>
          </cell>
          <cell r="AB8">
            <v>-5.3978792321704692</v>
          </cell>
        </row>
        <row r="9">
          <cell r="T9">
            <v>1.280639655366836</v>
          </cell>
          <cell r="V9">
            <v>2.3329633329670205</v>
          </cell>
          <cell r="Y9">
            <v>8.7989999999999995</v>
          </cell>
          <cell r="AB9">
            <v>-5.3348316636459918</v>
          </cell>
        </row>
        <row r="10">
          <cell r="T10">
            <v>1.2859090477511381</v>
          </cell>
          <cell r="V10">
            <v>2.322291645192351</v>
          </cell>
          <cell r="Y10">
            <v>8.8149473700000005</v>
          </cell>
          <cell r="AB10">
            <v>-5.3611870198946141</v>
          </cell>
        </row>
        <row r="11">
          <cell r="T11">
            <v>1.2966406742574632</v>
          </cell>
          <cell r="V11">
            <v>2.3039383074280777</v>
          </cell>
          <cell r="Y11">
            <v>8.8308947399999997</v>
          </cell>
          <cell r="AB11">
            <v>-5.297339961169361</v>
          </cell>
        </row>
        <row r="12">
          <cell r="T12">
            <v>1.3101076946983812</v>
          </cell>
          <cell r="V12">
            <v>2.2965387284742147</v>
          </cell>
          <cell r="Y12">
            <v>8.8468421100000008</v>
          </cell>
          <cell r="AB12">
            <v>-5.2621598103059117</v>
          </cell>
        </row>
        <row r="13">
          <cell r="T13">
            <v>1.2730918757209455</v>
          </cell>
          <cell r="V13">
            <v>2.2999238350145159</v>
          </cell>
          <cell r="Y13">
            <v>8.8627894699999992</v>
          </cell>
          <cell r="AB13">
            <v>-5.2906809543275974</v>
          </cell>
        </row>
        <row r="14">
          <cell r="T14">
            <v>1.2456044573789207</v>
          </cell>
          <cell r="V14">
            <v>2.3047226719841443</v>
          </cell>
          <cell r="Y14">
            <v>8.8787368400000002</v>
          </cell>
          <cell r="AB14">
            <v>-5.2423107177165118</v>
          </cell>
        </row>
        <row r="15">
          <cell r="T15">
            <v>1.2374661325834397</v>
          </cell>
          <cell r="V15">
            <v>2.3132658871977236</v>
          </cell>
          <cell r="Y15">
            <v>8.8946842099999994</v>
          </cell>
          <cell r="AB15">
            <v>-5.1954995767225469</v>
          </cell>
        </row>
        <row r="16">
          <cell r="T16">
            <v>1.2525252220920899</v>
          </cell>
          <cell r="V16">
            <v>2.2981451017503804</v>
          </cell>
          <cell r="Y16">
            <v>8.9106315800000004</v>
          </cell>
          <cell r="AB16">
            <v>-5.2655407408929333</v>
          </cell>
        </row>
        <row r="17">
          <cell r="T17">
            <v>1.2581997511565011</v>
          </cell>
          <cell r="V17">
            <v>2.3018613587743708</v>
          </cell>
          <cell r="Y17">
            <v>8.9265789499999997</v>
          </cell>
          <cell r="AB17">
            <v>-5.2985404314608511</v>
          </cell>
        </row>
        <row r="18">
          <cell r="T18">
            <v>1.2817238137738338</v>
          </cell>
          <cell r="V18">
            <v>2.3050174906846732</v>
          </cell>
          <cell r="Y18">
            <v>8.9425263200000007</v>
          </cell>
          <cell r="AB18">
            <v>-5.3888187141911956</v>
          </cell>
        </row>
        <row r="19">
          <cell r="T19">
            <v>1.3036013836419693</v>
          </cell>
          <cell r="V19">
            <v>2.3258544852429375</v>
          </cell>
          <cell r="Y19">
            <v>8.9584736800000009</v>
          </cell>
          <cell r="AB19">
            <v>-5.3634154527226752</v>
          </cell>
        </row>
        <row r="20">
          <cell r="T20">
            <v>1.2797685626703414</v>
          </cell>
          <cell r="V20">
            <v>2.3252613068587862</v>
          </cell>
          <cell r="Y20">
            <v>8.9744210500000001</v>
          </cell>
          <cell r="AB20">
            <v>-5.3457045140018771</v>
          </cell>
        </row>
        <row r="21">
          <cell r="T21">
            <v>1.3203791187740574</v>
          </cell>
          <cell r="V21">
            <v>2.3390816469712514</v>
          </cell>
          <cell r="Y21">
            <v>8.9903684199999994</v>
          </cell>
          <cell r="AB21">
            <v>-5.3985745140621182</v>
          </cell>
        </row>
        <row r="22">
          <cell r="T22">
            <v>1.3257380339906317</v>
          </cell>
          <cell r="V22">
            <v>2.3443801897476129</v>
          </cell>
          <cell r="Y22">
            <v>9.0063157900000004</v>
          </cell>
          <cell r="AB22">
            <v>-5.3909795969647343</v>
          </cell>
        </row>
        <row r="23">
          <cell r="T23">
            <v>1.4221732502260238</v>
          </cell>
          <cell r="V23">
            <v>2.3475389228203754</v>
          </cell>
          <cell r="Y23">
            <v>9.0222631599999996</v>
          </cell>
          <cell r="AB23">
            <v>-5.4015773093554449</v>
          </cell>
        </row>
        <row r="24">
          <cell r="T24">
            <v>1.4114783195577358</v>
          </cell>
          <cell r="V24">
            <v>2.34761919812119</v>
          </cell>
          <cell r="Y24">
            <v>9.0382105300000006</v>
          </cell>
          <cell r="AB24">
            <v>-5.4164484568680997</v>
          </cell>
        </row>
        <row r="25">
          <cell r="T25">
            <v>1.3887765395589506</v>
          </cell>
          <cell r="V25">
            <v>2.3457538070791171</v>
          </cell>
          <cell r="Y25">
            <v>9.0541578999999999</v>
          </cell>
          <cell r="AB25">
            <v>-5.4084202198857909</v>
          </cell>
        </row>
        <row r="26">
          <cell r="T26">
            <v>1.3550099867996768</v>
          </cell>
          <cell r="V26">
            <v>2.3541065095752365</v>
          </cell>
          <cell r="Y26">
            <v>9.0701052600000001</v>
          </cell>
          <cell r="AB26">
            <v>-5.3899345006680672</v>
          </cell>
        </row>
        <row r="27">
          <cell r="T27">
            <v>1.3260592581285497</v>
          </cell>
          <cell r="V27">
            <v>2.3638771779021712</v>
          </cell>
          <cell r="Y27">
            <v>9.0860526299999993</v>
          </cell>
          <cell r="AB27">
            <v>-5.4335737365925647</v>
          </cell>
        </row>
        <row r="28">
          <cell r="T28">
            <v>1.3385788641800793</v>
          </cell>
          <cell r="V28">
            <v>2.3816059545709662</v>
          </cell>
          <cell r="Y28">
            <v>9.1020000000000003</v>
          </cell>
          <cell r="AB28">
            <v>-5.428855974548024</v>
          </cell>
        </row>
        <row r="29">
          <cell r="T29">
            <v>1.3557566384073587</v>
          </cell>
          <cell r="V29">
            <v>2.3923986106792317</v>
          </cell>
          <cell r="Y29">
            <v>9.1179473699999996</v>
          </cell>
          <cell r="AB29">
            <v>-5.4375980546913638</v>
          </cell>
        </row>
        <row r="30">
          <cell r="T30">
            <v>1.3704438304211433</v>
          </cell>
          <cell r="V30">
            <v>2.4020067434474317</v>
          </cell>
          <cell r="Y30">
            <v>9.1338947400000006</v>
          </cell>
          <cell r="AB30">
            <v>-5.3685258591133369</v>
          </cell>
        </row>
        <row r="31">
          <cell r="T31">
            <v>1.3678124757715697</v>
          </cell>
          <cell r="V31">
            <v>2.3955216763997895</v>
          </cell>
          <cell r="Y31">
            <v>9.1498421099999998</v>
          </cell>
          <cell r="AB31">
            <v>-5.3640346123067761</v>
          </cell>
        </row>
        <row r="32">
          <cell r="T32">
            <v>1.3578600849307267</v>
          </cell>
          <cell r="V32">
            <v>2.3941308766123908</v>
          </cell>
          <cell r="Y32">
            <v>9.16578947</v>
          </cell>
          <cell r="AB32">
            <v>-5.3732751482569006</v>
          </cell>
        </row>
        <row r="33">
          <cell r="T33">
            <v>1.3575119394477355</v>
          </cell>
          <cell r="V33">
            <v>2.3957814119671084</v>
          </cell>
          <cell r="Y33">
            <v>9.1817368399999992</v>
          </cell>
          <cell r="AB33">
            <v>-5.4524190900626746</v>
          </cell>
        </row>
        <row r="34">
          <cell r="T34">
            <v>1.3490087108445807</v>
          </cell>
          <cell r="V34">
            <v>2.3949224688741442</v>
          </cell>
          <cell r="Y34">
            <v>9.1976842100000002</v>
          </cell>
          <cell r="AB34">
            <v>-5.4330121446771331</v>
          </cell>
        </row>
        <row r="35">
          <cell r="T35">
            <v>1.2868948390364199</v>
          </cell>
          <cell r="V35">
            <v>2.3851852823636719</v>
          </cell>
          <cell r="Y35">
            <v>9.2136315799999995</v>
          </cell>
          <cell r="AB35">
            <v>-5.4239828417695133</v>
          </cell>
        </row>
        <row r="36">
          <cell r="T36">
            <v>1.2725593575084302</v>
          </cell>
          <cell r="V36">
            <v>2.3675964998414489</v>
          </cell>
          <cell r="Y36">
            <v>9.2295789500000005</v>
          </cell>
          <cell r="AB36">
            <v>-5.3879486740504703</v>
          </cell>
        </row>
        <row r="37">
          <cell r="T37">
            <v>1.2992983532668825</v>
          </cell>
          <cell r="V37">
            <v>2.3630549608778737</v>
          </cell>
          <cell r="Y37">
            <v>9.2455263199999997</v>
          </cell>
          <cell r="AB37">
            <v>-5.3820046262171166</v>
          </cell>
        </row>
        <row r="38">
          <cell r="T38">
            <v>1.3662358756319026</v>
          </cell>
          <cell r="V38">
            <v>2.3646974372353231</v>
          </cell>
          <cell r="Y38">
            <v>9.2614736799999999</v>
          </cell>
          <cell r="AB38">
            <v>-5.4549942061190624</v>
          </cell>
        </row>
        <row r="39">
          <cell r="T39">
            <v>1.3607502575152364</v>
          </cell>
          <cell r="V39">
            <v>2.3638055646826315</v>
          </cell>
          <cell r="Y39">
            <v>9.2774210499999992</v>
          </cell>
          <cell r="AB39">
            <v>-5.4126239727936891</v>
          </cell>
        </row>
        <row r="40">
          <cell r="T40">
            <v>1.3282847204200066</v>
          </cell>
          <cell r="V40">
            <v>2.3653396403522464</v>
          </cell>
          <cell r="Y40">
            <v>9.2933684200000002</v>
          </cell>
          <cell r="AB40">
            <v>-5.4151259015588415</v>
          </cell>
        </row>
        <row r="41">
          <cell r="T41">
            <v>1.2724680274203228</v>
          </cell>
          <cell r="V41">
            <v>2.3752554949311864</v>
          </cell>
          <cell r="Y41">
            <v>9.3093157899999994</v>
          </cell>
          <cell r="AB41">
            <v>-5.3946109272950169</v>
          </cell>
        </row>
        <row r="42">
          <cell r="T42">
            <v>1.2261044701174013</v>
          </cell>
          <cell r="V42">
            <v>2.3827609665966976</v>
          </cell>
          <cell r="Y42">
            <v>9.3252631600000004</v>
          </cell>
          <cell r="AB42">
            <v>-5.3605348767675167</v>
          </cell>
        </row>
        <row r="43">
          <cell r="T43">
            <v>1.2056776273328287</v>
          </cell>
          <cell r="V43">
            <v>2.3839217966614323</v>
          </cell>
          <cell r="Y43">
            <v>9.3412105299999997</v>
          </cell>
          <cell r="AB43">
            <v>-5.3878465109670746</v>
          </cell>
        </row>
        <row r="44">
          <cell r="T44">
            <v>1.2180050301889622</v>
          </cell>
          <cell r="V44">
            <v>2.3710519586976009</v>
          </cell>
          <cell r="Y44">
            <v>9.3571579000000007</v>
          </cell>
          <cell r="AB44">
            <v>-5.3890657528505281</v>
          </cell>
        </row>
        <row r="45">
          <cell r="T45">
            <v>1.2587142376301221</v>
          </cell>
          <cell r="V45">
            <v>2.3549014730387872</v>
          </cell>
          <cell r="Y45">
            <v>9.3731052600000009</v>
          </cell>
          <cell r="AB45">
            <v>-5.3902838293248481</v>
          </cell>
        </row>
        <row r="46">
          <cell r="T46">
            <v>1.1681406123765727</v>
          </cell>
          <cell r="V46">
            <v>2.3479004281937925</v>
          </cell>
          <cell r="Y46">
            <v>9.3890526300000001</v>
          </cell>
          <cell r="AB46">
            <v>-5.3915007415651575</v>
          </cell>
        </row>
        <row r="47">
          <cell r="T47">
            <v>1.1898532147237717</v>
          </cell>
          <cell r="V47">
            <v>2.3559226804414894</v>
          </cell>
          <cell r="Y47">
            <v>9.4049999999999994</v>
          </cell>
          <cell r="AB47">
            <v>-5.3532098994202704</v>
          </cell>
        </row>
        <row r="48">
          <cell r="T48">
            <v>1.1875606215040835</v>
          </cell>
          <cell r="V48">
            <v>2.3584291838287146</v>
          </cell>
          <cell r="Y48">
            <v>9.4209473700000004</v>
          </cell>
          <cell r="AB48">
            <v>-5.421799962480323</v>
          </cell>
        </row>
        <row r="49">
          <cell r="T49">
            <v>1.2527980170810042</v>
          </cell>
          <cell r="V49">
            <v>2.3572111790367498</v>
          </cell>
          <cell r="Y49">
            <v>9.4368947399999996</v>
          </cell>
          <cell r="AB49">
            <v>-5.388323497356593</v>
          </cell>
        </row>
        <row r="50">
          <cell r="T50">
            <v>1.1953902300004022</v>
          </cell>
          <cell r="V50">
            <v>2.3569024362248987</v>
          </cell>
          <cell r="Y50">
            <v>9.4528421100000006</v>
          </cell>
          <cell r="AB50">
            <v>-5.3370185841774989</v>
          </cell>
        </row>
        <row r="51">
          <cell r="T51">
            <v>1.202762871635545</v>
          </cell>
          <cell r="V51">
            <v>2.3579083619233798</v>
          </cell>
          <cell r="Y51">
            <v>9.4687894700000008</v>
          </cell>
          <cell r="AB51">
            <v>-5.3463479408594505</v>
          </cell>
        </row>
        <row r="52">
          <cell r="T52">
            <v>1.2615816336793684</v>
          </cell>
          <cell r="V52">
            <v>2.3578579762141403</v>
          </cell>
          <cell r="Y52">
            <v>9.4847368400000001</v>
          </cell>
          <cell r="AB52">
            <v>-5.3324709768074605</v>
          </cell>
        </row>
        <row r="53">
          <cell r="T53">
            <v>1.3432009665318987</v>
          </cell>
          <cell r="V53">
            <v>2.3466342506271514</v>
          </cell>
          <cell r="Y53">
            <v>9.5006842099999993</v>
          </cell>
          <cell r="AB53">
            <v>-5.3245292785752616</v>
          </cell>
        </row>
        <row r="54">
          <cell r="T54">
            <v>1.3130620664238013</v>
          </cell>
          <cell r="V54">
            <v>2.3484750696023284</v>
          </cell>
          <cell r="Y54">
            <v>9.5166315800000003</v>
          </cell>
          <cell r="AB54">
            <v>-5.2876129488252044</v>
          </cell>
        </row>
        <row r="55">
          <cell r="T55">
            <v>1.2967295748321013</v>
          </cell>
          <cell r="V55">
            <v>2.3481691598535339</v>
          </cell>
          <cell r="Y55">
            <v>9.5325789499999996</v>
          </cell>
          <cell r="AB55">
            <v>-5.3003553806334454</v>
          </cell>
        </row>
        <row r="56">
          <cell r="T56">
            <v>1.2826282330181416</v>
          </cell>
          <cell r="V56">
            <v>2.3448196665126186</v>
          </cell>
          <cell r="Y56">
            <v>9.5485263200000006</v>
          </cell>
          <cell r="AB56">
            <v>-5.4261770535011413</v>
          </cell>
        </row>
        <row r="57">
          <cell r="T57">
            <v>1.295182627201318</v>
          </cell>
          <cell r="V57">
            <v>2.3500567889824677</v>
          </cell>
          <cell r="Y57">
            <v>9.5644736800000008</v>
          </cell>
          <cell r="AB57">
            <v>-5.3950989965246787</v>
          </cell>
        </row>
        <row r="58">
          <cell r="T58">
            <v>1.2794444776384841</v>
          </cell>
          <cell r="V58">
            <v>2.3551907958907008</v>
          </cell>
          <cell r="Y58">
            <v>9.58042105</v>
          </cell>
          <cell r="AB58">
            <v>-5.3512537914074425</v>
          </cell>
        </row>
        <row r="59">
          <cell r="T59">
            <v>1.2454278570225392</v>
          </cell>
          <cell r="V59">
            <v>2.3684246894390539</v>
          </cell>
          <cell r="Y59">
            <v>9.5963684199999992</v>
          </cell>
          <cell r="AB59">
            <v>-5.428645103531748</v>
          </cell>
        </row>
        <row r="60">
          <cell r="T60">
            <v>1.2343264713568067</v>
          </cell>
          <cell r="V60">
            <v>2.3858486167435924</v>
          </cell>
          <cell r="Y60">
            <v>9.6123157900000002</v>
          </cell>
          <cell r="AB60">
            <v>-5.394834973101446</v>
          </cell>
        </row>
        <row r="61">
          <cell r="T61">
            <v>1.237448487769103</v>
          </cell>
          <cell r="V61">
            <v>2.4001794985064384</v>
          </cell>
          <cell r="Y61">
            <v>9.6282631599999995</v>
          </cell>
          <cell r="AB61">
            <v>-5.4643867542619988</v>
          </cell>
        </row>
        <row r="62">
          <cell r="T62">
            <v>1.2373282145771987</v>
          </cell>
          <cell r="V62">
            <v>2.3987221127165692</v>
          </cell>
          <cell r="Y62">
            <v>9.6442105300000005</v>
          </cell>
          <cell r="AB62">
            <v>-5.3654438792575974</v>
          </cell>
        </row>
        <row r="63">
          <cell r="T63">
            <v>1.2392097102549302</v>
          </cell>
          <cell r="V63">
            <v>2.3954221613397908</v>
          </cell>
          <cell r="Y63">
            <v>9.6601578999999997</v>
          </cell>
          <cell r="AB63">
            <v>-5.3420049845263859</v>
          </cell>
        </row>
        <row r="64">
          <cell r="T64">
            <v>1.2349800334854308</v>
          </cell>
          <cell r="V64">
            <v>2.4056928045174724</v>
          </cell>
          <cell r="Y64">
            <v>9.6761052599999999</v>
          </cell>
          <cell r="AB64">
            <v>-5.4531180301485849</v>
          </cell>
        </row>
        <row r="65">
          <cell r="T65">
            <v>1.2302811687880106</v>
          </cell>
          <cell r="V65">
            <v>2.4177458796679194</v>
          </cell>
          <cell r="Y65">
            <v>9.6920526299999992</v>
          </cell>
          <cell r="AB65">
            <v>-5.4434898931801907</v>
          </cell>
        </row>
        <row r="66">
          <cell r="T66">
            <v>1.2198671508297469</v>
          </cell>
          <cell r="V66">
            <v>2.4166698405607505</v>
          </cell>
          <cell r="Y66">
            <v>9.7080000000000002</v>
          </cell>
          <cell r="AB66">
            <v>-5.4240352945370764</v>
          </cell>
        </row>
        <row r="67">
          <cell r="T67">
            <v>1.2053245286719441</v>
          </cell>
          <cell r="V67">
            <v>2.4092745091602046</v>
          </cell>
          <cell r="Y67">
            <v>9.7239473699999994</v>
          </cell>
          <cell r="AB67">
            <v>-5.390757860942033</v>
          </cell>
        </row>
        <row r="68">
          <cell r="T68">
            <v>1.1846978765678253</v>
          </cell>
          <cell r="V68">
            <v>2.422819212052338</v>
          </cell>
          <cell r="Y68">
            <v>9.7398947400000004</v>
          </cell>
          <cell r="AB68">
            <v>-5.442078383353123</v>
          </cell>
        </row>
        <row r="69">
          <cell r="T69">
            <v>1.1504840257896571</v>
          </cell>
          <cell r="V69">
            <v>2.435875432430807</v>
          </cell>
          <cell r="Y69">
            <v>9.7558421099999997</v>
          </cell>
          <cell r="AB69">
            <v>-5.4449198657384619</v>
          </cell>
        </row>
        <row r="70">
          <cell r="T70">
            <v>1.1553580179108838</v>
          </cell>
          <cell r="V70">
            <v>2.4378383709452947</v>
          </cell>
          <cell r="Y70">
            <v>9.7717894699999999</v>
          </cell>
          <cell r="AB70">
            <v>-5.4045851596499199</v>
          </cell>
        </row>
        <row r="71">
          <cell r="T71">
            <v>1.1696429503698198</v>
          </cell>
          <cell r="V71">
            <v>2.420293085423685</v>
          </cell>
          <cell r="Y71">
            <v>9.7877368400000009</v>
          </cell>
          <cell r="AB71">
            <v>-5.4154023928893205</v>
          </cell>
        </row>
        <row r="72">
          <cell r="T72">
            <v>1.208730438597134</v>
          </cell>
          <cell r="V72">
            <v>2.3895867337133043</v>
          </cell>
          <cell r="Y72">
            <v>9.8036842100000001</v>
          </cell>
          <cell r="AB72">
            <v>-5.4130918695368662</v>
          </cell>
        </row>
        <row r="73">
          <cell r="T73">
            <v>1.2282978671074003</v>
          </cell>
          <cell r="V73">
            <v>2.3721046858465513</v>
          </cell>
          <cell r="Y73">
            <v>9.8196315799999994</v>
          </cell>
          <cell r="AB73">
            <v>-5.4322678458920324</v>
          </cell>
        </row>
        <row r="74">
          <cell r="T74">
            <v>1.2061391076775041</v>
          </cell>
          <cell r="V74">
            <v>2.3551091726839242</v>
          </cell>
          <cell r="Y74">
            <v>9.8355789500000004</v>
          </cell>
          <cell r="AB74">
            <v>-5.4889113938847931</v>
          </cell>
        </row>
        <row r="75">
          <cell r="T75">
            <v>1.2038161414463375</v>
          </cell>
          <cell r="V75">
            <v>2.3368325565728125</v>
          </cell>
          <cell r="Y75">
            <v>9.8515263199999996</v>
          </cell>
          <cell r="AB75">
            <v>-5.4608196181215458</v>
          </cell>
        </row>
        <row r="76">
          <cell r="T76">
            <v>1.2091925640967596</v>
          </cell>
          <cell r="V76">
            <v>2.3172409019345275</v>
          </cell>
          <cell r="Y76">
            <v>9.8674736799999998</v>
          </cell>
          <cell r="AB76">
            <v>-5.3398925399617232</v>
          </cell>
        </row>
        <row r="77">
          <cell r="T77">
            <v>1.2469804196589667</v>
          </cell>
          <cell r="V77">
            <v>2.2984305502954245</v>
          </cell>
          <cell r="Y77">
            <v>9.8834210500000008</v>
          </cell>
          <cell r="AB77">
            <v>-5.343687528895595</v>
          </cell>
        </row>
        <row r="78">
          <cell r="T78">
            <v>1.2373695792899022</v>
          </cell>
          <cell r="V78">
            <v>2.2971831411902013</v>
          </cell>
          <cell r="Y78">
            <v>9.8993684200000001</v>
          </cell>
          <cell r="AB78">
            <v>-5.4210354359845692</v>
          </cell>
        </row>
        <row r="79">
          <cell r="T79">
            <v>1.246923996398307</v>
          </cell>
          <cell r="V79">
            <v>2.2918875225897746</v>
          </cell>
          <cell r="Y79">
            <v>9.9153157899999993</v>
          </cell>
          <cell r="AB79">
            <v>-5.4372755630505258</v>
          </cell>
        </row>
        <row r="80">
          <cell r="T80">
            <v>1.2464491385299803</v>
          </cell>
          <cell r="V80">
            <v>2.3037946348587455</v>
          </cell>
          <cell r="Y80">
            <v>9.9312631600000003</v>
          </cell>
          <cell r="AB80">
            <v>-5.4271292445177162</v>
          </cell>
        </row>
        <row r="81">
          <cell r="T81">
            <v>1.2817977818553135</v>
          </cell>
          <cell r="V81">
            <v>2.3213765779899798</v>
          </cell>
          <cell r="Y81">
            <v>9.9472105299999996</v>
          </cell>
          <cell r="AB81">
            <v>-5.3971817516678646</v>
          </cell>
        </row>
        <row r="82">
          <cell r="T82">
            <v>1.285499877583661</v>
          </cell>
          <cell r="V82">
            <v>2.3334743084817018</v>
          </cell>
          <cell r="Y82">
            <v>9.9631579000000006</v>
          </cell>
          <cell r="AB82">
            <v>-5.3679395727293882</v>
          </cell>
        </row>
        <row r="83">
          <cell r="T83">
            <v>1.2925363733048227</v>
          </cell>
          <cell r="V83">
            <v>2.3445490130978395</v>
          </cell>
          <cell r="Y83">
            <v>9.9791052600000008</v>
          </cell>
          <cell r="AB83">
            <v>-5.3678496141264107</v>
          </cell>
        </row>
        <row r="84">
          <cell r="T84">
            <v>1.2782374579488731</v>
          </cell>
          <cell r="V84">
            <v>2.3488932962946856</v>
          </cell>
          <cell r="Y84">
            <v>9.99505263</v>
          </cell>
          <cell r="AB84">
            <v>-5.3457478742291133</v>
          </cell>
        </row>
        <row r="85">
          <cell r="T85">
            <v>1.2643107174672874</v>
          </cell>
          <cell r="V85">
            <v>2.3538549433116942</v>
          </cell>
          <cell r="Y85">
            <v>10.010999999999999</v>
          </cell>
          <cell r="AB85">
            <v>-5.2875986259077674</v>
          </cell>
        </row>
        <row r="86">
          <cell r="T86">
            <v>1.2565333956414229</v>
          </cell>
          <cell r="V86">
            <v>2.3546850300356241</v>
          </cell>
          <cell r="Y86">
            <v>10.026947399999999</v>
          </cell>
          <cell r="AB86">
            <v>-5.3654148899697658</v>
          </cell>
        </row>
        <row r="87">
          <cell r="T87">
            <v>1.2619862786744953</v>
          </cell>
          <cell r="V87">
            <v>2.3577428091199919</v>
          </cell>
          <cell r="Y87">
            <v>10.0428947</v>
          </cell>
          <cell r="AB87">
            <v>-5.3803459781896876</v>
          </cell>
        </row>
        <row r="88">
          <cell r="T88">
            <v>1.2611100110926279</v>
          </cell>
          <cell r="V88">
            <v>2.3735417613956469</v>
          </cell>
          <cell r="Y88">
            <v>10.0588421</v>
          </cell>
          <cell r="AB88">
            <v>-5.3954858508118013</v>
          </cell>
        </row>
        <row r="89">
          <cell r="T89">
            <v>1.2576533814017281</v>
          </cell>
          <cell r="V89">
            <v>2.3852215684998046</v>
          </cell>
          <cell r="Y89">
            <v>10.0747895</v>
          </cell>
          <cell r="AB89">
            <v>-5.4108406925114405</v>
          </cell>
        </row>
        <row r="90">
          <cell r="T90">
            <v>1.25630265410938</v>
          </cell>
          <cell r="V90">
            <v>2.3786809089847627</v>
          </cell>
          <cell r="Y90">
            <v>10.0907368</v>
          </cell>
          <cell r="AB90">
            <v>-5.4202337534031724</v>
          </cell>
        </row>
        <row r="91">
          <cell r="T91">
            <v>1.26928633199476</v>
          </cell>
          <cell r="V91">
            <v>2.3635171465277933</v>
          </cell>
          <cell r="Y91">
            <v>10.1066842</v>
          </cell>
          <cell r="AB91">
            <v>-5.3522435383504412</v>
          </cell>
        </row>
        <row r="92">
          <cell r="T92">
            <v>1.2816889362645096</v>
          </cell>
          <cell r="V92">
            <v>2.3387562670800883</v>
          </cell>
          <cell r="Y92">
            <v>10.1226316</v>
          </cell>
          <cell r="AB92">
            <v>-5.3529692122138002</v>
          </cell>
        </row>
        <row r="93">
          <cell r="T93">
            <v>1.2929053459733344</v>
          </cell>
          <cell r="V93">
            <v>2.3442376421166835</v>
          </cell>
          <cell r="Y93">
            <v>10.138579</v>
          </cell>
          <cell r="AB93">
            <v>-5.3900668195454466</v>
          </cell>
        </row>
        <row r="94">
          <cell r="T94">
            <v>1.2883869078990837</v>
          </cell>
          <cell r="V94">
            <v>2.3560962627967466</v>
          </cell>
          <cell r="Y94">
            <v>10.154526300000001</v>
          </cell>
          <cell r="AB94">
            <v>-5.3016971600729494</v>
          </cell>
        </row>
        <row r="95">
          <cell r="T95">
            <v>1.276951771601486</v>
          </cell>
          <cell r="V95">
            <v>2.3688901197922121</v>
          </cell>
          <cell r="Y95">
            <v>10.170473700000001</v>
          </cell>
          <cell r="AB95">
            <v>-5.3501791399667891</v>
          </cell>
        </row>
        <row r="96">
          <cell r="T96">
            <v>1.2785048221206059</v>
          </cell>
          <cell r="V96">
            <v>2.3613063024480376</v>
          </cell>
          <cell r="Y96">
            <v>10.1864211</v>
          </cell>
          <cell r="AB96">
            <v>-5.3823290173822755</v>
          </cell>
        </row>
        <row r="97">
          <cell r="T97">
            <v>1.2844442218536825</v>
          </cell>
          <cell r="V97">
            <v>2.3510941677465382</v>
          </cell>
          <cell r="Y97">
            <v>10.202368399999999</v>
          </cell>
          <cell r="AB97">
            <v>-5.3527942653168159</v>
          </cell>
        </row>
        <row r="98">
          <cell r="T98">
            <v>1.3035114952811124</v>
          </cell>
          <cell r="V98">
            <v>2.3515947441881067</v>
          </cell>
          <cell r="Y98">
            <v>10.218315799999999</v>
          </cell>
          <cell r="AB98">
            <v>-5.3980507786879723</v>
          </cell>
        </row>
        <row r="99">
          <cell r="T99">
            <v>1.2872239211498284</v>
          </cell>
          <cell r="V99">
            <v>2.3549957308413938</v>
          </cell>
          <cell r="Y99">
            <v>10.234263199999999</v>
          </cell>
          <cell r="AB99">
            <v>-5.3474514874909245</v>
          </cell>
        </row>
        <row r="100">
          <cell r="T100">
            <v>1.2544499172195911</v>
          </cell>
          <cell r="V100">
            <v>2.3554565594682479</v>
          </cell>
          <cell r="Y100">
            <v>10.2502105</v>
          </cell>
          <cell r="AB100">
            <v>-5.3409623663157069</v>
          </cell>
        </row>
        <row r="101">
          <cell r="T101">
            <v>1.2413095024156282</v>
          </cell>
          <cell r="V101">
            <v>2.3577679318531928</v>
          </cell>
          <cell r="Y101">
            <v>10.2661579</v>
          </cell>
          <cell r="AB101">
            <v>-5.375527790372292</v>
          </cell>
        </row>
        <row r="102">
          <cell r="T102">
            <v>1.2405781408120105</v>
          </cell>
          <cell r="V102">
            <v>2.3491236197536618</v>
          </cell>
          <cell r="Y102">
            <v>10.2821053</v>
          </cell>
          <cell r="AB102">
            <v>-5.427844064391361</v>
          </cell>
        </row>
        <row r="103">
          <cell r="T103">
            <v>1.247767791537624</v>
          </cell>
          <cell r="V103">
            <v>2.3579651040480378</v>
          </cell>
          <cell r="Y103">
            <v>10.2980526</v>
          </cell>
          <cell r="AB103">
            <v>-5.3539472643565045</v>
          </cell>
        </row>
        <row r="104">
          <cell r="T104">
            <v>1.2433631277805708</v>
          </cell>
          <cell r="V104">
            <v>2.3558177337130357</v>
          </cell>
          <cell r="Y104">
            <v>10.314</v>
          </cell>
          <cell r="AB104">
            <v>-5.4022278352489179</v>
          </cell>
        </row>
        <row r="105">
          <cell r="T105">
            <v>1.2318391380384819</v>
          </cell>
          <cell r="V105">
            <v>2.3738021399259015</v>
          </cell>
          <cell r="Y105">
            <v>10.3299474</v>
          </cell>
          <cell r="AB105">
            <v>-5.4078116621188261</v>
          </cell>
        </row>
        <row r="106">
          <cell r="T106">
            <v>1.2352577129088202</v>
          </cell>
          <cell r="V106">
            <v>2.369806553979565</v>
          </cell>
          <cell r="Y106">
            <v>10.345894700000001</v>
          </cell>
          <cell r="AB106">
            <v>-5.4596937402285546</v>
          </cell>
        </row>
        <row r="107">
          <cell r="T107">
            <v>1.1760682884748792</v>
          </cell>
          <cell r="V107">
            <v>2.3722635754804275</v>
          </cell>
          <cell r="Y107">
            <v>10.3618421</v>
          </cell>
          <cell r="AB107">
            <v>-5.4149285264107068</v>
          </cell>
        </row>
        <row r="108">
          <cell r="T108">
            <v>1.186098183885065</v>
          </cell>
          <cell r="V108">
            <v>2.361165264186504</v>
          </cell>
          <cell r="Y108">
            <v>10.3777895</v>
          </cell>
          <cell r="AB108">
            <v>-5.4523659789086105</v>
          </cell>
        </row>
        <row r="109">
          <cell r="T109">
            <v>1.1928269022141438</v>
          </cell>
          <cell r="V109">
            <v>2.3547558205264156</v>
          </cell>
          <cell r="Y109">
            <v>10.393736799999999</v>
          </cell>
          <cell r="AB109">
            <v>-5.430409738991381</v>
          </cell>
        </row>
        <row r="110">
          <cell r="T110">
            <v>1.2531599692241218</v>
          </cell>
          <cell r="V110">
            <v>2.3492847631075637</v>
          </cell>
          <cell r="Y110">
            <v>10.409684199999999</v>
          </cell>
          <cell r="AB110">
            <v>-5.4240912235696603</v>
          </cell>
        </row>
        <row r="111">
          <cell r="T111">
            <v>1.2515755668227733</v>
          </cell>
          <cell r="V111">
            <v>2.3572468862407168</v>
          </cell>
          <cell r="Y111">
            <v>10.425631600000001</v>
          </cell>
          <cell r="AB111">
            <v>-5.4641734066474896</v>
          </cell>
        </row>
        <row r="112">
          <cell r="T112">
            <v>1.2417054950087556</v>
          </cell>
          <cell r="V112">
            <v>2.3550896182477667</v>
          </cell>
          <cell r="Y112">
            <v>10.441579000000001</v>
          </cell>
          <cell r="AB112">
            <v>-5.4817717124768146</v>
          </cell>
        </row>
        <row r="113">
          <cell r="T113">
            <v>1.2434915055961169</v>
          </cell>
          <cell r="V113">
            <v>2.3548934130461792</v>
          </cell>
          <cell r="Y113">
            <v>10.4575263</v>
          </cell>
          <cell r="AB113">
            <v>-5.3777948848900703</v>
          </cell>
        </row>
        <row r="114">
          <cell r="T114">
            <v>1.250833287354473</v>
          </cell>
          <cell r="V114">
            <v>2.3463391969845575</v>
          </cell>
          <cell r="Y114">
            <v>10.4734737</v>
          </cell>
          <cell r="AB114">
            <v>-5.4905064783512172</v>
          </cell>
        </row>
        <row r="115">
          <cell r="T115">
            <v>1.2561675557919318</v>
          </cell>
          <cell r="V115">
            <v>2.3584898859951555</v>
          </cell>
          <cell r="Y115">
            <v>10.489421099999999</v>
          </cell>
          <cell r="AB115">
            <v>-5.5019592610468688</v>
          </cell>
        </row>
        <row r="116">
          <cell r="T116">
            <v>1.2622266223350689</v>
          </cell>
          <cell r="V116">
            <v>2.36561000922425</v>
          </cell>
          <cell r="Y116">
            <v>10.5053684</v>
          </cell>
          <cell r="AB116">
            <v>-5.4242199331374295</v>
          </cell>
        </row>
        <row r="117">
          <cell r="T117">
            <v>1.2812234001131693</v>
          </cell>
          <cell r="V117">
            <v>2.365708699545487</v>
          </cell>
          <cell r="Y117">
            <v>10.5213158</v>
          </cell>
          <cell r="AB117">
            <v>-5.5099185780770012</v>
          </cell>
        </row>
        <row r="118">
          <cell r="T118">
            <v>1.3022822793904263</v>
          </cell>
          <cell r="V118">
            <v>2.3554162706556707</v>
          </cell>
          <cell r="Y118">
            <v>10.5372632</v>
          </cell>
          <cell r="AB118">
            <v>-5.5270542982883288</v>
          </cell>
        </row>
        <row r="119">
          <cell r="T119">
            <v>1.3008361872093275</v>
          </cell>
          <cell r="V119">
            <v>2.3379406525505662</v>
          </cell>
          <cell r="Y119">
            <v>10.5532105</v>
          </cell>
          <cell r="AB119">
            <v>-5.450053143839769</v>
          </cell>
        </row>
        <row r="120">
          <cell r="T120">
            <v>1.3033722524537339</v>
          </cell>
          <cell r="V120">
            <v>2.3290158865558888</v>
          </cell>
          <cell r="Y120">
            <v>10.5691579</v>
          </cell>
          <cell r="AB120">
            <v>-5.454371392674811</v>
          </cell>
        </row>
        <row r="121">
          <cell r="T121">
            <v>1.3035188858679401</v>
          </cell>
          <cell r="V121">
            <v>2.3146516035914027</v>
          </cell>
          <cell r="Y121">
            <v>10.5851053</v>
          </cell>
          <cell r="AB121">
            <v>-5.4786221999221434</v>
          </cell>
        </row>
        <row r="122">
          <cell r="T122">
            <v>1.3054648771353419</v>
          </cell>
          <cell r="V122">
            <v>2.3157112384711778</v>
          </cell>
          <cell r="Y122">
            <v>10.601052599999999</v>
          </cell>
          <cell r="AB122">
            <v>-5.4703368138989212</v>
          </cell>
        </row>
        <row r="123">
          <cell r="T123">
            <v>1.2715913396047438</v>
          </cell>
          <cell r="V123">
            <v>2.3189123088278181</v>
          </cell>
          <cell r="Y123">
            <v>10.617000000000001</v>
          </cell>
          <cell r="AB123">
            <v>-5.4207596454554938</v>
          </cell>
        </row>
        <row r="124">
          <cell r="T124">
            <v>1.2443725249990718</v>
          </cell>
          <cell r="V124">
            <v>2.3259166631625097</v>
          </cell>
          <cell r="Y124">
            <v>10.632947400000001</v>
          </cell>
          <cell r="AB124">
            <v>-5.4164260312177195</v>
          </cell>
        </row>
        <row r="125">
          <cell r="T125">
            <v>1.2389975717210031</v>
          </cell>
          <cell r="V125">
            <v>2.3240404239337025</v>
          </cell>
          <cell r="Y125">
            <v>10.6488947</v>
          </cell>
          <cell r="AB125">
            <v>-5.4332071382474894</v>
          </cell>
        </row>
        <row r="126">
          <cell r="T126">
            <v>1.2435343898643465</v>
          </cell>
          <cell r="V126">
            <v>2.3228070190655958</v>
          </cell>
          <cell r="Y126">
            <v>10.6648421</v>
          </cell>
          <cell r="AB126">
            <v>-5.4365045539383834</v>
          </cell>
        </row>
        <row r="127">
          <cell r="T127">
            <v>1.2448251757798869</v>
          </cell>
          <cell r="V127">
            <v>2.3303175880674587</v>
          </cell>
          <cell r="Y127">
            <v>10.680789499999999</v>
          </cell>
          <cell r="AB127">
            <v>-5.4278351699246317</v>
          </cell>
        </row>
        <row r="128">
          <cell r="T128">
            <v>1.2454724447369439</v>
          </cell>
          <cell r="V128">
            <v>2.3449308462914566</v>
          </cell>
          <cell r="Y128">
            <v>10.6967368</v>
          </cell>
          <cell r="AB128">
            <v>-5.429002328219628</v>
          </cell>
        </row>
        <row r="129">
          <cell r="T129">
            <v>1.2457953196968157</v>
          </cell>
          <cell r="V129">
            <v>2.3550859018220436</v>
          </cell>
          <cell r="Y129">
            <v>10.7126842</v>
          </cell>
          <cell r="AB129">
            <v>-5.4190020023139969</v>
          </cell>
        </row>
        <row r="130">
          <cell r="T130">
            <v>1.2725745730863609</v>
          </cell>
          <cell r="V130">
            <v>2.3528450808429047</v>
          </cell>
          <cell r="Y130">
            <v>10.7286316</v>
          </cell>
          <cell r="AB130">
            <v>-5.4154310463463453</v>
          </cell>
        </row>
        <row r="131">
          <cell r="T131">
            <v>1.2692017402869864</v>
          </cell>
          <cell r="V131">
            <v>2.3513100579615833</v>
          </cell>
          <cell r="Y131">
            <v>10.744579</v>
          </cell>
          <cell r="AB131">
            <v>-5.4420711872717957</v>
          </cell>
        </row>
        <row r="132">
          <cell r="T132">
            <v>1.2801666976565063</v>
          </cell>
          <cell r="V132">
            <v>2.3419087621526451</v>
          </cell>
          <cell r="Y132">
            <v>10.7605263</v>
          </cell>
          <cell r="AB132">
            <v>-5.4137456585895398</v>
          </cell>
        </row>
        <row r="133">
          <cell r="T133">
            <v>1.2660874231639978</v>
          </cell>
          <cell r="V133">
            <v>2.3495788822762624</v>
          </cell>
          <cell r="Y133">
            <v>10.7764737</v>
          </cell>
          <cell r="AB133">
            <v>-5.3692810166562266</v>
          </cell>
        </row>
        <row r="134">
          <cell r="T134">
            <v>1.2547545957189685</v>
          </cell>
          <cell r="V134">
            <v>2.3588376409950853</v>
          </cell>
          <cell r="Y134">
            <v>10.7924211</v>
          </cell>
          <cell r="AB134">
            <v>-5.4601791896622771</v>
          </cell>
        </row>
        <row r="135">
          <cell r="T135">
            <v>1.2412336664886443</v>
          </cell>
          <cell r="V135">
            <v>2.3637433994881731</v>
          </cell>
          <cell r="Y135">
            <v>10.808368400000001</v>
          </cell>
          <cell r="AB135">
            <v>-5.4655819695502323</v>
          </cell>
        </row>
        <row r="136">
          <cell r="T136">
            <v>1.2120765133791129</v>
          </cell>
          <cell r="V136">
            <v>2.365586278165428</v>
          </cell>
          <cell r="Y136">
            <v>10.824315800000001</v>
          </cell>
          <cell r="AB136">
            <v>-5.4554292051319546</v>
          </cell>
        </row>
        <row r="137">
          <cell r="T137">
            <v>1.1704362251055442</v>
          </cell>
          <cell r="V137">
            <v>2.3623871485264676</v>
          </cell>
          <cell r="Y137">
            <v>10.840263200000001</v>
          </cell>
          <cell r="AB137">
            <v>-5.45357636868453</v>
          </cell>
        </row>
        <row r="138">
          <cell r="T138">
            <v>1.1775760240564048</v>
          </cell>
          <cell r="V138">
            <v>2.3597169066238357</v>
          </cell>
          <cell r="Y138">
            <v>10.8562105</v>
          </cell>
          <cell r="AB138">
            <v>-5.4555188747627756</v>
          </cell>
        </row>
        <row r="139">
          <cell r="T139">
            <v>1.183678008068288</v>
          </cell>
          <cell r="V139">
            <v>2.3461360886926972</v>
          </cell>
          <cell r="Y139">
            <v>10.872157899999999</v>
          </cell>
          <cell r="AB139">
            <v>-5.4833991460992761</v>
          </cell>
        </row>
        <row r="140">
          <cell r="T140">
            <v>1.2219749804492699</v>
          </cell>
          <cell r="V140">
            <v>2.3481945738394647</v>
          </cell>
          <cell r="Y140">
            <v>10.888105299999999</v>
          </cell>
          <cell r="AB140">
            <v>-5.4767033288937963</v>
          </cell>
        </row>
        <row r="141">
          <cell r="T141">
            <v>1.2206442864691078</v>
          </cell>
          <cell r="V141">
            <v>2.3465917805540619</v>
          </cell>
          <cell r="Y141">
            <v>10.9040526</v>
          </cell>
          <cell r="AB141">
            <v>-5.5145892177367388</v>
          </cell>
        </row>
        <row r="142">
          <cell r="T142">
            <v>1.2076689547977422</v>
          </cell>
          <cell r="V142">
            <v>2.3410493459897515</v>
          </cell>
          <cell r="Y142">
            <v>10.92</v>
          </cell>
          <cell r="AB142">
            <v>-5.5066419803604916</v>
          </cell>
        </row>
        <row r="143">
          <cell r="T143">
            <v>1.212448754983148</v>
          </cell>
          <cell r="V143">
            <v>2.3265224788772567</v>
          </cell>
          <cell r="Y143">
            <v>10.9359474</v>
          </cell>
          <cell r="AB143">
            <v>-5.4647303558366982</v>
          </cell>
        </row>
        <row r="144">
          <cell r="T144">
            <v>1.18604756522888</v>
          </cell>
          <cell r="V144">
            <v>2.3333370653477763</v>
          </cell>
          <cell r="Y144">
            <v>10.9518947</v>
          </cell>
          <cell r="AB144">
            <v>-5.4848618348694762</v>
          </cell>
        </row>
        <row r="145">
          <cell r="T145">
            <v>1.2099421422871346</v>
          </cell>
          <cell r="V145">
            <v>2.350385639852361</v>
          </cell>
          <cell r="Y145">
            <v>10.9678421</v>
          </cell>
          <cell r="AB145">
            <v>-5.4778037113430047</v>
          </cell>
        </row>
        <row r="146">
          <cell r="T146">
            <v>1.1978111747142919</v>
          </cell>
          <cell r="V146">
            <v>2.3514068424536263</v>
          </cell>
          <cell r="Y146">
            <v>10.9837895</v>
          </cell>
          <cell r="AB146">
            <v>-5.4520076893812472</v>
          </cell>
        </row>
        <row r="147">
          <cell r="T147">
            <v>1.2041924533480615</v>
          </cell>
          <cell r="V147">
            <v>2.3543737815402959</v>
          </cell>
          <cell r="Y147">
            <v>10.999736800000001</v>
          </cell>
          <cell r="AB147">
            <v>-5.4916663845585472</v>
          </cell>
        </row>
        <row r="148">
          <cell r="T148">
            <v>1.1960786133979944</v>
          </cell>
          <cell r="V148">
            <v>2.363471226653548</v>
          </cell>
          <cell r="Y148">
            <v>11.015684200000001</v>
          </cell>
          <cell r="AB148">
            <v>-5.5291654115948718</v>
          </cell>
        </row>
        <row r="149">
          <cell r="T149">
            <v>1.1317586396737582</v>
          </cell>
          <cell r="V149">
            <v>2.3673781836997918</v>
          </cell>
          <cell r="Y149">
            <v>11.031631600000001</v>
          </cell>
          <cell r="AB149">
            <v>-5.4873151435301351</v>
          </cell>
        </row>
        <row r="150">
          <cell r="T150">
            <v>1.0715370383511333</v>
          </cell>
          <cell r="V150">
            <v>2.3778243662599046</v>
          </cell>
          <cell r="Y150">
            <v>11.047579000000001</v>
          </cell>
          <cell r="AB150">
            <v>-5.4539407408134792</v>
          </cell>
        </row>
        <row r="151">
          <cell r="T151">
            <v>1.0450909138231506</v>
          </cell>
          <cell r="V151">
            <v>2.3726187953917255</v>
          </cell>
          <cell r="Y151">
            <v>11.063526299999999</v>
          </cell>
          <cell r="AB151">
            <v>-5.4405826405538669</v>
          </cell>
        </row>
        <row r="152">
          <cell r="T152">
            <v>1.0785457824545353</v>
          </cell>
          <cell r="V152">
            <v>2.3724526924302403</v>
          </cell>
          <cell r="Y152">
            <v>11.079473699999999</v>
          </cell>
          <cell r="AB152">
            <v>-5.4344660901771329</v>
          </cell>
        </row>
        <row r="153">
          <cell r="T153">
            <v>1.1239299742979256</v>
          </cell>
          <cell r="V153">
            <v>2.3621493980617476</v>
          </cell>
          <cell r="Y153">
            <v>11.095421099999999</v>
          </cell>
          <cell r="AB153">
            <v>-5.4403264397945774</v>
          </cell>
        </row>
        <row r="154">
          <cell r="T154">
            <v>1.1202100229641305</v>
          </cell>
          <cell r="V154">
            <v>2.3449402165627409</v>
          </cell>
          <cell r="Y154">
            <v>11.1113684</v>
          </cell>
          <cell r="AB154">
            <v>-5.4033718156420507</v>
          </cell>
        </row>
        <row r="155">
          <cell r="T155">
            <v>1.1264611725121831</v>
          </cell>
          <cell r="V155">
            <v>2.3307300709718057</v>
          </cell>
          <cell r="Y155">
            <v>11.1273158</v>
          </cell>
          <cell r="AB155">
            <v>-5.4735023589263614</v>
          </cell>
        </row>
        <row r="156">
          <cell r="T156">
            <v>1.1231643868361256</v>
          </cell>
          <cell r="V156">
            <v>2.3114808426607945</v>
          </cell>
          <cell r="Y156">
            <v>11.1432632</v>
          </cell>
          <cell r="AB156">
            <v>-5.4862481167047887</v>
          </cell>
        </row>
        <row r="157">
          <cell r="T157">
            <v>1.1129222102384688</v>
          </cell>
          <cell r="V157">
            <v>2.2953047560570892</v>
          </cell>
          <cell r="Y157">
            <v>11.1592105</v>
          </cell>
          <cell r="AB157">
            <v>-5.4644587778245128</v>
          </cell>
        </row>
        <row r="158">
          <cell r="T158">
            <v>1.1171912933121437</v>
          </cell>
          <cell r="V158">
            <v>2.2959650050922451</v>
          </cell>
          <cell r="Y158">
            <v>11.1751579</v>
          </cell>
          <cell r="AB158">
            <v>-5.4513601538909935</v>
          </cell>
        </row>
        <row r="159">
          <cell r="T159">
            <v>1.1043385971720265</v>
          </cell>
          <cell r="V159">
            <v>2.3110462208545473</v>
          </cell>
          <cell r="Y159">
            <v>11.1911053</v>
          </cell>
          <cell r="AB159">
            <v>-5.4529555562028564</v>
          </cell>
        </row>
        <row r="160">
          <cell r="T160">
            <v>1.1081010276239511</v>
          </cell>
          <cell r="V160">
            <v>2.3150082511686647</v>
          </cell>
          <cell r="Y160">
            <v>11.207052600000001</v>
          </cell>
          <cell r="AB160">
            <v>-5.4461206453812565</v>
          </cell>
        </row>
        <row r="161">
          <cell r="T161">
            <v>1.1083376900158965</v>
          </cell>
          <cell r="V161">
            <v>2.3121180123018505</v>
          </cell>
          <cell r="Y161">
            <v>11.223000000000001</v>
          </cell>
          <cell r="AB161">
            <v>-5.4678498197229652</v>
          </cell>
        </row>
        <row r="162">
          <cell r="T162">
            <v>1.0944637002888182</v>
          </cell>
          <cell r="V162">
            <v>2.2973862239258658</v>
          </cell>
          <cell r="Y162">
            <v>11.238947400000001</v>
          </cell>
          <cell r="AB162">
            <v>-5.4124588849292898</v>
          </cell>
        </row>
        <row r="163">
          <cell r="T163">
            <v>1.0616438401844599</v>
          </cell>
          <cell r="V163">
            <v>2.3069181767526881</v>
          </cell>
          <cell r="Y163">
            <v>11.254894699999999</v>
          </cell>
          <cell r="AB163">
            <v>-5.4595405309004095</v>
          </cell>
        </row>
        <row r="164">
          <cell r="T164">
            <v>1.0226240447410586</v>
          </cell>
          <cell r="V164">
            <v>2.3182356797207544</v>
          </cell>
          <cell r="Y164">
            <v>11.270842099999999</v>
          </cell>
          <cell r="AB164">
            <v>-5.4686884430035301</v>
          </cell>
        </row>
        <row r="165">
          <cell r="T165">
            <v>1.033028323474996</v>
          </cell>
          <cell r="V165">
            <v>2.3067213607817734</v>
          </cell>
          <cell r="Y165">
            <v>11.286789499999999</v>
          </cell>
          <cell r="AB165">
            <v>-5.5187746673488904</v>
          </cell>
        </row>
        <row r="166">
          <cell r="T166">
            <v>1.0518120865841967</v>
          </cell>
          <cell r="V166">
            <v>2.2978608353014356</v>
          </cell>
          <cell r="Y166">
            <v>11.3027368</v>
          </cell>
          <cell r="AB166">
            <v>-5.3692149147452914</v>
          </cell>
        </row>
        <row r="167">
          <cell r="T167">
            <v>1.0453481536804832</v>
          </cell>
          <cell r="V167">
            <v>2.2877367042166026</v>
          </cell>
          <cell r="Y167">
            <v>11.3186842</v>
          </cell>
          <cell r="AB167">
            <v>-5.4427361323371191</v>
          </cell>
        </row>
        <row r="168">
          <cell r="T168">
            <v>1.0268383844520756</v>
          </cell>
          <cell r="V168">
            <v>2.3054407753633055</v>
          </cell>
          <cell r="Y168">
            <v>11.3346316</v>
          </cell>
          <cell r="AB168">
            <v>-5.4280822467291809</v>
          </cell>
        </row>
        <row r="169">
          <cell r="T169">
            <v>1.0060776585110414</v>
          </cell>
          <cell r="V169">
            <v>2.3179436258722776</v>
          </cell>
          <cell r="Y169">
            <v>11.350579</v>
          </cell>
          <cell r="AB169">
            <v>-5.433182037150158</v>
          </cell>
        </row>
        <row r="170">
          <cell r="T170">
            <v>0.99805956412161778</v>
          </cell>
          <cell r="V170">
            <v>2.3159856271723296</v>
          </cell>
          <cell r="Y170">
            <v>11.3665263</v>
          </cell>
          <cell r="AB170">
            <v>-5.3955268821560143</v>
          </cell>
        </row>
        <row r="171">
          <cell r="T171">
            <v>0.9803402745368377</v>
          </cell>
          <cell r="V171">
            <v>2.3166931109025604</v>
          </cell>
          <cell r="Y171">
            <v>11.3824737</v>
          </cell>
          <cell r="AB171">
            <v>-5.4287669726219328</v>
          </cell>
        </row>
        <row r="172">
          <cell r="T172">
            <v>0.94490166693171418</v>
          </cell>
          <cell r="V172">
            <v>2.3288685885671723</v>
          </cell>
          <cell r="Y172">
            <v>11.3984211</v>
          </cell>
          <cell r="AB172">
            <v>-5.4284004026799551</v>
          </cell>
        </row>
        <row r="173">
          <cell r="T173">
            <v>0.9268611919167139</v>
          </cell>
          <cell r="V173">
            <v>2.333690133692544</v>
          </cell>
          <cell r="Y173">
            <v>11.414368400000001</v>
          </cell>
          <cell r="AB173">
            <v>-5.4007705607850536</v>
          </cell>
        </row>
        <row r="174">
          <cell r="T174">
            <v>0.92458512355969791</v>
          </cell>
          <cell r="V174">
            <v>2.3241922208133072</v>
          </cell>
          <cell r="Y174">
            <v>11.430315800000001</v>
          </cell>
          <cell r="AB174">
            <v>-5.3664442801263075</v>
          </cell>
        </row>
        <row r="175">
          <cell r="T175">
            <v>0.9453536860252546</v>
          </cell>
          <cell r="V175">
            <v>2.3016028584416914</v>
          </cell>
          <cell r="Y175">
            <v>11.446263200000001</v>
          </cell>
          <cell r="AB175">
            <v>-5.4614459967230689</v>
          </cell>
        </row>
        <row r="176">
          <cell r="T176">
            <v>0.93375931065791118</v>
          </cell>
          <cell r="V176">
            <v>2.2897326681471761</v>
          </cell>
          <cell r="Y176">
            <v>11.462210499999999</v>
          </cell>
          <cell r="AB176">
            <v>-5.4494862939146316</v>
          </cell>
        </row>
        <row r="177">
          <cell r="T177">
            <v>0.93049780562472817</v>
          </cell>
          <cell r="V177">
            <v>2.2920503953400382</v>
          </cell>
          <cell r="Y177">
            <v>11.478157899999999</v>
          </cell>
          <cell r="AB177">
            <v>-5.4372019452992113</v>
          </cell>
        </row>
        <row r="178">
          <cell r="T178">
            <v>0.92652848490957218</v>
          </cell>
          <cell r="V178">
            <v>2.2921379922053737</v>
          </cell>
          <cell r="Y178">
            <v>11.494105299999999</v>
          </cell>
          <cell r="AB178">
            <v>-5.4145901513735613</v>
          </cell>
        </row>
        <row r="179">
          <cell r="T179">
            <v>0.92123583113104068</v>
          </cell>
          <cell r="V179">
            <v>2.3022171375883715</v>
          </cell>
          <cell r="Y179">
            <v>11.5100526</v>
          </cell>
          <cell r="AB179">
            <v>-5.4279303262357965</v>
          </cell>
        </row>
        <row r="180">
          <cell r="T180">
            <v>0.86105400795456155</v>
          </cell>
          <cell r="V180">
            <v>2.2996761034304214</v>
          </cell>
          <cell r="Y180">
            <v>11.526</v>
          </cell>
          <cell r="AB180">
            <v>-5.42815575291666</v>
          </cell>
        </row>
        <row r="181">
          <cell r="T181">
            <v>0.79886357200310998</v>
          </cell>
          <cell r="V181">
            <v>2.3058683302695595</v>
          </cell>
          <cell r="Y181">
            <v>11.5446214</v>
          </cell>
          <cell r="AB181">
            <v>-5.473576805316533</v>
          </cell>
        </row>
        <row r="182">
          <cell r="T182">
            <v>0.71280132758905712</v>
          </cell>
          <cell r="V182">
            <v>2.320816019856021</v>
          </cell>
          <cell r="Y182">
            <v>11.5632427</v>
          </cell>
          <cell r="AB182">
            <v>-5.4272729833566213</v>
          </cell>
        </row>
        <row r="183">
          <cell r="T183">
            <v>0.67576296725057194</v>
          </cell>
          <cell r="V183">
            <v>2.3523039680927753</v>
          </cell>
          <cell r="Y183">
            <v>11.581864100000001</v>
          </cell>
          <cell r="AB183">
            <v>-5.4689698664851303</v>
          </cell>
        </row>
        <row r="184">
          <cell r="T184">
            <v>0.57521260318546774</v>
          </cell>
          <cell r="V184">
            <v>2.3537518673848923</v>
          </cell>
          <cell r="Y184">
            <v>11.6004854</v>
          </cell>
          <cell r="AB184">
            <v>-5.4645306599456376</v>
          </cell>
        </row>
        <row r="185">
          <cell r="T185">
            <v>0.63412962310305587</v>
          </cell>
          <cell r="V185">
            <v>2.3238017230875738</v>
          </cell>
          <cell r="Y185">
            <v>11.619106800000001</v>
          </cell>
          <cell r="AB185">
            <v>-5.3914487302100156</v>
          </cell>
        </row>
        <row r="186">
          <cell r="T186">
            <v>0.65838357575141659</v>
          </cell>
          <cell r="V186">
            <v>2.3152083308981113</v>
          </cell>
          <cell r="Y186">
            <v>11.6377282</v>
          </cell>
          <cell r="AB186">
            <v>-5.4339764181869619</v>
          </cell>
        </row>
        <row r="187">
          <cell r="T187">
            <v>0.76286283876470529</v>
          </cell>
          <cell r="V187">
            <v>2.3152650161398234</v>
          </cell>
          <cell r="Y187">
            <v>11.656349499999999</v>
          </cell>
          <cell r="AB187">
            <v>-5.4950732899871193</v>
          </cell>
        </row>
        <row r="188">
          <cell r="T188">
            <v>0.74159950513273687</v>
          </cell>
          <cell r="V188">
            <v>2.3124336556541514</v>
          </cell>
          <cell r="Y188">
            <v>11.6749709</v>
          </cell>
          <cell r="AB188">
            <v>-5.4090899910283312</v>
          </cell>
        </row>
        <row r="189">
          <cell r="T189">
            <v>0.70327676847550469</v>
          </cell>
          <cell r="V189">
            <v>2.2876778843842618</v>
          </cell>
          <cell r="Y189">
            <v>11.693592199999999</v>
          </cell>
          <cell r="AB189">
            <v>-5.3810777133613419</v>
          </cell>
        </row>
        <row r="190">
          <cell r="T190">
            <v>0.68182796749520191</v>
          </cell>
          <cell r="V190">
            <v>2.2778155431501617</v>
          </cell>
          <cell r="Y190">
            <v>11.7122136</v>
          </cell>
          <cell r="AB190">
            <v>-5.4108531651396605</v>
          </cell>
        </row>
        <row r="191">
          <cell r="T191">
            <v>0.69636532925998151</v>
          </cell>
          <cell r="V191">
            <v>2.283504686716912</v>
          </cell>
          <cell r="Y191">
            <v>11.730835000000001</v>
          </cell>
          <cell r="AB191">
            <v>-5.3758793838824808</v>
          </cell>
        </row>
        <row r="192">
          <cell r="T192">
            <v>0.70371021346636853</v>
          </cell>
          <cell r="V192">
            <v>2.2772616331856006</v>
          </cell>
          <cell r="Y192">
            <v>11.7494563</v>
          </cell>
          <cell r="AB192">
            <v>-5.4257072007957836</v>
          </cell>
        </row>
        <row r="193">
          <cell r="T193">
            <v>0.69830519598119822</v>
          </cell>
          <cell r="V193">
            <v>2.2811219298757828</v>
          </cell>
          <cell r="Y193">
            <v>11.768077699999999</v>
          </cell>
          <cell r="AB193">
            <v>-5.3721561452227684</v>
          </cell>
        </row>
        <row r="194">
          <cell r="T194">
            <v>0.63162952530607763</v>
          </cell>
          <cell r="V194">
            <v>2.286242371979939</v>
          </cell>
          <cell r="Y194">
            <v>11.786699</v>
          </cell>
          <cell r="AB194">
            <v>-5.427141027107182</v>
          </cell>
        </row>
        <row r="195">
          <cell r="T195">
            <v>0.5423902556321889</v>
          </cell>
          <cell r="V195">
            <v>2.3096033364680655</v>
          </cell>
          <cell r="Y195">
            <v>11.805320399999999</v>
          </cell>
          <cell r="AB195">
            <v>-5.3500394738644985</v>
          </cell>
        </row>
        <row r="196">
          <cell r="T196">
            <v>0.51801096040494743</v>
          </cell>
          <cell r="V196">
            <v>2.3157854550066008</v>
          </cell>
          <cell r="Y196">
            <v>11.8239418</v>
          </cell>
          <cell r="AB196">
            <v>-5.4328992779381728</v>
          </cell>
        </row>
        <row r="197">
          <cell r="T197">
            <v>0.60561781749525989</v>
          </cell>
          <cell r="V197">
            <v>2.33013149952215</v>
          </cell>
          <cell r="Y197">
            <v>11.8425631</v>
          </cell>
          <cell r="AB197">
            <v>-5.4889249891227596</v>
          </cell>
        </row>
        <row r="198">
          <cell r="T198">
            <v>0.69344832347886831</v>
          </cell>
          <cell r="V198">
            <v>2.3292088748352962</v>
          </cell>
          <cell r="Y198">
            <v>11.8611845</v>
          </cell>
          <cell r="AB198">
            <v>-5.4572593205787818</v>
          </cell>
        </row>
        <row r="199">
          <cell r="T199">
            <v>0.72411444254187673</v>
          </cell>
          <cell r="V199">
            <v>2.3494284179848712</v>
          </cell>
          <cell r="Y199">
            <v>11.8798058</v>
          </cell>
          <cell r="AB199">
            <v>-5.4547517647692976</v>
          </cell>
        </row>
        <row r="200">
          <cell r="T200">
            <v>0.72482820270159054</v>
          </cell>
          <cell r="V200">
            <v>2.3560994746597537</v>
          </cell>
          <cell r="Y200">
            <v>11.8984272</v>
          </cell>
          <cell r="AB200">
            <v>-5.5101264511373111</v>
          </cell>
        </row>
        <row r="201">
          <cell r="T201">
            <v>0.73358227709441415</v>
          </cell>
          <cell r="V201">
            <v>2.3529992278968943</v>
          </cell>
          <cell r="Y201">
            <v>11.9170485</v>
          </cell>
          <cell r="AB201">
            <v>-5.5853184699754346</v>
          </cell>
        </row>
        <row r="202">
          <cell r="T202">
            <v>0.56696272879852883</v>
          </cell>
          <cell r="V202">
            <v>2.3342981247630727</v>
          </cell>
          <cell r="Y202">
            <v>11.935669900000001</v>
          </cell>
          <cell r="AB202">
            <v>-5.4707219533595097</v>
          </cell>
        </row>
        <row r="203">
          <cell r="T203">
            <v>0.5182689751560009</v>
          </cell>
          <cell r="V203">
            <v>2.3288834841410337</v>
          </cell>
          <cell r="Y203">
            <v>11.9542913</v>
          </cell>
          <cell r="AB203">
            <v>-5.5185461906841349</v>
          </cell>
        </row>
        <row r="204">
          <cell r="T204">
            <v>0.58585671813091078</v>
          </cell>
          <cell r="V204">
            <v>2.3308296923569078</v>
          </cell>
          <cell r="Y204">
            <v>11.972912600000001</v>
          </cell>
          <cell r="AB204">
            <v>-5.4768356479445979</v>
          </cell>
        </row>
        <row r="205">
          <cell r="T205">
            <v>0.85223552684367687</v>
          </cell>
          <cell r="V205">
            <v>2.3333941914142504</v>
          </cell>
          <cell r="Y205">
            <v>11.991534</v>
          </cell>
          <cell r="AB205">
            <v>-5.4959221637103566</v>
          </cell>
        </row>
        <row r="206">
          <cell r="T206">
            <v>0.9369490003324582</v>
          </cell>
          <cell r="V206">
            <v>2.3466144084632119</v>
          </cell>
          <cell r="Y206">
            <v>12.010155299999999</v>
          </cell>
          <cell r="AB206">
            <v>-5.4933613319000596</v>
          </cell>
        </row>
        <row r="207">
          <cell r="T207">
            <v>0.98015827747961604</v>
          </cell>
          <cell r="V207">
            <v>2.3441760258130171</v>
          </cell>
          <cell r="Y207">
            <v>12.0287767</v>
          </cell>
          <cell r="AB207">
            <v>-5.4925850319848655</v>
          </cell>
        </row>
        <row r="208">
          <cell r="T208">
            <v>0.98404803234839855</v>
          </cell>
          <cell r="V208">
            <v>2.3552887522539834</v>
          </cell>
          <cell r="Y208">
            <v>12.047398100000001</v>
          </cell>
          <cell r="AB208">
            <v>-5.4780038757039859</v>
          </cell>
        </row>
        <row r="209">
          <cell r="T209">
            <v>1.0016869695239581</v>
          </cell>
          <cell r="V209">
            <v>2.349104295097876</v>
          </cell>
          <cell r="Y209">
            <v>12.0660194</v>
          </cell>
          <cell r="AB209">
            <v>-5.5689371247600628</v>
          </cell>
        </row>
        <row r="210">
          <cell r="T210">
            <v>0.98869408120506774</v>
          </cell>
          <cell r="V210">
            <v>2.3598178692344618</v>
          </cell>
          <cell r="Y210">
            <v>12.084640800000001</v>
          </cell>
          <cell r="AB210">
            <v>-5.4958367026336905</v>
          </cell>
        </row>
        <row r="211">
          <cell r="T211">
            <v>0.96738378473984177</v>
          </cell>
          <cell r="V211">
            <v>2.3691894383812921</v>
          </cell>
          <cell r="Y211">
            <v>12.1032621</v>
          </cell>
          <cell r="AB211">
            <v>-5.4325598574690792</v>
          </cell>
        </row>
        <row r="212">
          <cell r="T212">
            <v>0.94360413430508583</v>
          </cell>
          <cell r="V212">
            <v>2.3740650188091994</v>
          </cell>
          <cell r="Y212">
            <v>12.121883499999999</v>
          </cell>
          <cell r="AB212">
            <v>-5.5194867053634269</v>
          </cell>
        </row>
        <row r="213">
          <cell r="T213">
            <v>0.94352448319192384</v>
          </cell>
          <cell r="V213">
            <v>2.3743152995381434</v>
          </cell>
          <cell r="Y213">
            <v>12.1405049</v>
          </cell>
          <cell r="AB213">
            <v>-5.5424333468213636</v>
          </cell>
        </row>
        <row r="214">
          <cell r="T214">
            <v>0.95873791818913789</v>
          </cell>
          <cell r="V214">
            <v>2.3577334414305193</v>
          </cell>
          <cell r="Y214">
            <v>12.159126199999999</v>
          </cell>
          <cell r="AB214">
            <v>-5.5105278356882712</v>
          </cell>
        </row>
        <row r="215">
          <cell r="T215">
            <v>0.96259604492548279</v>
          </cell>
          <cell r="V215">
            <v>2.3584559822432074</v>
          </cell>
          <cell r="Y215">
            <v>12.1777476</v>
          </cell>
          <cell r="AB215">
            <v>-5.5740471928194184</v>
          </cell>
        </row>
        <row r="216">
          <cell r="T216">
            <v>0.95372811457024242</v>
          </cell>
          <cell r="V216">
            <v>2.3565918236231691</v>
          </cell>
          <cell r="Y216">
            <v>12.1963689</v>
          </cell>
          <cell r="AB216">
            <v>-5.5124640453666398</v>
          </cell>
        </row>
        <row r="217">
          <cell r="T217">
            <v>0.92176562192507516</v>
          </cell>
          <cell r="V217">
            <v>2.3631851028614226</v>
          </cell>
          <cell r="Y217">
            <v>12.2149903</v>
          </cell>
          <cell r="AB217">
            <v>-5.5085107149175796</v>
          </cell>
        </row>
        <row r="218">
          <cell r="T218">
            <v>0.93454041442706559</v>
          </cell>
          <cell r="V218">
            <v>2.3635688725596373</v>
          </cell>
          <cell r="Y218">
            <v>12.233611700000001</v>
          </cell>
          <cell r="AB218">
            <v>-5.4721599582653129</v>
          </cell>
        </row>
        <row r="219">
          <cell r="T219">
            <v>0.94712314784483642</v>
          </cell>
          <cell r="V219">
            <v>2.3687906166698043</v>
          </cell>
          <cell r="Y219">
            <v>12.252233</v>
          </cell>
          <cell r="AB219">
            <v>-5.4914651141191957</v>
          </cell>
        </row>
        <row r="220">
          <cell r="T220">
            <v>0.96056328532646873</v>
          </cell>
          <cell r="V220">
            <v>2.3746053076640532</v>
          </cell>
          <cell r="Y220">
            <v>12.270854399999999</v>
          </cell>
          <cell r="AB220">
            <v>-5.6021373636067802</v>
          </cell>
        </row>
        <row r="221">
          <cell r="T221">
            <v>0.95771785593680836</v>
          </cell>
          <cell r="V221">
            <v>2.3860357134906436</v>
          </cell>
          <cell r="Y221">
            <v>12.289475700000001</v>
          </cell>
          <cell r="AB221">
            <v>-5.5348858489255068</v>
          </cell>
        </row>
        <row r="222">
          <cell r="T222">
            <v>0.96107395684408081</v>
          </cell>
          <cell r="V222">
            <v>2.3877779967064559</v>
          </cell>
          <cell r="Y222">
            <v>12.308097099999999</v>
          </cell>
          <cell r="AB222">
            <v>-5.4852314350347715</v>
          </cell>
        </row>
        <row r="223">
          <cell r="T223">
            <v>0.96962095317644226</v>
          </cell>
          <cell r="V223">
            <v>2.3876517446746353</v>
          </cell>
          <cell r="Y223">
            <v>12.3267185</v>
          </cell>
          <cell r="AB223">
            <v>-5.5518844811473516</v>
          </cell>
        </row>
        <row r="224">
          <cell r="T224">
            <v>0.95672647398215505</v>
          </cell>
          <cell r="V224">
            <v>2.3806694018662693</v>
          </cell>
          <cell r="Y224">
            <v>12.3453398</v>
          </cell>
          <cell r="AB224">
            <v>-5.5164651748466591</v>
          </cell>
        </row>
        <row r="225">
          <cell r="T225">
            <v>0.93780568396649266</v>
          </cell>
          <cell r="V225">
            <v>2.375548033383875</v>
          </cell>
          <cell r="Y225">
            <v>12.3639612</v>
          </cell>
          <cell r="AB225">
            <v>-5.5370632694136814</v>
          </cell>
        </row>
        <row r="226">
          <cell r="T226">
            <v>0.92264358911310851</v>
          </cell>
          <cell r="V226">
            <v>2.3721658444605667</v>
          </cell>
          <cell r="Y226">
            <v>12.3825825</v>
          </cell>
          <cell r="AB226">
            <v>-5.5246831268713592</v>
          </cell>
        </row>
        <row r="227">
          <cell r="T227">
            <v>0.91635907832039198</v>
          </cell>
          <cell r="V227">
            <v>2.3713117582535261</v>
          </cell>
          <cell r="Y227">
            <v>12.401203900000001</v>
          </cell>
          <cell r="AB227">
            <v>-5.5543867909373272</v>
          </cell>
        </row>
        <row r="228">
          <cell r="T228">
            <v>0.90267724694177265</v>
          </cell>
          <cell r="V228">
            <v>2.3800907899939876</v>
          </cell>
          <cell r="Y228">
            <v>12.4198252</v>
          </cell>
          <cell r="AB228">
            <v>-5.5276226533371524</v>
          </cell>
        </row>
        <row r="229">
          <cell r="T229">
            <v>0.8953322162424282</v>
          </cell>
          <cell r="V229">
            <v>2.3724221054493104</v>
          </cell>
          <cell r="Y229">
            <v>12.438446600000001</v>
          </cell>
          <cell r="AB229">
            <v>-5.4916423937950753</v>
          </cell>
        </row>
        <row r="230">
          <cell r="T230">
            <v>0.90146935762374236</v>
          </cell>
          <cell r="V230">
            <v>2.3571525426284894</v>
          </cell>
          <cell r="Y230">
            <v>12.457068</v>
          </cell>
          <cell r="AB230">
            <v>-5.5103408529303692</v>
          </cell>
        </row>
        <row r="231">
          <cell r="T231">
            <v>0.91295716383998526</v>
          </cell>
          <cell r="V231">
            <v>2.339722998540124</v>
          </cell>
          <cell r="Y231">
            <v>12.475689300000001</v>
          </cell>
          <cell r="AB231">
            <v>-5.4910892959925324</v>
          </cell>
        </row>
        <row r="232">
          <cell r="T232">
            <v>0.91036318902447799</v>
          </cell>
          <cell r="V232">
            <v>2.3578778891803673</v>
          </cell>
          <cell r="Y232">
            <v>12.486911900000001</v>
          </cell>
          <cell r="AB232">
            <v>-5.4825511893485324</v>
          </cell>
        </row>
        <row r="233">
          <cell r="T233">
            <v>0.91566022533385338</v>
          </cell>
          <cell r="V233">
            <v>2.3722743800508073</v>
          </cell>
          <cell r="Y233">
            <v>12.4907358</v>
          </cell>
          <cell r="AB233">
            <v>-5.549205981575235</v>
          </cell>
        </row>
        <row r="234">
          <cell r="T234">
            <v>0.8977764898817292</v>
          </cell>
          <cell r="V234">
            <v>2.3760551764128137</v>
          </cell>
          <cell r="Y234">
            <v>12.494559600000001</v>
          </cell>
          <cell r="AB234">
            <v>-5.5411416958336686</v>
          </cell>
        </row>
        <row r="235">
          <cell r="T235">
            <v>0.89148136600109096</v>
          </cell>
          <cell r="V235">
            <v>2.3584577022940887</v>
          </cell>
          <cell r="Y235">
            <v>12.4983834</v>
          </cell>
          <cell r="AB235">
            <v>-5.5699532148238946</v>
          </cell>
        </row>
        <row r="236">
          <cell r="T236">
            <v>0.85793069901060337</v>
          </cell>
          <cell r="V236">
            <v>2.363236246820676</v>
          </cell>
          <cell r="Y236">
            <v>12.5022073</v>
          </cell>
          <cell r="AB236">
            <v>-5.558426330104691</v>
          </cell>
        </row>
        <row r="237">
          <cell r="T237">
            <v>0.84907075895531159</v>
          </cell>
          <cell r="V237">
            <v>2.3649646488324323</v>
          </cell>
          <cell r="Y237">
            <v>12.5060311</v>
          </cell>
          <cell r="AB237">
            <v>-5.5439043917636353</v>
          </cell>
        </row>
        <row r="238">
          <cell r="T238">
            <v>0.83370285470200056</v>
          </cell>
          <cell r="V238">
            <v>2.3634153376082705</v>
          </cell>
          <cell r="Y238">
            <v>12.509854900000001</v>
          </cell>
          <cell r="AB238">
            <v>-5.5284822103607292</v>
          </cell>
        </row>
        <row r="239">
          <cell r="T239">
            <v>0.81495376865144298</v>
          </cell>
          <cell r="V239">
            <v>2.3717678601293066</v>
          </cell>
          <cell r="Y239">
            <v>12.513678799999999</v>
          </cell>
          <cell r="AB239">
            <v>-5.4721703196639782</v>
          </cell>
        </row>
        <row r="240">
          <cell r="T240">
            <v>0.80169594809912681</v>
          </cell>
          <cell r="V240">
            <v>2.3833198065549008</v>
          </cell>
          <cell r="Y240">
            <v>12.5175026</v>
          </cell>
          <cell r="AB240">
            <v>-5.5524271949935375</v>
          </cell>
        </row>
        <row r="241">
          <cell r="T241">
            <v>0.79897565813806537</v>
          </cell>
          <cell r="V241">
            <v>2.397297274062939</v>
          </cell>
          <cell r="Y241">
            <v>12.5213264</v>
          </cell>
          <cell r="AB241">
            <v>-5.5305570529663788</v>
          </cell>
        </row>
        <row r="242">
          <cell r="T242">
            <v>0.79874346098173732</v>
          </cell>
          <cell r="V242">
            <v>2.3802909484582018</v>
          </cell>
          <cell r="Y242">
            <v>12.5251503</v>
          </cell>
          <cell r="AB242">
            <v>-5.5994668822230818</v>
          </cell>
        </row>
        <row r="243">
          <cell r="T243">
            <v>0.78367772521203027</v>
          </cell>
          <cell r="V243">
            <v>2.3719780828583503</v>
          </cell>
          <cell r="Y243">
            <v>12.528974099999999</v>
          </cell>
          <cell r="AB243">
            <v>-5.4490543088141417</v>
          </cell>
        </row>
        <row r="244">
          <cell r="T244">
            <v>0.75870253006031552</v>
          </cell>
          <cell r="V244">
            <v>2.3836228243472903</v>
          </cell>
          <cell r="Y244">
            <v>12.5327979</v>
          </cell>
          <cell r="AB244">
            <v>-5.5446935494238669</v>
          </cell>
        </row>
        <row r="245">
          <cell r="T245">
            <v>0.65977303434593704</v>
          </cell>
          <cell r="V245">
            <v>2.3868275100259142</v>
          </cell>
          <cell r="Y245">
            <v>12.536621800000001</v>
          </cell>
          <cell r="AB245">
            <v>-5.5320722337777637</v>
          </cell>
        </row>
        <row r="246">
          <cell r="T246">
            <v>0.62685132541054811</v>
          </cell>
          <cell r="V246">
            <v>2.4000216442776954</v>
          </cell>
          <cell r="Y246">
            <v>12.5404456</v>
          </cell>
          <cell r="AB246">
            <v>-5.4658248524735891</v>
          </cell>
        </row>
        <row r="247">
          <cell r="T247">
            <v>0.59399610269560477</v>
          </cell>
          <cell r="V247">
            <v>2.3810598256855049</v>
          </cell>
          <cell r="Y247">
            <v>12.544269399999999</v>
          </cell>
          <cell r="AB247">
            <v>-5.5499172272299404</v>
          </cell>
        </row>
        <row r="248">
          <cell r="T248">
            <v>0.65270483782799793</v>
          </cell>
          <cell r="V248">
            <v>2.3794236393392176</v>
          </cell>
          <cell r="Y248">
            <v>12.5480933</v>
          </cell>
          <cell r="AB248">
            <v>-5.5606904282180176</v>
          </cell>
        </row>
        <row r="249">
          <cell r="T249">
            <v>0.64202284989173164</v>
          </cell>
          <cell r="V249">
            <v>2.3796461979486154</v>
          </cell>
          <cell r="Y249">
            <v>12.551917100000001</v>
          </cell>
          <cell r="AB249">
            <v>-5.547547850739539</v>
          </cell>
        </row>
        <row r="250">
          <cell r="T250">
            <v>0.62760935168450704</v>
          </cell>
          <cell r="V250">
            <v>2.3936440461279509</v>
          </cell>
          <cell r="Y250">
            <v>12.5557409</v>
          </cell>
          <cell r="AB250">
            <v>-5.541180327708993</v>
          </cell>
        </row>
        <row r="251">
          <cell r="T251">
            <v>0.60458372240668989</v>
          </cell>
          <cell r="V251">
            <v>2.4088365623593879</v>
          </cell>
          <cell r="Y251">
            <v>12.5595648</v>
          </cell>
          <cell r="AB251">
            <v>-5.5288978594416731</v>
          </cell>
        </row>
        <row r="252">
          <cell r="T252">
            <v>0.58813391306405549</v>
          </cell>
          <cell r="V252">
            <v>2.40982630891587</v>
          </cell>
          <cell r="Y252">
            <v>12.5633886</v>
          </cell>
          <cell r="AB252">
            <v>-5.5724384212273881</v>
          </cell>
        </row>
        <row r="253">
          <cell r="T253">
            <v>0.58478470202050492</v>
          </cell>
          <cell r="V253">
            <v>2.4066185733198329</v>
          </cell>
          <cell r="Y253">
            <v>12.567212400000001</v>
          </cell>
          <cell r="AB253">
            <v>-5.4896603197187179</v>
          </cell>
        </row>
        <row r="254">
          <cell r="T254">
            <v>0.5817032524329625</v>
          </cell>
          <cell r="V254">
            <v>2.3907760549351083</v>
          </cell>
          <cell r="Y254">
            <v>12.571036299999999</v>
          </cell>
          <cell r="AB254">
            <v>-5.4917833067786352</v>
          </cell>
        </row>
        <row r="255">
          <cell r="T255">
            <v>0.57525989453575754</v>
          </cell>
          <cell r="V255">
            <v>2.3780654363849942</v>
          </cell>
          <cell r="Y255">
            <v>12.5748601</v>
          </cell>
          <cell r="AB255">
            <v>-5.5193284682921702</v>
          </cell>
        </row>
        <row r="256">
          <cell r="T256">
            <v>0.56549171800983522</v>
          </cell>
          <cell r="V256">
            <v>2.3690734950155035</v>
          </cell>
          <cell r="Y256">
            <v>12.5786839</v>
          </cell>
          <cell r="AB256">
            <v>-5.4754937447734529</v>
          </cell>
        </row>
        <row r="257">
          <cell r="T257">
            <v>0.55986899438856985</v>
          </cell>
          <cell r="V257">
            <v>2.3620132155424316</v>
          </cell>
          <cell r="Y257">
            <v>12.5825078</v>
          </cell>
          <cell r="AB257">
            <v>-5.4515947768067257</v>
          </cell>
        </row>
        <row r="258">
          <cell r="T258">
            <v>0.56355141610614723</v>
          </cell>
          <cell r="V258">
            <v>2.3554142177237387</v>
          </cell>
          <cell r="Y258">
            <v>12.586331599999999</v>
          </cell>
          <cell r="AB258">
            <v>-5.5093523524767978</v>
          </cell>
        </row>
        <row r="259">
          <cell r="T259">
            <v>0.55217118057260561</v>
          </cell>
          <cell r="V259">
            <v>2.3535637706317112</v>
          </cell>
          <cell r="Y259">
            <v>12.5901554</v>
          </cell>
          <cell r="AB259">
            <v>-5.4903031241130229</v>
          </cell>
        </row>
        <row r="260">
          <cell r="T260">
            <v>0.54652890334709658</v>
          </cell>
          <cell r="V260">
            <v>2.3427757518173609</v>
          </cell>
          <cell r="Y260">
            <v>12.593979300000001</v>
          </cell>
          <cell r="AB260">
            <v>-5.5198672644216655</v>
          </cell>
        </row>
        <row r="261">
          <cell r="T261">
            <v>0.5019671742871602</v>
          </cell>
          <cell r="V261">
            <v>2.3830929578226629</v>
          </cell>
          <cell r="Y261">
            <v>12.5978031</v>
          </cell>
          <cell r="AB261">
            <v>-5.4537975520125226</v>
          </cell>
        </row>
        <row r="262">
          <cell r="T262">
            <v>0.48581046426371138</v>
          </cell>
          <cell r="V262">
            <v>2.3700739946167837</v>
          </cell>
          <cell r="Y262">
            <v>12.601626899999999</v>
          </cell>
          <cell r="AB262">
            <v>-5.4760153956825919</v>
          </cell>
        </row>
        <row r="263">
          <cell r="T263">
            <v>0.44587693077173823</v>
          </cell>
          <cell r="V263">
            <v>2.3737252892987493</v>
          </cell>
          <cell r="Y263">
            <v>12.6054508</v>
          </cell>
          <cell r="AB263">
            <v>-5.5030513439741116</v>
          </cell>
        </row>
        <row r="264">
          <cell r="T264">
            <v>0.31689972972762936</v>
          </cell>
          <cell r="V264">
            <v>2.3310829411118266</v>
          </cell>
          <cell r="Y264">
            <v>12.609274599999999</v>
          </cell>
          <cell r="AB264">
            <v>-5.5617273624097354</v>
          </cell>
        </row>
        <row r="265">
          <cell r="T265">
            <v>0.13575758141160243</v>
          </cell>
          <cell r="V265">
            <v>2.3293936490696896</v>
          </cell>
          <cell r="Y265">
            <v>12.6130985</v>
          </cell>
          <cell r="AB265">
            <v>-5.5081776526095574</v>
          </cell>
        </row>
        <row r="266">
          <cell r="T266">
            <v>-3.1248578873288895E-2</v>
          </cell>
          <cell r="V266">
            <v>2.3221091151287898</v>
          </cell>
          <cell r="Y266">
            <v>12.616922300000001</v>
          </cell>
          <cell r="AB266">
            <v>-5.5690656946056576</v>
          </cell>
        </row>
        <row r="267">
          <cell r="T267">
            <v>-9.4097683178200678E-2</v>
          </cell>
          <cell r="V267">
            <v>2.3140777088493656</v>
          </cell>
          <cell r="Y267">
            <v>12.6207461</v>
          </cell>
          <cell r="AB267">
            <v>-5.5171138148237917</v>
          </cell>
        </row>
        <row r="268">
          <cell r="T268">
            <v>-9.7365520383539406E-2</v>
          </cell>
          <cell r="V268">
            <v>2.324519892793615</v>
          </cell>
          <cell r="Y268">
            <v>12.62457</v>
          </cell>
          <cell r="AB268">
            <v>-5.4951880530016926</v>
          </cell>
        </row>
        <row r="269">
          <cell r="T269">
            <v>-9.6671026376118893E-2</v>
          </cell>
          <cell r="V269">
            <v>2.3200380524119084</v>
          </cell>
          <cell r="Y269">
            <v>12.6283938</v>
          </cell>
          <cell r="AB269">
            <v>-5.5561997414769522</v>
          </cell>
        </row>
        <row r="270">
          <cell r="T270">
            <v>-8.792470453817984E-2</v>
          </cell>
          <cell r="V270">
            <v>2.3356976664372939</v>
          </cell>
          <cell r="Y270">
            <v>12.632217600000001</v>
          </cell>
          <cell r="AB270">
            <v>-5.5667508092064493</v>
          </cell>
        </row>
        <row r="271">
          <cell r="T271">
            <v>-0.10715412494041489</v>
          </cell>
          <cell r="V271">
            <v>2.3350378353942447</v>
          </cell>
          <cell r="Y271">
            <v>12.636041499999999</v>
          </cell>
          <cell r="AB271">
            <v>-5.5832257094024262</v>
          </cell>
        </row>
        <row r="272">
          <cell r="T272">
            <v>-0.16386763600766938</v>
          </cell>
          <cell r="V272">
            <v>2.3634375175479403</v>
          </cell>
          <cell r="Y272">
            <v>12.6398653</v>
          </cell>
          <cell r="AB272">
            <v>-5.4942011575443415</v>
          </cell>
        </row>
        <row r="273">
          <cell r="T273">
            <v>-0.18325024668303172</v>
          </cell>
          <cell r="V273">
            <v>2.3487565462432758</v>
          </cell>
          <cell r="Y273">
            <v>12.6436891</v>
          </cell>
          <cell r="AB273">
            <v>-5.477557284172283</v>
          </cell>
        </row>
        <row r="274">
          <cell r="T274">
            <v>-0.20957086494358315</v>
          </cell>
          <cell r="V274">
            <v>2.3418805206259745</v>
          </cell>
          <cell r="Y274">
            <v>12.647513</v>
          </cell>
          <cell r="AB274">
            <v>-5.5451952607404644</v>
          </cell>
        </row>
        <row r="275">
          <cell r="T275">
            <v>-0.21782545167678521</v>
          </cell>
          <cell r="V275">
            <v>2.3305275415212616</v>
          </cell>
          <cell r="Y275">
            <v>12.651336799999999</v>
          </cell>
          <cell r="AB275">
            <v>-5.6142269814306287</v>
          </cell>
        </row>
        <row r="276">
          <cell r="T276">
            <v>-0.23241940411054404</v>
          </cell>
          <cell r="V276">
            <v>2.3342700409945256</v>
          </cell>
          <cell r="Y276">
            <v>12.6551606</v>
          </cell>
          <cell r="AB276">
            <v>-5.6083800544733844</v>
          </cell>
        </row>
        <row r="277">
          <cell r="T277">
            <v>-0.24693068953668598</v>
          </cell>
          <cell r="V277">
            <v>2.3246320187903096</v>
          </cell>
          <cell r="Y277">
            <v>12.658984500000001</v>
          </cell>
          <cell r="AB277">
            <v>-5.5808524952500331</v>
          </cell>
        </row>
        <row r="278">
          <cell r="T278">
            <v>-0.23556274535824684</v>
          </cell>
          <cell r="V278">
            <v>2.30350565366482</v>
          </cell>
          <cell r="Y278">
            <v>12.6628083</v>
          </cell>
          <cell r="AB278">
            <v>-5.593424923020236</v>
          </cell>
        </row>
        <row r="279">
          <cell r="T279">
            <v>-0.25209986307813215</v>
          </cell>
          <cell r="V279">
            <v>2.2894542809086906</v>
          </cell>
          <cell r="Y279">
            <v>12.666632099999999</v>
          </cell>
          <cell r="AB279">
            <v>-5.5435474866982526</v>
          </cell>
        </row>
        <row r="280">
          <cell r="T280">
            <v>-0.26235451974119034</v>
          </cell>
          <cell r="V280">
            <v>2.3059499772627103</v>
          </cell>
          <cell r="Y280">
            <v>12.670456</v>
          </cell>
          <cell r="AB280">
            <v>-5.5369664860421057</v>
          </cell>
        </row>
        <row r="281">
          <cell r="T281">
            <v>-0.29583723873842616</v>
          </cell>
          <cell r="V281">
            <v>2.3220196189087541</v>
          </cell>
          <cell r="Y281">
            <v>12.674279800000001</v>
          </cell>
          <cell r="AB281">
            <v>-5.6065991404414008</v>
          </cell>
        </row>
        <row r="282">
          <cell r="T282">
            <v>-0.31250249118071527</v>
          </cell>
          <cell r="V282">
            <v>2.3324516125961972</v>
          </cell>
          <cell r="Y282">
            <v>12.6781036</v>
          </cell>
          <cell r="AB282">
            <v>-5.546436478331489</v>
          </cell>
        </row>
        <row r="283">
          <cell r="T283">
            <v>-0.35183242952405053</v>
          </cell>
          <cell r="V283">
            <v>2.333192660470504</v>
          </cell>
          <cell r="Y283">
            <v>12.6819275</v>
          </cell>
          <cell r="AB283">
            <v>-5.5581400653981641</v>
          </cell>
        </row>
        <row r="284">
          <cell r="T284">
            <v>-0.44953506518488112</v>
          </cell>
          <cell r="V284">
            <v>2.3245889928042263</v>
          </cell>
          <cell r="Y284">
            <v>12.6857513</v>
          </cell>
          <cell r="AB284">
            <v>-5.5651847747378387</v>
          </cell>
        </row>
        <row r="285">
          <cell r="T285">
            <v>-0.55957397244821061</v>
          </cell>
          <cell r="V285">
            <v>2.3153946818011648</v>
          </cell>
          <cell r="Y285">
            <v>12.689575100000001</v>
          </cell>
          <cell r="AB285">
            <v>-5.5070535214189738</v>
          </cell>
        </row>
        <row r="286">
          <cell r="T286">
            <v>-0.59237905456824735</v>
          </cell>
          <cell r="V286">
            <v>2.3361462504660993</v>
          </cell>
          <cell r="Y286">
            <v>12.693398999999999</v>
          </cell>
          <cell r="AB286">
            <v>-5.4536113306059271</v>
          </cell>
        </row>
        <row r="287">
          <cell r="T287">
            <v>-0.51165057037208783</v>
          </cell>
          <cell r="V287">
            <v>2.3527877246560993</v>
          </cell>
          <cell r="Y287">
            <v>12.6972228</v>
          </cell>
          <cell r="AB287">
            <v>-5.5831476828573026</v>
          </cell>
        </row>
        <row r="288">
          <cell r="T288">
            <v>-0.41494749675282039</v>
          </cell>
          <cell r="V288">
            <v>2.3757605810121381</v>
          </cell>
          <cell r="Y288">
            <v>12.7010466</v>
          </cell>
          <cell r="AB288">
            <v>-5.600651888371563</v>
          </cell>
        </row>
        <row r="289">
          <cell r="T289">
            <v>-0.35058675226774111</v>
          </cell>
          <cell r="V289">
            <v>2.3307879837837615</v>
          </cell>
          <cell r="Y289">
            <v>12.7048705</v>
          </cell>
          <cell r="AB289">
            <v>-5.6043841341332019</v>
          </cell>
        </row>
        <row r="290">
          <cell r="T290">
            <v>-0.34179121874799923</v>
          </cell>
          <cell r="V290">
            <v>2.3070294554986184</v>
          </cell>
          <cell r="Y290">
            <v>12.708694299999999</v>
          </cell>
          <cell r="AB290">
            <v>-5.5665222667962482</v>
          </cell>
        </row>
        <row r="291">
          <cell r="T291">
            <v>-0.37014080018029621</v>
          </cell>
          <cell r="V291">
            <v>2.2827235386083866</v>
          </cell>
          <cell r="Y291">
            <v>12.7125181</v>
          </cell>
          <cell r="AB291">
            <v>-5.5365650669123987</v>
          </cell>
        </row>
        <row r="292">
          <cell r="T292">
            <v>-0.39236495635103469</v>
          </cell>
          <cell r="V292">
            <v>2.2835080008763184</v>
          </cell>
          <cell r="Y292">
            <v>12.716341999999999</v>
          </cell>
          <cell r="AB292">
            <v>-5.5026344464233743</v>
          </cell>
        </row>
        <row r="293">
          <cell r="T293">
            <v>-0.41392595783253511</v>
          </cell>
          <cell r="V293">
            <v>2.2910494000866115</v>
          </cell>
          <cell r="Y293">
            <v>12.7201658</v>
          </cell>
          <cell r="AB293">
            <v>-5.5150169709489827</v>
          </cell>
        </row>
        <row r="294">
          <cell r="T294">
            <v>-0.43173783278288691</v>
          </cell>
          <cell r="V294">
            <v>2.2904064842618159</v>
          </cell>
          <cell r="Y294">
            <v>12.723989599999999</v>
          </cell>
          <cell r="AB294">
            <v>-5.5901340391278209</v>
          </cell>
        </row>
        <row r="295">
          <cell r="T295">
            <v>-0.5149022093990453</v>
          </cell>
          <cell r="V295">
            <v>2.3048902510892741</v>
          </cell>
          <cell r="Y295">
            <v>12.7278135</v>
          </cell>
          <cell r="AB295">
            <v>-5.5828902277503172</v>
          </cell>
        </row>
        <row r="296">
          <cell r="T296">
            <v>-0.59053697219747336</v>
          </cell>
          <cell r="V296">
            <v>2.3046258145968501</v>
          </cell>
          <cell r="Y296">
            <v>12.731637299999999</v>
          </cell>
          <cell r="AB296">
            <v>-5.4549362656047071</v>
          </cell>
        </row>
        <row r="297">
          <cell r="T297">
            <v>-0.61030779105552113</v>
          </cell>
          <cell r="V297">
            <v>2.3038111365412033</v>
          </cell>
          <cell r="Y297">
            <v>12.7354611</v>
          </cell>
          <cell r="AB297">
            <v>-5.4810364270241347</v>
          </cell>
        </row>
        <row r="298">
          <cell r="T298">
            <v>-0.5842148326298231</v>
          </cell>
          <cell r="V298">
            <v>2.2917630426683391</v>
          </cell>
          <cell r="Y298">
            <v>12.739285000000001</v>
          </cell>
          <cell r="AB298">
            <v>-5.5406014951627123</v>
          </cell>
        </row>
        <row r="299">
          <cell r="T299">
            <v>-0.57994941802895461</v>
          </cell>
          <cell r="V299">
            <v>2.2873723038495495</v>
          </cell>
          <cell r="Y299">
            <v>12.7431088</v>
          </cell>
          <cell r="AB299">
            <v>-5.4815435470846223</v>
          </cell>
        </row>
        <row r="300">
          <cell r="T300">
            <v>-0.63083295100431813</v>
          </cell>
          <cell r="V300">
            <v>2.2894400641373025</v>
          </cell>
          <cell r="Y300">
            <v>12.746932599999999</v>
          </cell>
          <cell r="AB300">
            <v>-5.4437781966500749</v>
          </cell>
        </row>
        <row r="301">
          <cell r="T301">
            <v>-0.67146414290417622</v>
          </cell>
          <cell r="V301">
            <v>2.3005914395945797</v>
          </cell>
          <cell r="Y301">
            <v>12.7507565</v>
          </cell>
          <cell r="AB301">
            <v>-5.396710683314744</v>
          </cell>
        </row>
        <row r="302">
          <cell r="T302">
            <v>-0.71786586585061318</v>
          </cell>
          <cell r="V302">
            <v>2.3069505800621961</v>
          </cell>
          <cell r="Y302">
            <v>12.754580300000001</v>
          </cell>
          <cell r="AB302">
            <v>-5.4270868730581574</v>
          </cell>
        </row>
        <row r="303">
          <cell r="T303">
            <v>-0.75861414227686519</v>
          </cell>
          <cell r="V303">
            <v>2.3111886342665162</v>
          </cell>
          <cell r="Y303">
            <v>12.758404199999999</v>
          </cell>
          <cell r="AB303">
            <v>-5.4039545039023125</v>
          </cell>
        </row>
        <row r="304">
          <cell r="T304">
            <v>-0.81756898384441179</v>
          </cell>
          <cell r="V304">
            <v>2.3238219156188138</v>
          </cell>
          <cell r="Y304">
            <v>12.762228</v>
          </cell>
          <cell r="AB304">
            <v>-5.4170147222937715</v>
          </cell>
        </row>
        <row r="305">
          <cell r="T305">
            <v>-0.85077189102756101</v>
          </cell>
          <cell r="V305">
            <v>2.3228107040183925</v>
          </cell>
          <cell r="Y305">
            <v>12.7660518</v>
          </cell>
          <cell r="AB305">
            <v>-5.4112130797495075</v>
          </cell>
        </row>
        <row r="306">
          <cell r="T306">
            <v>-0.87394211131719757</v>
          </cell>
          <cell r="V306">
            <v>2.3160367499458516</v>
          </cell>
          <cell r="Y306">
            <v>12.7698757</v>
          </cell>
          <cell r="AB306">
            <v>-5.4412821042082307</v>
          </cell>
        </row>
        <row r="307">
          <cell r="T307">
            <v>-0.88248865200093674</v>
          </cell>
          <cell r="V307">
            <v>2.2822882915736806</v>
          </cell>
          <cell r="Y307">
            <v>12.773699499999999</v>
          </cell>
          <cell r="AB307">
            <v>-5.4016334119399394</v>
          </cell>
        </row>
        <row r="308">
          <cell r="T308">
            <v>-0.89998887228076319</v>
          </cell>
          <cell r="V308">
            <v>2.29097522889613</v>
          </cell>
          <cell r="Y308">
            <v>12.7775233</v>
          </cell>
          <cell r="AB308">
            <v>-5.4239841334815475</v>
          </cell>
        </row>
        <row r="309">
          <cell r="T309">
            <v>-0.89272449432829093</v>
          </cell>
          <cell r="V309">
            <v>2.2982343552745115</v>
          </cell>
          <cell r="Y309">
            <v>12.781347200000001</v>
          </cell>
          <cell r="AB309">
            <v>-5.4007669775889617</v>
          </cell>
        </row>
        <row r="310">
          <cell r="T310">
            <v>-0.91314543411212934</v>
          </cell>
          <cell r="V310">
            <v>2.3055667623598084</v>
          </cell>
          <cell r="Y310">
            <v>12.785171</v>
          </cell>
          <cell r="AB310">
            <v>-5.4095935368044135</v>
          </cell>
        </row>
        <row r="311">
          <cell r="T311">
            <v>-0.94636907833445783</v>
          </cell>
          <cell r="V311">
            <v>2.2937126859346653</v>
          </cell>
          <cell r="Y311">
            <v>12.788994799999999</v>
          </cell>
          <cell r="AB311">
            <v>-5.3527643004073573</v>
          </cell>
        </row>
        <row r="312">
          <cell r="T312">
            <v>-0.97537441924500456</v>
          </cell>
          <cell r="V312">
            <v>2.2882778556134031</v>
          </cell>
          <cell r="Y312">
            <v>12.7928187</v>
          </cell>
          <cell r="AB312">
            <v>-5.4218543258311351</v>
          </cell>
        </row>
        <row r="313">
          <cell r="T313">
            <v>-0.99242757088149514</v>
          </cell>
          <cell r="V313">
            <v>2.2902398414120371</v>
          </cell>
          <cell r="Y313">
            <v>12.796642500000001</v>
          </cell>
          <cell r="AB313">
            <v>-5.3332711244483422</v>
          </cell>
        </row>
        <row r="314">
          <cell r="T314">
            <v>-1.0124835735694504</v>
          </cell>
          <cell r="V314">
            <v>2.2841528402751607</v>
          </cell>
          <cell r="Y314">
            <v>12.8004663</v>
          </cell>
          <cell r="AB314">
            <v>-5.4113486245985962</v>
          </cell>
        </row>
        <row r="315">
          <cell r="T315">
            <v>-1.0296925632311276</v>
          </cell>
          <cell r="V315">
            <v>2.2749535694631642</v>
          </cell>
          <cell r="Y315">
            <v>12.804290200000001</v>
          </cell>
          <cell r="AB315">
            <v>-5.3836697842107446</v>
          </cell>
        </row>
        <row r="316">
          <cell r="T316">
            <v>-1.081737501084528</v>
          </cell>
          <cell r="V316">
            <v>2.2699798562984239</v>
          </cell>
          <cell r="Y316">
            <v>12.808114</v>
          </cell>
          <cell r="AB316">
            <v>-5.3913531325165307</v>
          </cell>
        </row>
        <row r="317">
          <cell r="T317">
            <v>-1.0967172824447062</v>
          </cell>
          <cell r="V317">
            <v>2.2774466473026806</v>
          </cell>
          <cell r="Y317">
            <v>12.811937800000001</v>
          </cell>
          <cell r="AB317">
            <v>-5.3946038087913708</v>
          </cell>
        </row>
        <row r="318">
          <cell r="T318">
            <v>-1.0963374514194901</v>
          </cell>
          <cell r="V318">
            <v>2.2871369997537752</v>
          </cell>
          <cell r="Y318">
            <v>12.815761699999999</v>
          </cell>
          <cell r="AB318">
            <v>-5.43213361888108</v>
          </cell>
        </row>
        <row r="319">
          <cell r="T319">
            <v>-1.0700136083879006</v>
          </cell>
          <cell r="V319">
            <v>2.2892506140445215</v>
          </cell>
          <cell r="Y319">
            <v>12.819585500000001</v>
          </cell>
          <cell r="AB319">
            <v>-5.3496144395039256</v>
          </cell>
        </row>
        <row r="320">
          <cell r="T320">
            <v>-1.0445942032212594</v>
          </cell>
          <cell r="V320">
            <v>2.271910148384372</v>
          </cell>
          <cell r="Y320">
            <v>12.8234093</v>
          </cell>
          <cell r="AB320">
            <v>-5.3984065064228579</v>
          </cell>
        </row>
        <row r="321">
          <cell r="T321">
            <v>-1.0531391390914719</v>
          </cell>
          <cell r="V321">
            <v>2.2637974936640153</v>
          </cell>
          <cell r="Y321">
            <v>12.8272332</v>
          </cell>
          <cell r="AB321">
            <v>-5.3581424724979456</v>
          </cell>
        </row>
        <row r="322">
          <cell r="T322">
            <v>-1.0387302095360491</v>
          </cell>
          <cell r="V322">
            <v>2.2550914093853716</v>
          </cell>
          <cell r="Y322">
            <v>12.831056999999999</v>
          </cell>
          <cell r="AB322">
            <v>-5.4037791881588664</v>
          </cell>
        </row>
        <row r="323">
          <cell r="T323">
            <v>-1.0528492100257492</v>
          </cell>
          <cell r="V323">
            <v>2.260848130339784</v>
          </cell>
          <cell r="Y323">
            <v>12.834880800000001</v>
          </cell>
          <cell r="AB323">
            <v>-5.420422950767616</v>
          </cell>
        </row>
        <row r="324">
          <cell r="T324">
            <v>-1.0365728934965726</v>
          </cell>
          <cell r="V324">
            <v>2.2560240011856867</v>
          </cell>
          <cell r="Y324">
            <v>12.838704699999999</v>
          </cell>
          <cell r="AB324">
            <v>-5.3628469997052681</v>
          </cell>
        </row>
        <row r="325">
          <cell r="T325">
            <v>-1.0332580492508801</v>
          </cell>
          <cell r="V325">
            <v>2.2736939955417514</v>
          </cell>
          <cell r="Y325">
            <v>12.8425285</v>
          </cell>
          <cell r="AB325">
            <v>-5.409973654632668</v>
          </cell>
        </row>
        <row r="326">
          <cell r="T326">
            <v>-1.0098173408498912</v>
          </cell>
          <cell r="V326">
            <v>2.2786172570800431</v>
          </cell>
          <cell r="Y326">
            <v>12.8463523</v>
          </cell>
          <cell r="AB326">
            <v>-5.4154890821327557</v>
          </cell>
        </row>
        <row r="327">
          <cell r="T327">
            <v>-1.0809753916973186</v>
          </cell>
          <cell r="V327">
            <v>2.2844496920258477</v>
          </cell>
          <cell r="Y327">
            <v>12.8501762</v>
          </cell>
          <cell r="AB327">
            <v>-5.3873644594467098</v>
          </cell>
        </row>
        <row r="328">
          <cell r="T328">
            <v>-1.071892472546395</v>
          </cell>
          <cell r="V328">
            <v>2.2725326612767422</v>
          </cell>
          <cell r="Y328">
            <v>12.853999999999999</v>
          </cell>
          <cell r="AB328">
            <v>-5.4512200083156355</v>
          </cell>
        </row>
        <row r="329">
          <cell r="T329">
            <v>-1.0593204038979953</v>
          </cell>
          <cell r="V329">
            <v>2.2671425177749831</v>
          </cell>
          <cell r="Y329">
            <v>12.859033999999999</v>
          </cell>
          <cell r="AB329">
            <v>-5.4422098540805601</v>
          </cell>
        </row>
        <row r="330">
          <cell r="T330">
            <v>-0.98855236391926915</v>
          </cell>
          <cell r="V330">
            <v>2.2577042882061207</v>
          </cell>
          <cell r="Y330">
            <v>12.864068</v>
          </cell>
          <cell r="AB330">
            <v>-5.3605996245632292</v>
          </cell>
        </row>
        <row r="331">
          <cell r="T331">
            <v>-1.000826450544136</v>
          </cell>
          <cell r="V331">
            <v>2.2478574150558948</v>
          </cell>
          <cell r="Y331">
            <v>12.869102</v>
          </cell>
          <cell r="AB331">
            <v>-5.3867637974973972</v>
          </cell>
        </row>
        <row r="332">
          <cell r="T332">
            <v>-1.0020236223896759</v>
          </cell>
          <cell r="V332">
            <v>2.2491771991641811</v>
          </cell>
          <cell r="Y332">
            <v>12.874136099999999</v>
          </cell>
          <cell r="AB332">
            <v>-5.3844736134905373</v>
          </cell>
        </row>
        <row r="333">
          <cell r="T333">
            <v>-1.0083153042280613</v>
          </cell>
          <cell r="V333">
            <v>2.2581016744019089</v>
          </cell>
          <cell r="Y333">
            <v>12.8791701</v>
          </cell>
          <cell r="AB333">
            <v>-5.4029144795151538</v>
          </cell>
        </row>
        <row r="334">
          <cell r="T334">
            <v>-1.0031937566328994</v>
          </cell>
          <cell r="V334">
            <v>2.2696483098887779</v>
          </cell>
          <cell r="Y334">
            <v>12.8842041</v>
          </cell>
          <cell r="AB334">
            <v>-5.4143486699306962</v>
          </cell>
        </row>
        <row r="335">
          <cell r="T335">
            <v>-1.0167613183886377</v>
          </cell>
          <cell r="V335">
            <v>2.2720058917790329</v>
          </cell>
          <cell r="Y335">
            <v>12.8892381</v>
          </cell>
          <cell r="AB335">
            <v>-5.4105148057170309</v>
          </cell>
        </row>
        <row r="336">
          <cell r="T336">
            <v>-1.0278013889165323</v>
          </cell>
          <cell r="V336">
            <v>2.2727375006474655</v>
          </cell>
          <cell r="Y336">
            <v>12.8942721</v>
          </cell>
          <cell r="AB336">
            <v>-5.3996686728572367</v>
          </cell>
        </row>
        <row r="337">
          <cell r="T337">
            <v>-1.0357815239559089</v>
          </cell>
          <cell r="V337">
            <v>2.2604997857377254</v>
          </cell>
          <cell r="Y337">
            <v>12.8993061</v>
          </cell>
          <cell r="AB337">
            <v>-5.4062469202500179</v>
          </cell>
        </row>
        <row r="338">
          <cell r="T338">
            <v>-1.0315523158559567</v>
          </cell>
          <cell r="V338">
            <v>2.2590996761924043</v>
          </cell>
          <cell r="Y338">
            <v>12.904340100000001</v>
          </cell>
          <cell r="AB338">
            <v>-5.4095430016582613</v>
          </cell>
        </row>
        <row r="339">
          <cell r="T339">
            <v>-1.0131549722584106</v>
          </cell>
          <cell r="V339">
            <v>2.2438566093477963</v>
          </cell>
          <cell r="Y339">
            <v>12.9093742</v>
          </cell>
          <cell r="AB339">
            <v>-5.4198038730852209</v>
          </cell>
        </row>
        <row r="340">
          <cell r="T340">
            <v>-1.0134550679938359</v>
          </cell>
          <cell r="V340">
            <v>2.255329693382786</v>
          </cell>
          <cell r="Y340">
            <v>12.9144082</v>
          </cell>
          <cell r="AB340">
            <v>-5.3063714874628989</v>
          </cell>
        </row>
        <row r="341">
          <cell r="T341">
            <v>-1.0227162540729982</v>
          </cell>
          <cell r="V341">
            <v>2.2524751133845693</v>
          </cell>
          <cell r="Y341">
            <v>12.919442200000001</v>
          </cell>
          <cell r="AB341">
            <v>-5.3912393791150182</v>
          </cell>
        </row>
        <row r="342">
          <cell r="T342">
            <v>-1.0163928568967731</v>
          </cell>
          <cell r="V342">
            <v>2.2715992806442582</v>
          </cell>
          <cell r="Y342">
            <v>12.924476200000001</v>
          </cell>
          <cell r="AB342">
            <v>-5.3855921653890189</v>
          </cell>
        </row>
        <row r="343">
          <cell r="T343">
            <v>-1.006024874433525</v>
          </cell>
          <cell r="V343">
            <v>2.2770353349636205</v>
          </cell>
          <cell r="Y343">
            <v>12.929510199999999</v>
          </cell>
          <cell r="AB343">
            <v>-5.3438865403725471</v>
          </cell>
        </row>
        <row r="344">
          <cell r="T344">
            <v>-0.98058054559426766</v>
          </cell>
          <cell r="V344">
            <v>2.3007762534270921</v>
          </cell>
          <cell r="Y344">
            <v>12.934544199999999</v>
          </cell>
          <cell r="AB344">
            <v>-5.4191502854607574</v>
          </cell>
        </row>
        <row r="345">
          <cell r="T345">
            <v>-0.96102968190143834</v>
          </cell>
          <cell r="V345">
            <v>2.2949410955944178</v>
          </cell>
          <cell r="Y345">
            <v>12.9395782</v>
          </cell>
          <cell r="AB345">
            <v>-5.4083807765351599</v>
          </cell>
        </row>
        <row r="346">
          <cell r="T346">
            <v>-0.94935430504521057</v>
          </cell>
          <cell r="V346">
            <v>2.2804401188702692</v>
          </cell>
          <cell r="Y346">
            <v>12.9446122</v>
          </cell>
          <cell r="AB346">
            <v>-5.4031575558908331</v>
          </cell>
        </row>
        <row r="347">
          <cell r="T347">
            <v>-0.94404002819752897</v>
          </cell>
          <cell r="V347">
            <v>2.2620949702963773</v>
          </cell>
          <cell r="Y347">
            <v>12.949646299999999</v>
          </cell>
          <cell r="AB347">
            <v>-5.3613785590673437</v>
          </cell>
        </row>
        <row r="348">
          <cell r="T348">
            <v>-0.95906347538614012</v>
          </cell>
          <cell r="V348">
            <v>2.2570689005493745</v>
          </cell>
          <cell r="Y348">
            <v>12.9546803</v>
          </cell>
          <cell r="AB348">
            <v>-5.405186122902367</v>
          </cell>
        </row>
        <row r="349">
          <cell r="T349">
            <v>-0.94692813717348656</v>
          </cell>
          <cell r="V349">
            <v>2.2606180795759676</v>
          </cell>
          <cell r="Y349">
            <v>12.9597143</v>
          </cell>
          <cell r="AB349">
            <v>-5.3745729301773633</v>
          </cell>
        </row>
        <row r="350">
          <cell r="T350">
            <v>-0.94216387577744609</v>
          </cell>
          <cell r="V350">
            <v>2.2594834035267914</v>
          </cell>
          <cell r="Y350">
            <v>12.9647483</v>
          </cell>
          <cell r="AB350">
            <v>-5.3427403569308876</v>
          </cell>
        </row>
        <row r="351">
          <cell r="T351">
            <v>-0.93853475613631743</v>
          </cell>
          <cell r="V351">
            <v>2.2696402079075573</v>
          </cell>
          <cell r="Y351">
            <v>12.9697823</v>
          </cell>
          <cell r="AB351">
            <v>-5.3534151849752467</v>
          </cell>
        </row>
        <row r="352">
          <cell r="T352">
            <v>-0.93744729508804869</v>
          </cell>
          <cell r="V352">
            <v>2.2645414842740599</v>
          </cell>
          <cell r="Y352">
            <v>12.974816300000001</v>
          </cell>
          <cell r="AB352">
            <v>-5.3810155757309852</v>
          </cell>
        </row>
        <row r="353">
          <cell r="T353">
            <v>-0.92731584504337838</v>
          </cell>
          <cell r="V353">
            <v>2.2396851734472922</v>
          </cell>
          <cell r="Y353">
            <v>12.979850300000001</v>
          </cell>
          <cell r="AB353">
            <v>-5.3791054311074671</v>
          </cell>
        </row>
        <row r="354">
          <cell r="T354">
            <v>-0.91717926569105979</v>
          </cell>
          <cell r="V354">
            <v>2.221429857993237</v>
          </cell>
          <cell r="Y354">
            <v>12.9848844</v>
          </cell>
          <cell r="AB354">
            <v>-5.411296389019812</v>
          </cell>
        </row>
        <row r="355">
          <cell r="T355">
            <v>-0.92721100698889725</v>
          </cell>
          <cell r="V355">
            <v>2.2326269591398393</v>
          </cell>
          <cell r="Y355">
            <v>12.989918400000001</v>
          </cell>
          <cell r="AB355">
            <v>-5.3891578147191064</v>
          </cell>
        </row>
        <row r="356">
          <cell r="T356">
            <v>-0.92788028162730729</v>
          </cell>
          <cell r="V356">
            <v>2.2539819996729129</v>
          </cell>
          <cell r="Y356">
            <v>12.994952400000001</v>
          </cell>
          <cell r="AB356">
            <v>-5.4013551402885973</v>
          </cell>
        </row>
        <row r="357">
          <cell r="T357">
            <v>-0.90962459275812757</v>
          </cell>
          <cell r="V357">
            <v>2.2661531156466292</v>
          </cell>
          <cell r="Y357">
            <v>12.999986399999999</v>
          </cell>
          <cell r="AB357">
            <v>-5.3128651428276328</v>
          </cell>
        </row>
        <row r="358">
          <cell r="T358">
            <v>-0.88395099075356276</v>
          </cell>
          <cell r="V358">
            <v>2.2600408516133048</v>
          </cell>
          <cell r="Y358">
            <v>13.005020399999999</v>
          </cell>
          <cell r="AB358">
            <v>-5.2325252346539273</v>
          </cell>
        </row>
        <row r="359">
          <cell r="T359">
            <v>-0.87559475464689296</v>
          </cell>
          <cell r="V359">
            <v>2.2582701059850652</v>
          </cell>
          <cell r="Y359">
            <v>13.0100544</v>
          </cell>
          <cell r="AB359">
            <v>-5.3123692869513688</v>
          </cell>
        </row>
        <row r="360">
          <cell r="T360">
            <v>-0.86515138501836508</v>
          </cell>
          <cell r="V360">
            <v>2.2603603118901465</v>
          </cell>
          <cell r="Y360">
            <v>13.0150884</v>
          </cell>
          <cell r="AB360">
            <v>-5.2987759769665308</v>
          </cell>
        </row>
        <row r="361">
          <cell r="T361">
            <v>-0.85732856805894153</v>
          </cell>
          <cell r="V361">
            <v>2.2547378812996706</v>
          </cell>
          <cell r="Y361">
            <v>13.020122499999999</v>
          </cell>
          <cell r="AB361">
            <v>-5.3232979332266153</v>
          </cell>
        </row>
        <row r="362">
          <cell r="T362">
            <v>-0.84667338206195852</v>
          </cell>
          <cell r="V362">
            <v>2.2485711088946903</v>
          </cell>
          <cell r="Y362">
            <v>13.0251565</v>
          </cell>
          <cell r="AB362">
            <v>-5.3489654710566032</v>
          </cell>
        </row>
        <row r="363">
          <cell r="T363">
            <v>-0.88091761711022809</v>
          </cell>
          <cell r="V363">
            <v>2.2468489417192732</v>
          </cell>
          <cell r="Y363">
            <v>13.0301905</v>
          </cell>
          <cell r="AB363">
            <v>-5.3551270850860275</v>
          </cell>
        </row>
        <row r="364">
          <cell r="T364">
            <v>-0.91133086044780587</v>
          </cell>
          <cell r="V364">
            <v>2.2631475115872508</v>
          </cell>
          <cell r="Y364">
            <v>13.0352245</v>
          </cell>
          <cell r="AB364">
            <v>-5.3267912808376199</v>
          </cell>
        </row>
        <row r="365">
          <cell r="T365">
            <v>-0.94592653079641897</v>
          </cell>
          <cell r="V365">
            <v>2.2865157041319097</v>
          </cell>
          <cell r="Y365">
            <v>13.0402585</v>
          </cell>
          <cell r="AB365">
            <v>-5.3394897103262888</v>
          </cell>
        </row>
        <row r="366">
          <cell r="T366">
            <v>-0.93380905727686647</v>
          </cell>
          <cell r="V366">
            <v>2.2980564588341998</v>
          </cell>
          <cell r="Y366">
            <v>13.0452925</v>
          </cell>
          <cell r="AB366">
            <v>-5.4175681302685215</v>
          </cell>
        </row>
        <row r="367">
          <cell r="T367">
            <v>-0.91872499945410191</v>
          </cell>
          <cell r="V367">
            <v>2.2846120633256444</v>
          </cell>
          <cell r="Y367">
            <v>13.050326500000001</v>
          </cell>
          <cell r="AB367">
            <v>-5.3233832295315437</v>
          </cell>
        </row>
        <row r="368">
          <cell r="T368">
            <v>-0.89506829241418728</v>
          </cell>
          <cell r="V368">
            <v>2.2723881481813959</v>
          </cell>
          <cell r="Y368">
            <v>13.055360500000001</v>
          </cell>
          <cell r="AB368">
            <v>-5.3206239288615427</v>
          </cell>
        </row>
        <row r="369">
          <cell r="T369">
            <v>-0.89710996194450388</v>
          </cell>
          <cell r="V369">
            <v>2.2606023702237992</v>
          </cell>
          <cell r="Y369">
            <v>13.0603946</v>
          </cell>
          <cell r="AB369">
            <v>-5.3371799441821253</v>
          </cell>
        </row>
        <row r="370">
          <cell r="T370">
            <v>-0.90854696257643808</v>
          </cell>
          <cell r="V370">
            <v>2.2651567067508229</v>
          </cell>
          <cell r="Y370">
            <v>13.065428600000001</v>
          </cell>
          <cell r="AB370">
            <v>-5.3810592167976008</v>
          </cell>
        </row>
        <row r="371">
          <cell r="T371">
            <v>-0.89071413505271135</v>
          </cell>
          <cell r="V371">
            <v>2.2593417327420093</v>
          </cell>
          <cell r="Y371">
            <v>13.070462600000001</v>
          </cell>
          <cell r="AB371">
            <v>-5.3169974098244817</v>
          </cell>
        </row>
        <row r="372">
          <cell r="T372">
            <v>-0.86231442046008711</v>
          </cell>
          <cell r="V372">
            <v>2.2560781033706125</v>
          </cell>
          <cell r="Y372">
            <v>13.075496599999999</v>
          </cell>
          <cell r="AB372">
            <v>-5.310490753563009</v>
          </cell>
        </row>
        <row r="373">
          <cell r="T373">
            <v>-0.83728913590902032</v>
          </cell>
          <cell r="V373">
            <v>2.2755521047514269</v>
          </cell>
          <cell r="Y373">
            <v>13.080530599999999</v>
          </cell>
          <cell r="AB373">
            <v>-5.3564799340666847</v>
          </cell>
        </row>
        <row r="374">
          <cell r="T374">
            <v>-0.8500499760349175</v>
          </cell>
          <cell r="V374">
            <v>2.281707549981757</v>
          </cell>
          <cell r="Y374">
            <v>13.0855646</v>
          </cell>
          <cell r="AB374">
            <v>-5.319918786568735</v>
          </cell>
        </row>
        <row r="375">
          <cell r="T375">
            <v>-0.86689501614604003</v>
          </cell>
          <cell r="V375">
            <v>2.2933796145548562</v>
          </cell>
          <cell r="Y375">
            <v>13.0905986</v>
          </cell>
          <cell r="AB375">
            <v>-5.3564855300506533</v>
          </cell>
        </row>
        <row r="376">
          <cell r="T376">
            <v>-0.86353573964149177</v>
          </cell>
          <cell r="V376">
            <v>2.2742827166349096</v>
          </cell>
          <cell r="Y376">
            <v>13.095632699999999</v>
          </cell>
          <cell r="AB376">
            <v>-5.3610242002333521</v>
          </cell>
        </row>
        <row r="377">
          <cell r="T377">
            <v>-0.86494579436222951</v>
          </cell>
          <cell r="V377">
            <v>2.2770900969994323</v>
          </cell>
          <cell r="Y377">
            <v>13.1006667</v>
          </cell>
          <cell r="AB377">
            <v>-5.3249818107632167</v>
          </cell>
        </row>
        <row r="378">
          <cell r="T378">
            <v>-0.85248305458291407</v>
          </cell>
          <cell r="V378">
            <v>2.2714344808521343</v>
          </cell>
          <cell r="Y378">
            <v>13.1057007</v>
          </cell>
          <cell r="AB378">
            <v>-5.424336553568728</v>
          </cell>
        </row>
        <row r="379">
          <cell r="T379">
            <v>-0.8638100394806365</v>
          </cell>
          <cell r="V379">
            <v>2.2798561570026092</v>
          </cell>
          <cell r="Y379">
            <v>13.1107347</v>
          </cell>
          <cell r="AB379">
            <v>-5.3489887875022086</v>
          </cell>
        </row>
        <row r="380">
          <cell r="T380">
            <v>-0.86440008356340448</v>
          </cell>
          <cell r="V380">
            <v>2.2791615377670813</v>
          </cell>
          <cell r="Y380">
            <v>13.1157687</v>
          </cell>
          <cell r="AB380">
            <v>-5.3352054226622583</v>
          </cell>
        </row>
        <row r="381">
          <cell r="T381">
            <v>-0.86721951686039167</v>
          </cell>
          <cell r="V381">
            <v>2.2794305221498488</v>
          </cell>
          <cell r="Y381">
            <v>13.1208027</v>
          </cell>
          <cell r="AB381">
            <v>-5.3489149192556917</v>
          </cell>
        </row>
        <row r="382">
          <cell r="T382">
            <v>-0.8582456011661096</v>
          </cell>
          <cell r="V382">
            <v>2.2696988502488673</v>
          </cell>
          <cell r="Y382">
            <v>13.125836700000001</v>
          </cell>
          <cell r="AB382">
            <v>-5.344814543784663</v>
          </cell>
        </row>
        <row r="383">
          <cell r="T383">
            <v>-0.83909242455852773</v>
          </cell>
          <cell r="V383">
            <v>2.2690593614266832</v>
          </cell>
          <cell r="Y383">
            <v>13.1308708</v>
          </cell>
          <cell r="AB383">
            <v>-5.3057023031254449</v>
          </cell>
        </row>
        <row r="384">
          <cell r="T384">
            <v>-0.84766312617157258</v>
          </cell>
          <cell r="V384">
            <v>2.2573884163236357</v>
          </cell>
          <cell r="Y384">
            <v>13.1359048</v>
          </cell>
          <cell r="AB384">
            <v>-5.314775765425261</v>
          </cell>
        </row>
        <row r="385">
          <cell r="T385">
            <v>-0.84029770399659787</v>
          </cell>
          <cell r="V385">
            <v>2.2668861886932796</v>
          </cell>
          <cell r="Y385">
            <v>13.140938800000001</v>
          </cell>
          <cell r="AB385">
            <v>-5.3283638318615818</v>
          </cell>
        </row>
        <row r="386">
          <cell r="T386">
            <v>-0.85108016353166815</v>
          </cell>
          <cell r="V386">
            <v>2.2728143915651779</v>
          </cell>
          <cell r="Y386">
            <v>13.145972799999999</v>
          </cell>
          <cell r="AB386">
            <v>-5.3496257474482212</v>
          </cell>
        </row>
        <row r="387">
          <cell r="T387">
            <v>-0.85595231883900313</v>
          </cell>
          <cell r="V387">
            <v>2.2907238022297967</v>
          </cell>
          <cell r="Y387">
            <v>13.151006799999999</v>
          </cell>
          <cell r="AB387">
            <v>-5.3871873462920066</v>
          </cell>
        </row>
        <row r="388">
          <cell r="T388">
            <v>-0.85674402286455076</v>
          </cell>
          <cell r="V388">
            <v>2.2757290236614911</v>
          </cell>
          <cell r="Y388">
            <v>13.1560408</v>
          </cell>
          <cell r="AB388">
            <v>-5.3350025363123201</v>
          </cell>
        </row>
        <row r="389">
          <cell r="T389">
            <v>-0.85350667698326455</v>
          </cell>
          <cell r="V389">
            <v>2.2557745600063495</v>
          </cell>
          <cell r="Y389">
            <v>13.1610748</v>
          </cell>
          <cell r="AB389">
            <v>-5.285530118741983</v>
          </cell>
        </row>
        <row r="390">
          <cell r="T390">
            <v>-0.84132243766093273</v>
          </cell>
          <cell r="V390">
            <v>2.2457051453344459</v>
          </cell>
          <cell r="Y390">
            <v>13.1661088</v>
          </cell>
          <cell r="AB390">
            <v>-5.2884554646207365</v>
          </cell>
        </row>
        <row r="391">
          <cell r="T391">
            <v>-0.76379622647825995</v>
          </cell>
          <cell r="V391">
            <v>2.2417431591658201</v>
          </cell>
          <cell r="Y391">
            <v>13.1711429</v>
          </cell>
          <cell r="AB391">
            <v>-5.3401179304780184</v>
          </cell>
        </row>
        <row r="392">
          <cell r="T392">
            <v>-0.7285720967251107</v>
          </cell>
          <cell r="V392">
            <v>2.2401294118336548</v>
          </cell>
          <cell r="Y392">
            <v>13.1761769</v>
          </cell>
          <cell r="AB392">
            <v>-5.3066810229095482</v>
          </cell>
        </row>
        <row r="393">
          <cell r="T393">
            <v>-0.69592861607258383</v>
          </cell>
          <cell r="V393">
            <v>2.2312421691561561</v>
          </cell>
          <cell r="Y393">
            <v>13.1812109</v>
          </cell>
          <cell r="AB393">
            <v>-5.3098773211304744</v>
          </cell>
        </row>
        <row r="394">
          <cell r="T394">
            <v>-0.74581360274452779</v>
          </cell>
          <cell r="V394">
            <v>2.2359602612971163</v>
          </cell>
          <cell r="Y394">
            <v>13.1862449</v>
          </cell>
          <cell r="AB394">
            <v>-5.3105023518758951</v>
          </cell>
        </row>
        <row r="395">
          <cell r="T395">
            <v>-0.76858276308660434</v>
          </cell>
          <cell r="V395">
            <v>2.2314069395711877</v>
          </cell>
          <cell r="Y395">
            <v>13.1912789</v>
          </cell>
          <cell r="AB395">
            <v>-5.4545337672638725</v>
          </cell>
        </row>
        <row r="396">
          <cell r="T396">
            <v>-0.7879394840406011</v>
          </cell>
          <cell r="V396">
            <v>2.2433071359129797</v>
          </cell>
          <cell r="Y396">
            <v>13.196312900000001</v>
          </cell>
          <cell r="AB396">
            <v>-5.3306875077440283</v>
          </cell>
        </row>
        <row r="397">
          <cell r="T397">
            <v>-0.81541628408391509</v>
          </cell>
          <cell r="V397">
            <v>2.2563829510982978</v>
          </cell>
          <cell r="Y397">
            <v>13.201346900000001</v>
          </cell>
          <cell r="AB397">
            <v>-5.3070694438142452</v>
          </cell>
        </row>
        <row r="398">
          <cell r="T398">
            <v>-0.83131990409052126</v>
          </cell>
          <cell r="V398">
            <v>2.2717740449968278</v>
          </cell>
          <cell r="Y398">
            <v>13.206381</v>
          </cell>
          <cell r="AB398">
            <v>-5.2820181319833672</v>
          </cell>
        </row>
        <row r="399">
          <cell r="T399">
            <v>-0.8371165921742808</v>
          </cell>
          <cell r="V399">
            <v>2.2703312746193816</v>
          </cell>
          <cell r="Y399">
            <v>13.211415000000001</v>
          </cell>
          <cell r="AB399">
            <v>-5.3241776920137598</v>
          </cell>
        </row>
        <row r="400">
          <cell r="T400">
            <v>-0.83945299033059195</v>
          </cell>
          <cell r="V400">
            <v>2.2743507655982058</v>
          </cell>
          <cell r="Y400">
            <v>13.216449000000001</v>
          </cell>
          <cell r="AB400">
            <v>-5.2592190087782287</v>
          </cell>
        </row>
        <row r="401">
          <cell r="T401">
            <v>-0.83297172971848221</v>
          </cell>
          <cell r="V401">
            <v>2.2662573453538775</v>
          </cell>
          <cell r="Y401">
            <v>13.221482999999999</v>
          </cell>
          <cell r="AB401">
            <v>-5.2909609648529896</v>
          </cell>
        </row>
        <row r="402">
          <cell r="T402">
            <v>-0.82398027811999508</v>
          </cell>
          <cell r="V402">
            <v>2.2463107028044833</v>
          </cell>
          <cell r="Y402">
            <v>13.224729999999999</v>
          </cell>
          <cell r="AB402">
            <v>-5.2926916319772905</v>
          </cell>
        </row>
        <row r="403">
          <cell r="T403">
            <v>-0.80563259175001711</v>
          </cell>
          <cell r="V403">
            <v>2.2191578490727433</v>
          </cell>
          <cell r="Y403">
            <v>13.226190000000001</v>
          </cell>
          <cell r="AB403">
            <v>-5.2839054818145499</v>
          </cell>
        </row>
        <row r="404">
          <cell r="T404">
            <v>-0.79471656913031741</v>
          </cell>
          <cell r="V404">
            <v>2.2264510924979146</v>
          </cell>
          <cell r="Y404">
            <v>13.227650000000001</v>
          </cell>
          <cell r="AB404">
            <v>-5.2071591456984097</v>
          </cell>
        </row>
        <row r="405">
          <cell r="T405">
            <v>-0.7933534642389608</v>
          </cell>
          <cell r="V405">
            <v>2.2357923513973108</v>
          </cell>
          <cell r="Y405">
            <v>13.22911</v>
          </cell>
          <cell r="AB405">
            <v>-5.3003221711837352</v>
          </cell>
        </row>
        <row r="406">
          <cell r="T406">
            <v>-0.79627964893559089</v>
          </cell>
          <cell r="V406">
            <v>2.2447565990803127</v>
          </cell>
          <cell r="Y406">
            <v>13.23057</v>
          </cell>
          <cell r="AB406">
            <v>-5.3555931288010932</v>
          </cell>
        </row>
        <row r="407">
          <cell r="T407">
            <v>-0.79526927508559686</v>
          </cell>
          <cell r="V407">
            <v>2.2376077712151603</v>
          </cell>
          <cell r="Y407">
            <v>13.23203</v>
          </cell>
          <cell r="AB407">
            <v>-5.2816124446583279</v>
          </cell>
        </row>
        <row r="408">
          <cell r="T408">
            <v>-0.79977916866636589</v>
          </cell>
          <cell r="V408">
            <v>2.2360814746930853</v>
          </cell>
          <cell r="Y408">
            <v>13.23349</v>
          </cell>
          <cell r="AB408">
            <v>-5.2512183182196583</v>
          </cell>
        </row>
        <row r="409">
          <cell r="T409">
            <v>-0.79051213461638126</v>
          </cell>
          <cell r="V409">
            <v>2.2351690697891637</v>
          </cell>
          <cell r="Y409">
            <v>13.23495</v>
          </cell>
          <cell r="AB409">
            <v>-5.2912933080942546</v>
          </cell>
        </row>
        <row r="410">
          <cell r="T410">
            <v>-0.8205432275851795</v>
          </cell>
          <cell r="V410">
            <v>2.2519931808814433</v>
          </cell>
          <cell r="Y410">
            <v>13.236409999999999</v>
          </cell>
          <cell r="AB410">
            <v>-5.2802509006278049</v>
          </cell>
        </row>
        <row r="411">
          <cell r="T411">
            <v>-0.84865292365412104</v>
          </cell>
          <cell r="V411">
            <v>2.2762699997890485</v>
          </cell>
          <cell r="Y411">
            <v>13.237869999999999</v>
          </cell>
          <cell r="AB411">
            <v>-5.3664138901403522</v>
          </cell>
        </row>
        <row r="412">
          <cell r="T412">
            <v>-0.85712619015728597</v>
          </cell>
          <cell r="V412">
            <v>2.3023879807466039</v>
          </cell>
          <cell r="Y412">
            <v>13.239330000000001</v>
          </cell>
          <cell r="AB412">
            <v>-5.3465254402800024</v>
          </cell>
        </row>
        <row r="413">
          <cell r="T413">
            <v>-0.82407633070572006</v>
          </cell>
          <cell r="V413">
            <v>2.3022721897944307</v>
          </cell>
          <cell r="Y413">
            <v>13.240790000000001</v>
          </cell>
          <cell r="AB413">
            <v>-5.3449938458326613</v>
          </cell>
        </row>
        <row r="414">
          <cell r="T414">
            <v>-0.78050516255624691</v>
          </cell>
          <cell r="V414">
            <v>2.2786501626032956</v>
          </cell>
          <cell r="Y414">
            <v>13.24225</v>
          </cell>
          <cell r="AB414">
            <v>-5.3869422697276317</v>
          </cell>
        </row>
        <row r="415">
          <cell r="T415">
            <v>-0.73670974269491341</v>
          </cell>
          <cell r="V415">
            <v>2.2617649477872201</v>
          </cell>
          <cell r="Y415">
            <v>13.24371</v>
          </cell>
          <cell r="AB415">
            <v>-5.331822370709026</v>
          </cell>
        </row>
        <row r="416">
          <cell r="T416">
            <v>-0.69823923153325917</v>
          </cell>
          <cell r="V416">
            <v>2.2610465931719563</v>
          </cell>
          <cell r="Y416">
            <v>13.24517</v>
          </cell>
          <cell r="AB416">
            <v>-5.306287338309108</v>
          </cell>
        </row>
        <row r="417">
          <cell r="T417">
            <v>-0.6416815997932227</v>
          </cell>
          <cell r="V417">
            <v>2.2716708896070039</v>
          </cell>
          <cell r="Y417">
            <v>13.24663</v>
          </cell>
          <cell r="AB417">
            <v>-5.350481132785311</v>
          </cell>
        </row>
        <row r="418">
          <cell r="T418">
            <v>-0.6161379444988605</v>
          </cell>
          <cell r="V418">
            <v>2.264367980422207</v>
          </cell>
          <cell r="Y418">
            <v>13.248089999999999</v>
          </cell>
          <cell r="AB418">
            <v>-5.3124750193617203</v>
          </cell>
        </row>
        <row r="419">
          <cell r="T419">
            <v>-0.62331444112070533</v>
          </cell>
          <cell r="V419">
            <v>2.2533302391582404</v>
          </cell>
          <cell r="Y419">
            <v>13.249549999999999</v>
          </cell>
          <cell r="AB419">
            <v>-5.310473722132107</v>
          </cell>
        </row>
        <row r="420">
          <cell r="T420">
            <v>-0.61617924619375886</v>
          </cell>
          <cell r="V420">
            <v>2.2593059847782975</v>
          </cell>
          <cell r="Y420">
            <v>13.251010000000001</v>
          </cell>
          <cell r="AB420">
            <v>-5.3148257124545504</v>
          </cell>
        </row>
        <row r="421">
          <cell r="T421">
            <v>-0.65714992764748714</v>
          </cell>
          <cell r="V421">
            <v>2.2696760421967981</v>
          </cell>
          <cell r="Y421">
            <v>13.252470000000001</v>
          </cell>
          <cell r="AB421">
            <v>-5.3865518676035995</v>
          </cell>
        </row>
        <row r="422">
          <cell r="T422">
            <v>-0.64996084826302258</v>
          </cell>
          <cell r="V422">
            <v>2.2699498207619402</v>
          </cell>
          <cell r="Y422">
            <v>13.25393</v>
          </cell>
          <cell r="AB422">
            <v>-5.3703389737176179</v>
          </cell>
        </row>
        <row r="423">
          <cell r="T423">
            <v>-0.61876229875799715</v>
          </cell>
          <cell r="V423">
            <v>2.2751271770170423</v>
          </cell>
          <cell r="Y423">
            <v>13.25539</v>
          </cell>
          <cell r="AB423">
            <v>-5.3421710839510554</v>
          </cell>
        </row>
        <row r="424">
          <cell r="T424">
            <v>-0.55641400825911613</v>
          </cell>
          <cell r="V424">
            <v>2.3074279778332145</v>
          </cell>
          <cell r="Y424">
            <v>13.25685</v>
          </cell>
          <cell r="AB424">
            <v>-5.4294336317490357</v>
          </cell>
        </row>
        <row r="425">
          <cell r="T425">
            <v>-0.56355804564733258</v>
          </cell>
          <cell r="V425">
            <v>2.3146421535392014</v>
          </cell>
          <cell r="Y425">
            <v>13.25831</v>
          </cell>
          <cell r="AB425">
            <v>-5.3614555662066143</v>
          </cell>
        </row>
        <row r="426">
          <cell r="T426">
            <v>-0.58253118627252287</v>
          </cell>
          <cell r="V426">
            <v>2.3054624630527827</v>
          </cell>
          <cell r="Y426">
            <v>13.25977</v>
          </cell>
          <cell r="AB426">
            <v>-5.3360451110869205</v>
          </cell>
        </row>
        <row r="427">
          <cell r="T427">
            <v>-0.56859079160742576</v>
          </cell>
          <cell r="V427">
            <v>2.2697445519288233</v>
          </cell>
          <cell r="Y427">
            <v>13.261229999999999</v>
          </cell>
          <cell r="AB427">
            <v>-5.3918605844287892</v>
          </cell>
        </row>
        <row r="428">
          <cell r="T428">
            <v>-0.49513410370573058</v>
          </cell>
          <cell r="V428">
            <v>2.2533829726095447</v>
          </cell>
          <cell r="Y428">
            <v>13.262689999999999</v>
          </cell>
          <cell r="AB428">
            <v>-5.3595243207826826</v>
          </cell>
        </row>
        <row r="429">
          <cell r="T429">
            <v>-0.46531673697757481</v>
          </cell>
          <cell r="V429">
            <v>2.2510694141703005</v>
          </cell>
          <cell r="Y429">
            <v>13.264150000000001</v>
          </cell>
          <cell r="AB429">
            <v>-5.329501926476536</v>
          </cell>
        </row>
        <row r="430">
          <cell r="T430">
            <v>-0.44133731168481322</v>
          </cell>
          <cell r="V430">
            <v>2.2559112024810672</v>
          </cell>
          <cell r="Y430">
            <v>13.265610000000001</v>
          </cell>
          <cell r="AB430">
            <v>-5.3679062231835299</v>
          </cell>
        </row>
        <row r="431">
          <cell r="T431">
            <v>-0.40713198265618261</v>
          </cell>
          <cell r="V431">
            <v>2.2698243817590087</v>
          </cell>
          <cell r="Y431">
            <v>13.26707</v>
          </cell>
          <cell r="AB431">
            <v>-5.3372886367582364</v>
          </cell>
        </row>
        <row r="432">
          <cell r="T432">
            <v>-0.39112884554198318</v>
          </cell>
          <cell r="V432">
            <v>2.2789591459402367</v>
          </cell>
          <cell r="Y432">
            <v>13.26853</v>
          </cell>
          <cell r="AB432">
            <v>-5.3412869661541071</v>
          </cell>
        </row>
        <row r="433">
          <cell r="T433">
            <v>-0.36352497990887828</v>
          </cell>
          <cell r="V433">
            <v>2.2891293533824388</v>
          </cell>
          <cell r="Y433">
            <v>13.26999</v>
          </cell>
          <cell r="AB433">
            <v>-5.3861112194970202</v>
          </cell>
        </row>
        <row r="434">
          <cell r="T434">
            <v>-0.37194511940296088</v>
          </cell>
          <cell r="V434">
            <v>2.2854977348512566</v>
          </cell>
          <cell r="Y434">
            <v>13.27145</v>
          </cell>
          <cell r="AB434">
            <v>-5.4082869103467068</v>
          </cell>
        </row>
        <row r="435">
          <cell r="T435">
            <v>-0.36119783434758562</v>
          </cell>
          <cell r="V435">
            <v>2.2598124959544932</v>
          </cell>
          <cell r="Y435">
            <v>13.27291</v>
          </cell>
          <cell r="AB435">
            <v>-5.3786840058285614</v>
          </cell>
        </row>
        <row r="436">
          <cell r="T436">
            <v>-0.37567359149171198</v>
          </cell>
          <cell r="V436">
            <v>2.2519634895571223</v>
          </cell>
          <cell r="Y436">
            <v>13.274369999999999</v>
          </cell>
          <cell r="AB436">
            <v>-5.3581893789530186</v>
          </cell>
        </row>
        <row r="437">
          <cell r="T437">
            <v>-0.354482915733354</v>
          </cell>
          <cell r="V437">
            <v>2.2504639246073128</v>
          </cell>
          <cell r="Y437">
            <v>13.275829999999999</v>
          </cell>
          <cell r="AB437">
            <v>-5.4195076867126541</v>
          </cell>
        </row>
        <row r="438">
          <cell r="T438">
            <v>-0.34680663126166539</v>
          </cell>
          <cell r="V438">
            <v>2.2702648049391456</v>
          </cell>
          <cell r="Y438">
            <v>13.277290000000001</v>
          </cell>
          <cell r="AB438">
            <v>-5.3648997810695818</v>
          </cell>
        </row>
        <row r="439">
          <cell r="T439">
            <v>-0.34258530072905047</v>
          </cell>
          <cell r="V439">
            <v>2.2487858894827908</v>
          </cell>
          <cell r="Y439">
            <v>13.27875</v>
          </cell>
          <cell r="AB439">
            <v>-5.393655449305891</v>
          </cell>
        </row>
        <row r="440">
          <cell r="T440">
            <v>-0.35915733601316063</v>
          </cell>
          <cell r="V440">
            <v>2.2349878393576055</v>
          </cell>
          <cell r="Y440">
            <v>13.28021</v>
          </cell>
          <cell r="AB440">
            <v>-5.3833450597362509</v>
          </cell>
        </row>
        <row r="441">
          <cell r="T441">
            <v>-0.35434935379782523</v>
          </cell>
          <cell r="V441">
            <v>2.2140899881877671</v>
          </cell>
          <cell r="Y441">
            <v>13.28167</v>
          </cell>
          <cell r="AB441">
            <v>-5.3975422520831646</v>
          </cell>
        </row>
        <row r="442">
          <cell r="T442">
            <v>-0.35208920590334869</v>
          </cell>
          <cell r="V442">
            <v>2.2130318535890789</v>
          </cell>
          <cell r="Y442">
            <v>13.28313</v>
          </cell>
          <cell r="AB442">
            <v>-5.3764619657018535</v>
          </cell>
        </row>
        <row r="443">
          <cell r="T443">
            <v>-0.336873335880644</v>
          </cell>
          <cell r="V443">
            <v>2.2104379623305559</v>
          </cell>
          <cell r="Y443">
            <v>13.28459</v>
          </cell>
          <cell r="AB443">
            <v>-5.3971351895878668</v>
          </cell>
        </row>
        <row r="444">
          <cell r="T444">
            <v>-0.34024548134431382</v>
          </cell>
          <cell r="V444">
            <v>2.2222300815141067</v>
          </cell>
          <cell r="Y444">
            <v>13.286049999999999</v>
          </cell>
          <cell r="AB444">
            <v>-5.4171370581673797</v>
          </cell>
        </row>
        <row r="445">
          <cell r="T445">
            <v>-0.34229750002563114</v>
          </cell>
          <cell r="V445">
            <v>2.261362646203382</v>
          </cell>
          <cell r="Y445">
            <v>13.287509999999999</v>
          </cell>
          <cell r="AB445">
            <v>-5.4238215831431473</v>
          </cell>
        </row>
        <row r="446">
          <cell r="T446">
            <v>-0.32551690500764902</v>
          </cell>
          <cell r="V446">
            <v>2.2662247548607355</v>
          </cell>
          <cell r="Y446">
            <v>13.288970000000001</v>
          </cell>
          <cell r="AB446">
            <v>-5.4162006204068627</v>
          </cell>
        </row>
        <row r="447">
          <cell r="T447">
            <v>-0.31597896323999802</v>
          </cell>
          <cell r="V447">
            <v>2.2561816395538958</v>
          </cell>
          <cell r="Y447">
            <v>13.290430000000001</v>
          </cell>
          <cell r="AB447">
            <v>-5.4072955265238827</v>
          </cell>
        </row>
        <row r="448">
          <cell r="T448">
            <v>-0.29810759494887956</v>
          </cell>
          <cell r="V448">
            <v>2.2272019934942779</v>
          </cell>
          <cell r="Y448">
            <v>13.29189</v>
          </cell>
          <cell r="AB448">
            <v>-5.3991690682890701</v>
          </cell>
        </row>
        <row r="449">
          <cell r="T449">
            <v>-0.30072664130108856</v>
          </cell>
          <cell r="V449">
            <v>2.2383230979826183</v>
          </cell>
          <cell r="Y449">
            <v>13.29335</v>
          </cell>
          <cell r="AB449">
            <v>-5.4246018552342798</v>
          </cell>
        </row>
        <row r="450">
          <cell r="T450">
            <v>-0.29294324853952497</v>
          </cell>
          <cell r="V450">
            <v>2.272336380321248</v>
          </cell>
          <cell r="Y450">
            <v>13.29481</v>
          </cell>
          <cell r="AB450">
            <v>-5.4146601858770511</v>
          </cell>
        </row>
        <row r="451">
          <cell r="T451">
            <v>-0.32209713503928744</v>
          </cell>
          <cell r="V451">
            <v>2.2787877530718168</v>
          </cell>
          <cell r="Y451">
            <v>13.29627</v>
          </cell>
          <cell r="AB451">
            <v>-5.416561337912051</v>
          </cell>
        </row>
        <row r="452">
          <cell r="T452">
            <v>-0.42896739569001446</v>
          </cell>
          <cell r="V452">
            <v>2.3024114921427796</v>
          </cell>
          <cell r="Y452">
            <v>13.2978983</v>
          </cell>
          <cell r="AB452">
            <v>-5.367447467995671</v>
          </cell>
        </row>
        <row r="453">
          <cell r="T453">
            <v>-0.63326870050651995</v>
          </cell>
          <cell r="V453">
            <v>2.2974294152095269</v>
          </cell>
          <cell r="Y453">
            <v>13.2996949</v>
          </cell>
          <cell r="AB453">
            <v>-5.3904193247104937</v>
          </cell>
        </row>
        <row r="454">
          <cell r="T454">
            <v>-0.65740762179525969</v>
          </cell>
          <cell r="V454">
            <v>2.30208916112448</v>
          </cell>
          <cell r="Y454">
            <v>13.301491499999999</v>
          </cell>
          <cell r="AB454">
            <v>-5.3757245375153433</v>
          </cell>
        </row>
        <row r="455">
          <cell r="T455">
            <v>-0.55170822665866126</v>
          </cell>
          <cell r="V455">
            <v>2.2906509984243724</v>
          </cell>
          <cell r="Y455">
            <v>13.3032881</v>
          </cell>
          <cell r="AB455">
            <v>-5.4021474094968136</v>
          </cell>
        </row>
        <row r="456">
          <cell r="T456">
            <v>-0.35387898145239571</v>
          </cell>
          <cell r="V456">
            <v>2.2694048361769981</v>
          </cell>
          <cell r="Y456">
            <v>13.305084799999999</v>
          </cell>
          <cell r="AB456">
            <v>-5.3765118422857316</v>
          </cell>
        </row>
        <row r="457">
          <cell r="T457">
            <v>-0.30032508688187121</v>
          </cell>
          <cell r="V457">
            <v>2.2623751000062016</v>
          </cell>
          <cell r="Y457">
            <v>13.3068814</v>
          </cell>
          <cell r="AB457">
            <v>-5.3871723460094643</v>
          </cell>
        </row>
        <row r="458">
          <cell r="T458">
            <v>-0.30428716535061273</v>
          </cell>
          <cell r="V458">
            <v>2.2450424355086702</v>
          </cell>
          <cell r="Y458">
            <v>13.308678</v>
          </cell>
          <cell r="AB458">
            <v>-5.4060660631404334</v>
          </cell>
        </row>
        <row r="459">
          <cell r="T459">
            <v>-0.31433621602706302</v>
          </cell>
          <cell r="V459">
            <v>2.2455214357564066</v>
          </cell>
          <cell r="Y459">
            <v>13.310474599999999</v>
          </cell>
          <cell r="AB459">
            <v>-5.3569322624659801</v>
          </cell>
        </row>
        <row r="460">
          <cell r="T460">
            <v>-0.30424663225906906</v>
          </cell>
          <cell r="V460">
            <v>2.2545751606940447</v>
          </cell>
          <cell r="Y460">
            <v>13.3122712</v>
          </cell>
          <cell r="AB460">
            <v>-5.3919063124988602</v>
          </cell>
        </row>
        <row r="461">
          <cell r="T461">
            <v>-0.33108203980869044</v>
          </cell>
          <cell r="V461">
            <v>2.25747788323469</v>
          </cell>
          <cell r="Y461">
            <v>13.3140678</v>
          </cell>
          <cell r="AB461">
            <v>-5.3998674726334732</v>
          </cell>
        </row>
        <row r="462">
          <cell r="T462">
            <v>-0.40029005319410116</v>
          </cell>
          <cell r="V462">
            <v>2.269981556108843</v>
          </cell>
          <cell r="Y462">
            <v>13.315864400000001</v>
          </cell>
          <cell r="AB462">
            <v>-5.3370497581043121</v>
          </cell>
        </row>
        <row r="463">
          <cell r="T463">
            <v>-0.52767257615996799</v>
          </cell>
          <cell r="V463">
            <v>2.2527633163662681</v>
          </cell>
          <cell r="Y463">
            <v>13.317660999999999</v>
          </cell>
          <cell r="AB463">
            <v>-5.3865769669747383</v>
          </cell>
        </row>
        <row r="464">
          <cell r="T464">
            <v>-0.53693422757857079</v>
          </cell>
          <cell r="V464">
            <v>2.243966696139108</v>
          </cell>
          <cell r="Y464">
            <v>13.3194576</v>
          </cell>
          <cell r="AB464">
            <v>-5.3687383579135615</v>
          </cell>
        </row>
        <row r="465">
          <cell r="T465">
            <v>-0.50612194725254778</v>
          </cell>
          <cell r="V465">
            <v>2.2448508130441165</v>
          </cell>
          <cell r="Y465">
            <v>13.3212542</v>
          </cell>
          <cell r="AB465">
            <v>-5.3341328350171322</v>
          </cell>
        </row>
        <row r="466">
          <cell r="T466">
            <v>-0.45151747629919248</v>
          </cell>
          <cell r="V466">
            <v>2.2549724254282526</v>
          </cell>
          <cell r="Y466">
            <v>13.3230509</v>
          </cell>
          <cell r="AB466">
            <v>-5.351055570421134</v>
          </cell>
        </row>
        <row r="467">
          <cell r="T467">
            <v>-0.45551720075479302</v>
          </cell>
          <cell r="V467">
            <v>2.258378947663394</v>
          </cell>
          <cell r="Y467">
            <v>13.324847500000001</v>
          </cell>
          <cell r="AB467">
            <v>-5.3730647930558515</v>
          </cell>
        </row>
        <row r="468">
          <cell r="T468">
            <v>-0.41884963408040171</v>
          </cell>
          <cell r="V468">
            <v>2.2257764833097262</v>
          </cell>
          <cell r="Y468">
            <v>13.326644099999999</v>
          </cell>
          <cell r="AB468">
            <v>-5.3661420906276858</v>
          </cell>
        </row>
        <row r="469">
          <cell r="T469">
            <v>-0.36446956222378857</v>
          </cell>
          <cell r="V469">
            <v>2.1980665803355897</v>
          </cell>
          <cell r="Y469">
            <v>13.3284407</v>
          </cell>
          <cell r="AB469">
            <v>-5.3485090206097201</v>
          </cell>
        </row>
        <row r="470">
          <cell r="T470">
            <v>-0.32865354039353684</v>
          </cell>
          <cell r="V470">
            <v>2.1937261954213372</v>
          </cell>
          <cell r="Y470">
            <v>13.3302373</v>
          </cell>
          <cell r="AB470">
            <v>-5.306927784552733</v>
          </cell>
        </row>
        <row r="471">
          <cell r="T471">
            <v>-0.34976791547069258</v>
          </cell>
          <cell r="V471">
            <v>2.2197609981509823</v>
          </cell>
          <cell r="Y471">
            <v>13.332033900000001</v>
          </cell>
          <cell r="AB471">
            <v>-5.3606666575771706</v>
          </cell>
        </row>
        <row r="472">
          <cell r="T472">
            <v>-0.3946092531609402</v>
          </cell>
          <cell r="V472">
            <v>2.2224506565811097</v>
          </cell>
          <cell r="Y472">
            <v>13.333830499999999</v>
          </cell>
          <cell r="AB472">
            <v>-5.3703223701359635</v>
          </cell>
        </row>
        <row r="473">
          <cell r="T473">
            <v>-0.43113564078076722</v>
          </cell>
          <cell r="V473">
            <v>2.2426487706420875</v>
          </cell>
          <cell r="Y473">
            <v>13.3356271</v>
          </cell>
          <cell r="AB473">
            <v>-5.3425017246886481</v>
          </cell>
        </row>
        <row r="474">
          <cell r="T474">
            <v>-0.45935220597741466</v>
          </cell>
          <cell r="V474">
            <v>2.2452502352911647</v>
          </cell>
          <cell r="Y474">
            <v>13.3374237</v>
          </cell>
          <cell r="AB474">
            <v>-5.3933688937525757</v>
          </cell>
        </row>
        <row r="475">
          <cell r="T475">
            <v>-0.45917874992142349</v>
          </cell>
          <cell r="V475">
            <v>2.2488618465866912</v>
          </cell>
          <cell r="Y475">
            <v>13.339220299999999</v>
          </cell>
          <cell r="AB475">
            <v>-5.3730783009982872</v>
          </cell>
        </row>
        <row r="476">
          <cell r="T476">
            <v>-0.49930764586483267</v>
          </cell>
          <cell r="V476">
            <v>2.2381021152351148</v>
          </cell>
          <cell r="Y476">
            <v>13.341017000000001</v>
          </cell>
          <cell r="AB476">
            <v>-5.3454028234195201</v>
          </cell>
        </row>
        <row r="477">
          <cell r="T477">
            <v>-0.49188194902011412</v>
          </cell>
          <cell r="V477">
            <v>2.2256707392427759</v>
          </cell>
          <cell r="Y477">
            <v>13.342813599999999</v>
          </cell>
          <cell r="AB477">
            <v>-5.3674096404734879</v>
          </cell>
        </row>
        <row r="478">
          <cell r="T478">
            <v>-0.49419148330129398</v>
          </cell>
          <cell r="V478">
            <v>2.2402021639091871</v>
          </cell>
          <cell r="Y478">
            <v>13.3446102</v>
          </cell>
          <cell r="AB478">
            <v>-5.3793239469754797</v>
          </cell>
        </row>
        <row r="479">
          <cell r="T479">
            <v>-0.48548849655133702</v>
          </cell>
          <cell r="V479">
            <v>2.2430882222430455</v>
          </cell>
          <cell r="Y479">
            <v>13.3464068</v>
          </cell>
          <cell r="AB479">
            <v>-5.3755494954611933</v>
          </cell>
        </row>
        <row r="480">
          <cell r="T480">
            <v>-0.50707289026912228</v>
          </cell>
          <cell r="V480">
            <v>2.229783796821442</v>
          </cell>
          <cell r="Y480">
            <v>13.348203399999999</v>
          </cell>
          <cell r="AB480">
            <v>-5.3673639278688308</v>
          </cell>
        </row>
        <row r="481">
          <cell r="T481">
            <v>-0.50296345839632139</v>
          </cell>
          <cell r="V481">
            <v>2.2013762604474851</v>
          </cell>
          <cell r="Y481">
            <v>13.35</v>
          </cell>
          <cell r="AB481">
            <v>-5.3895891718614672</v>
          </cell>
        </row>
        <row r="482">
          <cell r="T482">
            <v>-0.47323540315461621</v>
          </cell>
          <cell r="V482">
            <v>2.1728735512954902</v>
          </cell>
          <cell r="Y482">
            <v>13.3705</v>
          </cell>
          <cell r="AB482">
            <v>-5.3401248756031059</v>
          </cell>
        </row>
        <row r="483">
          <cell r="T483">
            <v>-0.46572545054158687</v>
          </cell>
          <cell r="V483">
            <v>2.1774503690362099</v>
          </cell>
          <cell r="Y483">
            <v>13.391</v>
          </cell>
          <cell r="AB483">
            <v>-5.3719944860432367</v>
          </cell>
        </row>
        <row r="484">
          <cell r="T484">
            <v>-0.45993079634645256</v>
          </cell>
          <cell r="V484">
            <v>2.2079504958260565</v>
          </cell>
          <cell r="Y484">
            <v>13.4115</v>
          </cell>
          <cell r="AB484">
            <v>-5.3624526383869497</v>
          </cell>
        </row>
        <row r="485">
          <cell r="T485">
            <v>-0.46404337790014849</v>
          </cell>
          <cell r="V485">
            <v>2.238410296260295</v>
          </cell>
          <cell r="Y485">
            <v>13.432</v>
          </cell>
          <cell r="AB485">
            <v>-5.354073415290058</v>
          </cell>
        </row>
        <row r="486">
          <cell r="T486">
            <v>-0.46240000569950251</v>
          </cell>
          <cell r="V486">
            <v>2.2712996523012721</v>
          </cell>
          <cell r="Y486">
            <v>13.452500000000001</v>
          </cell>
          <cell r="AB486">
            <v>-5.3493016724290676</v>
          </cell>
        </row>
        <row r="487">
          <cell r="T487">
            <v>-0.43257927873405905</v>
          </cell>
          <cell r="V487">
            <v>2.268829234431669</v>
          </cell>
          <cell r="Y487">
            <v>13.473000000000001</v>
          </cell>
          <cell r="AB487">
            <v>-5.4106646083273953</v>
          </cell>
        </row>
        <row r="488">
          <cell r="T488">
            <v>-0.42844344919547012</v>
          </cell>
          <cell r="V488">
            <v>2.2611403253315276</v>
          </cell>
          <cell r="Y488">
            <v>13.493499999999999</v>
          </cell>
          <cell r="AB488">
            <v>-5.3472901724479591</v>
          </cell>
        </row>
        <row r="489">
          <cell r="T489">
            <v>-0.40742730252335163</v>
          </cell>
          <cell r="V489">
            <v>2.2695580251974246</v>
          </cell>
          <cell r="Y489">
            <v>13.513999999999999</v>
          </cell>
          <cell r="AB489">
            <v>-5.348378038539038</v>
          </cell>
        </row>
        <row r="490">
          <cell r="T490">
            <v>-0.40699455956324931</v>
          </cell>
          <cell r="V490">
            <v>2.2792793277974739</v>
          </cell>
          <cell r="Y490">
            <v>13.5345</v>
          </cell>
          <cell r="AB490">
            <v>-5.3985188779084883</v>
          </cell>
        </row>
        <row r="491">
          <cell r="T491">
            <v>-0.38253474806301635</v>
          </cell>
          <cell r="V491">
            <v>2.2788312304832807</v>
          </cell>
          <cell r="Y491">
            <v>13.555</v>
          </cell>
          <cell r="AB491">
            <v>-5.3706334348297435</v>
          </cell>
        </row>
        <row r="492">
          <cell r="T492">
            <v>-0.34669335745631019</v>
          </cell>
          <cell r="V492">
            <v>2.247313284974378</v>
          </cell>
          <cell r="Y492">
            <v>13.5755</v>
          </cell>
          <cell r="AB492">
            <v>-5.3538148729365975</v>
          </cell>
        </row>
        <row r="493">
          <cell r="T493">
            <v>-0.35646470971583727</v>
          </cell>
          <cell r="V493">
            <v>2.2485897542268165</v>
          </cell>
          <cell r="Y493">
            <v>13.596</v>
          </cell>
          <cell r="AB493">
            <v>-5.3610218898660884</v>
          </cell>
        </row>
        <row r="494">
          <cell r="T494">
            <v>-0.3629502637068045</v>
          </cell>
          <cell r="V494">
            <v>2.258974706008682</v>
          </cell>
          <cell r="Y494">
            <v>13.6165</v>
          </cell>
          <cell r="AB494">
            <v>-5.3785318031253251</v>
          </cell>
        </row>
        <row r="495">
          <cell r="T495">
            <v>-0.40294440598548853</v>
          </cell>
          <cell r="V495">
            <v>2.2654051011843777</v>
          </cell>
          <cell r="Y495">
            <v>13.637</v>
          </cell>
          <cell r="AB495">
            <v>-5.3509004425280056</v>
          </cell>
        </row>
        <row r="496">
          <cell r="T496">
            <v>-0.3831407935187523</v>
          </cell>
          <cell r="V496">
            <v>2.2487129609322181</v>
          </cell>
          <cell r="Y496">
            <v>13.657500000000001</v>
          </cell>
          <cell r="AB496">
            <v>-5.3624325271878259</v>
          </cell>
        </row>
        <row r="497">
          <cell r="T497">
            <v>-0.36206057058257318</v>
          </cell>
          <cell r="V497">
            <v>2.2333338360047255</v>
          </cell>
          <cell r="Y497">
            <v>13.678000000000001</v>
          </cell>
          <cell r="AB497">
            <v>-5.3962764584007363</v>
          </cell>
        </row>
        <row r="498">
          <cell r="T498">
            <v>-0.35981089914238162</v>
          </cell>
          <cell r="V498">
            <v>2.2356130837110233</v>
          </cell>
          <cell r="Y498">
            <v>13.698499999999999</v>
          </cell>
          <cell r="AB498">
            <v>-5.3616532417198473</v>
          </cell>
        </row>
        <row r="499">
          <cell r="T499">
            <v>-0.47937008158223104</v>
          </cell>
          <cell r="V499">
            <v>2.2541261663845003</v>
          </cell>
          <cell r="Y499">
            <v>13.718999999999999</v>
          </cell>
          <cell r="AB499">
            <v>-5.4034307033707183</v>
          </cell>
        </row>
        <row r="500">
          <cell r="T500">
            <v>-0.56045118668053762</v>
          </cell>
          <cell r="V500">
            <v>2.2481082823428884</v>
          </cell>
          <cell r="Y500">
            <v>13.7395</v>
          </cell>
          <cell r="AB500">
            <v>-5.3285104784765025</v>
          </cell>
        </row>
        <row r="501">
          <cell r="T501">
            <v>-0.55267256512441632</v>
          </cell>
          <cell r="V501">
            <v>2.2232761424666925</v>
          </cell>
          <cell r="Y501">
            <v>13.76</v>
          </cell>
          <cell r="AB501">
            <v>-5.2973639261452838</v>
          </cell>
        </row>
        <row r="502">
          <cell r="T502">
            <v>-0.48518675083913454</v>
          </cell>
          <cell r="V502">
            <v>2.2066068744440859</v>
          </cell>
          <cell r="Y502">
            <v>13.7805</v>
          </cell>
          <cell r="AB502">
            <v>-5.283899997168473</v>
          </cell>
        </row>
        <row r="503">
          <cell r="T503">
            <v>-0.48907729097606545</v>
          </cell>
          <cell r="V503">
            <v>2.218899134134988</v>
          </cell>
          <cell r="Y503">
            <v>13.801</v>
          </cell>
          <cell r="AB503">
            <v>-5.2824658664925748</v>
          </cell>
        </row>
        <row r="504">
          <cell r="T504">
            <v>-0.57579382843353255</v>
          </cell>
          <cell r="V504">
            <v>2.2157644322977124</v>
          </cell>
          <cell r="Y504">
            <v>13.8215</v>
          </cell>
          <cell r="AB504">
            <v>-5.22303084387487</v>
          </cell>
        </row>
        <row r="505">
          <cell r="T505">
            <v>-0.63599010989063398</v>
          </cell>
          <cell r="V505">
            <v>2.202727855499246</v>
          </cell>
          <cell r="Y505">
            <v>13.842000000000001</v>
          </cell>
          <cell r="AB505">
            <v>-5.1283889617409528</v>
          </cell>
        </row>
        <row r="506">
          <cell r="T506">
            <v>-0.54934391812576866</v>
          </cell>
          <cell r="V506">
            <v>2.1872918299110249</v>
          </cell>
          <cell r="Y506">
            <v>13.862500000000001</v>
          </cell>
          <cell r="AB506">
            <v>-5.1024820316383011</v>
          </cell>
        </row>
        <row r="507">
          <cell r="T507">
            <v>-0.41050883276371392</v>
          </cell>
          <cell r="V507">
            <v>2.1918762566311929</v>
          </cell>
          <cell r="Y507">
            <v>13.882999999999999</v>
          </cell>
          <cell r="AB507">
            <v>-5.2138679072589555</v>
          </cell>
        </row>
        <row r="508">
          <cell r="T508">
            <v>-0.28256455839979594</v>
          </cell>
          <cell r="V508">
            <v>2.1913585330738852</v>
          </cell>
          <cell r="Y508">
            <v>13.9212364</v>
          </cell>
          <cell r="AB508">
            <v>-5.2241164675797203</v>
          </cell>
        </row>
        <row r="509">
          <cell r="T509">
            <v>-0.26918165247259829</v>
          </cell>
          <cell r="V509">
            <v>2.1894904730692013</v>
          </cell>
          <cell r="Y509">
            <v>13.959472699999999</v>
          </cell>
          <cell r="AB509">
            <v>-5.227556344048466</v>
          </cell>
        </row>
        <row r="510">
          <cell r="T510">
            <v>-0.27424942257140628</v>
          </cell>
          <cell r="V510">
            <v>2.1907546244591849</v>
          </cell>
          <cell r="Y510">
            <v>13.9977091</v>
          </cell>
          <cell r="AB510">
            <v>-5.2310702580036361</v>
          </cell>
        </row>
        <row r="511">
          <cell r="T511">
            <v>-0.27942936840841598</v>
          </cell>
          <cell r="V511">
            <v>2.1920445492009355</v>
          </cell>
          <cell r="Y511">
            <v>14.0359455</v>
          </cell>
          <cell r="AB511">
            <v>-5.2346606500900545</v>
          </cell>
        </row>
        <row r="512">
          <cell r="T512">
            <v>-0.28472532881898727</v>
          </cell>
          <cell r="V512">
            <v>2.1933610447719727</v>
          </cell>
          <cell r="Y512">
            <v>14.0741818</v>
          </cell>
          <cell r="AB512">
            <v>-5.2383300663205787</v>
          </cell>
        </row>
        <row r="513">
          <cell r="T513">
            <v>-0.29014132252756591</v>
          </cell>
          <cell r="V513">
            <v>2.1947049419511004</v>
          </cell>
          <cell r="Y513">
            <v>14.1124182</v>
          </cell>
          <cell r="AB513">
            <v>-5.242081172211325</v>
          </cell>
        </row>
        <row r="514">
          <cell r="T514">
            <v>-0.29568155992517547</v>
          </cell>
          <cell r="V514">
            <v>2.1960771066259923</v>
          </cell>
          <cell r="Y514">
            <v>14.150654599999999</v>
          </cell>
          <cell r="AB514">
            <v>-5.2459167527362558</v>
          </cell>
        </row>
        <row r="515">
          <cell r="T515">
            <v>-0.3013504544378382</v>
          </cell>
          <cell r="V515">
            <v>2.1974784414678319</v>
          </cell>
          <cell r="Y515">
            <v>14.188890900000001</v>
          </cell>
          <cell r="AB515">
            <v>-5.2498397222278435</v>
          </cell>
        </row>
        <row r="516">
          <cell r="T516">
            <v>-0.30715263520090286</v>
          </cell>
          <cell r="V516">
            <v>2.1989098881361246</v>
          </cell>
          <cell r="Y516">
            <v>14.227127299999999</v>
          </cell>
          <cell r="AB516">
            <v>-5.2538531347778603</v>
          </cell>
        </row>
        <row r="517">
          <cell r="T517">
            <v>-0.31309296074383275</v>
          </cell>
          <cell r="V517">
            <v>2.2003724291696973</v>
          </cell>
          <cell r="Y517">
            <v>14.265363600000001</v>
          </cell>
          <cell r="AB517">
            <v>-5.2579601870890293</v>
          </cell>
        </row>
        <row r="518">
          <cell r="T518">
            <v>-0.3191765332423937</v>
          </cell>
          <cell r="V518">
            <v>2.2018670908032703</v>
          </cell>
          <cell r="Y518">
            <v>14.303599999999999</v>
          </cell>
          <cell r="AB518">
            <v>-5.2621642301431102</v>
          </cell>
        </row>
        <row r="519">
          <cell r="T519">
            <v>-0.32540871524375214</v>
          </cell>
          <cell r="V519">
            <v>2.2033949446779695</v>
          </cell>
          <cell r="Y519">
            <v>14.3418364</v>
          </cell>
          <cell r="AB519">
            <v>-5.2664687807923389</v>
          </cell>
        </row>
        <row r="520">
          <cell r="T520">
            <v>-0.33179514554542849</v>
          </cell>
          <cell r="V520">
            <v>2.2049571108939308</v>
          </cell>
          <cell r="Y520">
            <v>14.380072699999999</v>
          </cell>
          <cell r="AB520">
            <v>-5.2708775265594037</v>
          </cell>
        </row>
        <row r="521">
          <cell r="T521">
            <v>-0.33834175859237031</v>
          </cell>
          <cell r="V521">
            <v>2.2065547603589164</v>
          </cell>
          <cell r="Y521">
            <v>14.4183091</v>
          </cell>
          <cell r="AB521">
            <v>-5.2753943433818504</v>
          </cell>
        </row>
        <row r="522">
          <cell r="T522">
            <v>-0.34505480407904104</v>
          </cell>
          <cell r="V522">
            <v>2.2081891182207918</v>
          </cell>
          <cell r="Y522">
            <v>14.456545500000001</v>
          </cell>
          <cell r="AB522">
            <v>-5.2800233010787077</v>
          </cell>
        </row>
        <row r="523">
          <cell r="T523">
            <v>-0.35194086867359403</v>
          </cell>
          <cell r="V523">
            <v>2.2098614667899326</v>
          </cell>
          <cell r="Y523">
            <v>14.4947818</v>
          </cell>
          <cell r="AB523">
            <v>-5.2847686789166479</v>
          </cell>
        </row>
        <row r="524">
          <cell r="T524">
            <v>-0.35900689963843746</v>
          </cell>
          <cell r="V524">
            <v>2.2115731486571431</v>
          </cell>
          <cell r="Y524">
            <v>14.533018200000001</v>
          </cell>
          <cell r="AB524">
            <v>-5.2896349823692352</v>
          </cell>
        </row>
        <row r="525">
          <cell r="T525">
            <v>-0.36626022995568097</v>
          </cell>
          <cell r="V525">
            <v>2.2133255708342863</v>
          </cell>
          <cell r="Y525">
            <v>14.5712546</v>
          </cell>
          <cell r="AB525">
            <v>-5.2946269514319937</v>
          </cell>
        </row>
        <row r="526">
          <cell r="T526">
            <v>-0.37370860713029347</v>
          </cell>
          <cell r="V526">
            <v>2.2151202082040524</v>
          </cell>
          <cell r="Y526">
            <v>14.609490900000001</v>
          </cell>
          <cell r="AB526">
            <v>-5.2997495839234379</v>
          </cell>
        </row>
        <row r="527">
          <cell r="T527">
            <v>-0.38136022217576021</v>
          </cell>
          <cell r="V527">
            <v>2.2169586082073613</v>
          </cell>
          <cell r="Y527">
            <v>14.6477273</v>
          </cell>
          <cell r="AB527">
            <v>-5.3050081464601524</v>
          </cell>
        </row>
        <row r="528">
          <cell r="T528">
            <v>-0.38922374367972462</v>
          </cell>
          <cell r="V528">
            <v>2.2188423945490912</v>
          </cell>
          <cell r="Y528">
            <v>14.685963599999999</v>
          </cell>
          <cell r="AB528">
            <v>-5.3104081984162281</v>
          </cell>
        </row>
        <row r="529">
          <cell r="T529">
            <v>-0.39730835349405363</v>
          </cell>
          <cell r="V529">
            <v>2.2207732726327518</v>
          </cell>
          <cell r="Y529">
            <v>14.7242</v>
          </cell>
          <cell r="AB529">
            <v>-5.3159556102563634</v>
          </cell>
        </row>
        <row r="530">
          <cell r="T530">
            <v>-0.40562378630160495</v>
          </cell>
          <cell r="V530">
            <v>2.2227530344895237</v>
          </cell>
          <cell r="Y530">
            <v>14.7624364</v>
          </cell>
          <cell r="AB530">
            <v>-5.3216565860394853</v>
          </cell>
        </row>
        <row r="531">
          <cell r="T531">
            <v>-0.41418037303197169</v>
          </cell>
          <cell r="V531">
            <v>2.224783564625425</v>
          </cell>
          <cell r="Y531">
            <v>14.8006727</v>
          </cell>
          <cell r="AB531">
            <v>-5.3275176884480349</v>
          </cell>
        </row>
        <row r="532">
          <cell r="T532">
            <v>-0.42298908792470091</v>
          </cell>
          <cell r="V532">
            <v>2.2268668458194321</v>
          </cell>
          <cell r="Y532">
            <v>14.8389091</v>
          </cell>
          <cell r="AB532">
            <v>-5.3335458652099925</v>
          </cell>
        </row>
        <row r="533">
          <cell r="T533">
            <v>-0.43206160188507331</v>
          </cell>
          <cell r="V533">
            <v>2.2290049657028788</v>
          </cell>
          <cell r="Y533">
            <v>14.877145499999999</v>
          </cell>
          <cell r="AB533">
            <v>-5.3397484773676727</v>
          </cell>
        </row>
        <row r="534">
          <cell r="T534">
            <v>-0.44141033859759754</v>
          </cell>
          <cell r="V534">
            <v>2.2312001238157415</v>
          </cell>
          <cell r="Y534">
            <v>14.9153818</v>
          </cell>
          <cell r="AB534">
            <v>-5.3461333323581348</v>
          </cell>
        </row>
        <row r="535">
          <cell r="T535">
            <v>-0.45104853914850773</v>
          </cell>
          <cell r="V535">
            <v>2.2334546393004264</v>
          </cell>
          <cell r="Y535">
            <v>14.953618199999999</v>
          </cell>
          <cell r="AB535">
            <v>-5.3527087180163848</v>
          </cell>
        </row>
        <row r="536">
          <cell r="T536">
            <v>-0.46099033176789056</v>
          </cell>
          <cell r="V536">
            <v>2.2357709588843049</v>
          </cell>
          <cell r="Y536">
            <v>14.9918546</v>
          </cell>
          <cell r="AB536">
            <v>-5.3594834404741967</v>
          </cell>
        </row>
        <row r="537">
          <cell r="T537">
            <v>-0.47125080963024102</v>
          </cell>
          <cell r="V537">
            <v>2.238151666106972</v>
          </cell>
          <cell r="Y537">
            <v>15.030090899999999</v>
          </cell>
          <cell r="AB537">
            <v>-5.3664668666873681</v>
          </cell>
        </row>
        <row r="538">
          <cell r="T538">
            <v>-0.48184611726435822</v>
          </cell>
          <cell r="V538">
            <v>2.2405994907292439</v>
          </cell>
          <cell r="Y538">
            <v>15.0683273</v>
          </cell>
          <cell r="AB538">
            <v>-5.3736689700446814</v>
          </cell>
        </row>
        <row r="539">
          <cell r="T539">
            <v>-0.49279354599463127</v>
          </cell>
          <cell r="V539">
            <v>2.2431173200012591</v>
          </cell>
          <cell r="Y539">
            <v>15.106563599999999</v>
          </cell>
          <cell r="AB539">
            <v>-5.381100381466398</v>
          </cell>
        </row>
        <row r="540">
          <cell r="T540">
            <v>-0.50411164210651993</v>
          </cell>
          <cell r="V540">
            <v>2.2457082092241749</v>
          </cell>
          <cell r="Y540">
            <v>15.1448</v>
          </cell>
          <cell r="AB540">
            <v>-5.3887724445128269</v>
          </cell>
        </row>
        <row r="541">
          <cell r="T541">
            <v>-0.51582032470255257</v>
          </cell>
          <cell r="V541">
            <v>2.2483753948731859</v>
          </cell>
          <cell r="Y541">
            <v>15.183036400000001</v>
          </cell>
          <cell r="AB541">
            <v>-5.3966972783320726</v>
          </cell>
        </row>
        <row r="542">
          <cell r="T542">
            <v>-0.58901867604677483</v>
          </cell>
          <cell r="V542">
            <v>2.2713836683508006</v>
          </cell>
          <cell r="Y542">
            <v>15.2212727</v>
          </cell>
          <cell r="AB542">
            <v>-5.4048878459538532</v>
          </cell>
        </row>
        <row r="543">
          <cell r="T543">
            <v>-0.54239048228057252</v>
          </cell>
          <cell r="V543">
            <v>2.2919409183055737</v>
          </cell>
          <cell r="Y543">
            <v>15.259509100000001</v>
          </cell>
          <cell r="AB543">
            <v>-5.4750392966163863</v>
          </cell>
        </row>
        <row r="544">
          <cell r="T544">
            <v>-0.5083661431327311</v>
          </cell>
          <cell r="V544">
            <v>2.2890474175952367</v>
          </cell>
          <cell r="Y544">
            <v>15.2977455</v>
          </cell>
          <cell r="AB544">
            <v>-5.51439463271082</v>
          </cell>
        </row>
        <row r="545">
          <cell r="T545">
            <v>-0.43121670050132238</v>
          </cell>
          <cell r="V545">
            <v>2.2597322336164276</v>
          </cell>
          <cell r="Y545">
            <v>15.335981800000001</v>
          </cell>
          <cell r="AB545">
            <v>-5.510538467510794</v>
          </cell>
        </row>
        <row r="546">
          <cell r="T546">
            <v>-0.46090076328241647</v>
          </cell>
          <cell r="V546">
            <v>2.2407934781352559</v>
          </cell>
          <cell r="Y546">
            <v>15.3742182</v>
          </cell>
          <cell r="AB546">
            <v>-5.4437848581815897</v>
          </cell>
        </row>
        <row r="547">
          <cell r="T547">
            <v>-0.47687118007708817</v>
          </cell>
          <cell r="V547">
            <v>2.2456231358933159</v>
          </cell>
          <cell r="Y547">
            <v>15.4124546</v>
          </cell>
          <cell r="AB547">
            <v>-5.4390770858042732</v>
          </cell>
        </row>
        <row r="548">
          <cell r="T548">
            <v>-0.46069222882967198</v>
          </cell>
          <cell r="V548">
            <v>2.2478226987254377</v>
          </cell>
          <cell r="Y548">
            <v>15.4506909</v>
          </cell>
          <cell r="AB548">
            <v>-5.4877489551806882</v>
          </cell>
        </row>
        <row r="549">
          <cell r="T549">
            <v>-0.44684283974894073</v>
          </cell>
          <cell r="V549">
            <v>2.2421297473926725</v>
          </cell>
          <cell r="Y549">
            <v>15.4889273</v>
          </cell>
          <cell r="AB549">
            <v>-5.4014644743001474</v>
          </cell>
        </row>
        <row r="550">
          <cell r="T550">
            <v>-0.42275794277375095</v>
          </cell>
          <cell r="V550">
            <v>2.236178357547677</v>
          </cell>
          <cell r="Y550">
            <v>15.5271636</v>
          </cell>
          <cell r="AB550">
            <v>-5.3997596734356286</v>
          </cell>
        </row>
        <row r="551">
          <cell r="T551">
            <v>-0.40076451506052929</v>
          </cell>
          <cell r="V551">
            <v>2.2391064223199417</v>
          </cell>
          <cell r="Y551">
            <v>15.5654</v>
          </cell>
          <cell r="AB551">
            <v>-5.3979849584310715</v>
          </cell>
        </row>
        <row r="552">
          <cell r="T552">
            <v>-0.40997696942460821</v>
          </cell>
          <cell r="V552">
            <v>2.2534012691747272</v>
          </cell>
          <cell r="Y552">
            <v>15.603636399999999</v>
          </cell>
          <cell r="AB552">
            <v>-5.396135935760257</v>
          </cell>
        </row>
        <row r="553">
          <cell r="T553">
            <v>-0.42924161933752164</v>
          </cell>
          <cell r="V553">
            <v>2.2690710003610151</v>
          </cell>
          <cell r="Y553">
            <v>15.6418727</v>
          </cell>
          <cell r="AB553">
            <v>-5.4341583826898336</v>
          </cell>
        </row>
        <row r="554">
          <cell r="T554">
            <v>-0.44957009068414822</v>
          </cell>
          <cell r="V554">
            <v>2.2886991483527193</v>
          </cell>
          <cell r="Y554">
            <v>15.680109099999999</v>
          </cell>
          <cell r="AB554">
            <v>-5.4096880109514887</v>
          </cell>
        </row>
        <row r="555">
          <cell r="T555">
            <v>-0.46364261455075195</v>
          </cell>
          <cell r="V555">
            <v>2.2936832864141317</v>
          </cell>
          <cell r="Y555">
            <v>15.7183455</v>
          </cell>
          <cell r="AB555">
            <v>-5.4343537142829383</v>
          </cell>
        </row>
        <row r="556">
          <cell r="T556">
            <v>-0.48865664538528525</v>
          </cell>
          <cell r="V556">
            <v>2.3322444266186224</v>
          </cell>
          <cell r="Y556">
            <v>15.756581799999999</v>
          </cell>
          <cell r="AB556">
            <v>-5.3333148513212345</v>
          </cell>
        </row>
        <row r="557">
          <cell r="T557">
            <v>-0.59566456013663627</v>
          </cell>
          <cell r="V557">
            <v>2.3453180968601335</v>
          </cell>
          <cell r="Y557">
            <v>15.7948182</v>
          </cell>
          <cell r="AB557">
            <v>-5.3646239893081633</v>
          </cell>
        </row>
        <row r="558">
          <cell r="T558">
            <v>-0.69382314791960376</v>
          </cell>
          <cell r="V558">
            <v>2.3551392761994649</v>
          </cell>
          <cell r="Y558">
            <v>15.833054600000001</v>
          </cell>
          <cell r="AB558">
            <v>-5.4308577606605368</v>
          </cell>
        </row>
        <row r="559">
          <cell r="T559">
            <v>-0.74600348997840404</v>
          </cell>
          <cell r="V559">
            <v>2.3386375467578264</v>
          </cell>
          <cell r="Y559">
            <v>15.8712909</v>
          </cell>
          <cell r="AB559">
            <v>-5.499721034288072</v>
          </cell>
        </row>
        <row r="560">
          <cell r="T560">
            <v>-0.73830634522027294</v>
          </cell>
          <cell r="V560">
            <v>2.356536121900318</v>
          </cell>
          <cell r="Y560">
            <v>15.909527300000001</v>
          </cell>
          <cell r="AB560">
            <v>-5.5056074360582681</v>
          </cell>
        </row>
        <row r="561">
          <cell r="T561">
            <v>-0.72852671461673835</v>
          </cell>
          <cell r="V561">
            <v>2.3869082508851047</v>
          </cell>
          <cell r="Y561">
            <v>15.9477636</v>
          </cell>
          <cell r="AB561">
            <v>-5.4786640867145424</v>
          </cell>
        </row>
        <row r="562">
          <cell r="T562">
            <v>-0.7555351778110696</v>
          </cell>
          <cell r="V562">
            <v>2.3869241984338578</v>
          </cell>
          <cell r="Y562">
            <v>15.986000000000001</v>
          </cell>
          <cell r="AB562">
            <v>-5.4637900854983998</v>
          </cell>
        </row>
        <row r="563">
          <cell r="T563">
            <v>-0.75222127856569954</v>
          </cell>
          <cell r="V563">
            <v>2.3656462634094799</v>
          </cell>
          <cell r="Y563">
            <v>16.021599999999999</v>
          </cell>
          <cell r="AB563">
            <v>-5.4247439221199878</v>
          </cell>
        </row>
        <row r="564">
          <cell r="T564">
            <v>-0.74400366634157844</v>
          </cell>
          <cell r="V564">
            <v>2.3486933140814137</v>
          </cell>
          <cell r="Y564">
            <v>16.057200000000002</v>
          </cell>
          <cell r="AB564">
            <v>-5.4422780554695454</v>
          </cell>
        </row>
        <row r="565">
          <cell r="T565">
            <v>-0.75881786667750217</v>
          </cell>
          <cell r="V565">
            <v>2.345921465499885</v>
          </cell>
          <cell r="Y565">
            <v>16.0928</v>
          </cell>
          <cell r="AB565">
            <v>-5.4533759048237664</v>
          </cell>
        </row>
        <row r="566">
          <cell r="T566">
            <v>-0.75125013060901324</v>
          </cell>
          <cell r="V566">
            <v>2.355677183151633</v>
          </cell>
          <cell r="Y566">
            <v>16.128399999999999</v>
          </cell>
          <cell r="AB566">
            <v>-5.4902659151841986</v>
          </cell>
        </row>
        <row r="567">
          <cell r="T567">
            <v>-0.78034647940312774</v>
          </cell>
          <cell r="V567">
            <v>2.356982585344678</v>
          </cell>
          <cell r="Y567">
            <v>16.164000000000001</v>
          </cell>
          <cell r="AB567">
            <v>-5.5397098115700674</v>
          </cell>
        </row>
        <row r="568">
          <cell r="T568">
            <v>-0.80087901560101482</v>
          </cell>
          <cell r="V568">
            <v>2.3582349792839028</v>
          </cell>
          <cell r="Y568">
            <v>16.1996</v>
          </cell>
          <cell r="AB568">
            <v>-5.5210812386424735</v>
          </cell>
        </row>
        <row r="569">
          <cell r="T569">
            <v>-0.89018663152710664</v>
          </cell>
          <cell r="V569">
            <v>2.3541142384356362</v>
          </cell>
          <cell r="Y569">
            <v>16.235199999999999</v>
          </cell>
          <cell r="AB569">
            <v>-5.5165525705396794</v>
          </cell>
        </row>
        <row r="570">
          <cell r="T570">
            <v>-1.004285889800286</v>
          </cell>
          <cell r="V570">
            <v>2.3599207356811185</v>
          </cell>
          <cell r="Y570">
            <v>16.270800000000001</v>
          </cell>
          <cell r="AB570">
            <v>-5.5999914316899337</v>
          </cell>
        </row>
        <row r="571">
          <cell r="T571">
            <v>-1.0881230370067698</v>
          </cell>
          <cell r="V571">
            <v>2.3780781180811257</v>
          </cell>
          <cell r="Y571">
            <v>16.3064</v>
          </cell>
          <cell r="AB571">
            <v>-5.5670966917669418</v>
          </cell>
        </row>
        <row r="572">
          <cell r="T572">
            <v>-1.1174415566588882</v>
          </cell>
          <cell r="V572">
            <v>2.3789759063739369</v>
          </cell>
          <cell r="Y572">
            <v>16.341999999999999</v>
          </cell>
          <cell r="AB572">
            <v>-5.5536699890147814</v>
          </cell>
        </row>
        <row r="573">
          <cell r="T573">
            <v>-1.0784908468904399</v>
          </cell>
          <cell r="V573">
            <v>2.389162059994848</v>
          </cell>
          <cell r="Y573">
            <v>16.4141111</v>
          </cell>
          <cell r="AB573">
            <v>-5.5417789321847941</v>
          </cell>
        </row>
        <row r="574">
          <cell r="T574">
            <v>-1.0417271532714683</v>
          </cell>
          <cell r="V574">
            <v>2.3744706997407792</v>
          </cell>
          <cell r="Y574">
            <v>16.4862222</v>
          </cell>
          <cell r="AB574">
            <v>-5.6155829527719137</v>
          </cell>
        </row>
        <row r="575">
          <cell r="T575">
            <v>-1.0819174493254822</v>
          </cell>
          <cell r="V575">
            <v>2.3755191250354741</v>
          </cell>
          <cell r="Y575">
            <v>16.558333300000001</v>
          </cell>
          <cell r="AB575">
            <v>-5.5376025389383718</v>
          </cell>
        </row>
        <row r="576">
          <cell r="T576">
            <v>-1.1165917264724856</v>
          </cell>
          <cell r="V576">
            <v>2.3423456470705606</v>
          </cell>
          <cell r="Y576">
            <v>16.630444399999998</v>
          </cell>
          <cell r="AB576">
            <v>-5.6178778436481878</v>
          </cell>
        </row>
        <row r="577">
          <cell r="T577">
            <v>-1.154549701714872</v>
          </cell>
          <cell r="V577">
            <v>2.330303283971126</v>
          </cell>
          <cell r="Y577">
            <v>16.7025556</v>
          </cell>
          <cell r="AB577">
            <v>-5.4893335502180616</v>
          </cell>
        </row>
        <row r="578">
          <cell r="T578">
            <v>-1.176720040640501</v>
          </cell>
          <cell r="V578">
            <v>2.3095514071797041</v>
          </cell>
          <cell r="Y578">
            <v>16.774666700000001</v>
          </cell>
          <cell r="AB578">
            <v>-5.5552259626255021</v>
          </cell>
        </row>
        <row r="579">
          <cell r="T579">
            <v>-1.2300208250123854</v>
          </cell>
          <cell r="V579">
            <v>2.3191752940747516</v>
          </cell>
          <cell r="Y579">
            <v>16.846777800000002</v>
          </cell>
          <cell r="AB579">
            <v>-5.5301427178811933</v>
          </cell>
        </row>
        <row r="580">
          <cell r="T580">
            <v>-1.3147879087052239</v>
          </cell>
          <cell r="V580">
            <v>2.3386299335255627</v>
          </cell>
          <cell r="Y580">
            <v>16.918888899999999</v>
          </cell>
          <cell r="AB580">
            <v>-5.4785825638282484</v>
          </cell>
        </row>
        <row r="581">
          <cell r="T581">
            <v>-1.4018437373194468</v>
          </cell>
          <cell r="V581">
            <v>2.3542670131731795</v>
          </cell>
          <cell r="Y581">
            <v>16.991</v>
          </cell>
          <cell r="AB581">
            <v>-5.538191860352498</v>
          </cell>
        </row>
        <row r="582">
          <cell r="T582">
            <v>-1.4675931485803531</v>
          </cell>
          <cell r="V582">
            <v>2.3494671449703595</v>
          </cell>
          <cell r="Y582">
            <v>17.013833300000002</v>
          </cell>
          <cell r="AB582">
            <v>-5.5698397315252093</v>
          </cell>
        </row>
        <row r="583">
          <cell r="T583">
            <v>-1.5660458458302287</v>
          </cell>
          <cell r="V583">
            <v>2.3183836822731565</v>
          </cell>
          <cell r="Y583">
            <v>17.036666700000001</v>
          </cell>
          <cell r="AB583">
            <v>-5.5159597460137144</v>
          </cell>
        </row>
        <row r="584">
          <cell r="T584">
            <v>-1.6592740470703014</v>
          </cell>
          <cell r="V584">
            <v>2.3023665073932809</v>
          </cell>
          <cell r="Y584">
            <v>17.0595</v>
          </cell>
          <cell r="AB584">
            <v>-5.5129413513782879</v>
          </cell>
        </row>
        <row r="585">
          <cell r="T585">
            <v>-1.7524792038172015</v>
          </cell>
          <cell r="V585">
            <v>2.292408301571641</v>
          </cell>
          <cell r="Y585">
            <v>17.082333299999998</v>
          </cell>
          <cell r="AB585">
            <v>-5.5107193331210143</v>
          </cell>
        </row>
        <row r="586">
          <cell r="T586">
            <v>-1.8004055839654498</v>
          </cell>
          <cell r="V586">
            <v>2.2876096303284332</v>
          </cell>
          <cell r="Y586">
            <v>17.105166700000002</v>
          </cell>
          <cell r="AB586">
            <v>-5.4512363706101414</v>
          </cell>
        </row>
        <row r="587">
          <cell r="T587">
            <v>-1.8092095666101733</v>
          </cell>
          <cell r="V587">
            <v>2.2940145561147047</v>
          </cell>
          <cell r="Y587">
            <v>17.128</v>
          </cell>
          <cell r="AB587">
            <v>-5.470699711340866</v>
          </cell>
        </row>
        <row r="588">
          <cell r="T588">
            <v>-1.8486404446828828</v>
          </cell>
          <cell r="V588">
            <v>2.278052334471071</v>
          </cell>
          <cell r="Y588">
            <v>17.150833299999999</v>
          </cell>
          <cell r="AB588">
            <v>-5.4307014454307074</v>
          </cell>
        </row>
        <row r="589">
          <cell r="T589">
            <v>-1.8683187133062376</v>
          </cell>
          <cell r="V589">
            <v>2.2608809736066355</v>
          </cell>
          <cell r="Y589">
            <v>17.173666699999998</v>
          </cell>
          <cell r="AB589">
            <v>-5.4818538956872773</v>
          </cell>
        </row>
        <row r="590">
          <cell r="T590">
            <v>-1.8876305364601729</v>
          </cell>
          <cell r="V590">
            <v>2.2484531910510994</v>
          </cell>
          <cell r="Y590">
            <v>17.1965</v>
          </cell>
          <cell r="AB590">
            <v>-5.410168022096558</v>
          </cell>
        </row>
        <row r="591">
          <cell r="T591">
            <v>-1.8563147619254752</v>
          </cell>
          <cell r="V591">
            <v>2.2389863250904956</v>
          </cell>
          <cell r="Y591">
            <v>17.219333299999999</v>
          </cell>
          <cell r="AB591">
            <v>-5.4215656014225901</v>
          </cell>
        </row>
        <row r="592">
          <cell r="T592">
            <v>-1.8740987465604722</v>
          </cell>
          <cell r="V592">
            <v>2.2404129605301928</v>
          </cell>
          <cell r="Y592">
            <v>17.242166699999999</v>
          </cell>
          <cell r="AB592">
            <v>-5.4330001882982231</v>
          </cell>
        </row>
        <row r="593">
          <cell r="T593">
            <v>-1.8824618067302812</v>
          </cell>
          <cell r="V593">
            <v>2.2164919308278521</v>
          </cell>
          <cell r="Y593">
            <v>17.265000000000001</v>
          </cell>
          <cell r="AB593">
            <v>-5.5061398513787667</v>
          </cell>
        </row>
        <row r="594">
          <cell r="T594">
            <v>-1.9167087139608565</v>
          </cell>
          <cell r="V594">
            <v>2.2094776967022476</v>
          </cell>
          <cell r="Y594">
            <v>17.287833299999999</v>
          </cell>
          <cell r="AB594">
            <v>-5.4135368674208815</v>
          </cell>
        </row>
        <row r="595">
          <cell r="T595">
            <v>-1.8830971679378592</v>
          </cell>
          <cell r="V595">
            <v>2.2228106471744185</v>
          </cell>
          <cell r="Y595">
            <v>17.310666699999999</v>
          </cell>
          <cell r="AB595">
            <v>-5.4197116709454187</v>
          </cell>
        </row>
        <row r="596">
          <cell r="T596">
            <v>-1.8887209656906851</v>
          </cell>
          <cell r="V596">
            <v>2.2185984754756127</v>
          </cell>
          <cell r="Y596">
            <v>17.333500000000001</v>
          </cell>
          <cell r="AB596">
            <v>-5.4697131987769483</v>
          </cell>
        </row>
        <row r="597">
          <cell r="T597">
            <v>-1.9039860045297463</v>
          </cell>
          <cell r="V597">
            <v>2.2140801575769991</v>
          </cell>
          <cell r="Y597">
            <v>17.356333299999999</v>
          </cell>
          <cell r="AB597">
            <v>-5.4729419998047986</v>
          </cell>
        </row>
        <row r="598">
          <cell r="T598">
            <v>-1.9262145785973006</v>
          </cell>
          <cell r="V598">
            <v>2.1934267659429119</v>
          </cell>
          <cell r="Y598">
            <v>17.379166699999999</v>
          </cell>
          <cell r="AB598">
            <v>-5.5157189159120961</v>
          </cell>
        </row>
        <row r="599">
          <cell r="T599">
            <v>-1.9124839377259224</v>
          </cell>
          <cell r="V599">
            <v>2.1961222722886169</v>
          </cell>
          <cell r="Y599">
            <v>17.402000000000001</v>
          </cell>
          <cell r="AB599">
            <v>-5.5448007487279245</v>
          </cell>
        </row>
        <row r="600">
          <cell r="T600">
            <v>-1.8954186888340312</v>
          </cell>
          <cell r="V600">
            <v>2.2002038572494067</v>
          </cell>
          <cell r="Y600">
            <v>17.4248333</v>
          </cell>
          <cell r="AB600">
            <v>-5.4822492709403479</v>
          </cell>
        </row>
        <row r="601">
          <cell r="T601">
            <v>-1.9126239847353774</v>
          </cell>
          <cell r="V601">
            <v>2.1907543127383442</v>
          </cell>
          <cell r="Y601">
            <v>17.447666699999999</v>
          </cell>
          <cell r="AB601">
            <v>-5.5270242285396307</v>
          </cell>
        </row>
        <row r="602">
          <cell r="T602">
            <v>-1.9545546778288425</v>
          </cell>
          <cell r="V602">
            <v>2.2000798366050893</v>
          </cell>
          <cell r="Y602">
            <v>17.470500000000001</v>
          </cell>
          <cell r="AB602">
            <v>-5.4339942665619851</v>
          </cell>
        </row>
        <row r="603">
          <cell r="T603">
            <v>-1.9806622481705911</v>
          </cell>
          <cell r="V603">
            <v>2.2125415547825917</v>
          </cell>
          <cell r="Y603">
            <v>17.4933333</v>
          </cell>
          <cell r="AB603">
            <v>-5.5074478897164587</v>
          </cell>
        </row>
        <row r="604">
          <cell r="T604">
            <v>-1.9758531801591703</v>
          </cell>
          <cell r="V604">
            <v>2.2545321307725383</v>
          </cell>
          <cell r="Y604">
            <v>17.516166699999999</v>
          </cell>
          <cell r="AB604">
            <v>-5.7293687559763846</v>
          </cell>
        </row>
        <row r="605">
          <cell r="T605">
            <v>-1.9770036819884058</v>
          </cell>
          <cell r="V605">
            <v>2.2471643819631058</v>
          </cell>
          <cell r="Y605">
            <v>17.539000000000001</v>
          </cell>
          <cell r="AB605">
            <v>-6.2179249599711497</v>
          </cell>
        </row>
        <row r="606">
          <cell r="T606">
            <v>-1.968481686914102</v>
          </cell>
          <cell r="V606">
            <v>2.2340340283951412</v>
          </cell>
          <cell r="Y606">
            <v>17.5618333</v>
          </cell>
          <cell r="AB606">
            <v>-5.4630451750021356</v>
          </cell>
        </row>
        <row r="607">
          <cell r="T607">
            <v>-1.989546233549192</v>
          </cell>
          <cell r="V607">
            <v>2.2095264007455664</v>
          </cell>
          <cell r="Y607">
            <v>17.5846667</v>
          </cell>
          <cell r="AB607">
            <v>-5.465441487536169</v>
          </cell>
        </row>
        <row r="608">
          <cell r="T608">
            <v>-1.9702548780374094</v>
          </cell>
          <cell r="V608">
            <v>2.2201165220505374</v>
          </cell>
          <cell r="Y608">
            <v>17.607500000000002</v>
          </cell>
          <cell r="AB608">
            <v>-5.3790827046275824</v>
          </cell>
        </row>
        <row r="609">
          <cell r="T609">
            <v>-1.9598161592244112</v>
          </cell>
          <cell r="V609">
            <v>2.2302258968801465</v>
          </cell>
          <cell r="Y609">
            <v>17.6303333</v>
          </cell>
          <cell r="AB609">
            <v>-5.4198994445023905</v>
          </cell>
        </row>
        <row r="610">
          <cell r="T610">
            <v>-1.9249564611590335</v>
          </cell>
          <cell r="V610">
            <v>2.2306117976530051</v>
          </cell>
          <cell r="Y610">
            <v>17.6531667</v>
          </cell>
          <cell r="AB610">
            <v>-5.4702061806646523</v>
          </cell>
        </row>
        <row r="611">
          <cell r="T611">
            <v>-1.9172512451257937</v>
          </cell>
          <cell r="V611">
            <v>2.2244357297889668</v>
          </cell>
          <cell r="Y611">
            <v>17.675999999999998</v>
          </cell>
          <cell r="AB611">
            <v>-5.4769784195743938</v>
          </cell>
        </row>
        <row r="612">
          <cell r="T612">
            <v>-1.8957215985877232</v>
          </cell>
          <cell r="V612">
            <v>2.2042342424378134</v>
          </cell>
          <cell r="Y612">
            <v>17.742061899999999</v>
          </cell>
          <cell r="AB612">
            <v>-5.4764738154121648</v>
          </cell>
        </row>
        <row r="613">
          <cell r="T613">
            <v>-1.8839702632859232</v>
          </cell>
          <cell r="V613">
            <v>2.1861590554210331</v>
          </cell>
          <cell r="Y613">
            <v>17.808123699999999</v>
          </cell>
          <cell r="AB613">
            <v>-5.540293096145442</v>
          </cell>
        </row>
        <row r="614">
          <cell r="T614">
            <v>-1.8651494938372004</v>
          </cell>
          <cell r="V614">
            <v>2.1744722776618985</v>
          </cell>
          <cell r="Y614">
            <v>17.874185600000001</v>
          </cell>
          <cell r="AB614">
            <v>-5.5277515948885023</v>
          </cell>
        </row>
        <row r="615">
          <cell r="T615">
            <v>-1.8646108937806518</v>
          </cell>
          <cell r="V615">
            <v>2.1790603356557834</v>
          </cell>
          <cell r="Y615">
            <v>17.940247400000001</v>
          </cell>
          <cell r="AB615">
            <v>-5.5159162915693241</v>
          </cell>
        </row>
        <row r="616">
          <cell r="T616">
            <v>-1.864092849837762</v>
          </cell>
          <cell r="V616">
            <v>2.1834284357578739</v>
          </cell>
          <cell r="Y616">
            <v>18.006309300000002</v>
          </cell>
          <cell r="AB616">
            <v>-5.5047284078418688</v>
          </cell>
        </row>
        <row r="617">
          <cell r="T617">
            <v>-1.8635942068260896</v>
          </cell>
          <cell r="V617">
            <v>2.1875920701104716</v>
          </cell>
          <cell r="Y617">
            <v>18.072371100000002</v>
          </cell>
          <cell r="AB617">
            <v>-5.4941355887391596</v>
          </cell>
        </row>
        <row r="618">
          <cell r="T618">
            <v>-1.86311389462127</v>
          </cell>
          <cell r="V618">
            <v>2.1915653054177695</v>
          </cell>
          <cell r="Y618">
            <v>18.138432999999999</v>
          </cell>
          <cell r="AB618">
            <v>-5.4840910388737241</v>
          </cell>
        </row>
        <row r="619">
          <cell r="T619">
            <v>-1.8626509203210633</v>
          </cell>
          <cell r="V619">
            <v>2.1953609437139336</v>
          </cell>
          <cell r="Y619">
            <v>18.2044949</v>
          </cell>
          <cell r="AB619">
            <v>-5.4745527960692115</v>
          </cell>
        </row>
        <row r="620">
          <cell r="T620">
            <v>-1.8715197806921273</v>
          </cell>
          <cell r="V620">
            <v>2.1792020028467278</v>
          </cell>
          <cell r="Y620">
            <v>18.2705567</v>
          </cell>
          <cell r="AB620">
            <v>-5.4654831165131874</v>
          </cell>
        </row>
        <row r="621">
          <cell r="T621">
            <v>-1.9029219404765809</v>
          </cell>
          <cell r="V621">
            <v>2.1721610493858914</v>
          </cell>
          <cell r="Y621">
            <v>18.336618600000001</v>
          </cell>
          <cell r="AB621">
            <v>-5.4736062427598933</v>
          </cell>
        </row>
        <row r="622">
          <cell r="T622">
            <v>-1.9487137030741526</v>
          </cell>
          <cell r="V622">
            <v>2.1600055287816708</v>
          </cell>
          <cell r="Y622">
            <v>18.402680400000001</v>
          </cell>
          <cell r="AB622">
            <v>-5.4210028475948802</v>
          </cell>
        </row>
        <row r="623">
          <cell r="T623">
            <v>-2.0343449821121431</v>
          </cell>
          <cell r="V623">
            <v>2.1621321866366938</v>
          </cell>
          <cell r="Y623">
            <v>18.468742299999999</v>
          </cell>
          <cell r="AB623">
            <v>-5.4159471337544307</v>
          </cell>
        </row>
        <row r="624">
          <cell r="T624">
            <v>-2.0725996004575693</v>
          </cell>
          <cell r="V624">
            <v>2.1845579553575587</v>
          </cell>
          <cell r="Y624">
            <v>18.534804099999999</v>
          </cell>
          <cell r="AB624">
            <v>-5.3693659079414999</v>
          </cell>
        </row>
        <row r="625">
          <cell r="T625">
            <v>-2.0892758044642772</v>
          </cell>
          <cell r="V625">
            <v>2.1840754742123565</v>
          </cell>
          <cell r="Y625">
            <v>18.600866</v>
          </cell>
          <cell r="AB625">
            <v>-5.3456598050280739</v>
          </cell>
        </row>
        <row r="626">
          <cell r="T626">
            <v>-2.0690289619116853</v>
          </cell>
          <cell r="V626">
            <v>2.1982244496266845</v>
          </cell>
          <cell r="Y626">
            <v>18.6669278</v>
          </cell>
          <cell r="AB626">
            <v>-5.3104114901034603</v>
          </cell>
        </row>
        <row r="627">
          <cell r="T627">
            <v>-2.0741786942400782</v>
          </cell>
          <cell r="V627">
            <v>2.1765862469048649</v>
          </cell>
          <cell r="Y627">
            <v>18.732989700000001</v>
          </cell>
          <cell r="AB627">
            <v>-5.3208667159364289</v>
          </cell>
        </row>
        <row r="628">
          <cell r="T628">
            <v>-2.0992480399345372</v>
          </cell>
          <cell r="V628">
            <v>2.1867849622031748</v>
          </cell>
          <cell r="Y628">
            <v>18.799051599999999</v>
          </cell>
          <cell r="AB628">
            <v>-5.3766045878773285</v>
          </cell>
        </row>
        <row r="629">
          <cell r="T629">
            <v>-2.0897880337482451</v>
          </cell>
          <cell r="V629">
            <v>2.2032973611242581</v>
          </cell>
          <cell r="Y629">
            <v>18.865113399999998</v>
          </cell>
          <cell r="AB629">
            <v>-5.3968925250947732</v>
          </cell>
        </row>
        <row r="630">
          <cell r="T630">
            <v>-2.0476399720608653</v>
          </cell>
          <cell r="V630">
            <v>2.2024231527308</v>
          </cell>
          <cell r="Y630">
            <v>18.9311753</v>
          </cell>
          <cell r="AB630">
            <v>-5.3745499946166495</v>
          </cell>
        </row>
        <row r="631">
          <cell r="T631">
            <v>-2.0351590161105872</v>
          </cell>
          <cell r="V631">
            <v>2.2011471053564087</v>
          </cell>
          <cell r="Y631">
            <v>18.9972371</v>
          </cell>
          <cell r="AB631">
            <v>-5.4514143881786588</v>
          </cell>
        </row>
        <row r="632">
          <cell r="T632">
            <v>-2.063024772361985</v>
          </cell>
          <cell r="V632">
            <v>2.1621136836223278</v>
          </cell>
          <cell r="Y632">
            <v>19.063299000000001</v>
          </cell>
          <cell r="AB632">
            <v>-5.3881679524101616</v>
          </cell>
        </row>
        <row r="633">
          <cell r="T633">
            <v>-2.134777203585438</v>
          </cell>
          <cell r="V633">
            <v>2.1643552680750155</v>
          </cell>
          <cell r="Y633">
            <v>19.129360800000001</v>
          </cell>
          <cell r="AB633">
            <v>-5.3797071025444652</v>
          </cell>
        </row>
        <row r="634">
          <cell r="T634">
            <v>-2.1614334883062534</v>
          </cell>
          <cell r="V634">
            <v>2.159679856815258</v>
          </cell>
          <cell r="Y634">
            <v>19.195422700000002</v>
          </cell>
          <cell r="AB634">
            <v>-5.4434217952530677</v>
          </cell>
        </row>
        <row r="635">
          <cell r="T635">
            <v>-2.1416627303240929</v>
          </cell>
          <cell r="V635">
            <v>2.1709209016100068</v>
          </cell>
          <cell r="Y635">
            <v>19.261484500000002</v>
          </cell>
          <cell r="AB635">
            <v>-5.4606852592279314</v>
          </cell>
        </row>
        <row r="636">
          <cell r="T636">
            <v>-2.12616329145665</v>
          </cell>
          <cell r="V636">
            <v>2.1631012458942847</v>
          </cell>
          <cell r="Y636">
            <v>19.327546399999999</v>
          </cell>
          <cell r="AB636">
            <v>-5.3927688407049423</v>
          </cell>
        </row>
        <row r="637">
          <cell r="T637">
            <v>-2.053838572647344</v>
          </cell>
          <cell r="V637">
            <v>2.1637245214505882</v>
          </cell>
          <cell r="Y637">
            <v>19.3936083</v>
          </cell>
          <cell r="AB637">
            <v>-5.3558158586092528</v>
          </cell>
        </row>
        <row r="638">
          <cell r="T638">
            <v>-2.0432081251989227</v>
          </cell>
          <cell r="V638">
            <v>2.1583660643518621</v>
          </cell>
          <cell r="Y638">
            <v>19.4596701</v>
          </cell>
          <cell r="AB638">
            <v>-5.3667906225387556</v>
          </cell>
        </row>
        <row r="639">
          <cell r="T639">
            <v>-2.0352126112130851</v>
          </cell>
          <cell r="V639">
            <v>2.1595199349002034</v>
          </cell>
          <cell r="Y639">
            <v>19.525732000000001</v>
          </cell>
          <cell r="AB639">
            <v>-5.4584314459260526</v>
          </cell>
        </row>
        <row r="640">
          <cell r="T640">
            <v>-2.0739062820220791</v>
          </cell>
          <cell r="V640">
            <v>2.1570872869305706</v>
          </cell>
          <cell r="Y640">
            <v>19.591793800000001</v>
          </cell>
          <cell r="AB640">
            <v>-5.399477699110431</v>
          </cell>
        </row>
        <row r="641">
          <cell r="T641">
            <v>-2.0682567005590555</v>
          </cell>
          <cell r="V641">
            <v>2.1638031683896206</v>
          </cell>
          <cell r="Y641">
            <v>19.657855699999999</v>
          </cell>
          <cell r="AB641">
            <v>-5.3557385761979877</v>
          </cell>
        </row>
        <row r="642">
          <cell r="T642">
            <v>-2.0447614103597913</v>
          </cell>
          <cell r="V642">
            <v>2.1611041507514162</v>
          </cell>
          <cell r="Y642">
            <v>19.723917499999999</v>
          </cell>
          <cell r="AB642">
            <v>-5.3706520235045234</v>
          </cell>
        </row>
        <row r="643">
          <cell r="T643">
            <v>-2.0509613187001334</v>
          </cell>
          <cell r="V643">
            <v>2.15490244192284</v>
          </cell>
          <cell r="Y643">
            <v>19.7899794</v>
          </cell>
          <cell r="AB643">
            <v>-5.3198951672196948</v>
          </cell>
        </row>
        <row r="644">
          <cell r="T644">
            <v>-2.0632909540634405</v>
          </cell>
          <cell r="V644">
            <v>2.1668982923605102</v>
          </cell>
          <cell r="Y644">
            <v>19.8560412</v>
          </cell>
          <cell r="AB644">
            <v>-5.3127573286579715</v>
          </cell>
        </row>
        <row r="645">
          <cell r="T645">
            <v>-2.0456002002162488</v>
          </cell>
          <cell r="V645">
            <v>2.1678255551913135</v>
          </cell>
          <cell r="Y645">
            <v>19.922103100000001</v>
          </cell>
          <cell r="AB645">
            <v>-5.2773931040644495</v>
          </cell>
        </row>
        <row r="646">
          <cell r="T646">
            <v>-2.0059795079097911</v>
          </cell>
          <cell r="V646">
            <v>2.1660233026738491</v>
          </cell>
          <cell r="Y646">
            <v>19.988164999999999</v>
          </cell>
          <cell r="AB646">
            <v>-5.2424417084147139</v>
          </cell>
        </row>
        <row r="647">
          <cell r="T647">
            <v>-1.977560690506061</v>
          </cell>
          <cell r="V647">
            <v>2.1531969952597017</v>
          </cell>
          <cell r="Y647">
            <v>20.054226799999999</v>
          </cell>
          <cell r="AB647">
            <v>-5.2227125105938521</v>
          </cell>
        </row>
        <row r="648">
          <cell r="T648">
            <v>-1.9427160784280491</v>
          </cell>
          <cell r="V648">
            <v>2.1640323465585669</v>
          </cell>
          <cell r="Y648">
            <v>20.1202887</v>
          </cell>
          <cell r="AB648">
            <v>-5.1082397390111201</v>
          </cell>
        </row>
        <row r="649">
          <cell r="T649">
            <v>-1.9181022959612284</v>
          </cell>
          <cell r="V649">
            <v>2.1888408652275371</v>
          </cell>
          <cell r="Y649">
            <v>20.1863505</v>
          </cell>
          <cell r="AB649">
            <v>-5.1418184878901672</v>
          </cell>
        </row>
        <row r="650">
          <cell r="T650">
            <v>-1.898348159482165</v>
          </cell>
          <cell r="V650">
            <v>2.2070783169607608</v>
          </cell>
          <cell r="Y650">
            <v>20.252412400000001</v>
          </cell>
          <cell r="AB650">
            <v>-5.1240060512784913</v>
          </cell>
        </row>
        <row r="651">
          <cell r="T651">
            <v>-1.9098471911570465</v>
          </cell>
          <cell r="V651">
            <v>2.2043091208706116</v>
          </cell>
          <cell r="Y651">
            <v>20.318474200000001</v>
          </cell>
          <cell r="AB651">
            <v>-5.128598297896426</v>
          </cell>
        </row>
        <row r="652">
          <cell r="T652">
            <v>-1.8991120442108798</v>
          </cell>
          <cell r="V652">
            <v>2.1922653346846772</v>
          </cell>
          <cell r="Y652">
            <v>20.384536099999998</v>
          </cell>
          <cell r="AB652">
            <v>-5.1479665646305532</v>
          </cell>
        </row>
        <row r="653">
          <cell r="T653">
            <v>-1.856690037614219</v>
          </cell>
          <cell r="V653">
            <v>2.1864158869065253</v>
          </cell>
          <cell r="Y653">
            <v>20.450597900000002</v>
          </cell>
          <cell r="AB653">
            <v>-5.1523477966595257</v>
          </cell>
        </row>
        <row r="654">
          <cell r="T654">
            <v>-1.8049583500844191</v>
          </cell>
          <cell r="V654">
            <v>2.1841695794106575</v>
          </cell>
          <cell r="Y654">
            <v>20.516659799999999</v>
          </cell>
          <cell r="AB654">
            <v>-5.0963606918625564</v>
          </cell>
        </row>
        <row r="655">
          <cell r="T655">
            <v>-1.768511356876483</v>
          </cell>
          <cell r="V655">
            <v>2.1818009049060771</v>
          </cell>
          <cell r="Y655">
            <v>20.5827217</v>
          </cell>
          <cell r="AB655">
            <v>-5.1632356076059063</v>
          </cell>
        </row>
        <row r="656">
          <cell r="T656">
            <v>-1.7368445541875446</v>
          </cell>
          <cell r="V656">
            <v>2.1692016791803201</v>
          </cell>
          <cell r="Y656">
            <v>20.6487835</v>
          </cell>
          <cell r="AB656">
            <v>-5.2035439043691749</v>
          </cell>
        </row>
        <row r="657">
          <cell r="T657">
            <v>-1.7276252449530933</v>
          </cell>
          <cell r="V657">
            <v>2.1703483526180647</v>
          </cell>
          <cell r="Y657">
            <v>20.714845400000002</v>
          </cell>
          <cell r="AB657">
            <v>-5.1716287999850916</v>
          </cell>
        </row>
        <row r="658">
          <cell r="T658">
            <v>-1.7520829302628442</v>
          </cell>
          <cell r="V658">
            <v>2.1649030265528566</v>
          </cell>
          <cell r="Y658">
            <v>20.780907200000001</v>
          </cell>
          <cell r="AB658">
            <v>-5.1244515788721277</v>
          </cell>
        </row>
        <row r="659">
          <cell r="T659">
            <v>-1.7424184794037654</v>
          </cell>
          <cell r="V659">
            <v>2.1604118522288385</v>
          </cell>
          <cell r="Y659">
            <v>20.846969099999999</v>
          </cell>
          <cell r="AB659">
            <v>-5.1630813418162678</v>
          </cell>
        </row>
        <row r="660">
          <cell r="T660">
            <v>-1.7593362948544959</v>
          </cell>
          <cell r="V660">
            <v>2.1439269346428573</v>
          </cell>
          <cell r="Y660">
            <v>20.913030899999999</v>
          </cell>
          <cell r="AB660">
            <v>-5.0949656533960042</v>
          </cell>
        </row>
        <row r="661">
          <cell r="T661">
            <v>-1.7375469550318616</v>
          </cell>
          <cell r="V661">
            <v>2.1469727650047874</v>
          </cell>
          <cell r="Y661">
            <v>20.9790928</v>
          </cell>
          <cell r="AB661">
            <v>-5.1194839008211988</v>
          </cell>
        </row>
        <row r="662">
          <cell r="T662">
            <v>-1.7504345510720187</v>
          </cell>
          <cell r="V662">
            <v>2.142506383549915</v>
          </cell>
          <cell r="Y662">
            <v>21.0451546</v>
          </cell>
          <cell r="AB662">
            <v>-5.1586062472770724</v>
          </cell>
        </row>
        <row r="663">
          <cell r="T663">
            <v>-1.7513552965133883</v>
          </cell>
          <cell r="V663">
            <v>2.1511750305266353</v>
          </cell>
          <cell r="Y663">
            <v>21.111216500000001</v>
          </cell>
          <cell r="AB663">
            <v>-5.1925713564888731</v>
          </cell>
        </row>
        <row r="664">
          <cell r="T664">
            <v>-1.7611548528008443</v>
          </cell>
          <cell r="V664">
            <v>2.1389538096161798</v>
          </cell>
          <cell r="Y664">
            <v>21.177278399999999</v>
          </cell>
          <cell r="AB664">
            <v>-5.1355510563071327</v>
          </cell>
        </row>
        <row r="665">
          <cell r="T665">
            <v>-1.7897800782743201</v>
          </cell>
          <cell r="V665">
            <v>2.1483498545100099</v>
          </cell>
          <cell r="Y665">
            <v>21.243340199999999</v>
          </cell>
          <cell r="AB665">
            <v>-5.2154343219387265</v>
          </cell>
        </row>
        <row r="666">
          <cell r="T666">
            <v>-1.7847595202263375</v>
          </cell>
          <cell r="V666">
            <v>2.1407374589835766</v>
          </cell>
          <cell r="Y666">
            <v>21.3094021</v>
          </cell>
          <cell r="AB666">
            <v>-5.1834341008808424</v>
          </cell>
        </row>
        <row r="667">
          <cell r="T667">
            <v>-1.780677594021068</v>
          </cell>
          <cell r="V667">
            <v>2.1500247604503988</v>
          </cell>
          <cell r="Y667">
            <v>21.3754639</v>
          </cell>
          <cell r="AB667">
            <v>-5.2094244001810832</v>
          </cell>
        </row>
        <row r="668">
          <cell r="T668">
            <v>-1.7356117826115025</v>
          </cell>
          <cell r="V668">
            <v>2.1547927818908659</v>
          </cell>
          <cell r="Y668">
            <v>21.441525800000001</v>
          </cell>
          <cell r="AB668">
            <v>-5.1759593519003335</v>
          </cell>
        </row>
        <row r="669">
          <cell r="T669">
            <v>-1.7729009069757986</v>
          </cell>
          <cell r="V669">
            <v>2.1599118154294517</v>
          </cell>
          <cell r="Y669">
            <v>21.507587600000001</v>
          </cell>
          <cell r="AB669">
            <v>-5.1714781376902703</v>
          </cell>
        </row>
        <row r="670">
          <cell r="T670">
            <v>-1.7547812903702411</v>
          </cell>
          <cell r="V670">
            <v>2.1347918972275575</v>
          </cell>
          <cell r="Y670">
            <v>21.573649499999998</v>
          </cell>
          <cell r="AB670">
            <v>-5.1540805158038037</v>
          </cell>
        </row>
        <row r="671">
          <cell r="T671">
            <v>-1.768385270276486</v>
          </cell>
          <cell r="V671">
            <v>2.0944264479079577</v>
          </cell>
          <cell r="Y671">
            <v>21.639711299999998</v>
          </cell>
          <cell r="AB671">
            <v>-5.0340966995378427</v>
          </cell>
        </row>
        <row r="672">
          <cell r="T672">
            <v>-1.7605977393318042</v>
          </cell>
          <cell r="V672">
            <v>2.1098556245024436</v>
          </cell>
          <cell r="Y672">
            <v>21.705773199999999</v>
          </cell>
          <cell r="AB672">
            <v>-5.0853563111445563</v>
          </cell>
        </row>
        <row r="673">
          <cell r="T673">
            <v>-1.7605798601297877</v>
          </cell>
          <cell r="V673">
            <v>2.1154455978149547</v>
          </cell>
          <cell r="Y673">
            <v>21.771835100000001</v>
          </cell>
          <cell r="AB673">
            <v>-5.1055703887015271</v>
          </cell>
        </row>
        <row r="674">
          <cell r="T674">
            <v>-1.7619554312442876</v>
          </cell>
          <cell r="V674">
            <v>2.1350972052382784</v>
          </cell>
          <cell r="Y674">
            <v>21.8378969</v>
          </cell>
          <cell r="AB674">
            <v>-5.1198321099920143</v>
          </cell>
        </row>
        <row r="675">
          <cell r="T675">
            <v>-1.7330007557885903</v>
          </cell>
          <cell r="V675">
            <v>2.1472745623348231</v>
          </cell>
          <cell r="Y675">
            <v>21.903958800000002</v>
          </cell>
          <cell r="AB675">
            <v>-5.0492814596899223</v>
          </cell>
        </row>
        <row r="676">
          <cell r="T676">
            <v>-1.7502760429395565</v>
          </cell>
          <cell r="V676">
            <v>2.1737898062288523</v>
          </cell>
          <cell r="Y676">
            <v>21.970020600000002</v>
          </cell>
          <cell r="AB676">
            <v>-5.0739043422572614</v>
          </cell>
        </row>
        <row r="677">
          <cell r="T677">
            <v>-1.7861497405496098</v>
          </cell>
          <cell r="V677">
            <v>2.1819266808481905</v>
          </cell>
          <cell r="Y677">
            <v>22.036082499999999</v>
          </cell>
          <cell r="AB677">
            <v>-5.1238910532409658</v>
          </cell>
        </row>
        <row r="678">
          <cell r="T678">
            <v>-1.773715120338428</v>
          </cell>
          <cell r="V678">
            <v>2.1535843828015877</v>
          </cell>
          <cell r="Y678">
            <v>22.102144299999999</v>
          </cell>
          <cell r="AB678">
            <v>-5.1370384767067163</v>
          </cell>
        </row>
        <row r="679">
          <cell r="T679">
            <v>-1.7816504114964948</v>
          </cell>
          <cell r="V679">
            <v>2.1338210982889141</v>
          </cell>
          <cell r="Y679">
            <v>22.1682062</v>
          </cell>
          <cell r="AB679">
            <v>-5.1680808088307719</v>
          </cell>
        </row>
        <row r="680">
          <cell r="T680">
            <v>-1.7640543880651087</v>
          </cell>
          <cell r="V680">
            <v>2.1541316681384717</v>
          </cell>
          <cell r="Y680">
            <v>22.234268</v>
          </cell>
          <cell r="AB680">
            <v>-5.1307857101323826</v>
          </cell>
        </row>
        <row r="681">
          <cell r="T681">
            <v>-1.7832982897202303</v>
          </cell>
          <cell r="V681">
            <v>2.1426183754736248</v>
          </cell>
          <cell r="Y681">
            <v>22.300329900000001</v>
          </cell>
          <cell r="AB681">
            <v>-5.2173564944585786</v>
          </cell>
        </row>
        <row r="682">
          <cell r="T682">
            <v>-1.7861030374143876</v>
          </cell>
          <cell r="V682">
            <v>2.1495363667669389</v>
          </cell>
          <cell r="Y682">
            <v>22.366391799999999</v>
          </cell>
          <cell r="AB682">
            <v>-5.1893703863994141</v>
          </cell>
        </row>
        <row r="683">
          <cell r="T683">
            <v>-1.7877035429833967</v>
          </cell>
          <cell r="V683">
            <v>2.1328426723252782</v>
          </cell>
          <cell r="Y683">
            <v>22.432453599999999</v>
          </cell>
          <cell r="AB683">
            <v>-5.1598316112861671</v>
          </cell>
        </row>
        <row r="684">
          <cell r="T684">
            <v>-1.786808841671305</v>
          </cell>
          <cell r="V684">
            <v>2.1552204076380073</v>
          </cell>
          <cell r="Y684">
            <v>22.4985155</v>
          </cell>
          <cell r="AB684">
            <v>-5.1622716549568013</v>
          </cell>
        </row>
        <row r="685">
          <cell r="T685">
            <v>-1.790801203118763</v>
          </cell>
          <cell r="V685">
            <v>2.166795022182701</v>
          </cell>
          <cell r="Y685">
            <v>22.5645773</v>
          </cell>
          <cell r="AB685">
            <v>-5.1844690143437262</v>
          </cell>
        </row>
        <row r="686">
          <cell r="T686">
            <v>-1.7985653928341563</v>
          </cell>
          <cell r="V686">
            <v>2.1606280227401577</v>
          </cell>
          <cell r="Y686">
            <v>22.630639200000001</v>
          </cell>
          <cell r="AB686">
            <v>-5.2474512757480634</v>
          </cell>
        </row>
        <row r="687">
          <cell r="T687">
            <v>-1.8097639118452797</v>
          </cell>
          <cell r="V687">
            <v>2.1631138927994704</v>
          </cell>
          <cell r="Y687">
            <v>22.696701000000001</v>
          </cell>
          <cell r="AB687">
            <v>-5.2045302815648355</v>
          </cell>
        </row>
        <row r="688">
          <cell r="T688">
            <v>-1.8009380318126949</v>
          </cell>
          <cell r="V688">
            <v>2.1481376712090179</v>
          </cell>
          <cell r="Y688">
            <v>22.762762899999998</v>
          </cell>
          <cell r="AB688">
            <v>-5.1933295124433041</v>
          </cell>
        </row>
        <row r="689">
          <cell r="T689">
            <v>-1.8136746003616506</v>
          </cell>
          <cell r="V689">
            <v>2.1409710771365287</v>
          </cell>
          <cell r="Y689">
            <v>22.828824699999998</v>
          </cell>
          <cell r="AB689">
            <v>-5.1971667938657538</v>
          </cell>
        </row>
        <row r="690">
          <cell r="T690">
            <v>-1.833797331978354</v>
          </cell>
          <cell r="V690">
            <v>2.1366625595781112</v>
          </cell>
          <cell r="Y690">
            <v>22.8948866</v>
          </cell>
          <cell r="AB690">
            <v>-5.2716516017393404</v>
          </cell>
        </row>
        <row r="691">
          <cell r="T691">
            <v>-1.8811815806050269</v>
          </cell>
          <cell r="V691">
            <v>2.1600793692906106</v>
          </cell>
          <cell r="Y691">
            <v>22.960948500000001</v>
          </cell>
          <cell r="AB691">
            <v>-5.2198307085560325</v>
          </cell>
        </row>
        <row r="692">
          <cell r="T692">
            <v>-1.8951814670342877</v>
          </cell>
          <cell r="V692">
            <v>2.1781054158897519</v>
          </cell>
          <cell r="Y692">
            <v>23.027010300000001</v>
          </cell>
          <cell r="AB692">
            <v>-5.2372546918018177</v>
          </cell>
        </row>
        <row r="693">
          <cell r="T693">
            <v>-1.8867564404251205</v>
          </cell>
          <cell r="V693">
            <v>2.1743333334019437</v>
          </cell>
          <cell r="Y693">
            <v>23.093072200000002</v>
          </cell>
          <cell r="AB693">
            <v>-5.1994746632099513</v>
          </cell>
        </row>
        <row r="694">
          <cell r="T694">
            <v>-1.9102032307066832</v>
          </cell>
          <cell r="V694">
            <v>2.1726605860252288</v>
          </cell>
          <cell r="Y694">
            <v>23.159134000000002</v>
          </cell>
          <cell r="AB694">
            <v>-5.2100630385409783</v>
          </cell>
        </row>
        <row r="695">
          <cell r="T695">
            <v>-1.9365488331502674</v>
          </cell>
          <cell r="V695">
            <v>2.1554411322148517</v>
          </cell>
          <cell r="Y695">
            <v>23.225195899999999</v>
          </cell>
          <cell r="AB695">
            <v>-5.2437137620450445</v>
          </cell>
        </row>
        <row r="696">
          <cell r="T696">
            <v>-1.9761523948038329</v>
          </cell>
          <cell r="V696">
            <v>2.1364046111406374</v>
          </cell>
          <cell r="Y696">
            <v>23.291257699999999</v>
          </cell>
          <cell r="AB696">
            <v>-5.2328159932717488</v>
          </cell>
        </row>
        <row r="697">
          <cell r="T697">
            <v>-1.944945149106112</v>
          </cell>
          <cell r="V697">
            <v>2.1027824572682197</v>
          </cell>
          <cell r="Y697">
            <v>23.3573196</v>
          </cell>
          <cell r="AB697">
            <v>-5.1948989475837664</v>
          </cell>
        </row>
        <row r="698">
          <cell r="T698">
            <v>-1.948926454675038</v>
          </cell>
          <cell r="V698">
            <v>2.1305081609740779</v>
          </cell>
          <cell r="Y698">
            <v>23.4233814</v>
          </cell>
          <cell r="AB698">
            <v>-5.1650577825350705</v>
          </cell>
        </row>
        <row r="699">
          <cell r="T699">
            <v>-1.9680838424757117</v>
          </cell>
          <cell r="V699">
            <v>2.1650572721988031</v>
          </cell>
          <cell r="Y699">
            <v>23.489443300000001</v>
          </cell>
          <cell r="AB699">
            <v>-5.1909598962715577</v>
          </cell>
        </row>
        <row r="700">
          <cell r="T700">
            <v>-1.9808653428947596</v>
          </cell>
          <cell r="V700">
            <v>2.185488713086619</v>
          </cell>
          <cell r="Y700">
            <v>23.555505199999999</v>
          </cell>
          <cell r="AB700">
            <v>-5.2539078159986357</v>
          </cell>
        </row>
        <row r="701">
          <cell r="T701">
            <v>-1.97357735662342</v>
          </cell>
          <cell r="V701">
            <v>2.1580133726538393</v>
          </cell>
          <cell r="Y701">
            <v>23.621566999999999</v>
          </cell>
          <cell r="AB701">
            <v>-5.2103770729932597</v>
          </cell>
        </row>
        <row r="702">
          <cell r="T702">
            <v>-1.9493277141887664</v>
          </cell>
          <cell r="V702">
            <v>2.1469473358106748</v>
          </cell>
          <cell r="Y702">
            <v>23.6876289</v>
          </cell>
          <cell r="AB702">
            <v>-5.1751546078666051</v>
          </cell>
        </row>
        <row r="703">
          <cell r="T703">
            <v>-1.9414875680641286</v>
          </cell>
          <cell r="V703">
            <v>2.1606383970928977</v>
          </cell>
          <cell r="Y703">
            <v>23.7536907</v>
          </cell>
          <cell r="AB703">
            <v>-5.2703545940260392</v>
          </cell>
        </row>
        <row r="704">
          <cell r="T704">
            <v>-1.9537417981721168</v>
          </cell>
          <cell r="V704">
            <v>2.1975836877223887</v>
          </cell>
          <cell r="Y704">
            <v>23.819752600000001</v>
          </cell>
          <cell r="AB704">
            <v>-5.1948776926070295</v>
          </cell>
        </row>
        <row r="705">
          <cell r="T705">
            <v>-1.9459400308354666</v>
          </cell>
          <cell r="V705">
            <v>2.2045458693158699</v>
          </cell>
          <cell r="Y705">
            <v>23.885814400000001</v>
          </cell>
          <cell r="AB705">
            <v>-5.2004820313982467</v>
          </cell>
        </row>
        <row r="706">
          <cell r="T706">
            <v>-1.9707748559680276</v>
          </cell>
          <cell r="V706">
            <v>2.2030652042560246</v>
          </cell>
          <cell r="Y706">
            <v>23.951876299999999</v>
          </cell>
          <cell r="AB706">
            <v>-5.1751083334578993</v>
          </cell>
        </row>
        <row r="707">
          <cell r="T707">
            <v>-1.9481349046984064</v>
          </cell>
          <cell r="V707">
            <v>2.1883849895070906</v>
          </cell>
          <cell r="Y707">
            <v>24.017938099999999</v>
          </cell>
          <cell r="AB707">
            <v>-5.2205482675867199</v>
          </cell>
        </row>
        <row r="708">
          <cell r="T708">
            <v>-1.9309542471216987</v>
          </cell>
          <cell r="V708">
            <v>2.1845138636002055</v>
          </cell>
          <cell r="Y708">
            <v>24.084</v>
          </cell>
          <cell r="AB708">
            <v>-5.1998545024911786</v>
          </cell>
        </row>
        <row r="709">
          <cell r="T709">
            <v>-1.8878168441290242</v>
          </cell>
          <cell r="V709">
            <v>2.1882093611153834</v>
          </cell>
          <cell r="Y709">
            <v>24.135461500000002</v>
          </cell>
          <cell r="AB709">
            <v>-5.1410447800150214</v>
          </cell>
        </row>
        <row r="710">
          <cell r="T710">
            <v>-1.8725505939307669</v>
          </cell>
          <cell r="V710">
            <v>2.1956975034045141</v>
          </cell>
          <cell r="Y710">
            <v>24.186923100000001</v>
          </cell>
          <cell r="AB710">
            <v>-5.1810418163123391</v>
          </cell>
        </row>
        <row r="711">
          <cell r="T711">
            <v>-1.8745167385348627</v>
          </cell>
          <cell r="V711">
            <v>2.2276430952321196</v>
          </cell>
          <cell r="Y711">
            <v>24.2383846</v>
          </cell>
          <cell r="AB711">
            <v>-5.186107875538049</v>
          </cell>
        </row>
        <row r="712">
          <cell r="T712">
            <v>-1.8882322697898684</v>
          </cell>
          <cell r="V712">
            <v>2.2469429526206959</v>
          </cell>
          <cell r="Y712">
            <v>24.289846199999999</v>
          </cell>
          <cell r="AB712">
            <v>-5.2111673450589056</v>
          </cell>
        </row>
        <row r="713">
          <cell r="T713">
            <v>-1.931034351672049</v>
          </cell>
          <cell r="V713">
            <v>2.2426675167807151</v>
          </cell>
          <cell r="Y713">
            <v>24.341307700000002</v>
          </cell>
          <cell r="AB713">
            <v>-5.201630239186386</v>
          </cell>
        </row>
        <row r="714">
          <cell r="T714">
            <v>-1.9068253500499985</v>
          </cell>
          <cell r="V714">
            <v>2.1919271090637711</v>
          </cell>
          <cell r="Y714">
            <v>24.3927692</v>
          </cell>
          <cell r="AB714">
            <v>-5.2221842014405029</v>
          </cell>
        </row>
        <row r="715">
          <cell r="T715">
            <v>-1.8558976871507682</v>
          </cell>
          <cell r="V715">
            <v>2.1352992584993378</v>
          </cell>
          <cell r="Y715">
            <v>24.4442308</v>
          </cell>
          <cell r="AB715">
            <v>-5.2044432175254638</v>
          </cell>
        </row>
        <row r="716">
          <cell r="T716">
            <v>-1.7848355713072361</v>
          </cell>
          <cell r="V716">
            <v>2.1303145042938239</v>
          </cell>
          <cell r="Y716">
            <v>24.495692300000002</v>
          </cell>
          <cell r="AB716">
            <v>-5.1822156090587974</v>
          </cell>
        </row>
        <row r="717">
          <cell r="T717">
            <v>-1.8007476872320296</v>
          </cell>
          <cell r="V717">
            <v>2.1522691507415659</v>
          </cell>
          <cell r="Y717">
            <v>24.547153900000001</v>
          </cell>
          <cell r="AB717">
            <v>-5.1390943672096467</v>
          </cell>
        </row>
        <row r="718">
          <cell r="T718">
            <v>-1.8066144575785605</v>
          </cell>
          <cell r="V718">
            <v>2.1963928228820175</v>
          </cell>
          <cell r="Y718">
            <v>24.5986154</v>
          </cell>
          <cell r="AB718">
            <v>-5.2208415732079425</v>
          </cell>
        </row>
        <row r="719">
          <cell r="T719">
            <v>-1.7837409921291858</v>
          </cell>
          <cell r="V719">
            <v>2.2041536427101196</v>
          </cell>
          <cell r="Y719">
            <v>24.650076899999998</v>
          </cell>
          <cell r="AB719">
            <v>-5.1771074658912219</v>
          </cell>
        </row>
        <row r="720">
          <cell r="T720">
            <v>-1.7679595745890893</v>
          </cell>
          <cell r="V720">
            <v>2.2381131738030229</v>
          </cell>
          <cell r="Y720">
            <v>24.701538500000002</v>
          </cell>
          <cell r="AB720">
            <v>-5.1928414732724528</v>
          </cell>
        </row>
        <row r="721">
          <cell r="T721">
            <v>-1.7707016732267942</v>
          </cell>
          <cell r="V721">
            <v>2.2404382165746668</v>
          </cell>
          <cell r="Y721">
            <v>24.753</v>
          </cell>
          <cell r="AB721">
            <v>-5.2206185290037563</v>
          </cell>
        </row>
        <row r="722">
          <cell r="T722">
            <v>-1.8096441687304619</v>
          </cell>
          <cell r="V722">
            <v>2.244571146791229</v>
          </cell>
          <cell r="Y722">
            <v>24.804461499999999</v>
          </cell>
          <cell r="AB722">
            <v>-5.1721118835899542</v>
          </cell>
        </row>
        <row r="723">
          <cell r="T723">
            <v>-1.8117856689634779</v>
          </cell>
          <cell r="V723">
            <v>2.2295028092663474</v>
          </cell>
          <cell r="Y723">
            <v>24.855923099999998</v>
          </cell>
          <cell r="AB723">
            <v>-5.1755328002389422</v>
          </cell>
        </row>
        <row r="724">
          <cell r="T724">
            <v>-1.8131474875956002</v>
          </cell>
          <cell r="V724">
            <v>2.2378177489240341</v>
          </cell>
          <cell r="Y724">
            <v>24.9073846</v>
          </cell>
          <cell r="AB724">
            <v>-5.1977691016541296</v>
          </cell>
        </row>
        <row r="725">
          <cell r="T725">
            <v>-1.809568480633964</v>
          </cell>
          <cell r="V725">
            <v>2.2604009400705425</v>
          </cell>
          <cell r="Y725">
            <v>24.9588462</v>
          </cell>
          <cell r="AB725">
            <v>-5.2528698922923329</v>
          </cell>
        </row>
        <row r="726">
          <cell r="T726">
            <v>-1.8084934851020502</v>
          </cell>
          <cell r="V726">
            <v>2.2498601064478776</v>
          </cell>
          <cell r="Y726">
            <v>25.010307699999998</v>
          </cell>
          <cell r="AB726">
            <v>-5.233329102987768</v>
          </cell>
        </row>
        <row r="727">
          <cell r="T727">
            <v>-1.8325102450178437</v>
          </cell>
          <cell r="V727">
            <v>2.2256002254444556</v>
          </cell>
          <cell r="Y727">
            <v>25.061769200000001</v>
          </cell>
          <cell r="AB727">
            <v>-5.2403124539661583</v>
          </cell>
        </row>
        <row r="728">
          <cell r="T728">
            <v>-1.8493675821884563</v>
          </cell>
          <cell r="V728">
            <v>2.1930868933521026</v>
          </cell>
          <cell r="Y728">
            <v>25.1132308</v>
          </cell>
          <cell r="AB728">
            <v>-5.2575989047109237</v>
          </cell>
        </row>
        <row r="729">
          <cell r="T729">
            <v>-1.8855036514781673</v>
          </cell>
          <cell r="V729">
            <v>2.1722699198864697</v>
          </cell>
          <cell r="Y729">
            <v>25.164692299999999</v>
          </cell>
          <cell r="AB729">
            <v>-5.238205697342857</v>
          </cell>
        </row>
        <row r="730">
          <cell r="T730">
            <v>-1.903772777348868</v>
          </cell>
          <cell r="V730">
            <v>2.1736802705151388</v>
          </cell>
          <cell r="Y730">
            <v>25.216153899999998</v>
          </cell>
          <cell r="AB730">
            <v>-5.2264823000930001</v>
          </cell>
        </row>
        <row r="731">
          <cell r="T731">
            <v>-1.8503888394033821</v>
          </cell>
          <cell r="V731">
            <v>2.1688100134331649</v>
          </cell>
          <cell r="Y731">
            <v>25.2676154</v>
          </cell>
          <cell r="AB731">
            <v>-5.2954224679488435</v>
          </cell>
        </row>
        <row r="732">
          <cell r="T732">
            <v>-1.7330156058429669</v>
          </cell>
          <cell r="V732">
            <v>2.158170940993708</v>
          </cell>
          <cell r="Y732">
            <v>25.319076899999999</v>
          </cell>
          <cell r="AB732">
            <v>-5.2780598884603416</v>
          </cell>
        </row>
        <row r="733">
          <cell r="T733">
            <v>-1.642450873769622</v>
          </cell>
          <cell r="V733">
            <v>2.1651740673134476</v>
          </cell>
          <cell r="Y733">
            <v>25.370538499999999</v>
          </cell>
          <cell r="AB733">
            <v>-5.2218666846669555</v>
          </cell>
        </row>
        <row r="734">
          <cell r="T734">
            <v>-1.667679430666908</v>
          </cell>
          <cell r="V734">
            <v>2.1872758283604177</v>
          </cell>
          <cell r="Y734">
            <v>25.422000000000001</v>
          </cell>
          <cell r="AB734">
            <v>-5.2744535755411084</v>
          </cell>
        </row>
        <row r="735">
          <cell r="T735">
            <v>-1.7507842369863653</v>
          </cell>
          <cell r="V735">
            <v>2.2112108074486589</v>
          </cell>
          <cell r="Y735">
            <v>25.473461499999999</v>
          </cell>
          <cell r="AB735">
            <v>-5.2687944345629889</v>
          </cell>
        </row>
        <row r="736">
          <cell r="T736">
            <v>-1.7726834110213006</v>
          </cell>
          <cell r="V736">
            <v>2.1925668437345931</v>
          </cell>
          <cell r="Y736">
            <v>25.524923099999999</v>
          </cell>
          <cell r="AB736">
            <v>-5.2755653332769166</v>
          </cell>
        </row>
        <row r="737">
          <cell r="T737">
            <v>-1.7876318281782961</v>
          </cell>
          <cell r="V737">
            <v>2.173029573912828</v>
          </cell>
          <cell r="Y737">
            <v>25.576384600000001</v>
          </cell>
          <cell r="AB737">
            <v>-5.2266482346014502</v>
          </cell>
        </row>
        <row r="738">
          <cell r="T738">
            <v>-1.7117365736811501</v>
          </cell>
          <cell r="V738">
            <v>2.1441446774460666</v>
          </cell>
          <cell r="Y738">
            <v>25.6278462</v>
          </cell>
          <cell r="AB738">
            <v>-5.2490839559790379</v>
          </cell>
        </row>
        <row r="739">
          <cell r="T739">
            <v>-1.6539023902104546</v>
          </cell>
          <cell r="V739">
            <v>2.1214493727619348</v>
          </cell>
          <cell r="Y739">
            <v>25.679307699999999</v>
          </cell>
          <cell r="AB739">
            <v>-5.2329580663579884</v>
          </cell>
        </row>
        <row r="740">
          <cell r="T740">
            <v>-1.5704393713838891</v>
          </cell>
          <cell r="V740">
            <v>2.1103640156571339</v>
          </cell>
          <cell r="Y740">
            <v>25.730769200000001</v>
          </cell>
          <cell r="AB740">
            <v>-5.1987189589155607</v>
          </cell>
        </row>
        <row r="741">
          <cell r="T741">
            <v>-1.5680776503514462</v>
          </cell>
          <cell r="V741">
            <v>2.1299683486490832</v>
          </cell>
          <cell r="Y741">
            <v>25.782230800000001</v>
          </cell>
          <cell r="AB741">
            <v>-5.2285010083232795</v>
          </cell>
        </row>
        <row r="742">
          <cell r="T742">
            <v>-1.597461903637061</v>
          </cell>
          <cell r="V742">
            <v>2.1504167746518204</v>
          </cell>
          <cell r="Y742">
            <v>25.833692299999999</v>
          </cell>
          <cell r="AB742">
            <v>-5.2543271635089734</v>
          </cell>
        </row>
        <row r="743">
          <cell r="T743">
            <v>-1.6299731948814629</v>
          </cell>
          <cell r="V743">
            <v>2.1435264106425387</v>
          </cell>
          <cell r="Y743">
            <v>25.885153899999999</v>
          </cell>
          <cell r="AB743">
            <v>-5.2383414175436167</v>
          </cell>
        </row>
        <row r="744">
          <cell r="T744">
            <v>-1.651466793837115</v>
          </cell>
          <cell r="V744">
            <v>2.1109401180111322</v>
          </cell>
          <cell r="Y744">
            <v>25.936615400000001</v>
          </cell>
          <cell r="AB744">
            <v>-5.2020351902199993</v>
          </cell>
        </row>
        <row r="745">
          <cell r="T745">
            <v>-1.6534229217503871</v>
          </cell>
          <cell r="V745">
            <v>2.0807852916241889</v>
          </cell>
          <cell r="Y745">
            <v>25.988076899999999</v>
          </cell>
          <cell r="AB745">
            <v>-5.2313671422440127</v>
          </cell>
        </row>
        <row r="746">
          <cell r="T746">
            <v>-1.6062399594748171</v>
          </cell>
          <cell r="V746">
            <v>2.0836722147466169</v>
          </cell>
          <cell r="Y746">
            <v>26.039538499999999</v>
          </cell>
          <cell r="AB746">
            <v>-5.1873941870907814</v>
          </cell>
        </row>
        <row r="747">
          <cell r="T747">
            <v>-1.5840408364028995</v>
          </cell>
          <cell r="V747">
            <v>2.1110739676452841</v>
          </cell>
          <cell r="Y747">
            <v>26.091000000000001</v>
          </cell>
          <cell r="AB747">
            <v>-5.2501514604908825</v>
          </cell>
        </row>
        <row r="748">
          <cell r="T748">
            <v>-1.5715075637724676</v>
          </cell>
          <cell r="V748">
            <v>2.1228430294507743</v>
          </cell>
          <cell r="Y748">
            <v>26.1424615</v>
          </cell>
          <cell r="AB748">
            <v>-5.2562771687540488</v>
          </cell>
        </row>
        <row r="749">
          <cell r="T749">
            <v>-1.6049094784575131</v>
          </cell>
          <cell r="V749">
            <v>2.1203696440494766</v>
          </cell>
          <cell r="Y749">
            <v>26.193923099999999</v>
          </cell>
          <cell r="AB749">
            <v>-5.2435121760058081</v>
          </cell>
        </row>
        <row r="750">
          <cell r="T750">
            <v>-1.579551953969103</v>
          </cell>
          <cell r="V750">
            <v>2.1161327782735064</v>
          </cell>
          <cell r="Y750">
            <v>26.245384600000001</v>
          </cell>
          <cell r="AB750">
            <v>-5.2414518195901074</v>
          </cell>
        </row>
        <row r="751">
          <cell r="T751">
            <v>-1.5774805364177009</v>
          </cell>
          <cell r="V751">
            <v>2.1361295475061644</v>
          </cell>
          <cell r="Y751">
            <v>26.296846200000001</v>
          </cell>
          <cell r="AB751">
            <v>-5.2731210726291495</v>
          </cell>
        </row>
        <row r="752">
          <cell r="T752">
            <v>-1.5848024237061662</v>
          </cell>
          <cell r="V752">
            <v>2.1475405215496726</v>
          </cell>
          <cell r="Y752">
            <v>26.348307699999999</v>
          </cell>
          <cell r="AB752">
            <v>-5.3494797747766114</v>
          </cell>
        </row>
        <row r="753">
          <cell r="T753">
            <v>-1.6258606757661627</v>
          </cell>
          <cell r="V753">
            <v>2.1609445546836628</v>
          </cell>
          <cell r="Y753">
            <v>26.399769200000001</v>
          </cell>
          <cell r="AB753">
            <v>-5.3274939336192917</v>
          </cell>
        </row>
        <row r="754">
          <cell r="T754">
            <v>-1.6609701601116804</v>
          </cell>
          <cell r="V754">
            <v>2.150615378813578</v>
          </cell>
          <cell r="Y754">
            <v>26.451230800000001</v>
          </cell>
          <cell r="AB754">
            <v>-5.3313588894853181</v>
          </cell>
        </row>
        <row r="755">
          <cell r="T755">
            <v>-1.6541890816720191</v>
          </cell>
          <cell r="V755">
            <v>2.1279547648449699</v>
          </cell>
          <cell r="Y755">
            <v>26.5026923</v>
          </cell>
          <cell r="AB755">
            <v>-5.2905042509566531</v>
          </cell>
        </row>
        <row r="756">
          <cell r="T756">
            <v>-1.6531347470480757</v>
          </cell>
          <cell r="V756">
            <v>2.0925390215020787</v>
          </cell>
          <cell r="Y756">
            <v>26.554153899999999</v>
          </cell>
          <cell r="AB756">
            <v>-5.3093189049985945</v>
          </cell>
        </row>
        <row r="757">
          <cell r="T757">
            <v>-1.6428563610629023</v>
          </cell>
          <cell r="V757">
            <v>2.1093283892735069</v>
          </cell>
          <cell r="Y757">
            <v>26.605615400000001</v>
          </cell>
          <cell r="AB757">
            <v>-5.2804883604122868</v>
          </cell>
        </row>
        <row r="758">
          <cell r="T758">
            <v>-1.6439098458610053</v>
          </cell>
          <cell r="V758">
            <v>2.1182084928791043</v>
          </cell>
          <cell r="Y758">
            <v>26.6570769</v>
          </cell>
          <cell r="AB758">
            <v>-5.3262805156453323</v>
          </cell>
        </row>
        <row r="759">
          <cell r="T759">
            <v>-1.6612619149664785</v>
          </cell>
          <cell r="V759">
            <v>2.1469983782563253</v>
          </cell>
          <cell r="Y759">
            <v>26.7085385</v>
          </cell>
          <cell r="AB759">
            <v>-5.2981431992278027</v>
          </cell>
        </row>
        <row r="760">
          <cell r="T760">
            <v>-1.6550161803559209</v>
          </cell>
          <cell r="V760">
            <v>2.1255880685433524</v>
          </cell>
          <cell r="Y760">
            <v>26.76</v>
          </cell>
          <cell r="AB760">
            <v>-5.3837559065547724</v>
          </cell>
        </row>
        <row r="761">
          <cell r="T761">
            <v>-1.6829585775423703</v>
          </cell>
          <cell r="V761">
            <v>2.1632545048261829</v>
          </cell>
          <cell r="Y761">
            <v>26.8114615</v>
          </cell>
          <cell r="AB761">
            <v>-5.3216653110963836</v>
          </cell>
        </row>
        <row r="762">
          <cell r="T762">
            <v>-1.6702897867935953</v>
          </cell>
          <cell r="V762">
            <v>2.183756142160346</v>
          </cell>
          <cell r="Y762">
            <v>26.8629231</v>
          </cell>
          <cell r="AB762">
            <v>-5.3675856821904278</v>
          </cell>
        </row>
        <row r="763">
          <cell r="T763">
            <v>-1.6545377469934397</v>
          </cell>
          <cell r="V763">
            <v>2.189628754995002</v>
          </cell>
          <cell r="Y763">
            <v>26.914384600000002</v>
          </cell>
          <cell r="AB763">
            <v>-5.3676089386893722</v>
          </cell>
        </row>
        <row r="764">
          <cell r="T764">
            <v>-1.620219809822762</v>
          </cell>
          <cell r="V764">
            <v>2.1374952608027726</v>
          </cell>
          <cell r="Y764">
            <v>26.965846200000001</v>
          </cell>
          <cell r="AB764">
            <v>-5.3473092046114665</v>
          </cell>
        </row>
        <row r="765">
          <cell r="T765">
            <v>-1.6142945865310612</v>
          </cell>
          <cell r="V765">
            <v>2.1224574071830355</v>
          </cell>
          <cell r="Y765">
            <v>27.0173077</v>
          </cell>
          <cell r="AB765">
            <v>-5.2738682879237544</v>
          </cell>
        </row>
        <row r="766">
          <cell r="T766">
            <v>-1.601906646358022</v>
          </cell>
          <cell r="V766">
            <v>2.1400481843372536</v>
          </cell>
          <cell r="Y766">
            <v>27.068769199999998</v>
          </cell>
          <cell r="AB766">
            <v>-5.3693490013009422</v>
          </cell>
        </row>
        <row r="767">
          <cell r="T767">
            <v>-1.5148006407969925</v>
          </cell>
          <cell r="V767">
            <v>2.1755682330354404</v>
          </cell>
          <cell r="Y767">
            <v>27.120230800000002</v>
          </cell>
          <cell r="AB767">
            <v>-5.3238972260167587</v>
          </cell>
        </row>
        <row r="768">
          <cell r="T768">
            <v>-1.4294102483977982</v>
          </cell>
          <cell r="V768">
            <v>2.1775693186916247</v>
          </cell>
          <cell r="Y768">
            <v>27.1716923</v>
          </cell>
          <cell r="AB768">
            <v>-5.3991946737431666</v>
          </cell>
        </row>
        <row r="769">
          <cell r="T769">
            <v>-1.3765837979002606</v>
          </cell>
          <cell r="V769">
            <v>2.1777380913529019</v>
          </cell>
          <cell r="Y769">
            <v>27.2231539</v>
          </cell>
          <cell r="AB769">
            <v>-5.4150288154547797</v>
          </cell>
        </row>
        <row r="770">
          <cell r="T770">
            <v>-1.4037084936247775</v>
          </cell>
          <cell r="V770">
            <v>2.1750061971406929</v>
          </cell>
          <cell r="Y770">
            <v>27.274615399999998</v>
          </cell>
          <cell r="AB770">
            <v>-5.3963314491883683</v>
          </cell>
        </row>
        <row r="771">
          <cell r="T771">
            <v>-1.4034393300855326</v>
          </cell>
          <cell r="V771">
            <v>2.1865250887919268</v>
          </cell>
          <cell r="Y771">
            <v>27.3260769</v>
          </cell>
          <cell r="AB771">
            <v>-5.4305338099224398</v>
          </cell>
        </row>
        <row r="772">
          <cell r="T772">
            <v>-1.3874902775585884</v>
          </cell>
          <cell r="V772">
            <v>2.2054488103649281</v>
          </cell>
          <cell r="Y772">
            <v>27.3775385</v>
          </cell>
          <cell r="AB772">
            <v>-5.4696576719090428</v>
          </cell>
        </row>
        <row r="773">
          <cell r="T773">
            <v>-1.3771401369781326</v>
          </cell>
          <cell r="V773">
            <v>2.225083352113034</v>
          </cell>
          <cell r="Y773">
            <v>27.428999999999998</v>
          </cell>
          <cell r="AB773">
            <v>-5.4344520435285606</v>
          </cell>
        </row>
        <row r="774">
          <cell r="T774">
            <v>-1.4161189073584595</v>
          </cell>
          <cell r="V774">
            <v>2.223568966777473</v>
          </cell>
          <cell r="Y774">
            <v>27.480461500000001</v>
          </cell>
          <cell r="AB774">
            <v>-5.4169817806016036</v>
          </cell>
        </row>
        <row r="775">
          <cell r="T775">
            <v>-1.4231749969030021</v>
          </cell>
          <cell r="V775">
            <v>2.1962427139816163</v>
          </cell>
          <cell r="Y775">
            <v>27.5319231</v>
          </cell>
          <cell r="AB775">
            <v>-5.394813797646119</v>
          </cell>
        </row>
        <row r="776">
          <cell r="T776">
            <v>-1.4328162661710373</v>
          </cell>
          <cell r="V776">
            <v>2.1621678578345986</v>
          </cell>
          <cell r="Y776">
            <v>27.583384599999999</v>
          </cell>
          <cell r="AB776">
            <v>-5.4264890731713971</v>
          </cell>
        </row>
        <row r="777">
          <cell r="T777">
            <v>-1.3609251341164539</v>
          </cell>
          <cell r="V777">
            <v>2.1192870851945922</v>
          </cell>
          <cell r="Y777">
            <v>27.634846199999998</v>
          </cell>
          <cell r="AB777">
            <v>-5.2899828362383818</v>
          </cell>
        </row>
        <row r="778">
          <cell r="T778">
            <v>-1.3503309591525208</v>
          </cell>
          <cell r="V778">
            <v>2.0916672435536579</v>
          </cell>
          <cell r="Y778">
            <v>27.6863077</v>
          </cell>
          <cell r="AB778">
            <v>-5.2964437975387071</v>
          </cell>
        </row>
        <row r="779">
          <cell r="T779">
            <v>-1.3289489182483445</v>
          </cell>
          <cell r="V779">
            <v>2.085281478988724</v>
          </cell>
          <cell r="Y779">
            <v>27.737769199999999</v>
          </cell>
          <cell r="AB779">
            <v>-5.2380269676411357</v>
          </cell>
        </row>
        <row r="780">
          <cell r="T780">
            <v>-1.369608741500306</v>
          </cell>
          <cell r="V780">
            <v>2.0750565051589551</v>
          </cell>
          <cell r="Y780">
            <v>27.789230799999999</v>
          </cell>
          <cell r="AB780">
            <v>-5.2712764906923413</v>
          </cell>
        </row>
        <row r="781">
          <cell r="T781">
            <v>-1.3736418063660485</v>
          </cell>
          <cell r="V781">
            <v>2.0670205511236683</v>
          </cell>
          <cell r="Y781">
            <v>27.840692300000001</v>
          </cell>
          <cell r="AB781">
            <v>-5.2304405610939595</v>
          </cell>
        </row>
        <row r="782">
          <cell r="T782">
            <v>-1.3824922619487443</v>
          </cell>
          <cell r="V782">
            <v>2.0593280028021961</v>
          </cell>
          <cell r="Y782">
            <v>27.8921539</v>
          </cell>
          <cell r="AB782">
            <v>-5.2223836624401914</v>
          </cell>
        </row>
        <row r="783">
          <cell r="T783">
            <v>-1.3636705000642122</v>
          </cell>
          <cell r="V783">
            <v>2.078996016841387</v>
          </cell>
          <cell r="Y783">
            <v>27.943615399999999</v>
          </cell>
          <cell r="AB783">
            <v>-5.2241219291025658</v>
          </cell>
        </row>
        <row r="784">
          <cell r="T784">
            <v>-1.3564101950731489</v>
          </cell>
          <cell r="V784">
            <v>2.109527163634707</v>
          </cell>
          <cell r="Y784">
            <v>27.995076900000001</v>
          </cell>
          <cell r="AB784">
            <v>-5.2440768084429665</v>
          </cell>
        </row>
        <row r="785">
          <cell r="T785">
            <v>-1.3437123843008345</v>
          </cell>
          <cell r="V785">
            <v>2.0838627126382656</v>
          </cell>
          <cell r="Y785">
            <v>28.0465385</v>
          </cell>
          <cell r="AB785">
            <v>-5.2825500729568038</v>
          </cell>
        </row>
        <row r="786">
          <cell r="T786">
            <v>-1.3296085995816176</v>
          </cell>
          <cell r="V786">
            <v>2.083391151874872</v>
          </cell>
          <cell r="Y786">
            <v>28.097999999999999</v>
          </cell>
          <cell r="AB786">
            <v>-5.1988737913528507</v>
          </cell>
        </row>
        <row r="787">
          <cell r="T787">
            <v>-1.3287833805350904</v>
          </cell>
          <cell r="V787">
            <v>2.0428491684534493</v>
          </cell>
          <cell r="Y787">
            <v>28.126127700000001</v>
          </cell>
          <cell r="AB787">
            <v>-5.3271362384044938</v>
          </cell>
        </row>
        <row r="788">
          <cell r="T788">
            <v>-1.3357044441079093</v>
          </cell>
          <cell r="V788">
            <v>2.0773094228897975</v>
          </cell>
          <cell r="Y788">
            <v>28.154255299999999</v>
          </cell>
          <cell r="AB788">
            <v>-5.2397887041698965</v>
          </cell>
        </row>
        <row r="789">
          <cell r="T789">
            <v>-1.3718969300485782</v>
          </cell>
          <cell r="V789">
            <v>2.0842511459631843</v>
          </cell>
          <cell r="Y789">
            <v>28.182383000000002</v>
          </cell>
          <cell r="AB789">
            <v>-5.2965104288150195</v>
          </cell>
        </row>
        <row r="790">
          <cell r="T790">
            <v>-1.3975577980037592</v>
          </cell>
          <cell r="V790">
            <v>2.1429708790091797</v>
          </cell>
          <cell r="Y790">
            <v>28.210510599999999</v>
          </cell>
          <cell r="AB790">
            <v>-5.3398799196025308</v>
          </cell>
        </row>
        <row r="791">
          <cell r="T791">
            <v>-1.4338331521006709</v>
          </cell>
          <cell r="V791">
            <v>2.1491118335476971</v>
          </cell>
          <cell r="Y791">
            <v>28.238638300000002</v>
          </cell>
          <cell r="AB791">
            <v>-5.2586499185525133</v>
          </cell>
        </row>
        <row r="792">
          <cell r="T792">
            <v>-1.430276425659595</v>
          </cell>
          <cell r="V792">
            <v>2.1359890612213808</v>
          </cell>
          <cell r="Y792">
            <v>28.266766000000001</v>
          </cell>
          <cell r="AB792">
            <v>-5.3721445545051596</v>
          </cell>
        </row>
        <row r="793">
          <cell r="T793">
            <v>-1.4246114352584314</v>
          </cell>
          <cell r="V793">
            <v>2.1041354011485489</v>
          </cell>
          <cell r="Y793">
            <v>28.294893600000002</v>
          </cell>
          <cell r="AB793">
            <v>-5.3624883871038405</v>
          </cell>
        </row>
        <row r="794">
          <cell r="T794">
            <v>-1.4011379344779453</v>
          </cell>
          <cell r="V794">
            <v>2.1442547578624214</v>
          </cell>
          <cell r="Y794">
            <v>28.323021300000001</v>
          </cell>
          <cell r="AB794">
            <v>-5.3203038478480327</v>
          </cell>
        </row>
        <row r="795">
          <cell r="T795">
            <v>-1.4095747367140141</v>
          </cell>
          <cell r="V795">
            <v>2.1761197969640023</v>
          </cell>
          <cell r="Y795">
            <v>28.351148899999998</v>
          </cell>
          <cell r="AB795">
            <v>-5.3552718746658696</v>
          </cell>
        </row>
        <row r="796">
          <cell r="T796">
            <v>-1.4073246751237651</v>
          </cell>
          <cell r="V796">
            <v>2.2013020802380079</v>
          </cell>
          <cell r="Y796">
            <v>28.379276600000001</v>
          </cell>
          <cell r="AB796">
            <v>-5.3533177728668822</v>
          </cell>
        </row>
        <row r="797">
          <cell r="T797">
            <v>-1.3805803898586613</v>
          </cell>
          <cell r="V797">
            <v>2.1422723482049846</v>
          </cell>
          <cell r="Y797">
            <v>28.4074043</v>
          </cell>
          <cell r="AB797">
            <v>-5.3015694668175701</v>
          </cell>
        </row>
        <row r="798">
          <cell r="T798">
            <v>-1.3606009628629809</v>
          </cell>
          <cell r="V798">
            <v>2.1357085260162982</v>
          </cell>
          <cell r="Y798">
            <v>28.435531900000001</v>
          </cell>
          <cell r="AB798">
            <v>-5.2468365780191286</v>
          </cell>
        </row>
        <row r="799">
          <cell r="T799">
            <v>-1.3669017809429989</v>
          </cell>
          <cell r="V799">
            <v>2.1213637457686141</v>
          </cell>
          <cell r="Y799">
            <v>28.4636596</v>
          </cell>
          <cell r="AB799">
            <v>-5.3462651500007876</v>
          </cell>
        </row>
        <row r="800">
          <cell r="T800">
            <v>-1.3920525794203817</v>
          </cell>
          <cell r="V800">
            <v>2.1327155681164269</v>
          </cell>
          <cell r="Y800">
            <v>28.491787200000001</v>
          </cell>
          <cell r="AB800">
            <v>-5.270818928036535</v>
          </cell>
        </row>
        <row r="801">
          <cell r="T801">
            <v>-1.3756743350212062</v>
          </cell>
          <cell r="V801">
            <v>2.1241972569645227</v>
          </cell>
          <cell r="Y801">
            <v>28.5199149</v>
          </cell>
          <cell r="AB801">
            <v>-5.3044244022029678</v>
          </cell>
        </row>
        <row r="802">
          <cell r="T802">
            <v>-1.3415604032128561</v>
          </cell>
          <cell r="V802">
            <v>2.124668791323201</v>
          </cell>
          <cell r="Y802">
            <v>28.548042599999999</v>
          </cell>
          <cell r="AB802">
            <v>-5.275152075494618</v>
          </cell>
        </row>
        <row r="803">
          <cell r="T803">
            <v>-1.3036736107053606</v>
          </cell>
          <cell r="V803">
            <v>2.1361005798447059</v>
          </cell>
          <cell r="Y803">
            <v>28.5761702</v>
          </cell>
          <cell r="AB803">
            <v>-5.2547397100753628</v>
          </cell>
        </row>
        <row r="804">
          <cell r="T804">
            <v>-1.2874705574505265</v>
          </cell>
          <cell r="V804">
            <v>2.117702679328513</v>
          </cell>
          <cell r="Y804">
            <v>28.604297899999999</v>
          </cell>
          <cell r="AB804">
            <v>-5.2572187851085799</v>
          </cell>
        </row>
        <row r="805">
          <cell r="T805">
            <v>-1.2647010581759088</v>
          </cell>
          <cell r="V805">
            <v>2.0911542842593658</v>
          </cell>
          <cell r="Y805">
            <v>28.6324255</v>
          </cell>
          <cell r="AB805">
            <v>-5.1819515056163636</v>
          </cell>
        </row>
        <row r="806">
          <cell r="T806">
            <v>-1.2189068875721978</v>
          </cell>
          <cell r="V806">
            <v>2.0891188205591096</v>
          </cell>
          <cell r="Y806">
            <v>28.660553199999999</v>
          </cell>
          <cell r="AB806">
            <v>-5.2146620332477065</v>
          </cell>
        </row>
        <row r="807">
          <cell r="T807">
            <v>-1.1859118627610565</v>
          </cell>
          <cell r="V807">
            <v>2.0907997413918697</v>
          </cell>
          <cell r="Y807">
            <v>28.688680900000001</v>
          </cell>
          <cell r="AB807">
            <v>-5.2097194316948654</v>
          </cell>
        </row>
        <row r="808">
          <cell r="T808">
            <v>-1.1440423251240406</v>
          </cell>
          <cell r="V808">
            <v>2.1068219195996809</v>
          </cell>
          <cell r="Y808">
            <v>28.716808499999999</v>
          </cell>
          <cell r="AB808">
            <v>-5.2017840609172552</v>
          </cell>
        </row>
        <row r="809">
          <cell r="T809">
            <v>-1.1384062276910469</v>
          </cell>
          <cell r="V809">
            <v>2.1060344707657292</v>
          </cell>
          <cell r="Y809">
            <v>28.744936200000001</v>
          </cell>
          <cell r="AB809">
            <v>-5.2371760963314529</v>
          </cell>
        </row>
        <row r="810">
          <cell r="T810">
            <v>-1.2235838637887462</v>
          </cell>
          <cell r="V810">
            <v>2.1356501940156778</v>
          </cell>
          <cell r="Y810">
            <v>28.773063799999999</v>
          </cell>
          <cell r="AB810">
            <v>-5.2265553026589453</v>
          </cell>
        </row>
        <row r="811">
          <cell r="T811">
            <v>-1.2995183778192219</v>
          </cell>
          <cell r="V811">
            <v>2.1559401064991839</v>
          </cell>
          <cell r="Y811">
            <v>28.801191500000002</v>
          </cell>
          <cell r="AB811">
            <v>-5.3027759879285075</v>
          </cell>
        </row>
        <row r="812">
          <cell r="T812">
            <v>-1.3573882904820795</v>
          </cell>
          <cell r="V812">
            <v>2.1679131883837557</v>
          </cell>
          <cell r="Y812">
            <v>28.8293192</v>
          </cell>
          <cell r="AB812">
            <v>-5.34050003396381</v>
          </cell>
        </row>
        <row r="813">
          <cell r="T813">
            <v>-1.2937905171726427</v>
          </cell>
          <cell r="V813">
            <v>2.1775551949633529</v>
          </cell>
          <cell r="Y813">
            <v>28.857446800000002</v>
          </cell>
          <cell r="AB813">
            <v>-5.236823340912049</v>
          </cell>
        </row>
        <row r="814">
          <cell r="T814">
            <v>-1.2541742663320574</v>
          </cell>
          <cell r="V814">
            <v>2.1762675005881129</v>
          </cell>
          <cell r="Y814">
            <v>28.885574500000001</v>
          </cell>
          <cell r="AB814">
            <v>-5.2141941700155385</v>
          </cell>
        </row>
        <row r="815">
          <cell r="T815">
            <v>-1.2232845654947715</v>
          </cell>
          <cell r="V815">
            <v>2.1650110952381252</v>
          </cell>
          <cell r="Y815">
            <v>28.913702099999998</v>
          </cell>
          <cell r="AB815">
            <v>-5.2487378199584036</v>
          </cell>
        </row>
        <row r="816">
          <cell r="T816">
            <v>-1.2124611688434423</v>
          </cell>
          <cell r="V816">
            <v>2.1407724764779936</v>
          </cell>
          <cell r="Y816">
            <v>28.941829800000001</v>
          </cell>
          <cell r="AB816">
            <v>-5.2293308183919631</v>
          </cell>
        </row>
        <row r="817">
          <cell r="T817">
            <v>-1.1989902596960242</v>
          </cell>
          <cell r="V817">
            <v>2.1477315883185057</v>
          </cell>
          <cell r="Y817">
            <v>28.9699575</v>
          </cell>
          <cell r="AB817">
            <v>-5.2471921205588199</v>
          </cell>
        </row>
        <row r="818">
          <cell r="T818">
            <v>-1.162262459120595</v>
          </cell>
          <cell r="V818">
            <v>2.1660629951010879</v>
          </cell>
          <cell r="Y818">
            <v>28.998085100000001</v>
          </cell>
          <cell r="AB818">
            <v>-5.2526803690462511</v>
          </cell>
        </row>
        <row r="819">
          <cell r="T819">
            <v>-1.1892603664636641</v>
          </cell>
          <cell r="V819">
            <v>2.1758007335733316</v>
          </cell>
          <cell r="Y819">
            <v>29.0262128</v>
          </cell>
          <cell r="AB819">
            <v>-5.2638068544359635</v>
          </cell>
        </row>
        <row r="820">
          <cell r="T820">
            <v>-1.263763295787985</v>
          </cell>
          <cell r="V820">
            <v>2.1732229368933456</v>
          </cell>
          <cell r="Y820">
            <v>29.054340400000001</v>
          </cell>
          <cell r="AB820">
            <v>-5.2939591980017511</v>
          </cell>
        </row>
        <row r="821">
          <cell r="T821">
            <v>-1.3639299199293384</v>
          </cell>
          <cell r="V821">
            <v>2.1693489572061928</v>
          </cell>
          <cell r="Y821">
            <v>29.0824681</v>
          </cell>
          <cell r="AB821">
            <v>-5.3282640347153185</v>
          </cell>
        </row>
        <row r="822">
          <cell r="T822">
            <v>-1.4296532582270869</v>
          </cell>
          <cell r="V822">
            <v>2.1647723258163905</v>
          </cell>
          <cell r="Y822">
            <v>29.110595700000001</v>
          </cell>
          <cell r="AB822">
            <v>-5.2730644451744171</v>
          </cell>
        </row>
        <row r="823">
          <cell r="T823">
            <v>-1.4102639110225905</v>
          </cell>
          <cell r="V823">
            <v>2.1738087009068146</v>
          </cell>
          <cell r="Y823">
            <v>29.1387234</v>
          </cell>
          <cell r="AB823">
            <v>-5.2769591885465372</v>
          </cell>
        </row>
        <row r="824">
          <cell r="T824">
            <v>-1.3353605750205604</v>
          </cell>
          <cell r="V824">
            <v>2.167566896266397</v>
          </cell>
          <cell r="Y824">
            <v>29.166851099999999</v>
          </cell>
          <cell r="AB824">
            <v>-5.3811414069642183</v>
          </cell>
        </row>
        <row r="825">
          <cell r="T825">
            <v>-1.2166256772189901</v>
          </cell>
          <cell r="V825">
            <v>2.1608611520667758</v>
          </cell>
          <cell r="Y825">
            <v>29.1949787</v>
          </cell>
          <cell r="AB825">
            <v>-5.283621825267506</v>
          </cell>
        </row>
        <row r="826">
          <cell r="T826">
            <v>-1.1895449653319998</v>
          </cell>
          <cell r="V826">
            <v>2.1363321108917375</v>
          </cell>
          <cell r="Y826">
            <v>29.223106399999999</v>
          </cell>
          <cell r="AB826">
            <v>-5.2426147901941826</v>
          </cell>
        </row>
        <row r="827">
          <cell r="T827">
            <v>-1.2358426958079873</v>
          </cell>
          <cell r="V827">
            <v>2.151597179760746</v>
          </cell>
          <cell r="Y827">
            <v>29.251234</v>
          </cell>
          <cell r="AB827">
            <v>-5.2932809709955571</v>
          </cell>
        </row>
        <row r="828">
          <cell r="T828">
            <v>-1.245113923635113</v>
          </cell>
          <cell r="V828">
            <v>2.1844499650054696</v>
          </cell>
          <cell r="Y828">
            <v>29.279361699999999</v>
          </cell>
          <cell r="AB828">
            <v>-5.2447061572451821</v>
          </cell>
        </row>
        <row r="829">
          <cell r="T829">
            <v>-1.194294984170347</v>
          </cell>
          <cell r="V829">
            <v>2.2223172322239462</v>
          </cell>
          <cell r="Y829">
            <v>29.307489400000001</v>
          </cell>
          <cell r="AB829">
            <v>-5.3122179492102539</v>
          </cell>
        </row>
        <row r="830">
          <cell r="T830">
            <v>-1.1045290318730396</v>
          </cell>
          <cell r="V830">
            <v>2.2362923050404944</v>
          </cell>
          <cell r="Y830">
            <v>29.335616999999999</v>
          </cell>
          <cell r="AB830">
            <v>-5.366742153444382</v>
          </cell>
        </row>
        <row r="831">
          <cell r="T831">
            <v>-1.0641144937370177</v>
          </cell>
          <cell r="V831">
            <v>2.2436336665322414</v>
          </cell>
          <cell r="Y831">
            <v>29.363744700000002</v>
          </cell>
          <cell r="AB831">
            <v>-5.4192908149536265</v>
          </cell>
        </row>
        <row r="832">
          <cell r="T832">
            <v>-1.0251275001316069</v>
          </cell>
          <cell r="V832">
            <v>2.2512729197456718</v>
          </cell>
          <cell r="Y832">
            <v>29.391872299999999</v>
          </cell>
          <cell r="AB832">
            <v>-5.4700382545972683</v>
          </cell>
        </row>
        <row r="833">
          <cell r="T833">
            <v>-0.98746544308217865</v>
          </cell>
          <cell r="V833">
            <v>2.2592288153453759</v>
          </cell>
          <cell r="Y833">
            <v>29.42</v>
          </cell>
          <cell r="AB833">
            <v>-5.519137716844484</v>
          </cell>
        </row>
        <row r="834">
          <cell r="T834">
            <v>-0.95103637397364038</v>
          </cell>
          <cell r="V834">
            <v>2.2675217325194379</v>
          </cell>
          <cell r="Y834">
            <v>29.448127700000001</v>
          </cell>
          <cell r="AB834">
            <v>-5.5667246669620916</v>
          </cell>
        </row>
        <row r="835">
          <cell r="T835">
            <v>-0.91575757652992007</v>
          </cell>
          <cell r="V835">
            <v>2.2761738624721546</v>
          </cell>
          <cell r="Y835">
            <v>29.476255299999998</v>
          </cell>
          <cell r="AB835">
            <v>-5.6129194694969504</v>
          </cell>
        </row>
        <row r="836">
          <cell r="T836">
            <v>-0.92647727056292839</v>
          </cell>
          <cell r="V836">
            <v>2.2631632899864464</v>
          </cell>
          <cell r="Y836">
            <v>29.504383000000001</v>
          </cell>
          <cell r="AB836">
            <v>-5.6578295812186203</v>
          </cell>
        </row>
        <row r="837">
          <cell r="T837">
            <v>-1.0091259393719534</v>
          </cell>
          <cell r="V837">
            <v>2.2218966615607507</v>
          </cell>
          <cell r="Y837">
            <v>29.532510599999998</v>
          </cell>
          <cell r="AB837">
            <v>-5.683686014682598</v>
          </cell>
        </row>
        <row r="838">
          <cell r="T838">
            <v>-1.3139580268550697</v>
          </cell>
          <cell r="V838">
            <v>2.1368905034700374</v>
          </cell>
          <cell r="Y838">
            <v>29.560638300000001</v>
          </cell>
          <cell r="AB838">
            <v>-5.720530131193537</v>
          </cell>
        </row>
        <row r="839">
          <cell r="T839">
            <v>-1.5242155400934028</v>
          </cell>
          <cell r="V839">
            <v>2.0845734945896193</v>
          </cell>
          <cell r="Y839">
            <v>29.588766</v>
          </cell>
          <cell r="AB839">
            <v>-5.2207999379701375</v>
          </cell>
        </row>
        <row r="840">
          <cell r="T840">
            <v>-1.7314039741899567</v>
          </cell>
          <cell r="V840">
            <v>2.05008677313285</v>
          </cell>
          <cell r="Y840">
            <v>29.616893600000001</v>
          </cell>
          <cell r="AB840">
            <v>-5.287083863408097</v>
          </cell>
        </row>
        <row r="841">
          <cell r="T841">
            <v>-1.7166444185382745</v>
          </cell>
          <cell r="V841">
            <v>2.0559053417636939</v>
          </cell>
          <cell r="Y841">
            <v>29.6450213</v>
          </cell>
          <cell r="AB841">
            <v>-5.2852852985264116</v>
          </cell>
        </row>
        <row r="842">
          <cell r="T842">
            <v>-1.6860946609056617</v>
          </cell>
          <cell r="V842">
            <v>2.0562695776575057</v>
          </cell>
          <cell r="Y842">
            <v>29.673148900000001</v>
          </cell>
          <cell r="AB842">
            <v>-5.2622449430997875</v>
          </cell>
        </row>
        <row r="843">
          <cell r="T843">
            <v>-1.5023658748401456</v>
          </cell>
          <cell r="V843">
            <v>2.067887587725362</v>
          </cell>
          <cell r="Y843">
            <v>29.7012766</v>
          </cell>
          <cell r="AB843">
            <v>-5.2266044001236001</v>
          </cell>
        </row>
        <row r="844">
          <cell r="T844">
            <v>-1.3519882805768306</v>
          </cell>
          <cell r="V844">
            <v>2.0775972766105535</v>
          </cell>
          <cell r="Y844">
            <v>29.729404299999999</v>
          </cell>
          <cell r="AB844">
            <v>-5.1906226489035427</v>
          </cell>
        </row>
        <row r="845">
          <cell r="T845">
            <v>-1.2405649443760842</v>
          </cell>
          <cell r="V845">
            <v>2.0690806663971291</v>
          </cell>
          <cell r="Y845">
            <v>29.7575319</v>
          </cell>
          <cell r="AB845">
            <v>-5.2460455172048581</v>
          </cell>
        </row>
        <row r="846">
          <cell r="T846">
            <v>-1.2368750622246416</v>
          </cell>
          <cell r="V846">
            <v>2.0776732562947422</v>
          </cell>
          <cell r="Y846">
            <v>29.785659599999999</v>
          </cell>
          <cell r="AB846">
            <v>-5.1587291153588497</v>
          </cell>
        </row>
        <row r="847">
          <cell r="T847">
            <v>-1.1813787327619341</v>
          </cell>
          <cell r="V847">
            <v>2.0893261008761481</v>
          </cell>
          <cell r="Y847">
            <v>29.8137872</v>
          </cell>
          <cell r="AB847">
            <v>-5.2284020977337491</v>
          </cell>
        </row>
        <row r="848">
          <cell r="T848">
            <v>-1.1992802411587022</v>
          </cell>
          <cell r="V848">
            <v>2.1129362546827988</v>
          </cell>
          <cell r="Y848">
            <v>29.841914899999999</v>
          </cell>
          <cell r="AB848">
            <v>-5.2271144769470492</v>
          </cell>
        </row>
        <row r="849">
          <cell r="T849">
            <v>-1.2138723323114078</v>
          </cell>
          <cell r="V849">
            <v>2.0994042387914806</v>
          </cell>
          <cell r="Y849">
            <v>29.870042600000001</v>
          </cell>
          <cell r="AB849">
            <v>-5.2586874379140838</v>
          </cell>
        </row>
        <row r="850">
          <cell r="T850">
            <v>-1.2844056108892017</v>
          </cell>
          <cell r="V850">
            <v>2.068319481041248</v>
          </cell>
          <cell r="Y850">
            <v>29.898170199999999</v>
          </cell>
          <cell r="AB850">
            <v>-5.2739314399778694</v>
          </cell>
        </row>
        <row r="851">
          <cell r="T851">
            <v>-1.3042503064513531</v>
          </cell>
          <cell r="V851">
            <v>2.0279624298319479</v>
          </cell>
          <cell r="Y851">
            <v>29.926297900000002</v>
          </cell>
          <cell r="AB851">
            <v>-5.1422468112370989</v>
          </cell>
        </row>
        <row r="852">
          <cell r="T852">
            <v>-1.3203104602551108</v>
          </cell>
          <cell r="V852">
            <v>2.010589467447637</v>
          </cell>
          <cell r="Y852">
            <v>29.954425499999999</v>
          </cell>
          <cell r="AB852">
            <v>-5.2319764178475614</v>
          </cell>
        </row>
        <row r="853">
          <cell r="T853">
            <v>-1.3402235193433256</v>
          </cell>
          <cell r="V853">
            <v>2.0288215256641355</v>
          </cell>
          <cell r="Y853">
            <v>29.982553200000002</v>
          </cell>
          <cell r="AB853">
            <v>-5.2430154689644635</v>
          </cell>
        </row>
        <row r="854">
          <cell r="T854">
            <v>-1.3214919841835362</v>
          </cell>
          <cell r="V854">
            <v>2.0299539429777202</v>
          </cell>
          <cell r="Y854">
            <v>30.010680900000001</v>
          </cell>
          <cell r="AB854">
            <v>-5.2189830433756761</v>
          </cell>
        </row>
        <row r="855">
          <cell r="T855">
            <v>-1.3020880841036013</v>
          </cell>
          <cell r="V855">
            <v>2.0281642736316807</v>
          </cell>
          <cell r="Y855">
            <v>30.038808499999998</v>
          </cell>
          <cell r="AB855">
            <v>-5.236783455154713</v>
          </cell>
        </row>
        <row r="856">
          <cell r="T856">
            <v>-1.2593079414720518</v>
          </cell>
          <cell r="V856">
            <v>2.014276336214849</v>
          </cell>
          <cell r="Y856">
            <v>30.066936200000001</v>
          </cell>
          <cell r="AB856">
            <v>-5.4088460176975213</v>
          </cell>
        </row>
        <row r="857">
          <cell r="T857">
            <v>-1.280438791538242</v>
          </cell>
          <cell r="V857">
            <v>2.0716997837551081</v>
          </cell>
          <cell r="Y857">
            <v>30.095063799999998</v>
          </cell>
          <cell r="AB857">
            <v>-5.6362046464009037</v>
          </cell>
        </row>
        <row r="858">
          <cell r="T858">
            <v>-1.3079324998036184</v>
          </cell>
          <cell r="V858">
            <v>2.1221365072067151</v>
          </cell>
          <cell r="Y858">
            <v>30.123191500000001</v>
          </cell>
          <cell r="AB858">
            <v>-5.3072888026366636</v>
          </cell>
        </row>
        <row r="859">
          <cell r="T859">
            <v>-1.3324378983719598</v>
          </cell>
          <cell r="V859">
            <v>2.1332519423806922</v>
          </cell>
          <cell r="Y859">
            <v>30.1513192</v>
          </cell>
          <cell r="AB859">
            <v>-5.7469754004356455</v>
          </cell>
        </row>
        <row r="860">
          <cell r="T860">
            <v>-1.3619683159666913</v>
          </cell>
          <cell r="V860">
            <v>2.1307400389991469</v>
          </cell>
          <cell r="Y860">
            <v>30.179446800000001</v>
          </cell>
          <cell r="AB860">
            <v>-5.2426143320233551</v>
          </cell>
        </row>
        <row r="861">
          <cell r="T861">
            <v>-1.4182725139470236</v>
          </cell>
          <cell r="V861">
            <v>2.103424186580011</v>
          </cell>
          <cell r="Y861">
            <v>30.2075745</v>
          </cell>
          <cell r="AB861">
            <v>-5.2825875022429338</v>
          </cell>
        </row>
        <row r="862">
          <cell r="T862">
            <v>-1.4404782791010291</v>
          </cell>
          <cell r="V862">
            <v>2.1230235025618271</v>
          </cell>
          <cell r="Y862">
            <v>30.235702100000001</v>
          </cell>
          <cell r="AB862">
            <v>-5.2315024319601493</v>
          </cell>
        </row>
        <row r="863">
          <cell r="T863">
            <v>-1.4023665091024935</v>
          </cell>
          <cell r="V863">
            <v>2.095927082639307</v>
          </cell>
          <cell r="Y863">
            <v>30.2638298</v>
          </cell>
          <cell r="AB863">
            <v>-5.2401092273285821</v>
          </cell>
        </row>
        <row r="864">
          <cell r="T864">
            <v>-1.3408423420094693</v>
          </cell>
          <cell r="V864">
            <v>2.1424178881315861</v>
          </cell>
          <cell r="Y864">
            <v>30.291957499999999</v>
          </cell>
          <cell r="AB864">
            <v>-5.2720644377324337</v>
          </cell>
        </row>
        <row r="865">
          <cell r="T865">
            <v>-1.3788771533699649</v>
          </cell>
          <cell r="V865">
            <v>2.1450373695719471</v>
          </cell>
          <cell r="Y865">
            <v>30.3200851</v>
          </cell>
          <cell r="AB865">
            <v>-5.4904291366430291</v>
          </cell>
        </row>
        <row r="866">
          <cell r="T866">
            <v>-1.4997649197059848</v>
          </cell>
          <cell r="V866">
            <v>2.1618326527646139</v>
          </cell>
          <cell r="Y866">
            <v>30.348212799999999</v>
          </cell>
          <cell r="AB866">
            <v>-5.4608234160040805</v>
          </cell>
        </row>
        <row r="867">
          <cell r="T867">
            <v>-1.5863273434543574</v>
          </cell>
          <cell r="V867">
            <v>2.160565138678928</v>
          </cell>
          <cell r="Y867">
            <v>30.3763404</v>
          </cell>
          <cell r="AB867">
            <v>-5.3496438408870572</v>
          </cell>
        </row>
        <row r="868">
          <cell r="T868">
            <v>-1.5912834379659735</v>
          </cell>
          <cell r="V868">
            <v>2.1595212034201139</v>
          </cell>
          <cell r="Y868">
            <v>30.404468099999999</v>
          </cell>
          <cell r="AB868">
            <v>-5.3137209576804132</v>
          </cell>
        </row>
        <row r="869">
          <cell r="T869">
            <v>-1.6234437023779658</v>
          </cell>
          <cell r="V869">
            <v>2.165357993097325</v>
          </cell>
          <cell r="Y869">
            <v>30.4325957</v>
          </cell>
          <cell r="AB869">
            <v>-4.954350417833477</v>
          </cell>
        </row>
        <row r="870">
          <cell r="T870">
            <v>-1.6631291632820375</v>
          </cell>
          <cell r="V870">
            <v>2.1422053161329546</v>
          </cell>
          <cell r="Y870">
            <v>30.460723399999999</v>
          </cell>
          <cell r="AB870">
            <v>-5.3942605104777668</v>
          </cell>
        </row>
        <row r="871">
          <cell r="T871">
            <v>-1.7008705335744791</v>
          </cell>
          <cell r="V871">
            <v>2.1468580747232839</v>
          </cell>
          <cell r="Y871">
            <v>30.488851100000002</v>
          </cell>
          <cell r="AB871">
            <v>-5.4504328434298577</v>
          </cell>
        </row>
        <row r="872">
          <cell r="T872">
            <v>-1.6578921529544035</v>
          </cell>
          <cell r="V872">
            <v>2.1421520792476332</v>
          </cell>
          <cell r="Y872">
            <v>30.516978699999999</v>
          </cell>
          <cell r="AB872">
            <v>-5.5043327547009051</v>
          </cell>
        </row>
        <row r="873">
          <cell r="T873">
            <v>-1.6111244745300206</v>
          </cell>
          <cell r="V873">
            <v>2.1372866797106771</v>
          </cell>
          <cell r="Y873">
            <v>30.545106400000002</v>
          </cell>
          <cell r="AB873">
            <v>-5.5561692692027114</v>
          </cell>
        </row>
        <row r="874">
          <cell r="T874">
            <v>-1.5599823692788852</v>
          </cell>
          <cell r="V874">
            <v>2.1322535749800964</v>
          </cell>
          <cell r="Y874">
            <v>30.573233999999999</v>
          </cell>
          <cell r="AB874">
            <v>-5.6061245506026163</v>
          </cell>
        </row>
        <row r="875">
          <cell r="T875">
            <v>-1.4962833340667865</v>
          </cell>
          <cell r="V875">
            <v>2.1171725206572121</v>
          </cell>
          <cell r="Y875">
            <v>30.601361699999998</v>
          </cell>
          <cell r="AB875">
            <v>-5.6543583334747236</v>
          </cell>
        </row>
        <row r="876">
          <cell r="T876">
            <v>-1.4909836954771578</v>
          </cell>
          <cell r="V876">
            <v>2.1001901865461847</v>
          </cell>
          <cell r="Y876">
            <v>30.629489400000001</v>
          </cell>
          <cell r="AB876">
            <v>-5.3554805755539103</v>
          </cell>
        </row>
        <row r="877">
          <cell r="T877">
            <v>-1.4461255692405572</v>
          </cell>
          <cell r="V877">
            <v>2.0889767634644358</v>
          </cell>
          <cell r="Y877">
            <v>30.657616999999998</v>
          </cell>
          <cell r="AB877">
            <v>-5.3710069395147846</v>
          </cell>
        </row>
        <row r="878">
          <cell r="T878">
            <v>-1.4383753782071906</v>
          </cell>
          <cell r="V878">
            <v>2.0803072700654703</v>
          </cell>
          <cell r="Y878">
            <v>30.685744700000001</v>
          </cell>
          <cell r="AB878">
            <v>-5.3065120226930382</v>
          </cell>
        </row>
        <row r="879">
          <cell r="T879">
            <v>-1.3916586400630153</v>
          </cell>
          <cell r="V879">
            <v>2.0679176473670178</v>
          </cell>
          <cell r="Y879">
            <v>30.713872299999998</v>
          </cell>
          <cell r="AB879">
            <v>-5.2672434491274158</v>
          </cell>
        </row>
        <row r="880">
          <cell r="T880">
            <v>-1.4157042482827809</v>
          </cell>
          <cell r="V880">
            <v>2.0519231812461398</v>
          </cell>
          <cell r="Y880">
            <v>30.742000000000001</v>
          </cell>
          <cell r="AB880">
            <v>-5.2621889375955275</v>
          </cell>
        </row>
        <row r="881">
          <cell r="T881">
            <v>-1.4184751687316384</v>
          </cell>
          <cell r="V881">
            <v>2.0517121165942367</v>
          </cell>
          <cell r="Y881">
            <v>30.7541619</v>
          </cell>
          <cell r="AB881">
            <v>-5.2750682649904475</v>
          </cell>
        </row>
        <row r="882">
          <cell r="T882">
            <v>-1.4230939410082384</v>
          </cell>
          <cell r="V882">
            <v>2.0472446324323847</v>
          </cell>
          <cell r="Y882">
            <v>30.766323799999999</v>
          </cell>
          <cell r="AB882">
            <v>-5.2888929380954908</v>
          </cell>
        </row>
        <row r="883">
          <cell r="T883">
            <v>-1.4308144728406635</v>
          </cell>
          <cell r="V883">
            <v>2.0454615682536534</v>
          </cell>
          <cell r="Y883">
            <v>30.778485700000001</v>
          </cell>
          <cell r="AB883">
            <v>-5.3184240574392874</v>
          </cell>
        </row>
        <row r="884">
          <cell r="T884">
            <v>-1.4301902848478543</v>
          </cell>
          <cell r="V884">
            <v>2.0406731866017913</v>
          </cell>
          <cell r="Y884">
            <v>30.7906476</v>
          </cell>
          <cell r="AB884">
            <v>-5.3014530146560617</v>
          </cell>
        </row>
        <row r="885">
          <cell r="T885">
            <v>-1.4070145199854505</v>
          </cell>
          <cell r="V885">
            <v>2.0301099961888593</v>
          </cell>
          <cell r="Y885">
            <v>30.802809499999999</v>
          </cell>
          <cell r="AB885">
            <v>-5.2632698445950581</v>
          </cell>
        </row>
        <row r="886">
          <cell r="T886">
            <v>-1.3678328484632811</v>
          </cell>
          <cell r="V886">
            <v>2.0114682215810431</v>
          </cell>
          <cell r="Y886">
            <v>30.814971400000001</v>
          </cell>
          <cell r="AB886">
            <v>-5.3039122074319147</v>
          </cell>
        </row>
        <row r="887">
          <cell r="T887">
            <v>-1.3489380596189779</v>
          </cell>
          <cell r="V887">
            <v>1.9846076076278563</v>
          </cell>
          <cell r="Y887">
            <v>30.8271333</v>
          </cell>
          <cell r="AB887">
            <v>-5.2518717187320352</v>
          </cell>
        </row>
        <row r="888">
          <cell r="T888">
            <v>-1.350582494769718</v>
          </cell>
          <cell r="V888">
            <v>2.0001762324036232</v>
          </cell>
          <cell r="Y888">
            <v>30.839295199999999</v>
          </cell>
          <cell r="AB888">
            <v>-5.2021534043208648</v>
          </cell>
        </row>
        <row r="889">
          <cell r="T889">
            <v>-1.3502406341199222</v>
          </cell>
          <cell r="V889">
            <v>2.0208369801863664</v>
          </cell>
          <cell r="Y889">
            <v>30.851457100000001</v>
          </cell>
          <cell r="AB889">
            <v>-5.2503998029723302</v>
          </cell>
        </row>
        <row r="890">
          <cell r="T890">
            <v>-1.3503758633247909</v>
          </cell>
          <cell r="V890">
            <v>2.0234419338529661</v>
          </cell>
          <cell r="Y890">
            <v>30.863619100000001</v>
          </cell>
          <cell r="AB890">
            <v>-5.2416405675930156</v>
          </cell>
        </row>
        <row r="891">
          <cell r="T891">
            <v>-1.3813395309296732</v>
          </cell>
          <cell r="V891">
            <v>2.0495026664232721</v>
          </cell>
          <cell r="Y891">
            <v>30.875781</v>
          </cell>
          <cell r="AB891">
            <v>-5.208734250187546</v>
          </cell>
        </row>
        <row r="892">
          <cell r="T892">
            <v>-1.4747360012696538</v>
          </cell>
          <cell r="V892">
            <v>2.0660962443663276</v>
          </cell>
          <cell r="Y892">
            <v>30.887942899999999</v>
          </cell>
          <cell r="AB892">
            <v>-5.231661025799168</v>
          </cell>
        </row>
        <row r="893">
          <cell r="T893">
            <v>-1.5328762452655018</v>
          </cell>
          <cell r="V893">
            <v>2.1034134754085696</v>
          </cell>
          <cell r="Y893">
            <v>30.900104800000001</v>
          </cell>
          <cell r="AB893">
            <v>-5.2586384214042123</v>
          </cell>
        </row>
        <row r="894">
          <cell r="T894">
            <v>-1.5222652035492397</v>
          </cell>
          <cell r="V894">
            <v>2.0903994456663066</v>
          </cell>
          <cell r="Y894">
            <v>30.9122667</v>
          </cell>
          <cell r="AB894">
            <v>-5.2580338249346523</v>
          </cell>
        </row>
        <row r="895">
          <cell r="T895">
            <v>-1.4151742582312634</v>
          </cell>
          <cell r="V895">
            <v>2.0850612000255109</v>
          </cell>
          <cell r="Y895">
            <v>30.924428599999999</v>
          </cell>
          <cell r="AB895">
            <v>-5.257473564392928</v>
          </cell>
        </row>
        <row r="896">
          <cell r="T896">
            <v>-1.3057790102295765</v>
          </cell>
          <cell r="V896">
            <v>2.080056572022503</v>
          </cell>
          <cell r="Y896">
            <v>30.936590500000001</v>
          </cell>
          <cell r="AB896">
            <v>-5.2569529353619915</v>
          </cell>
        </row>
        <row r="897">
          <cell r="T897">
            <v>-1.2546366735170162</v>
          </cell>
          <cell r="V897">
            <v>2.0792346213124051</v>
          </cell>
          <cell r="Y897">
            <v>30.9487524</v>
          </cell>
          <cell r="AB897">
            <v>-5.2564678762694097</v>
          </cell>
        </row>
        <row r="898">
          <cell r="T898">
            <v>-1.2179152497829955</v>
          </cell>
          <cell r="V898">
            <v>2.0774241051711413</v>
          </cell>
          <cell r="Y898">
            <v>30.960914299999999</v>
          </cell>
          <cell r="AB898">
            <v>-5.2459171517457248</v>
          </cell>
        </row>
        <row r="899">
          <cell r="T899">
            <v>-1.229348029801552</v>
          </cell>
          <cell r="V899">
            <v>2.0738194774922403</v>
          </cell>
          <cell r="Y899">
            <v>30.973076200000001</v>
          </cell>
          <cell r="AB899">
            <v>-5.3135488771576487</v>
          </cell>
        </row>
        <row r="900">
          <cell r="T900">
            <v>-1.2202284240824464</v>
          </cell>
          <cell r="V900">
            <v>2.0602473972663806</v>
          </cell>
          <cell r="Y900">
            <v>30.9852381</v>
          </cell>
          <cell r="AB900">
            <v>-5.2899854612809163</v>
          </cell>
        </row>
        <row r="901">
          <cell r="T901">
            <v>-1.2422872766551167</v>
          </cell>
          <cell r="V901">
            <v>2.0515433060619643</v>
          </cell>
          <cell r="Y901">
            <v>30.997399999999999</v>
          </cell>
          <cell r="AB901">
            <v>-5.317556772201617</v>
          </cell>
        </row>
        <row r="902">
          <cell r="T902">
            <v>-1.1911331819472222</v>
          </cell>
          <cell r="V902">
            <v>2.0694826164822566</v>
          </cell>
          <cell r="Y902">
            <v>31.009561900000001</v>
          </cell>
          <cell r="AB902">
            <v>-5.2510610853909743</v>
          </cell>
        </row>
        <row r="903">
          <cell r="T903">
            <v>-1.1469425846222692</v>
          </cell>
          <cell r="V903">
            <v>2.0932562015201994</v>
          </cell>
          <cell r="Y903">
            <v>31.0217238</v>
          </cell>
          <cell r="AB903">
            <v>-5.3129757026523095</v>
          </cell>
        </row>
        <row r="904">
          <cell r="T904">
            <v>-1.1149405163231936</v>
          </cell>
          <cell r="V904">
            <v>2.11281205458114</v>
          </cell>
          <cell r="Y904">
            <v>31.033885699999999</v>
          </cell>
          <cell r="AB904">
            <v>-5.2943921675968548</v>
          </cell>
        </row>
        <row r="905">
          <cell r="T905">
            <v>-1.1511066616039656</v>
          </cell>
          <cell r="V905">
            <v>2.1077895629450318</v>
          </cell>
          <cell r="Y905">
            <v>31.046047600000001</v>
          </cell>
          <cell r="AB905">
            <v>-5.3088672777129613</v>
          </cell>
        </row>
        <row r="906">
          <cell r="T906">
            <v>-1.1172703861220634</v>
          </cell>
          <cell r="V906">
            <v>2.10306381149051</v>
          </cell>
          <cell r="Y906">
            <v>31.0582095</v>
          </cell>
          <cell r="AB906">
            <v>-5.3195050356168778</v>
          </cell>
        </row>
        <row r="907">
          <cell r="T907">
            <v>-1.0364552728505598</v>
          </cell>
          <cell r="V907">
            <v>2.1099425628066792</v>
          </cell>
          <cell r="Y907">
            <v>31.070371399999999</v>
          </cell>
          <cell r="AB907">
            <v>-5.2602883106903278</v>
          </cell>
        </row>
        <row r="908">
          <cell r="T908">
            <v>-1.0199316714236775</v>
          </cell>
          <cell r="V908">
            <v>2.1123569105804934</v>
          </cell>
          <cell r="Y908">
            <v>31.082533300000001</v>
          </cell>
          <cell r="AB908">
            <v>-5.2437868084606682</v>
          </cell>
        </row>
        <row r="909">
          <cell r="T909">
            <v>-1.041384668199302</v>
          </cell>
          <cell r="V909">
            <v>2.0998442563423967</v>
          </cell>
          <cell r="Y909">
            <v>31.0946952</v>
          </cell>
          <cell r="AB909">
            <v>-5.3126667971826347</v>
          </cell>
        </row>
        <row r="910">
          <cell r="T910">
            <v>-0.77420522430894445</v>
          </cell>
          <cell r="V910">
            <v>2.066423034123066</v>
          </cell>
          <cell r="Y910">
            <v>31.106857099999999</v>
          </cell>
          <cell r="AB910">
            <v>-5.2950991278127759</v>
          </cell>
        </row>
        <row r="911">
          <cell r="T911">
            <v>-0.62562065393643451</v>
          </cell>
          <cell r="V911">
            <v>2.0674715178797842</v>
          </cell>
          <cell r="Y911">
            <v>31.119019099999999</v>
          </cell>
          <cell r="AB911">
            <v>-5.1576212477741432</v>
          </cell>
        </row>
        <row r="912">
          <cell r="T912">
            <v>-0.67780513999707892</v>
          </cell>
          <cell r="V912">
            <v>2.1128623477264621</v>
          </cell>
          <cell r="Y912">
            <v>31.131181000000002</v>
          </cell>
          <cell r="AB912">
            <v>-5.1908356321300424</v>
          </cell>
        </row>
        <row r="913">
          <cell r="T913">
            <v>-0.98553487660467842</v>
          </cell>
          <cell r="V913">
            <v>2.1541640052261233</v>
          </cell>
          <cell r="Y913">
            <v>31.1433429</v>
          </cell>
          <cell r="AB913">
            <v>-5.3136418038471165</v>
          </cell>
        </row>
        <row r="914">
          <cell r="T914">
            <v>-1.0811528674935045</v>
          </cell>
          <cell r="V914">
            <v>2.1565745749947043</v>
          </cell>
          <cell r="Y914">
            <v>31.155504799999999</v>
          </cell>
          <cell r="AB914">
            <v>-5.3617451402772716</v>
          </cell>
        </row>
        <row r="915">
          <cell r="T915">
            <v>-0.97005450292801554</v>
          </cell>
          <cell r="V915">
            <v>2.1268139113382092</v>
          </cell>
          <cell r="Y915">
            <v>31.167666700000002</v>
          </cell>
          <cell r="AB915">
            <v>-5.3378942262000075</v>
          </cell>
        </row>
        <row r="916">
          <cell r="T916">
            <v>-0.87041237014725292</v>
          </cell>
          <cell r="V916">
            <v>2.1209949409191942</v>
          </cell>
          <cell r="Y916">
            <v>31.1798286</v>
          </cell>
          <cell r="AB916">
            <v>-5.368854299221872</v>
          </cell>
        </row>
        <row r="917">
          <cell r="T917">
            <v>-0.93029692076691495</v>
          </cell>
          <cell r="V917">
            <v>2.1165073474558915</v>
          </cell>
          <cell r="Y917">
            <v>31.191990499999999</v>
          </cell>
          <cell r="AB917">
            <v>-5.3388545429939098</v>
          </cell>
        </row>
        <row r="918">
          <cell r="T918">
            <v>-0.96091700854090245</v>
          </cell>
          <cell r="V918">
            <v>2.1163555983082394</v>
          </cell>
          <cell r="Y918">
            <v>31.204152400000002</v>
          </cell>
          <cell r="AB918">
            <v>-5.3304295252304543</v>
          </cell>
        </row>
        <row r="919">
          <cell r="T919">
            <v>-0.97154631932509083</v>
          </cell>
          <cell r="V919">
            <v>2.1109709467334956</v>
          </cell>
          <cell r="Y919">
            <v>31.216314300000001</v>
          </cell>
          <cell r="AB919">
            <v>-5.3689739205259883</v>
          </cell>
        </row>
        <row r="920">
          <cell r="T920">
            <v>-0.88420058291701242</v>
          </cell>
          <cell r="V920">
            <v>2.1113911279093598</v>
          </cell>
          <cell r="Y920">
            <v>31.228476199999999</v>
          </cell>
          <cell r="AB920">
            <v>-5.272418163198533</v>
          </cell>
        </row>
        <row r="921">
          <cell r="T921">
            <v>-0.62428004547406057</v>
          </cell>
          <cell r="V921">
            <v>2.1144596038679611</v>
          </cell>
          <cell r="Y921">
            <v>31.240638100000002</v>
          </cell>
          <cell r="AB921">
            <v>-5.3067322520690263</v>
          </cell>
        </row>
        <row r="922">
          <cell r="T922">
            <v>-0.45011015990843828</v>
          </cell>
          <cell r="V922">
            <v>2.1092667072376514</v>
          </cell>
          <cell r="Y922">
            <v>31.252800000000001</v>
          </cell>
          <cell r="AB922">
            <v>-5.3002308164532783</v>
          </cell>
        </row>
        <row r="923">
          <cell r="T923">
            <v>-0.1867232441387979</v>
          </cell>
          <cell r="V923">
            <v>2.141262031009687</v>
          </cell>
          <cell r="Y923">
            <v>31.264961899999999</v>
          </cell>
          <cell r="AB923">
            <v>-5.2978959005597561</v>
          </cell>
        </row>
        <row r="924">
          <cell r="T924">
            <v>-0.35881597660650538</v>
          </cell>
          <cell r="V924">
            <v>2.1498487578136332</v>
          </cell>
          <cell r="Y924">
            <v>31.277123799999998</v>
          </cell>
          <cell r="AB924">
            <v>-5.3113590618415687</v>
          </cell>
        </row>
        <row r="925">
          <cell r="T925">
            <v>-0.5137038469798586</v>
          </cell>
          <cell r="V925">
            <v>2.1773739302934558</v>
          </cell>
          <cell r="Y925">
            <v>31.289285700000001</v>
          </cell>
          <cell r="AB925">
            <v>-5.2590738731310687</v>
          </cell>
        </row>
        <row r="926">
          <cell r="T926">
            <v>-0.75418502110113383</v>
          </cell>
          <cell r="V926">
            <v>2.1884659045962844</v>
          </cell>
          <cell r="Y926">
            <v>31.301447599999999</v>
          </cell>
          <cell r="AB926">
            <v>-5.3323982270414456</v>
          </cell>
        </row>
        <row r="927">
          <cell r="T927">
            <v>-0.82882961557036083</v>
          </cell>
          <cell r="V927">
            <v>2.1989398718166004</v>
          </cell>
          <cell r="Y927">
            <v>31.313609499999998</v>
          </cell>
          <cell r="AB927">
            <v>-5.3493947906427364</v>
          </cell>
        </row>
        <row r="928">
          <cell r="T928">
            <v>-0.9335126828327075</v>
          </cell>
          <cell r="V928">
            <v>2.174287624321352</v>
          </cell>
          <cell r="Y928">
            <v>31.325771400000001</v>
          </cell>
          <cell r="AB928">
            <v>-5.3222469929978784</v>
          </cell>
        </row>
        <row r="929">
          <cell r="T929">
            <v>-1.0416553398115025</v>
          </cell>
          <cell r="V929">
            <v>2.1221513676481263</v>
          </cell>
          <cell r="Y929">
            <v>31.3379333</v>
          </cell>
          <cell r="AB929">
            <v>-5.2656373783028485</v>
          </cell>
        </row>
        <row r="930">
          <cell r="T930">
            <v>-1.1200515263170312</v>
          </cell>
          <cell r="V930">
            <v>2.107549391951185</v>
          </cell>
          <cell r="Y930">
            <v>31.350095199999998</v>
          </cell>
          <cell r="AB930">
            <v>-5.2004128178532136</v>
          </cell>
        </row>
        <row r="931">
          <cell r="T931">
            <v>-1.1775772662413866</v>
          </cell>
          <cell r="V931">
            <v>2.0909535037228171</v>
          </cell>
          <cell r="Y931">
            <v>31.362257100000001</v>
          </cell>
          <cell r="AB931">
            <v>-5.2812073457747477</v>
          </cell>
        </row>
        <row r="932">
          <cell r="T932">
            <v>-1.1431206234006499</v>
          </cell>
          <cell r="V932">
            <v>2.1013325510517968</v>
          </cell>
          <cell r="Y932">
            <v>31.374419100000001</v>
          </cell>
          <cell r="AB932">
            <v>-5.3504521258280562</v>
          </cell>
        </row>
        <row r="933">
          <cell r="T933">
            <v>-1.2299644885698806</v>
          </cell>
          <cell r="V933">
            <v>2.0886257635127881</v>
          </cell>
          <cell r="Y933">
            <v>31.386581</v>
          </cell>
          <cell r="AB933">
            <v>-5.2936945831592874</v>
          </cell>
        </row>
        <row r="934">
          <cell r="T934">
            <v>-1.1115521240984361</v>
          </cell>
          <cell r="V934">
            <v>2.0841491911217975</v>
          </cell>
          <cell r="Y934">
            <v>31.398742899999998</v>
          </cell>
          <cell r="AB934">
            <v>-5.3728864316765854</v>
          </cell>
        </row>
        <row r="935">
          <cell r="T935">
            <v>-0.88447807014018609</v>
          </cell>
          <cell r="V935">
            <v>2.0927826513746446</v>
          </cell>
          <cell r="Y935">
            <v>31.410904800000001</v>
          </cell>
          <cell r="AB935">
            <v>-5.2600267020488163</v>
          </cell>
        </row>
        <row r="936">
          <cell r="T936">
            <v>-0.53353561307969122</v>
          </cell>
          <cell r="V936">
            <v>2.1030215158984098</v>
          </cell>
          <cell r="Y936">
            <v>31.4230667</v>
          </cell>
          <cell r="AB936">
            <v>-5.348553529092702</v>
          </cell>
        </row>
        <row r="937">
          <cell r="T937">
            <v>-0.41965188080895155</v>
          </cell>
          <cell r="V937">
            <v>2.1245487561645682</v>
          </cell>
          <cell r="Y937">
            <v>31.435228599999999</v>
          </cell>
          <cell r="AB937">
            <v>-5.3179767242448461</v>
          </cell>
        </row>
        <row r="938">
          <cell r="T938">
            <v>-0.5327514797946129</v>
          </cell>
          <cell r="V938">
            <v>2.1257114227619702</v>
          </cell>
          <cell r="Y938">
            <v>31.447390500000001</v>
          </cell>
          <cell r="AB938">
            <v>-5.3720968020012547</v>
          </cell>
        </row>
        <row r="939">
          <cell r="T939">
            <v>-0.57432971559979273</v>
          </cell>
          <cell r="V939">
            <v>2.1292384300242317</v>
          </cell>
          <cell r="Y939">
            <v>31.4595524</v>
          </cell>
          <cell r="AB939">
            <v>-5.4047856600017967</v>
          </cell>
        </row>
        <row r="940">
          <cell r="T940">
            <v>-0.72060809812264826</v>
          </cell>
          <cell r="V940">
            <v>2.1383709034947072</v>
          </cell>
          <cell r="Y940">
            <v>31.471714299999999</v>
          </cell>
          <cell r="AB940">
            <v>-5.3892778580083531</v>
          </cell>
        </row>
        <row r="941">
          <cell r="T941">
            <v>-0.92141130971025031</v>
          </cell>
          <cell r="V941">
            <v>2.1471002137587525</v>
          </cell>
          <cell r="Y941">
            <v>31.483876200000001</v>
          </cell>
          <cell r="AB941">
            <v>-5.3909965280703478</v>
          </cell>
        </row>
        <row r="942">
          <cell r="T942">
            <v>-0.86393926418257905</v>
          </cell>
          <cell r="V942">
            <v>2.1527765124955844</v>
          </cell>
          <cell r="Y942">
            <v>31.4960381</v>
          </cell>
          <cell r="AB942">
            <v>-5.3993309588822491</v>
          </cell>
        </row>
        <row r="943">
          <cell r="T943">
            <v>-0.54095139782587076</v>
          </cell>
          <cell r="V943">
            <v>2.1541123156989297</v>
          </cell>
          <cell r="Y943">
            <v>31.508199999999999</v>
          </cell>
          <cell r="AB943">
            <v>-5.3806070814421849</v>
          </cell>
        </row>
        <row r="944">
          <cell r="T944">
            <v>-0.26110009759047653</v>
          </cell>
          <cell r="V944">
            <v>2.0922106883516234</v>
          </cell>
          <cell r="Y944">
            <v>31.520361900000001</v>
          </cell>
          <cell r="AB944">
            <v>-5.356299589509379</v>
          </cell>
        </row>
        <row r="945">
          <cell r="T945">
            <v>-0.36358083841404448</v>
          </cell>
          <cell r="V945">
            <v>2.0678158844225405</v>
          </cell>
          <cell r="Y945">
            <v>31.5325238</v>
          </cell>
          <cell r="AB945">
            <v>-5.3634337206873024</v>
          </cell>
        </row>
        <row r="946">
          <cell r="T946">
            <v>-0.50221556078512808</v>
          </cell>
          <cell r="V946">
            <v>2.0504800145632838</v>
          </cell>
          <cell r="Y946">
            <v>31.544685699999999</v>
          </cell>
          <cell r="AB946">
            <v>-5.3946129600193506</v>
          </cell>
        </row>
        <row r="947">
          <cell r="T947">
            <v>-0.5976953974027821</v>
          </cell>
          <cell r="V947">
            <v>2.0895275275254561</v>
          </cell>
          <cell r="Y947">
            <v>31.556847600000001</v>
          </cell>
          <cell r="AB947">
            <v>-5.2598756629555101</v>
          </cell>
        </row>
        <row r="948">
          <cell r="T948">
            <v>-0.74082859407676771</v>
          </cell>
          <cell r="V948">
            <v>2.0827542132271728</v>
          </cell>
          <cell r="Y948">
            <v>31.5690095</v>
          </cell>
          <cell r="AB948">
            <v>-5.3706489309345908</v>
          </cell>
        </row>
        <row r="949">
          <cell r="T949">
            <v>-0.7615193701494819</v>
          </cell>
          <cell r="V949">
            <v>2.1122351021171037</v>
          </cell>
          <cell r="Y949">
            <v>31.581171399999999</v>
          </cell>
          <cell r="AB949">
            <v>-5.3675309212451365</v>
          </cell>
        </row>
        <row r="950">
          <cell r="T950">
            <v>-0.62954288578298512</v>
          </cell>
          <cell r="V950">
            <v>2.1289463584245549</v>
          </cell>
          <cell r="Y950">
            <v>31.593333300000001</v>
          </cell>
          <cell r="AB950">
            <v>-5.4197178169283378</v>
          </cell>
        </row>
        <row r="951">
          <cell r="T951">
            <v>-0.40177021739335211</v>
          </cell>
          <cell r="V951">
            <v>2.1550023357822994</v>
          </cell>
          <cell r="Y951">
            <v>31.6054952</v>
          </cell>
          <cell r="AB951">
            <v>-5.3326486579247607</v>
          </cell>
        </row>
        <row r="952">
          <cell r="T952">
            <v>-0.35680664309244498</v>
          </cell>
          <cell r="V952">
            <v>2.1460409752655036</v>
          </cell>
          <cell r="Y952">
            <v>31.617657099999999</v>
          </cell>
          <cell r="AB952">
            <v>-5.3355895752574147</v>
          </cell>
        </row>
        <row r="953">
          <cell r="T953">
            <v>-0.50920582266104386</v>
          </cell>
          <cell r="V953">
            <v>2.1495182891445004</v>
          </cell>
          <cell r="Y953">
            <v>31.629819099999999</v>
          </cell>
          <cell r="AB953">
            <v>-5.3553300732292115</v>
          </cell>
        </row>
        <row r="954">
          <cell r="T954">
            <v>-0.54211798149842227</v>
          </cell>
          <cell r="V954">
            <v>2.1669188684938825</v>
          </cell>
          <cell r="Y954">
            <v>31.641981000000001</v>
          </cell>
          <cell r="AB954">
            <v>-5.3563616827157796</v>
          </cell>
        </row>
        <row r="955">
          <cell r="T955">
            <v>-0.46336689960040073</v>
          </cell>
          <cell r="V955">
            <v>2.1677832243961888</v>
          </cell>
          <cell r="Y955">
            <v>31.6541429</v>
          </cell>
          <cell r="AB955">
            <v>-5.3599775854655913</v>
          </cell>
        </row>
        <row r="956">
          <cell r="T956">
            <v>-0.20307460015088208</v>
          </cell>
          <cell r="V956">
            <v>2.1587421121675106</v>
          </cell>
          <cell r="Y956">
            <v>31.666304799999999</v>
          </cell>
          <cell r="AB956">
            <v>-5.3328680492837028</v>
          </cell>
        </row>
        <row r="957">
          <cell r="T957">
            <v>-0.20219833213552837</v>
          </cell>
          <cell r="V957">
            <v>2.1239233460061464</v>
          </cell>
          <cell r="Y957">
            <v>31.678466700000001</v>
          </cell>
          <cell r="AB957">
            <v>-5.2710189515656172</v>
          </cell>
        </row>
        <row r="958">
          <cell r="T958">
            <v>-0.4313540716696232</v>
          </cell>
          <cell r="V958">
            <v>2.0886064698555429</v>
          </cell>
          <cell r="Y958">
            <v>31.6906286</v>
          </cell>
          <cell r="AB958">
            <v>-5.2959713616043178</v>
          </cell>
        </row>
        <row r="959">
          <cell r="T959">
            <v>-0.7032306757895791</v>
          </cell>
          <cell r="V959">
            <v>2.0741587915189079</v>
          </cell>
          <cell r="Y959">
            <v>31.702790499999999</v>
          </cell>
          <cell r="AB959">
            <v>-5.2815212612655813</v>
          </cell>
        </row>
        <row r="960">
          <cell r="T960">
            <v>-0.83315663212130031</v>
          </cell>
          <cell r="V960">
            <v>2.0763330059493561</v>
          </cell>
          <cell r="Y960">
            <v>31.714952400000001</v>
          </cell>
          <cell r="AB960">
            <v>-5.2647798786052018</v>
          </cell>
        </row>
        <row r="961">
          <cell r="T961">
            <v>-0.89966491511762425</v>
          </cell>
          <cell r="V961">
            <v>2.1146746460295098</v>
          </cell>
          <cell r="Y961">
            <v>31.7271143</v>
          </cell>
          <cell r="AB961">
            <v>-5.2328171251005031</v>
          </cell>
        </row>
        <row r="962">
          <cell r="T962">
            <v>-0.94439832266098411</v>
          </cell>
          <cell r="V962">
            <v>2.1292589659677135</v>
          </cell>
          <cell r="Y962">
            <v>31.739276199999999</v>
          </cell>
          <cell r="AB962">
            <v>-5.3594248155352071</v>
          </cell>
        </row>
        <row r="963">
          <cell r="T963">
            <v>-1.0129720232700199</v>
          </cell>
          <cell r="V963">
            <v>2.1222278571894746</v>
          </cell>
          <cell r="Y963">
            <v>31.751438100000001</v>
          </cell>
          <cell r="AB963">
            <v>-5.2935361210924485</v>
          </cell>
        </row>
        <row r="964">
          <cell r="T964">
            <v>-1.0416809048005782</v>
          </cell>
          <cell r="V964">
            <v>2.0835585539291768</v>
          </cell>
          <cell r="Y964">
            <v>31.7636</v>
          </cell>
          <cell r="AB964">
            <v>-5.234779345744049</v>
          </cell>
        </row>
        <row r="965">
          <cell r="T965">
            <v>-1.0777376945714019</v>
          </cell>
          <cell r="V965">
            <v>2.059661164982296</v>
          </cell>
          <cell r="Y965">
            <v>31.775761899999999</v>
          </cell>
          <cell r="AB965">
            <v>-5.2242459332844868</v>
          </cell>
        </row>
        <row r="966">
          <cell r="T966">
            <v>-1.0953059082149792</v>
          </cell>
          <cell r="V966">
            <v>2.0528249917858314</v>
          </cell>
          <cell r="Y966">
            <v>31.787923800000002</v>
          </cell>
          <cell r="AB966">
            <v>-5.2448236291654418</v>
          </cell>
        </row>
        <row r="967">
          <cell r="T967">
            <v>-1.0577089783981422</v>
          </cell>
          <cell r="V967">
            <v>2.0561662539331724</v>
          </cell>
          <cell r="Y967">
            <v>31.8000857</v>
          </cell>
          <cell r="AB967">
            <v>-5.2576342223473604</v>
          </cell>
        </row>
        <row r="968">
          <cell r="T968">
            <v>-0.85991249192231389</v>
          </cell>
          <cell r="V968">
            <v>2.0748733437889069</v>
          </cell>
          <cell r="Y968">
            <v>31.812247599999999</v>
          </cell>
          <cell r="AB968">
            <v>-5.2286657565914663</v>
          </cell>
        </row>
        <row r="969">
          <cell r="T969">
            <v>-0.64648828163453032</v>
          </cell>
          <cell r="V969">
            <v>2.0968963587795124</v>
          </cell>
          <cell r="Y969">
            <v>31.824409500000002</v>
          </cell>
          <cell r="AB969">
            <v>-5.2043582124905443</v>
          </cell>
        </row>
        <row r="970">
          <cell r="T970">
            <v>-0.49375365505055452</v>
          </cell>
          <cell r="V970">
            <v>2.1139854392060218</v>
          </cell>
          <cell r="Y970">
            <v>31.8365714</v>
          </cell>
          <cell r="AB970">
            <v>-5.202814176039845</v>
          </cell>
        </row>
        <row r="971">
          <cell r="T971">
            <v>-0.48966583404811415</v>
          </cell>
          <cell r="V971">
            <v>2.1100465946943832</v>
          </cell>
          <cell r="Y971">
            <v>31.848733299999999</v>
          </cell>
          <cell r="AB971">
            <v>-5.2012187305501998</v>
          </cell>
        </row>
        <row r="972">
          <cell r="T972">
            <v>-0.48553292048607849</v>
          </cell>
          <cell r="V972">
            <v>2.1060764299301473</v>
          </cell>
          <cell r="Y972">
            <v>31.860895200000002</v>
          </cell>
          <cell r="AB972">
            <v>-5.1995692603704446</v>
          </cell>
        </row>
        <row r="973">
          <cell r="T973">
            <v>-0.4813541280119637</v>
          </cell>
          <cell r="V973">
            <v>2.1020745382362303</v>
          </cell>
          <cell r="Y973">
            <v>31.8730571</v>
          </cell>
          <cell r="AB973">
            <v>-5.1978629735013042</v>
          </cell>
        </row>
        <row r="974">
          <cell r="T974">
            <v>-0.47712865164743173</v>
          </cell>
          <cell r="V974">
            <v>2.0980405051717383</v>
          </cell>
          <cell r="Y974">
            <v>31.8852191</v>
          </cell>
          <cell r="AB974">
            <v>-5.1960968800439478</v>
          </cell>
        </row>
        <row r="975">
          <cell r="T975">
            <v>-0.47285566611718394</v>
          </cell>
          <cell r="V975">
            <v>2.0939739087878078</v>
          </cell>
          <cell r="Y975">
            <v>31.897380999999999</v>
          </cell>
          <cell r="AB975">
            <v>-5.1942677766871457</v>
          </cell>
        </row>
        <row r="976">
          <cell r="T976">
            <v>-0.5857525769421591</v>
          </cell>
          <cell r="V976">
            <v>2.0634447783483281</v>
          </cell>
          <cell r="Y976">
            <v>31.909542900000002</v>
          </cell>
          <cell r="AB976">
            <v>-5.1923722264947223</v>
          </cell>
        </row>
        <row r="977">
          <cell r="T977">
            <v>-0.67145173719621687</v>
          </cell>
          <cell r="V977">
            <v>2.061968016284855</v>
          </cell>
          <cell r="Y977">
            <v>31.921704800000001</v>
          </cell>
          <cell r="AB977">
            <v>-5.1796116451356973</v>
          </cell>
        </row>
        <row r="978">
          <cell r="T978">
            <v>-0.70807108841724153</v>
          </cell>
          <cell r="V978">
            <v>2.0465654444351533</v>
          </cell>
          <cell r="Y978">
            <v>31.933866699999999</v>
          </cell>
          <cell r="AB978">
            <v>-5.3010970476375183</v>
          </cell>
        </row>
        <row r="979">
          <cell r="T979">
            <v>-0.64891927591894671</v>
          </cell>
          <cell r="V979">
            <v>2.0635394478094491</v>
          </cell>
          <cell r="Y979">
            <v>31.946028600000002</v>
          </cell>
          <cell r="AB979">
            <v>-5.1764904162523315</v>
          </cell>
        </row>
        <row r="980">
          <cell r="T980">
            <v>-0.48920401022431131</v>
          </cell>
          <cell r="V980">
            <v>2.0590195091804588</v>
          </cell>
          <cell r="Y980">
            <v>31.958190500000001</v>
          </cell>
          <cell r="AB980">
            <v>-5.2022081690414419</v>
          </cell>
        </row>
        <row r="981">
          <cell r="T981">
            <v>-0.31922025602788479</v>
          </cell>
          <cell r="V981">
            <v>2.089719723357419</v>
          </cell>
          <cell r="Y981">
            <v>31.970352399999999</v>
          </cell>
          <cell r="AB981">
            <v>-5.2228138444209034</v>
          </cell>
        </row>
        <row r="982">
          <cell r="T982">
            <v>-0.23484029712262644</v>
          </cell>
          <cell r="V982">
            <v>2.1149051459540478</v>
          </cell>
          <cell r="Y982">
            <v>31.982514299999998</v>
          </cell>
          <cell r="AB982">
            <v>-5.2610186066286815</v>
          </cell>
        </row>
        <row r="983">
          <cell r="T983">
            <v>-0.37859853198039045</v>
          </cell>
          <cell r="V983">
            <v>2.1081824968468696</v>
          </cell>
          <cell r="Y983">
            <v>31.994676200000001</v>
          </cell>
          <cell r="AB983">
            <v>-5.28067003986851</v>
          </cell>
        </row>
        <row r="984">
          <cell r="T984">
            <v>-0.5916587186417599</v>
          </cell>
          <cell r="V984">
            <v>2.0785789078328603</v>
          </cell>
          <cell r="Y984">
            <v>32.006838100000003</v>
          </cell>
          <cell r="AB984">
            <v>-5.2082002907773157</v>
          </cell>
        </row>
        <row r="985">
          <cell r="T985">
            <v>-0.71342713526558599</v>
          </cell>
          <cell r="V985">
            <v>2.0630417766660005</v>
          </cell>
          <cell r="Y985">
            <v>32.018999999999998</v>
          </cell>
          <cell r="AB985">
            <v>-5.2388877394316253</v>
          </cell>
        </row>
        <row r="986">
          <cell r="T986">
            <v>-0.75650374899504758</v>
          </cell>
          <cell r="V986">
            <v>2.0644798581525357</v>
          </cell>
          <cell r="Y986">
            <v>32.048000000000002</v>
          </cell>
          <cell r="AB986">
            <v>-5.1966837737201121</v>
          </cell>
        </row>
        <row r="987">
          <cell r="T987">
            <v>-0.76774947029137885</v>
          </cell>
          <cell r="V987">
            <v>2.0751180258204411</v>
          </cell>
          <cell r="Y987">
            <v>32.076999999999998</v>
          </cell>
          <cell r="AB987">
            <v>-5.2338130036656656</v>
          </cell>
        </row>
        <row r="988">
          <cell r="T988">
            <v>-0.78736753214111266</v>
          </cell>
          <cell r="V988">
            <v>2.0532312310464857</v>
          </cell>
          <cell r="Y988">
            <v>32.106000000000002</v>
          </cell>
          <cell r="AB988">
            <v>-5.2857991986274548</v>
          </cell>
        </row>
        <row r="989">
          <cell r="T989">
            <v>-0.76587248219955362</v>
          </cell>
          <cell r="V989">
            <v>2.0596881027595333</v>
          </cell>
          <cell r="Y989">
            <v>32.134999999999998</v>
          </cell>
          <cell r="AB989">
            <v>-5.2504720058158565</v>
          </cell>
        </row>
        <row r="990">
          <cell r="T990">
            <v>-0.81277219796587608</v>
          </cell>
          <cell r="V990">
            <v>2.0679399759706265</v>
          </cell>
          <cell r="Y990">
            <v>32.164000000000001</v>
          </cell>
          <cell r="AB990">
            <v>-5.2679620657552126</v>
          </cell>
        </row>
        <row r="991">
          <cell r="T991">
            <v>-0.84442474754324748</v>
          </cell>
          <cell r="V991">
            <v>2.0883086012769225</v>
          </cell>
          <cell r="Y991">
            <v>32.192999999999998</v>
          </cell>
          <cell r="AB991">
            <v>-5.302925575669355</v>
          </cell>
        </row>
        <row r="992">
          <cell r="T992">
            <v>-0.80517813344822475</v>
          </cell>
          <cell r="V992">
            <v>2.0934295249604009</v>
          </cell>
          <cell r="Y992">
            <v>32.222000000000001</v>
          </cell>
          <cell r="AB992">
            <v>-5.2976235441283803</v>
          </cell>
        </row>
        <row r="993">
          <cell r="T993">
            <v>-0.61161819689586938</v>
          </cell>
          <cell r="V993">
            <v>2.1147612396756377</v>
          </cell>
          <cell r="Y993">
            <v>32.250999999999998</v>
          </cell>
          <cell r="AB993">
            <v>-5.3197232474985796</v>
          </cell>
        </row>
        <row r="994">
          <cell r="T994">
            <v>-0.45811092325084229</v>
          </cell>
          <cell r="V994">
            <v>2.1361658489075208</v>
          </cell>
          <cell r="Y994">
            <v>32.28</v>
          </cell>
          <cell r="AB994">
            <v>-5.3940370551522854</v>
          </cell>
        </row>
        <row r="995">
          <cell r="T995">
            <v>-0.74280455149595281</v>
          </cell>
          <cell r="V995">
            <v>2.119568521266896</v>
          </cell>
          <cell r="Y995">
            <v>32.308999999999997</v>
          </cell>
          <cell r="AB995">
            <v>-5.3531227685718941</v>
          </cell>
        </row>
        <row r="996">
          <cell r="T996">
            <v>-1.0183902671097309</v>
          </cell>
          <cell r="V996">
            <v>2.0718550062908894</v>
          </cell>
          <cell r="Y996">
            <v>32.338000000000001</v>
          </cell>
          <cell r="AB996">
            <v>-5.2924509627382763</v>
          </cell>
        </row>
        <row r="997">
          <cell r="T997">
            <v>-1.150024177380339</v>
          </cell>
          <cell r="V997">
            <v>2.0311429068613789</v>
          </cell>
          <cell r="Y997">
            <v>32.366999999999997</v>
          </cell>
          <cell r="AB997">
            <v>-5.2687648492029435</v>
          </cell>
        </row>
        <row r="998">
          <cell r="T998">
            <v>-0.96867593455741263</v>
          </cell>
          <cell r="V998">
            <v>2.0238125506698945</v>
          </cell>
          <cell r="Y998">
            <v>32.396000000000001</v>
          </cell>
          <cell r="AB998">
            <v>-5.2349102319047365</v>
          </cell>
        </row>
        <row r="999">
          <cell r="T999">
            <v>-0.8821502784007893</v>
          </cell>
          <cell r="V999">
            <v>2.028475063582615</v>
          </cell>
          <cell r="Y999">
            <v>32.424999999999997</v>
          </cell>
          <cell r="AB999">
            <v>-5.27203303320091</v>
          </cell>
        </row>
        <row r="1000">
          <cell r="T1000">
            <v>-0.88140958223807953</v>
          </cell>
          <cell r="V1000">
            <v>2.0442890908638378</v>
          </cell>
          <cell r="Y1000">
            <v>32.454000000000001</v>
          </cell>
          <cell r="AB1000">
            <v>-5.261963567902634</v>
          </cell>
        </row>
        <row r="1001">
          <cell r="T1001">
            <v>-0.91882054742862318</v>
          </cell>
          <cell r="V1001">
            <v>2.0618757571032789</v>
          </cell>
          <cell r="Y1001">
            <v>32.482999999999997</v>
          </cell>
          <cell r="AB1001">
            <v>-5.2865331337741539</v>
          </cell>
        </row>
        <row r="1002">
          <cell r="T1002">
            <v>-1.1173583348012499</v>
          </cell>
          <cell r="V1002">
            <v>2.054363788013593</v>
          </cell>
          <cell r="Y1002">
            <v>32.512</v>
          </cell>
          <cell r="AB1002">
            <v>-5.3452428525000304</v>
          </cell>
        </row>
        <row r="1003">
          <cell r="T1003">
            <v>-1.204088545589008</v>
          </cell>
          <cell r="V1003">
            <v>2.0496650308922297</v>
          </cell>
          <cell r="Y1003">
            <v>32.540999999999997</v>
          </cell>
          <cell r="AB1003">
            <v>-5.3849098437824612</v>
          </cell>
        </row>
        <row r="1004">
          <cell r="T1004">
            <v>-1.1879672269528612</v>
          </cell>
          <cell r="V1004">
            <v>2.0602564798232206</v>
          </cell>
          <cell r="Y1004">
            <v>32.57</v>
          </cell>
          <cell r="AB1004">
            <v>-5.3824760206238604</v>
          </cell>
        </row>
        <row r="1005">
          <cell r="T1005">
            <v>-1.0054853233259169</v>
          </cell>
          <cell r="V1005">
            <v>2.0870147076001504</v>
          </cell>
          <cell r="Y1005">
            <v>32.598999999999997</v>
          </cell>
          <cell r="AB1005">
            <v>-5.2936053379717434</v>
          </cell>
        </row>
        <row r="1006">
          <cell r="T1006">
            <v>-0.96140212828889327</v>
          </cell>
          <cell r="V1006">
            <v>2.0977173858674676</v>
          </cell>
          <cell r="Y1006">
            <v>32.628</v>
          </cell>
          <cell r="AB1006">
            <v>-5.2603009607094817</v>
          </cell>
        </row>
        <row r="1007">
          <cell r="T1007">
            <v>-0.96021519967716307</v>
          </cell>
          <cell r="V1007">
            <v>2.0937804303710434</v>
          </cell>
          <cell r="Y1007">
            <v>32.656999999999996</v>
          </cell>
          <cell r="AB1007">
            <v>-5.2255912231118886</v>
          </cell>
        </row>
        <row r="1008">
          <cell r="T1008">
            <v>-0.9786453003779485</v>
          </cell>
          <cell r="V1008">
            <v>2.0947083618905418</v>
          </cell>
          <cell r="Y1008">
            <v>32.686</v>
          </cell>
          <cell r="AB1008">
            <v>-5.2541502575340377</v>
          </cell>
        </row>
        <row r="1009">
          <cell r="T1009">
            <v>-0.95913330457060575</v>
          </cell>
          <cell r="V1009">
            <v>2.0987051040105222</v>
          </cell>
          <cell r="Y1009">
            <v>32.715000000000003</v>
          </cell>
          <cell r="AB1009">
            <v>-5.267830093483421</v>
          </cell>
        </row>
        <row r="1010">
          <cell r="T1010">
            <v>-0.9361033376415927</v>
          </cell>
          <cell r="V1010">
            <v>2.1051144190550084</v>
          </cell>
          <cell r="Y1010">
            <v>32.744</v>
          </cell>
          <cell r="AB1010">
            <v>-5.2338206418201603</v>
          </cell>
        </row>
        <row r="1011">
          <cell r="T1011">
            <v>-0.94331737610577893</v>
          </cell>
          <cell r="V1011">
            <v>2.1224154457014941</v>
          </cell>
          <cell r="Y1011">
            <v>32.773000000000003</v>
          </cell>
          <cell r="AB1011">
            <v>-5.2510055098924697</v>
          </cell>
        </row>
        <row r="1012">
          <cell r="T1012">
            <v>-0.91553582905150999</v>
          </cell>
          <cell r="V1012">
            <v>2.1194325617027308</v>
          </cell>
          <cell r="Y1012">
            <v>32.802</v>
          </cell>
          <cell r="AB1012">
            <v>-5.2918793275906397</v>
          </cell>
        </row>
        <row r="1013">
          <cell r="T1013">
            <v>-0.92519545422138483</v>
          </cell>
          <cell r="V1013">
            <v>2.1137958569990825</v>
          </cell>
          <cell r="Y1013">
            <v>32.831000000000003</v>
          </cell>
          <cell r="AB1013">
            <v>-5.2424179258973442</v>
          </cell>
        </row>
        <row r="1014">
          <cell r="T1014">
            <v>-0.87005765900061682</v>
          </cell>
          <cell r="V1014">
            <v>2.0932430243926463</v>
          </cell>
          <cell r="Y1014">
            <v>32.86</v>
          </cell>
          <cell r="AB1014">
            <v>-5.2213245626123941</v>
          </cell>
        </row>
        <row r="1015">
          <cell r="T1015">
            <v>-0.94454220524422683</v>
          </cell>
          <cell r="V1015">
            <v>2.0887716073275246</v>
          </cell>
          <cell r="Y1015">
            <v>32.889000000000003</v>
          </cell>
          <cell r="AB1015">
            <v>-5.2128460060751127</v>
          </cell>
        </row>
        <row r="1016">
          <cell r="T1016">
            <v>-0.93562400568246507</v>
          </cell>
          <cell r="V1016">
            <v>2.0760849520344293</v>
          </cell>
          <cell r="Y1016">
            <v>32.917999999999999</v>
          </cell>
          <cell r="AB1016">
            <v>-5.2187113210359293</v>
          </cell>
        </row>
        <row r="1017">
          <cell r="T1017">
            <v>-0.98328020325369625</v>
          </cell>
          <cell r="V1017">
            <v>2.0646339875709501</v>
          </cell>
          <cell r="Y1017">
            <v>32.947000000000003</v>
          </cell>
          <cell r="AB1017">
            <v>-5.2080631328196425</v>
          </cell>
        </row>
        <row r="1018">
          <cell r="T1018">
            <v>-0.92476751864418094</v>
          </cell>
          <cell r="V1018">
            <v>2.0678977671722971</v>
          </cell>
          <cell r="Y1018">
            <v>32.975999999999999</v>
          </cell>
          <cell r="AB1018">
            <v>-5.2006926823867579</v>
          </cell>
        </row>
        <row r="1019">
          <cell r="T1019">
            <v>-0.9168061877930942</v>
          </cell>
          <cell r="V1019">
            <v>2.0717864701049646</v>
          </cell>
          <cell r="Y1019">
            <v>33.005000000000003</v>
          </cell>
          <cell r="AB1019">
            <v>-5.2066129027784012</v>
          </cell>
        </row>
        <row r="1020">
          <cell r="T1020">
            <v>-0.93622223213894173</v>
          </cell>
          <cell r="V1020">
            <v>2.0802687466552929</v>
          </cell>
          <cell r="Y1020">
            <v>33.033999999999999</v>
          </cell>
          <cell r="AB1020">
            <v>-5.2585970577181449</v>
          </cell>
        </row>
        <row r="1021">
          <cell r="T1021">
            <v>-0.97486855451017052</v>
          </cell>
          <cell r="V1021">
            <v>2.0763184485064934</v>
          </cell>
          <cell r="Y1021">
            <v>33.063000000000002</v>
          </cell>
          <cell r="AB1021">
            <v>-5.1882177025482683</v>
          </cell>
        </row>
        <row r="1022">
          <cell r="T1022">
            <v>-0.98347488282087048</v>
          </cell>
          <cell r="V1022">
            <v>2.0744620601597492</v>
          </cell>
          <cell r="Y1022">
            <v>33.091999999999999</v>
          </cell>
          <cell r="AB1022">
            <v>-5.2634777400785069</v>
          </cell>
        </row>
        <row r="1023">
          <cell r="T1023">
            <v>-0.96401486396787017</v>
          </cell>
          <cell r="V1023">
            <v>2.0642943666871005</v>
          </cell>
          <cell r="Y1023">
            <v>33.121000000000002</v>
          </cell>
          <cell r="AB1023">
            <v>-5.2259968839344451</v>
          </cell>
        </row>
        <row r="1024">
          <cell r="T1024">
            <v>-0.9348309022288287</v>
          </cell>
          <cell r="V1024">
            <v>2.0550359920857395</v>
          </cell>
          <cell r="Y1024">
            <v>33.15</v>
          </cell>
          <cell r="AB1024">
            <v>-5.2587935880003593</v>
          </cell>
        </row>
        <row r="1025">
          <cell r="T1025">
            <v>-0.94248338079109206</v>
          </cell>
          <cell r="V1025">
            <v>2.0371747865873471</v>
          </cell>
          <cell r="Y1025">
            <v>33.179000000000002</v>
          </cell>
          <cell r="AB1025">
            <v>-5.2392739593822748</v>
          </cell>
        </row>
        <row r="1026">
          <cell r="T1026">
            <v>-0.89387082507426985</v>
          </cell>
          <cell r="V1026">
            <v>2.0309869707452202</v>
          </cell>
          <cell r="Y1026">
            <v>33.207999999999998</v>
          </cell>
          <cell r="AB1026">
            <v>-5.2340180007711474</v>
          </cell>
        </row>
        <row r="1027">
          <cell r="T1027">
            <v>-0.87091509569757808</v>
          </cell>
          <cell r="V1027">
            <v>2.0222307695735657</v>
          </cell>
          <cell r="Y1027">
            <v>33.237000000000002</v>
          </cell>
          <cell r="AB1027">
            <v>-5.2472012985676848</v>
          </cell>
        </row>
        <row r="1028">
          <cell r="T1028">
            <v>-0.8283855395086559</v>
          </cell>
          <cell r="V1028">
            <v>2.025164422603845</v>
          </cell>
          <cell r="Y1028">
            <v>33.265999999999998</v>
          </cell>
          <cell r="AB1028">
            <v>-5.2348985121971641</v>
          </cell>
        </row>
        <row r="1029">
          <cell r="T1029">
            <v>-0.84276891859509229</v>
          </cell>
          <cell r="V1029">
            <v>2.0141567827386511</v>
          </cell>
          <cell r="Y1029">
            <v>33.295000000000002</v>
          </cell>
          <cell r="AB1029">
            <v>-5.206294135385809</v>
          </cell>
        </row>
        <row r="1030">
          <cell r="T1030">
            <v>-0.81945953029926122</v>
          </cell>
          <cell r="V1030">
            <v>2.0160711899224597</v>
          </cell>
          <cell r="Y1030">
            <v>33.323999999999998</v>
          </cell>
          <cell r="AB1030">
            <v>-5.2174812023890329</v>
          </cell>
        </row>
        <row r="1031">
          <cell r="T1031">
            <v>-0.83115596074257159</v>
          </cell>
          <cell r="V1031">
            <v>2.0316539186065206</v>
          </cell>
          <cell r="Y1031">
            <v>33.353000000000002</v>
          </cell>
          <cell r="AB1031">
            <v>-5.2163275153717068</v>
          </cell>
        </row>
        <row r="1032">
          <cell r="T1032">
            <v>-0.81444710097391881</v>
          </cell>
          <cell r="V1032">
            <v>2.0510372623798072</v>
          </cell>
          <cell r="Y1032">
            <v>33.381999999999998</v>
          </cell>
          <cell r="AB1032">
            <v>-5.3251568359199535</v>
          </cell>
        </row>
        <row r="1033">
          <cell r="T1033">
            <v>-0.80704258245463356</v>
          </cell>
          <cell r="V1033">
            <v>2.0617994522531711</v>
          </cell>
          <cell r="Y1033">
            <v>33.411000000000001</v>
          </cell>
          <cell r="AB1033">
            <v>-5.2796343926806033</v>
          </cell>
        </row>
        <row r="1034">
          <cell r="T1034">
            <v>-0.73546287752364325</v>
          </cell>
          <cell r="V1034">
            <v>2.071137025811252</v>
          </cell>
          <cell r="Y1034">
            <v>33.44</v>
          </cell>
          <cell r="AB1034">
            <v>-5.2057374463384143</v>
          </cell>
        </row>
        <row r="1035">
          <cell r="T1035">
            <v>-0.73220431635821059</v>
          </cell>
          <cell r="V1035">
            <v>2.0929609771220128</v>
          </cell>
          <cell r="Y1035">
            <v>33.469000000000001</v>
          </cell>
          <cell r="AB1035">
            <v>-5.2429000279301592</v>
          </cell>
        </row>
        <row r="1036">
          <cell r="T1036">
            <v>-0.77367348054494867</v>
          </cell>
          <cell r="V1036">
            <v>2.10426893101612</v>
          </cell>
          <cell r="Y1036">
            <v>33.497999999999998</v>
          </cell>
          <cell r="AB1036">
            <v>-5.2851112178900053</v>
          </cell>
        </row>
        <row r="1037">
          <cell r="T1037">
            <v>-0.86193524775332653</v>
          </cell>
          <cell r="V1037">
            <v>2.101633061736476</v>
          </cell>
          <cell r="Y1037">
            <v>33.527000000000001</v>
          </cell>
          <cell r="AB1037">
            <v>-5.2611721948112669</v>
          </cell>
        </row>
        <row r="1038">
          <cell r="T1038">
            <v>-0.89634963038357596</v>
          </cell>
          <cell r="V1038">
            <v>2.1013390524356761</v>
          </cell>
          <cell r="Y1038">
            <v>33.555999999999997</v>
          </cell>
          <cell r="AB1038">
            <v>-5.2725906405905487</v>
          </cell>
        </row>
        <row r="1039">
          <cell r="T1039">
            <v>-0.95276932966853656</v>
          </cell>
          <cell r="V1039">
            <v>2.1195030358080564</v>
          </cell>
          <cell r="Y1039">
            <v>33.585000000000001</v>
          </cell>
          <cell r="AB1039">
            <v>-5.2801189898934195</v>
          </cell>
        </row>
        <row r="1040">
          <cell r="T1040">
            <v>-0.96132842647611783</v>
          </cell>
          <cell r="V1040">
            <v>2.1303811279893439</v>
          </cell>
          <cell r="Y1040">
            <v>33.613999999999997</v>
          </cell>
          <cell r="AB1040">
            <v>-5.2646182199736549</v>
          </cell>
        </row>
        <row r="1041">
          <cell r="T1041">
            <v>-0.98482664674973641</v>
          </cell>
          <cell r="V1041">
            <v>2.1237764343084482</v>
          </cell>
          <cell r="Y1041">
            <v>33.643000000000001</v>
          </cell>
          <cell r="AB1041">
            <v>-5.2994581065609374</v>
          </cell>
        </row>
        <row r="1042">
          <cell r="T1042">
            <v>-1.0212354338102694</v>
          </cell>
          <cell r="V1042">
            <v>2.1026661072486745</v>
          </cell>
          <cell r="Y1042">
            <v>33.671999999999997</v>
          </cell>
          <cell r="AB1042">
            <v>-5.2714302874176591</v>
          </cell>
        </row>
        <row r="1043">
          <cell r="T1043">
            <v>-1.037719634954372</v>
          </cell>
          <cell r="V1043">
            <v>2.1009392163925069</v>
          </cell>
          <cell r="Y1043">
            <v>33.701000000000001</v>
          </cell>
          <cell r="AB1043">
            <v>-5.2733885931591944</v>
          </cell>
        </row>
        <row r="1044">
          <cell r="T1044">
            <v>-0.99043928356161082</v>
          </cell>
          <cell r="V1044">
            <v>2.0990776914187066</v>
          </cell>
          <cell r="Y1044">
            <v>33.729999999999997</v>
          </cell>
          <cell r="AB1044">
            <v>-5.3181554504364872</v>
          </cell>
        </row>
        <row r="1045">
          <cell r="T1045">
            <v>-0.95058572555035992</v>
          </cell>
          <cell r="V1045">
            <v>2.1024686003719597</v>
          </cell>
          <cell r="Y1045">
            <v>33.759</v>
          </cell>
          <cell r="AB1045">
            <v>-5.288519612372049</v>
          </cell>
        </row>
        <row r="1046">
          <cell r="T1046">
            <v>-0.95765667104561203</v>
          </cell>
          <cell r="V1046">
            <v>2.0872420955530515</v>
          </cell>
          <cell r="Y1046">
            <v>33.787999999999997</v>
          </cell>
          <cell r="AB1046">
            <v>-5.3069353724418367</v>
          </cell>
        </row>
        <row r="1047">
          <cell r="T1047">
            <v>-1.2083513312564442</v>
          </cell>
          <cell r="V1047">
            <v>2.067482917050731</v>
          </cell>
          <cell r="Y1047">
            <v>33.817</v>
          </cell>
          <cell r="AB1047">
            <v>-5.2211164205275651</v>
          </cell>
        </row>
        <row r="1048">
          <cell r="T1048">
            <v>-1.0119640835347425</v>
          </cell>
          <cell r="V1048">
            <v>2.0629286612352433</v>
          </cell>
          <cell r="Y1048">
            <v>33.845999999999997</v>
          </cell>
          <cell r="AB1048">
            <v>-5.1675741322425512</v>
          </cell>
        </row>
        <row r="1049">
          <cell r="T1049">
            <v>-0.65127085518205885</v>
          </cell>
          <cell r="V1049">
            <v>2.0648096400121316</v>
          </cell>
          <cell r="Y1049">
            <v>33.875</v>
          </cell>
          <cell r="AB1049">
            <v>-5.1193731158280498</v>
          </cell>
        </row>
        <row r="1050">
          <cell r="T1050">
            <v>-8.6795742024535036E-2</v>
          </cell>
          <cell r="V1050">
            <v>2.0854474162662915</v>
          </cell>
          <cell r="Y1050">
            <v>33.904000000000003</v>
          </cell>
          <cell r="AB1050">
            <v>-5.1158811283889616</v>
          </cell>
        </row>
        <row r="1051">
          <cell r="T1051">
            <v>8.4003403704758797E-2</v>
          </cell>
          <cell r="V1051">
            <v>2.0925714989646811</v>
          </cell>
          <cell r="Y1051">
            <v>33.933</v>
          </cell>
          <cell r="AB1051">
            <v>-5.1070951505794788</v>
          </cell>
        </row>
        <row r="1052">
          <cell r="T1052">
            <v>-2.7239601716665209E-3</v>
          </cell>
          <cell r="V1052">
            <v>2.0941725291525977</v>
          </cell>
          <cell r="Y1052">
            <v>33.962000000000003</v>
          </cell>
          <cell r="AB1052">
            <v>-5.082937211608713</v>
          </cell>
        </row>
        <row r="1053">
          <cell r="T1053">
            <v>-1.9573051941507793E-2</v>
          </cell>
          <cell r="V1053">
            <v>2.1016265116668662</v>
          </cell>
          <cell r="Y1053">
            <v>33.991</v>
          </cell>
          <cell r="AB1053">
            <v>-5.0643988073916741</v>
          </cell>
        </row>
        <row r="1054">
          <cell r="T1054">
            <v>-7.2238625010185034E-2</v>
          </cell>
          <cell r="V1054">
            <v>2.1004727767439055</v>
          </cell>
          <cell r="Y1054">
            <v>34.020000000000003</v>
          </cell>
          <cell r="AB1054">
            <v>-5.1684915730284713</v>
          </cell>
        </row>
        <row r="1055">
          <cell r="T1055">
            <v>-0.25025068237079207</v>
          </cell>
          <cell r="V1055">
            <v>2.10493987380779</v>
          </cell>
          <cell r="Y1055">
            <v>34.048999999999999</v>
          </cell>
          <cell r="AB1055">
            <v>-5.1501520794561992</v>
          </cell>
        </row>
        <row r="1056">
          <cell r="T1056">
            <v>-0.47294449537700983</v>
          </cell>
          <cell r="V1056">
            <v>2.0864647980579436</v>
          </cell>
          <cell r="Y1056">
            <v>34.078000000000003</v>
          </cell>
          <cell r="AB1056">
            <v>-5.1631400914224477</v>
          </cell>
        </row>
        <row r="1057">
          <cell r="T1057">
            <v>-0.75271127958605477</v>
          </cell>
          <cell r="V1057">
            <v>2.0660782418299788</v>
          </cell>
          <cell r="Y1057">
            <v>34.106999999999999</v>
          </cell>
          <cell r="AB1057">
            <v>-5.14185515502915</v>
          </cell>
        </row>
        <row r="1058">
          <cell r="T1058">
            <v>-0.85090167088271984</v>
          </cell>
          <cell r="V1058">
            <v>2.0526446060659591</v>
          </cell>
          <cell r="Y1058">
            <v>34.136000000000003</v>
          </cell>
          <cell r="AB1058">
            <v>-5.0904527168900211</v>
          </cell>
        </row>
        <row r="1059">
          <cell r="T1059">
            <v>-1.0335427848490859</v>
          </cell>
          <cell r="V1059">
            <v>2.0409414813250639</v>
          </cell>
          <cell r="Y1059">
            <v>34.164999999999999</v>
          </cell>
          <cell r="AB1059">
            <v>-5.1343591186787441</v>
          </cell>
        </row>
        <row r="1060">
          <cell r="T1060">
            <v>-1.0675248567645184</v>
          </cell>
          <cell r="V1060">
            <v>2.0429230941424597</v>
          </cell>
          <cell r="Y1060">
            <v>34.194000000000003</v>
          </cell>
          <cell r="AB1060">
            <v>-5.2192150767580081</v>
          </cell>
        </row>
        <row r="1061">
          <cell r="T1061">
            <v>-1.0869459244966453</v>
          </cell>
          <cell r="V1061">
            <v>2.0514990796531056</v>
          </cell>
          <cell r="Y1061">
            <v>34.222999999999999</v>
          </cell>
          <cell r="AB1061">
            <v>-5.0842954560785332</v>
          </cell>
        </row>
        <row r="1062">
          <cell r="T1062">
            <v>-1.0470574327743585</v>
          </cell>
          <cell r="V1062">
            <v>2.0743324085960828</v>
          </cell>
          <cell r="Y1062">
            <v>34.252000000000002</v>
          </cell>
          <cell r="AB1062">
            <v>-5.0712115590357589</v>
          </cell>
        </row>
        <row r="1063">
          <cell r="T1063">
            <v>-0.96636003191071707</v>
          </cell>
          <cell r="V1063">
            <v>2.0942907055304674</v>
          </cell>
          <cell r="Y1063">
            <v>34.280999999999999</v>
          </cell>
          <cell r="AB1063">
            <v>-5.1074377887574434</v>
          </cell>
        </row>
        <row r="1064">
          <cell r="T1064">
            <v>-0.93260474385085157</v>
          </cell>
          <cell r="V1064">
            <v>2.0936963114260716</v>
          </cell>
          <cell r="Y1064">
            <v>34.31</v>
          </cell>
          <cell r="AB1064">
            <v>-5.1435766686254265</v>
          </cell>
        </row>
        <row r="1065">
          <cell r="T1065">
            <v>-0.94002180594807605</v>
          </cell>
          <cell r="V1065">
            <v>2.0800020093287208</v>
          </cell>
          <cell r="Y1065">
            <v>34.338999999999999</v>
          </cell>
          <cell r="AB1065">
            <v>-5.1140437379963197</v>
          </cell>
        </row>
        <row r="1066">
          <cell r="T1066">
            <v>-1.0892586148464518</v>
          </cell>
          <cell r="V1066">
            <v>2.0530095471697041</v>
          </cell>
          <cell r="Y1066">
            <v>34.368000000000002</v>
          </cell>
          <cell r="AB1066">
            <v>-5.1140516046528566</v>
          </cell>
        </row>
        <row r="1067">
          <cell r="Y1067">
            <v>34.396999999999998</v>
          </cell>
          <cell r="AB1067">
            <v>-5.1092093762456923</v>
          </cell>
        </row>
      </sheetData>
      <sheetData sheetId="5">
        <row r="1">
          <cell r="T1" t="str">
            <v>ln Ti/Ca 3pma</v>
          </cell>
        </row>
        <row r="2">
          <cell r="T2">
            <v>0.94408901712885041</v>
          </cell>
          <cell r="Y2">
            <v>10.2980526</v>
          </cell>
        </row>
        <row r="3">
          <cell r="T3">
            <v>0.9375661704192314</v>
          </cell>
          <cell r="Y3">
            <v>11.768077699999999</v>
          </cell>
        </row>
        <row r="4">
          <cell r="T4">
            <v>0.41573791833812135</v>
          </cell>
          <cell r="Y4">
            <v>12.1405049</v>
          </cell>
        </row>
        <row r="5">
          <cell r="T5">
            <v>-0.14181589770270375</v>
          </cell>
          <cell r="Y5">
            <v>12.6819275</v>
          </cell>
        </row>
        <row r="6">
          <cell r="T6">
            <v>-0.61870546704901697</v>
          </cell>
          <cell r="Y6">
            <v>12.904340100000001</v>
          </cell>
        </row>
        <row r="7">
          <cell r="T7">
            <v>-0.63691565655264959</v>
          </cell>
          <cell r="Y7">
            <v>13.4115</v>
          </cell>
        </row>
        <row r="8">
          <cell r="T8">
            <v>-0.94204294297966096</v>
          </cell>
          <cell r="Y8">
            <v>15.2977455</v>
          </cell>
        </row>
        <row r="9">
          <cell r="T9">
            <v>-1.4516293214330522</v>
          </cell>
          <cell r="Y9">
            <v>17.6303333</v>
          </cell>
        </row>
        <row r="10">
          <cell r="T10">
            <v>-1.9317111061209387</v>
          </cell>
          <cell r="Y10">
            <v>19.7899794</v>
          </cell>
        </row>
        <row r="11">
          <cell r="T11">
            <v>-1.8135296565834829</v>
          </cell>
          <cell r="Y11">
            <v>22.102144299999999</v>
          </cell>
        </row>
        <row r="12">
          <cell r="T12">
            <v>-1.4403604749861554</v>
          </cell>
          <cell r="Y12">
            <v>26.1424615</v>
          </cell>
        </row>
        <row r="13">
          <cell r="T13">
            <v>-1.2843028038601634</v>
          </cell>
          <cell r="Y13">
            <v>29.476255299999998</v>
          </cell>
        </row>
        <row r="14">
          <cell r="T14">
            <v>-1.1897315615390827</v>
          </cell>
          <cell r="Y14">
            <v>30.863619100000001</v>
          </cell>
        </row>
        <row r="15">
          <cell r="T15">
            <v>-1.1961038536760809</v>
          </cell>
          <cell r="Y15">
            <v>31.4960381</v>
          </cell>
        </row>
        <row r="16">
          <cell r="T16">
            <v>-1.1202203155084132</v>
          </cell>
          <cell r="Y16">
            <v>33.121000000000002</v>
          </cell>
        </row>
      </sheetData>
      <sheetData sheetId="6" refreshError="1"/>
      <sheetData sheetId="7">
        <row r="3">
          <cell r="C3">
            <v>9.0541578949999995</v>
          </cell>
          <cell r="J3">
            <v>19.289000000000001</v>
          </cell>
          <cell r="K3">
            <v>62.733999999999995</v>
          </cell>
        </row>
        <row r="4">
          <cell r="C4">
            <v>9.3093157889999993</v>
          </cell>
          <cell r="J4">
            <v>19.919999999999998</v>
          </cell>
          <cell r="K4">
            <v>63.756999999999998</v>
          </cell>
        </row>
        <row r="5">
          <cell r="C5">
            <v>9.6123157890000002</v>
          </cell>
          <cell r="J5">
            <v>20.058</v>
          </cell>
          <cell r="K5">
            <v>61.642000000000003</v>
          </cell>
        </row>
        <row r="6">
          <cell r="C6">
            <v>9.7398947370000002</v>
          </cell>
          <cell r="J6">
            <v>19.387999999999998</v>
          </cell>
          <cell r="K6">
            <v>60.935000000000002</v>
          </cell>
        </row>
        <row r="7">
          <cell r="C7">
            <v>9.8674736840000001</v>
          </cell>
          <cell r="J7">
            <v>20.318000000000001</v>
          </cell>
          <cell r="K7">
            <v>63.643000000000001</v>
          </cell>
        </row>
        <row r="8">
          <cell r="C8">
            <v>10.186421050000002</v>
          </cell>
          <cell r="J8">
            <v>20.132999999999999</v>
          </cell>
          <cell r="K8">
            <v>63.805999999999997</v>
          </cell>
        </row>
        <row r="9">
          <cell r="C9">
            <v>10.53726316</v>
          </cell>
          <cell r="J9">
            <v>19.323999999999998</v>
          </cell>
          <cell r="K9">
            <v>64.804000000000002</v>
          </cell>
        </row>
        <row r="10">
          <cell r="C10">
            <v>10.776473679999999</v>
          </cell>
          <cell r="J10">
            <v>19.518000000000001</v>
          </cell>
          <cell r="K10">
            <v>61.881</v>
          </cell>
        </row>
        <row r="11">
          <cell r="C11">
            <v>10.935947369999999</v>
          </cell>
          <cell r="J11">
            <v>19.541</v>
          </cell>
          <cell r="K11">
            <v>62.366</v>
          </cell>
        </row>
        <row r="12">
          <cell r="C12">
            <v>11.19110526</v>
          </cell>
          <cell r="J12">
            <v>19.261000000000003</v>
          </cell>
          <cell r="K12">
            <v>63.623000000000005</v>
          </cell>
        </row>
        <row r="13">
          <cell r="C13">
            <v>11.99153398</v>
          </cell>
          <cell r="J13">
            <v>18.881999999999998</v>
          </cell>
          <cell r="K13">
            <v>65.793000000000006</v>
          </cell>
        </row>
        <row r="14">
          <cell r="C14">
            <v>12.10326214</v>
          </cell>
          <cell r="J14">
            <v>18.902000000000001</v>
          </cell>
          <cell r="K14">
            <v>62.123000000000005</v>
          </cell>
        </row>
        <row r="15">
          <cell r="C15">
            <v>12.582507769999999</v>
          </cell>
          <cell r="J15">
            <v>19.207000000000001</v>
          </cell>
          <cell r="K15">
            <v>65.515999999999991</v>
          </cell>
        </row>
        <row r="16">
          <cell r="C16">
            <v>12.666632120000001</v>
          </cell>
          <cell r="J16">
            <v>18.640999999999998</v>
          </cell>
          <cell r="K16">
            <v>64.036000000000001</v>
          </cell>
        </row>
        <row r="17">
          <cell r="C17">
            <v>12.704870469999999</v>
          </cell>
          <cell r="J17">
            <v>18.881</v>
          </cell>
          <cell r="K17">
            <v>66.115000000000009</v>
          </cell>
        </row>
        <row r="18">
          <cell r="C18">
            <v>12.746932640000001</v>
          </cell>
          <cell r="J18">
            <v>19.048000000000002</v>
          </cell>
          <cell r="K18">
            <v>63.62</v>
          </cell>
        </row>
        <row r="19">
          <cell r="C19">
            <v>12.81958549</v>
          </cell>
          <cell r="J19">
            <v>19.972999999999999</v>
          </cell>
          <cell r="K19">
            <v>61.115000000000002</v>
          </cell>
        </row>
        <row r="20">
          <cell r="C20">
            <v>12.974816329999999</v>
          </cell>
          <cell r="J20">
            <v>19.414000000000001</v>
          </cell>
          <cell r="K20">
            <v>63.576000000000001</v>
          </cell>
        </row>
        <row r="21">
          <cell r="C21">
            <v>13.22148299</v>
          </cell>
          <cell r="J21">
            <v>19.407</v>
          </cell>
          <cell r="K21">
            <v>63.552</v>
          </cell>
        </row>
        <row r="22">
          <cell r="C22">
            <v>13.7395</v>
          </cell>
          <cell r="J22">
            <v>18.905999999999999</v>
          </cell>
          <cell r="K22">
            <v>64.03</v>
          </cell>
        </row>
        <row r="23">
          <cell r="C23">
            <v>13.862500000000001</v>
          </cell>
          <cell r="J23">
            <v>18.611000000000001</v>
          </cell>
          <cell r="K23">
            <v>64.826999999999998</v>
          </cell>
        </row>
        <row r="24">
          <cell r="C24">
            <v>15.106563640000001</v>
          </cell>
          <cell r="J24">
            <v>18.752000000000002</v>
          </cell>
          <cell r="K24">
            <v>64.784999999999997</v>
          </cell>
        </row>
        <row r="25">
          <cell r="C25">
            <v>15.297745450000001</v>
          </cell>
          <cell r="J25">
            <v>18.617000000000001</v>
          </cell>
          <cell r="K25">
            <v>62.424000000000007</v>
          </cell>
        </row>
        <row r="26">
          <cell r="C26">
            <v>15.68010909</v>
          </cell>
          <cell r="J26">
            <v>18.877000000000002</v>
          </cell>
          <cell r="K26">
            <v>63.936999999999998</v>
          </cell>
        </row>
        <row r="27">
          <cell r="C27">
            <v>15.986000000000001</v>
          </cell>
          <cell r="J27">
            <v>19.058999999999997</v>
          </cell>
          <cell r="K27">
            <v>64.137</v>
          </cell>
        </row>
        <row r="28">
          <cell r="C28">
            <v>16.164000000000001</v>
          </cell>
          <cell r="J28">
            <v>18.483999999999998</v>
          </cell>
          <cell r="K28">
            <v>63.924000000000007</v>
          </cell>
        </row>
        <row r="29">
          <cell r="C29">
            <v>16.486222219999998</v>
          </cell>
          <cell r="J29">
            <v>19.227</v>
          </cell>
          <cell r="K29">
            <v>63.503999999999998</v>
          </cell>
        </row>
        <row r="30">
          <cell r="C30">
            <v>17.150833330000001</v>
          </cell>
          <cell r="J30">
            <v>21.056000000000001</v>
          </cell>
          <cell r="K30">
            <v>61.396000000000001</v>
          </cell>
        </row>
        <row r="31">
          <cell r="C31">
            <v>17.402000000000001</v>
          </cell>
          <cell r="J31">
            <v>20.863</v>
          </cell>
          <cell r="K31">
            <v>62.401000000000003</v>
          </cell>
        </row>
        <row r="32">
          <cell r="C32">
            <v>17.607500000000002</v>
          </cell>
          <cell r="J32">
            <v>21.158999999999999</v>
          </cell>
          <cell r="K32">
            <v>61.770999999999994</v>
          </cell>
        </row>
        <row r="33">
          <cell r="C33">
            <v>18.00630928</v>
          </cell>
          <cell r="J33">
            <v>20.538</v>
          </cell>
          <cell r="K33">
            <v>62.695</v>
          </cell>
        </row>
        <row r="34">
          <cell r="C34">
            <v>18.336618559999998</v>
          </cell>
          <cell r="J34">
            <v>20.527000000000001</v>
          </cell>
          <cell r="K34">
            <v>64.091000000000008</v>
          </cell>
        </row>
        <row r="35">
          <cell r="C35">
            <v>18.799051550000001</v>
          </cell>
          <cell r="J35">
            <v>21.07</v>
          </cell>
          <cell r="K35">
            <v>61.882000000000005</v>
          </cell>
        </row>
        <row r="36">
          <cell r="C36">
            <v>19.789979380000002</v>
          </cell>
          <cell r="J36">
            <v>20.818999999999999</v>
          </cell>
          <cell r="K36">
            <v>62.661999999999999</v>
          </cell>
        </row>
        <row r="37">
          <cell r="C37">
            <v>19.988164949999998</v>
          </cell>
          <cell r="J37">
            <v>20.986000000000001</v>
          </cell>
          <cell r="K37">
            <v>62.601999999999997</v>
          </cell>
        </row>
        <row r="38">
          <cell r="C38">
            <v>20.12028866</v>
          </cell>
          <cell r="J38">
            <v>21.166</v>
          </cell>
          <cell r="K38">
            <v>62.146000000000001</v>
          </cell>
        </row>
        <row r="39">
          <cell r="C39">
            <v>20.78090722</v>
          </cell>
          <cell r="J39">
            <v>21.137999999999998</v>
          </cell>
          <cell r="K39">
            <v>62.063000000000002</v>
          </cell>
        </row>
        <row r="40">
          <cell r="C40">
            <v>21.24334021</v>
          </cell>
          <cell r="J40">
            <v>21.873000000000001</v>
          </cell>
          <cell r="K40">
            <v>58.984999999999999</v>
          </cell>
        </row>
        <row r="41">
          <cell r="C41">
            <v>21.639711340000002</v>
          </cell>
          <cell r="J41">
            <v>21.755000000000003</v>
          </cell>
          <cell r="K41">
            <v>62.870999999999995</v>
          </cell>
        </row>
        <row r="42">
          <cell r="C42">
            <v>22.23426804</v>
          </cell>
          <cell r="J42">
            <v>21.791</v>
          </cell>
          <cell r="K42">
            <v>61.648000000000003</v>
          </cell>
        </row>
        <row r="43">
          <cell r="C43">
            <v>22.43245361</v>
          </cell>
          <cell r="J43">
            <v>21.548000000000002</v>
          </cell>
          <cell r="K43">
            <v>62.036000000000001</v>
          </cell>
        </row>
        <row r="44">
          <cell r="C44">
            <v>23.819752579999999</v>
          </cell>
          <cell r="J44">
            <v>21.744</v>
          </cell>
          <cell r="K44">
            <v>61.292999999999999</v>
          </cell>
        </row>
        <row r="45">
          <cell r="C45">
            <v>24.547153849999997</v>
          </cell>
          <cell r="J45">
            <v>21.054000000000002</v>
          </cell>
          <cell r="K45">
            <v>62.843000000000004</v>
          </cell>
        </row>
        <row r="46">
          <cell r="C46">
            <v>25.216153849999998</v>
          </cell>
          <cell r="J46">
            <v>20.794</v>
          </cell>
          <cell r="K46">
            <v>63.226999999999997</v>
          </cell>
        </row>
        <row r="47">
          <cell r="C47">
            <v>25.73076923</v>
          </cell>
          <cell r="J47">
            <v>20.996000000000002</v>
          </cell>
          <cell r="K47">
            <v>60.457999999999998</v>
          </cell>
        </row>
        <row r="48">
          <cell r="C48">
            <v>26.142461539999999</v>
          </cell>
          <cell r="J48">
            <v>20.731999999999999</v>
          </cell>
          <cell r="K48">
            <v>63.405999999999999</v>
          </cell>
        </row>
        <row r="49">
          <cell r="C49">
            <v>26.39976923</v>
          </cell>
          <cell r="J49">
            <v>20.469000000000001</v>
          </cell>
          <cell r="K49">
            <v>63.905000000000001</v>
          </cell>
        </row>
        <row r="50">
          <cell r="C50">
            <v>27.171692309999997</v>
          </cell>
          <cell r="J50">
            <v>20.009</v>
          </cell>
          <cell r="K50">
            <v>62.716999999999999</v>
          </cell>
        </row>
        <row r="51">
          <cell r="C51">
            <v>27.326076919999998</v>
          </cell>
          <cell r="J51">
            <v>19.445</v>
          </cell>
          <cell r="K51">
            <v>63.15</v>
          </cell>
        </row>
        <row r="52">
          <cell r="C52">
            <v>27.686307690000003</v>
          </cell>
          <cell r="J52">
            <v>20.780999999999999</v>
          </cell>
          <cell r="K52">
            <v>62.277999999999999</v>
          </cell>
        </row>
        <row r="53">
          <cell r="C53">
            <v>28.046538460000001</v>
          </cell>
          <cell r="J53">
            <v>20.233000000000001</v>
          </cell>
          <cell r="K53">
            <v>63.259</v>
          </cell>
        </row>
        <row r="54">
          <cell r="C54">
            <v>28.857446810000003</v>
          </cell>
          <cell r="J54">
            <v>19.646000000000001</v>
          </cell>
          <cell r="K54">
            <v>63.548999999999999</v>
          </cell>
        </row>
        <row r="55">
          <cell r="C55">
            <v>29.166851060000003</v>
          </cell>
          <cell r="J55">
            <v>19.925999999999998</v>
          </cell>
          <cell r="K55">
            <v>61.421999999999997</v>
          </cell>
        </row>
        <row r="56">
          <cell r="C56">
            <v>29.47625532</v>
          </cell>
          <cell r="J56">
            <v>20.006</v>
          </cell>
          <cell r="K56">
            <v>63.067999999999998</v>
          </cell>
        </row>
        <row r="57">
          <cell r="C57">
            <v>29.7012766</v>
          </cell>
          <cell r="J57">
            <v>19.942999999999998</v>
          </cell>
          <cell r="K57">
            <v>63.814999999999998</v>
          </cell>
        </row>
        <row r="58">
          <cell r="C58">
            <v>29.89817021</v>
          </cell>
          <cell r="J58">
            <v>20.367999999999999</v>
          </cell>
          <cell r="K58">
            <v>60.923999999999999</v>
          </cell>
        </row>
        <row r="59">
          <cell r="C59">
            <v>30.038808509999999</v>
          </cell>
          <cell r="J59">
            <v>19.944000000000003</v>
          </cell>
          <cell r="K59">
            <v>63.592999999999996</v>
          </cell>
        </row>
        <row r="60">
          <cell r="C60">
            <v>30.207574470000001</v>
          </cell>
          <cell r="J60">
            <v>19.350999999999999</v>
          </cell>
          <cell r="K60">
            <v>64.490000000000009</v>
          </cell>
        </row>
        <row r="61">
          <cell r="C61">
            <v>30.516978720000001</v>
          </cell>
          <cell r="J61">
            <v>19.317999999999998</v>
          </cell>
          <cell r="K61">
            <v>64.38900000000001</v>
          </cell>
        </row>
        <row r="62">
          <cell r="C62">
            <v>30.65761702</v>
          </cell>
          <cell r="J62">
            <v>19.311</v>
          </cell>
          <cell r="K62">
            <v>64.343999999999994</v>
          </cell>
        </row>
        <row r="63">
          <cell r="C63">
            <v>30.766323810000003</v>
          </cell>
          <cell r="J63">
            <v>19.824000000000002</v>
          </cell>
          <cell r="K63">
            <v>63.928999999999995</v>
          </cell>
        </row>
        <row r="64">
          <cell r="C64">
            <v>30.93659048</v>
          </cell>
          <cell r="J64">
            <v>20.268999999999998</v>
          </cell>
          <cell r="K64">
            <v>63.014000000000003</v>
          </cell>
        </row>
        <row r="65">
          <cell r="C65">
            <v>31.021723810000001</v>
          </cell>
          <cell r="J65">
            <v>19.140999999999998</v>
          </cell>
          <cell r="K65">
            <v>64.694000000000003</v>
          </cell>
        </row>
        <row r="66">
          <cell r="C66">
            <v>31.119019049999999</v>
          </cell>
          <cell r="J66">
            <v>19.377000000000002</v>
          </cell>
          <cell r="K66">
            <v>64.162999999999997</v>
          </cell>
        </row>
        <row r="67">
          <cell r="C67">
            <v>31.21631429</v>
          </cell>
          <cell r="J67">
            <v>19.236000000000001</v>
          </cell>
          <cell r="K67">
            <v>63.491</v>
          </cell>
        </row>
        <row r="68">
          <cell r="C68">
            <v>31.32577143</v>
          </cell>
          <cell r="J68">
            <v>19.152000000000001</v>
          </cell>
          <cell r="K68">
            <v>64.245999999999995</v>
          </cell>
        </row>
        <row r="69">
          <cell r="C69">
            <v>31.556847619999999</v>
          </cell>
          <cell r="J69">
            <v>19.344999999999999</v>
          </cell>
          <cell r="K69">
            <v>63.534999999999997</v>
          </cell>
        </row>
        <row r="70">
          <cell r="C70">
            <v>32.018999999999998</v>
          </cell>
          <cell r="J70">
            <v>20.054000000000002</v>
          </cell>
          <cell r="K70">
            <v>62.731000000000002</v>
          </cell>
        </row>
        <row r="71">
          <cell r="C71">
            <v>32.308999999999997</v>
          </cell>
          <cell r="J71">
            <v>20.791</v>
          </cell>
          <cell r="K71">
            <v>60.183000000000007</v>
          </cell>
        </row>
        <row r="72">
          <cell r="C72">
            <v>32.540999999999997</v>
          </cell>
          <cell r="J72">
            <v>19.105</v>
          </cell>
          <cell r="K72">
            <v>64.117999999999995</v>
          </cell>
        </row>
        <row r="73">
          <cell r="C73">
            <v>32.744</v>
          </cell>
          <cell r="J73">
            <v>19.630000000000003</v>
          </cell>
          <cell r="K73">
            <v>63.03</v>
          </cell>
        </row>
        <row r="74">
          <cell r="C74">
            <v>32.947000000000003</v>
          </cell>
          <cell r="J74">
            <v>18.78</v>
          </cell>
          <cell r="K74">
            <v>64.673000000000002</v>
          </cell>
        </row>
        <row r="75">
          <cell r="C75">
            <v>33.265999999999998</v>
          </cell>
          <cell r="J75">
            <v>19.132999999999999</v>
          </cell>
          <cell r="K75">
            <v>64.635000000000005</v>
          </cell>
        </row>
        <row r="76">
          <cell r="C76">
            <v>33.701000000000001</v>
          </cell>
          <cell r="J76">
            <v>19.420999999999999</v>
          </cell>
          <cell r="K76">
            <v>63.088000000000001</v>
          </cell>
        </row>
        <row r="77">
          <cell r="C77">
            <v>33.991</v>
          </cell>
          <cell r="J77">
            <v>19</v>
          </cell>
          <cell r="K77">
            <v>64.044999999999987</v>
          </cell>
        </row>
      </sheetData>
      <sheetData sheetId="8" refreshError="1"/>
      <sheetData sheetId="9">
        <row r="3">
          <cell r="I3">
            <v>8.7989999999999995</v>
          </cell>
        </row>
        <row r="4">
          <cell r="I4">
            <v>9.1817368419999994</v>
          </cell>
          <cell r="L4">
            <v>-2.58</v>
          </cell>
        </row>
        <row r="5">
          <cell r="I5">
            <v>9.9312631580000001</v>
          </cell>
          <cell r="L5">
            <v>-2.93</v>
          </cell>
        </row>
        <row r="6">
          <cell r="I6">
            <v>10.840263160000001</v>
          </cell>
          <cell r="L6">
            <v>-2.4300000000000002</v>
          </cell>
        </row>
        <row r="7">
          <cell r="I7">
            <v>11.23894737</v>
          </cell>
          <cell r="L7">
            <v>-1.96</v>
          </cell>
        </row>
        <row r="8">
          <cell r="I8">
            <v>11.398421050000001</v>
          </cell>
          <cell r="L8">
            <v>-2.0699999999999998</v>
          </cell>
        </row>
        <row r="9">
          <cell r="I9">
            <v>11.842563109999999</v>
          </cell>
          <cell r="L9">
            <v>-1.83</v>
          </cell>
        </row>
        <row r="10">
          <cell r="I10">
            <v>12.50985492</v>
          </cell>
          <cell r="L10">
            <v>-2.04</v>
          </cell>
        </row>
        <row r="11">
          <cell r="I11">
            <v>12.59397927</v>
          </cell>
          <cell r="L11">
            <v>-1.97</v>
          </cell>
        </row>
        <row r="12">
          <cell r="I12">
            <v>12.643689119999999</v>
          </cell>
          <cell r="L12">
            <v>-1.81</v>
          </cell>
        </row>
        <row r="13">
          <cell r="I13">
            <v>12.681927460000001</v>
          </cell>
          <cell r="L13">
            <v>-1.67</v>
          </cell>
        </row>
        <row r="14">
          <cell r="I14">
            <v>12.73546114</v>
          </cell>
          <cell r="L14">
            <v>-1.63</v>
          </cell>
        </row>
        <row r="15">
          <cell r="I15">
            <v>12.81576166</v>
          </cell>
          <cell r="L15">
            <v>-1.5</v>
          </cell>
        </row>
        <row r="16">
          <cell r="I16">
            <v>12.853999999999999</v>
          </cell>
          <cell r="L16">
            <v>-1.54</v>
          </cell>
        </row>
        <row r="17">
          <cell r="I17">
            <v>12.90434014</v>
          </cell>
          <cell r="L17">
            <v>-1.27</v>
          </cell>
        </row>
        <row r="18">
          <cell r="I18">
            <v>12.954680270000001</v>
          </cell>
          <cell r="L18">
            <v>-1.39</v>
          </cell>
        </row>
        <row r="19">
          <cell r="I19">
            <v>13.035224490000001</v>
          </cell>
          <cell r="L19">
            <v>-1.19</v>
          </cell>
        </row>
        <row r="20">
          <cell r="I20">
            <v>13.08556463</v>
          </cell>
          <cell r="L20">
            <v>-1.2</v>
          </cell>
        </row>
        <row r="21">
          <cell r="I21">
            <v>13.14597279</v>
          </cell>
          <cell r="L21">
            <v>-0.88</v>
          </cell>
        </row>
        <row r="22">
          <cell r="I22">
            <v>13.1862449</v>
          </cell>
          <cell r="L22">
            <v>-0.92</v>
          </cell>
        </row>
        <row r="23">
          <cell r="I23">
            <v>13.21141497</v>
          </cell>
          <cell r="L23">
            <v>-0.84</v>
          </cell>
        </row>
        <row r="24">
          <cell r="I24">
            <v>13.234950000000001</v>
          </cell>
          <cell r="L24">
            <v>-1.01</v>
          </cell>
        </row>
        <row r="25">
          <cell r="I25">
            <v>13.25685</v>
          </cell>
          <cell r="L25">
            <v>-1.1000000000000001</v>
          </cell>
        </row>
        <row r="26">
          <cell r="I26">
            <v>13.271450000000002</v>
          </cell>
          <cell r="L26">
            <v>-1.31</v>
          </cell>
        </row>
        <row r="27">
          <cell r="I27">
            <v>13.286049999999999</v>
          </cell>
          <cell r="L27">
            <v>-1.29</v>
          </cell>
        </row>
        <row r="28">
          <cell r="I28">
            <v>13.30149153</v>
          </cell>
          <cell r="L28">
            <v>-1.41</v>
          </cell>
        </row>
        <row r="29">
          <cell r="I29">
            <v>13.310474579999999</v>
          </cell>
          <cell r="L29">
            <v>-1.37</v>
          </cell>
        </row>
        <row r="30">
          <cell r="I30">
            <v>13.32844068</v>
          </cell>
          <cell r="L30">
            <v>-1.19</v>
          </cell>
        </row>
        <row r="31">
          <cell r="I31">
            <v>13.4115</v>
          </cell>
          <cell r="L31">
            <v>-1.1599999999999999</v>
          </cell>
        </row>
        <row r="32">
          <cell r="I32">
            <v>13.5345</v>
          </cell>
          <cell r="L32">
            <v>-1.07</v>
          </cell>
        </row>
        <row r="33">
          <cell r="I33">
            <v>13.6165</v>
          </cell>
          <cell r="L33">
            <v>-1.1599999999999999</v>
          </cell>
        </row>
        <row r="34">
          <cell r="I34">
            <v>13.7395</v>
          </cell>
          <cell r="L34">
            <v>-1.39</v>
          </cell>
        </row>
        <row r="35">
          <cell r="I35">
            <v>13.8215</v>
          </cell>
          <cell r="L35">
            <v>-1.33</v>
          </cell>
        </row>
        <row r="36">
          <cell r="I36">
            <v>15.297745450000001</v>
          </cell>
          <cell r="L36">
            <v>-0.92</v>
          </cell>
        </row>
        <row r="37">
          <cell r="I37">
            <v>15.48892727</v>
          </cell>
          <cell r="L37">
            <v>-1.2</v>
          </cell>
        </row>
        <row r="38">
          <cell r="I38">
            <v>15.68010909</v>
          </cell>
          <cell r="L38">
            <v>-0.76</v>
          </cell>
        </row>
        <row r="39">
          <cell r="I39">
            <v>15.986000000000001</v>
          </cell>
          <cell r="L39">
            <v>-0.59</v>
          </cell>
        </row>
        <row r="40">
          <cell r="I40">
            <v>16.057200000000002</v>
          </cell>
          <cell r="L40">
            <v>-0.81</v>
          </cell>
        </row>
        <row r="41">
          <cell r="I41">
            <v>16.270799999999998</v>
          </cell>
          <cell r="L41">
            <v>-0.78</v>
          </cell>
        </row>
        <row r="42">
          <cell r="I42">
            <v>16.486222219999998</v>
          </cell>
          <cell r="L42">
            <v>-0.66</v>
          </cell>
        </row>
        <row r="43">
          <cell r="I43">
            <v>16.84677778</v>
          </cell>
          <cell r="L43">
            <v>-0.71</v>
          </cell>
        </row>
        <row r="44">
          <cell r="I44">
            <v>17.105166669999999</v>
          </cell>
          <cell r="L44">
            <v>-0.64</v>
          </cell>
        </row>
        <row r="45">
          <cell r="I45">
            <v>17.24216667</v>
          </cell>
          <cell r="L45">
            <v>-0.53</v>
          </cell>
        </row>
        <row r="46">
          <cell r="I46">
            <v>17.287833330000002</v>
          </cell>
          <cell r="L46">
            <v>-0.39</v>
          </cell>
        </row>
        <row r="47">
          <cell r="I47">
            <v>17.402000000000001</v>
          </cell>
          <cell r="L47">
            <v>-0.8</v>
          </cell>
        </row>
        <row r="48">
          <cell r="I48">
            <v>17.561833330000002</v>
          </cell>
          <cell r="L48">
            <v>-0.6</v>
          </cell>
        </row>
        <row r="49">
          <cell r="I49">
            <v>17.630333330000003</v>
          </cell>
          <cell r="L49">
            <v>-0.62</v>
          </cell>
        </row>
        <row r="50">
          <cell r="I50">
            <v>17.874185570000002</v>
          </cell>
          <cell r="L50">
            <v>-0.52</v>
          </cell>
        </row>
        <row r="51">
          <cell r="I51">
            <v>18.072371130000001</v>
          </cell>
          <cell r="L51">
            <v>-0.64</v>
          </cell>
        </row>
        <row r="52">
          <cell r="I52">
            <v>18.336618559999998</v>
          </cell>
          <cell r="L52">
            <v>-0.48</v>
          </cell>
        </row>
        <row r="53">
          <cell r="I53">
            <v>18.46874227</v>
          </cell>
          <cell r="L53">
            <v>-0.03</v>
          </cell>
        </row>
        <row r="54">
          <cell r="I54">
            <v>18.799051550000001</v>
          </cell>
          <cell r="L54">
            <v>-0.33</v>
          </cell>
        </row>
        <row r="55">
          <cell r="I55">
            <v>18.997237109999997</v>
          </cell>
          <cell r="L55">
            <v>-0.17</v>
          </cell>
        </row>
        <row r="56">
          <cell r="I56">
            <v>19.129360820000002</v>
          </cell>
          <cell r="L56">
            <v>-0.54</v>
          </cell>
        </row>
        <row r="57">
          <cell r="I57">
            <v>19.261484540000001</v>
          </cell>
          <cell r="L57">
            <v>-0.19</v>
          </cell>
        </row>
        <row r="58">
          <cell r="I58">
            <v>19.4596701</v>
          </cell>
          <cell r="L58">
            <v>-0.34</v>
          </cell>
        </row>
        <row r="59">
          <cell r="I59">
            <v>19.723917529999998</v>
          </cell>
          <cell r="L59">
            <v>-0.18</v>
          </cell>
        </row>
        <row r="60">
          <cell r="I60">
            <v>19.789979380000002</v>
          </cell>
          <cell r="L60">
            <v>-0.11</v>
          </cell>
        </row>
        <row r="61">
          <cell r="I61">
            <v>19.988164949999998</v>
          </cell>
          <cell r="L61">
            <v>-0.26</v>
          </cell>
        </row>
        <row r="62">
          <cell r="I62">
            <v>20.12028866</v>
          </cell>
          <cell r="L62">
            <v>-0.11</v>
          </cell>
        </row>
        <row r="63">
          <cell r="I63">
            <v>20.31847423</v>
          </cell>
          <cell r="L63">
            <v>-0.28000000000000003</v>
          </cell>
        </row>
        <row r="64">
          <cell r="I64">
            <v>20.450597939999998</v>
          </cell>
          <cell r="L64">
            <v>-0.28999999999999998</v>
          </cell>
        </row>
        <row r="65">
          <cell r="I65">
            <v>20.648783510000001</v>
          </cell>
          <cell r="L65">
            <v>-0.46</v>
          </cell>
        </row>
        <row r="66">
          <cell r="I66">
            <v>20.78090722</v>
          </cell>
          <cell r="L66">
            <v>-0.21</v>
          </cell>
        </row>
        <row r="67">
          <cell r="I67">
            <v>20.979092779999998</v>
          </cell>
          <cell r="L67">
            <v>-0.36</v>
          </cell>
        </row>
        <row r="68">
          <cell r="I68">
            <v>21.11121649</v>
          </cell>
          <cell r="L68">
            <v>-0.44</v>
          </cell>
        </row>
        <row r="69">
          <cell r="I69">
            <v>21.30940206</v>
          </cell>
          <cell r="L69">
            <v>-0.06</v>
          </cell>
        </row>
        <row r="70">
          <cell r="I70">
            <v>21.441525770000002</v>
          </cell>
          <cell r="L70">
            <v>-0.5</v>
          </cell>
        </row>
        <row r="71">
          <cell r="I71">
            <v>21.639711340000002</v>
          </cell>
          <cell r="L71">
            <v>-0.23</v>
          </cell>
        </row>
        <row r="72">
          <cell r="I72">
            <v>21.77183505</v>
          </cell>
          <cell r="L72">
            <v>-0.31</v>
          </cell>
        </row>
        <row r="73">
          <cell r="I73">
            <v>21.97002062</v>
          </cell>
          <cell r="L73">
            <v>-0.37</v>
          </cell>
        </row>
        <row r="74">
          <cell r="I74">
            <v>22.102144329999998</v>
          </cell>
          <cell r="L74">
            <v>-0.13</v>
          </cell>
        </row>
        <row r="75">
          <cell r="I75">
            <v>22.300329900000001</v>
          </cell>
          <cell r="L75">
            <v>-7.0000000000000007E-2</v>
          </cell>
        </row>
        <row r="76">
          <cell r="I76">
            <v>22.43245361</v>
          </cell>
          <cell r="L76">
            <v>-0.28999999999999998</v>
          </cell>
        </row>
        <row r="77">
          <cell r="I77">
            <v>22.630639179999999</v>
          </cell>
          <cell r="L77">
            <v>-0.21</v>
          </cell>
        </row>
        <row r="78">
          <cell r="I78">
            <v>22.762762890000001</v>
          </cell>
          <cell r="L78">
            <v>-0.31</v>
          </cell>
        </row>
        <row r="79">
          <cell r="I79">
            <v>22.96094845</v>
          </cell>
          <cell r="L79">
            <v>-0.26</v>
          </cell>
        </row>
        <row r="80">
          <cell r="I80">
            <v>23.093072159999998</v>
          </cell>
          <cell r="L80">
            <v>-0.17</v>
          </cell>
        </row>
        <row r="81">
          <cell r="I81">
            <v>23.291257730000002</v>
          </cell>
          <cell r="L81">
            <v>-0.27</v>
          </cell>
        </row>
        <row r="82">
          <cell r="I82">
            <v>23.42338144</v>
          </cell>
          <cell r="L82">
            <v>-0.16</v>
          </cell>
        </row>
        <row r="83">
          <cell r="I83">
            <v>23.62156701</v>
          </cell>
          <cell r="L83">
            <v>-0.34</v>
          </cell>
        </row>
        <row r="84">
          <cell r="I84">
            <v>23.819752579999999</v>
          </cell>
          <cell r="L84">
            <v>-0.15</v>
          </cell>
        </row>
        <row r="85">
          <cell r="I85">
            <v>23.951876290000001</v>
          </cell>
          <cell r="L85">
            <v>-0.06</v>
          </cell>
        </row>
        <row r="86">
          <cell r="I86">
            <v>24.084</v>
          </cell>
          <cell r="L86">
            <v>-0.11</v>
          </cell>
        </row>
        <row r="87">
          <cell r="I87">
            <v>24.65007692</v>
          </cell>
          <cell r="L87">
            <v>-0.12</v>
          </cell>
        </row>
        <row r="88">
          <cell r="I88">
            <v>25.62784615</v>
          </cell>
          <cell r="L88">
            <v>-0.12</v>
          </cell>
        </row>
        <row r="89">
          <cell r="I89">
            <v>26.142461539999999</v>
          </cell>
          <cell r="L89">
            <v>-0.2</v>
          </cell>
        </row>
        <row r="90">
          <cell r="I90">
            <v>26.91438462</v>
          </cell>
          <cell r="L90">
            <v>-0.53</v>
          </cell>
        </row>
        <row r="91">
          <cell r="I91">
            <v>27.840692309999998</v>
          </cell>
          <cell r="L91">
            <v>-0.39</v>
          </cell>
        </row>
        <row r="92">
          <cell r="I92">
            <v>28.18238298</v>
          </cell>
          <cell r="L92">
            <v>-0.65</v>
          </cell>
        </row>
        <row r="93">
          <cell r="I93">
            <v>28.519914889999999</v>
          </cell>
          <cell r="L93">
            <v>-0.42</v>
          </cell>
        </row>
        <row r="94">
          <cell r="I94">
            <v>29.082468089999999</v>
          </cell>
          <cell r="L94">
            <v>-0.37</v>
          </cell>
        </row>
        <row r="95">
          <cell r="I95">
            <v>29.47625532</v>
          </cell>
          <cell r="L95">
            <v>-0.51</v>
          </cell>
        </row>
        <row r="96">
          <cell r="I96">
            <v>30.038808509999999</v>
          </cell>
          <cell r="L96">
            <v>-0.43</v>
          </cell>
        </row>
        <row r="97">
          <cell r="I97">
            <v>30.54510638</v>
          </cell>
          <cell r="L97">
            <v>-0.46</v>
          </cell>
        </row>
        <row r="98">
          <cell r="I98">
            <v>30.80280952</v>
          </cell>
          <cell r="L98">
            <v>-0.54</v>
          </cell>
        </row>
        <row r="99">
          <cell r="I99">
            <v>30.86361905</v>
          </cell>
          <cell r="L99">
            <v>-0.44</v>
          </cell>
        </row>
        <row r="100">
          <cell r="I100">
            <v>31.021723810000001</v>
          </cell>
          <cell r="L100">
            <v>-0.75</v>
          </cell>
        </row>
        <row r="101">
          <cell r="I101">
            <v>31.179828570000002</v>
          </cell>
          <cell r="L101">
            <v>-0.71</v>
          </cell>
        </row>
        <row r="102">
          <cell r="I102">
            <v>31.690628570000001</v>
          </cell>
          <cell r="L102">
            <v>-0.55000000000000004</v>
          </cell>
        </row>
        <row r="103">
          <cell r="I103">
            <v>31.812247619999997</v>
          </cell>
          <cell r="L103">
            <v>-0.57999999999999996</v>
          </cell>
        </row>
        <row r="104">
          <cell r="I104">
            <v>32.018999999999998</v>
          </cell>
          <cell r="L104">
            <v>-0.68</v>
          </cell>
        </row>
        <row r="105">
          <cell r="I105">
            <v>32.250999999999998</v>
          </cell>
          <cell r="L105">
            <v>-0.74</v>
          </cell>
        </row>
        <row r="106">
          <cell r="I106">
            <v>32.540999999999997</v>
          </cell>
          <cell r="L106">
            <v>-0.6</v>
          </cell>
        </row>
        <row r="107">
          <cell r="I107">
            <v>33.121000000000002</v>
          </cell>
          <cell r="L107">
            <v>-0.63</v>
          </cell>
        </row>
        <row r="108">
          <cell r="I108">
            <v>33.411000000000001</v>
          </cell>
          <cell r="L108">
            <v>-0.8</v>
          </cell>
        </row>
        <row r="109">
          <cell r="I109">
            <v>33.701000000000001</v>
          </cell>
          <cell r="L109">
            <v>-0.71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A4"/>
    </sheetNames>
    <sheetDataSet>
      <sheetData sheetId="0">
        <row r="1">
          <cell r="D1" t="str">
            <v>SST (°C)</v>
          </cell>
        </row>
        <row r="2">
          <cell r="B2">
            <v>0.4</v>
          </cell>
          <cell r="D2">
            <v>25.5</v>
          </cell>
        </row>
        <row r="3">
          <cell r="B3">
            <v>3.2</v>
          </cell>
          <cell r="D3">
            <v>25.6</v>
          </cell>
        </row>
        <row r="4">
          <cell r="B4">
            <v>6</v>
          </cell>
          <cell r="D4">
            <v>25.6</v>
          </cell>
        </row>
        <row r="5">
          <cell r="B5">
            <v>8</v>
          </cell>
          <cell r="D5">
            <v>25.7</v>
          </cell>
        </row>
        <row r="6">
          <cell r="B6">
            <v>10</v>
          </cell>
          <cell r="D6">
            <v>24.4</v>
          </cell>
        </row>
        <row r="7">
          <cell r="B7">
            <v>10.9</v>
          </cell>
          <cell r="D7">
            <v>25.1</v>
          </cell>
        </row>
        <row r="8">
          <cell r="B8">
            <v>11.8</v>
          </cell>
          <cell r="D8">
            <v>24.8</v>
          </cell>
        </row>
        <row r="9">
          <cell r="B9">
            <v>13.5</v>
          </cell>
          <cell r="D9">
            <v>23.3</v>
          </cell>
        </row>
        <row r="10">
          <cell r="B10">
            <v>14.8</v>
          </cell>
          <cell r="D10">
            <v>23.4</v>
          </cell>
        </row>
        <row r="11">
          <cell r="B11">
            <v>15.5</v>
          </cell>
          <cell r="D11">
            <v>22.6</v>
          </cell>
        </row>
        <row r="12">
          <cell r="B12">
            <v>16.5</v>
          </cell>
          <cell r="D12">
            <v>22.1</v>
          </cell>
        </row>
        <row r="13">
          <cell r="B13">
            <v>17.7</v>
          </cell>
          <cell r="D13">
            <v>21.9</v>
          </cell>
        </row>
        <row r="14">
          <cell r="B14">
            <v>18.7</v>
          </cell>
          <cell r="D14">
            <v>22.3</v>
          </cell>
        </row>
        <row r="15">
          <cell r="B15">
            <v>20.3</v>
          </cell>
          <cell r="D15">
            <v>22.3</v>
          </cell>
        </row>
        <row r="16">
          <cell r="B16">
            <v>23.1</v>
          </cell>
          <cell r="D16">
            <v>21.4</v>
          </cell>
        </row>
        <row r="17">
          <cell r="B17">
            <v>24.7</v>
          </cell>
          <cell r="D17">
            <v>21</v>
          </cell>
        </row>
        <row r="18">
          <cell r="B18">
            <v>26.4</v>
          </cell>
          <cell r="D18">
            <v>21.6</v>
          </cell>
        </row>
        <row r="19">
          <cell r="B19">
            <v>28</v>
          </cell>
          <cell r="D19">
            <v>23</v>
          </cell>
        </row>
        <row r="20">
          <cell r="B20">
            <v>29.8</v>
          </cell>
          <cell r="D20">
            <v>22.8</v>
          </cell>
        </row>
        <row r="21">
          <cell r="B21">
            <v>32.299999999999997</v>
          </cell>
          <cell r="D21">
            <v>22.6</v>
          </cell>
        </row>
        <row r="22">
          <cell r="B22">
            <v>34.200000000000003</v>
          </cell>
          <cell r="D22">
            <v>22.8</v>
          </cell>
        </row>
        <row r="23">
          <cell r="B23">
            <v>36.299999999999997</v>
          </cell>
          <cell r="D23">
            <v>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C2A9-8B7B-41A7-AEFA-E6FC592D153C}">
  <dimension ref="A1:AG21"/>
  <sheetViews>
    <sheetView topLeftCell="I19" zoomScale="119" zoomScaleNormal="70" workbookViewId="0">
      <selection activeCell="U41" sqref="U41"/>
    </sheetView>
  </sheetViews>
  <sheetFormatPr defaultRowHeight="15" x14ac:dyDescent="0.25"/>
  <cols>
    <col min="4" max="4" width="9.5703125" bestFit="1" customWidth="1"/>
    <col min="6" max="6" width="9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47</v>
      </c>
      <c r="G1" t="s">
        <v>48</v>
      </c>
      <c r="H1" t="s">
        <v>51</v>
      </c>
      <c r="I1" t="s">
        <v>49</v>
      </c>
      <c r="J1" t="s">
        <v>50</v>
      </c>
      <c r="K1" t="s">
        <v>101</v>
      </c>
    </row>
    <row r="2" spans="1:29" x14ac:dyDescent="0.25">
      <c r="A2" t="s">
        <v>3</v>
      </c>
      <c r="B2">
        <v>101</v>
      </c>
      <c r="C2" s="1">
        <v>10.298052630000001</v>
      </c>
      <c r="D2" cm="1">
        <f t="array" ref="D2">SUM('250-600 μm'!D2:Z2+'150-250 μm '!D2:Z2+'150-600 μm (rest)'!D2:Z2)</f>
        <v>4</v>
      </c>
      <c r="E2">
        <f>D2</f>
        <v>4</v>
      </c>
      <c r="F2">
        <v>2</v>
      </c>
      <c r="G2" s="2">
        <f>F2/(D2+F2)</f>
        <v>0.33333333333333331</v>
      </c>
      <c r="H2" s="2">
        <f>Species!AN2</f>
        <v>0</v>
      </c>
      <c r="I2" s="4">
        <v>8.26</v>
      </c>
      <c r="J2">
        <f>ROUND(E2/I2,2)</f>
        <v>0.48</v>
      </c>
      <c r="K2" s="10">
        <v>50.6</v>
      </c>
      <c r="AC2" s="1"/>
    </row>
    <row r="3" spans="1:29" x14ac:dyDescent="0.25">
      <c r="A3" t="s">
        <v>4</v>
      </c>
      <c r="B3">
        <v>191</v>
      </c>
      <c r="C3" s="1">
        <v>11.76807767</v>
      </c>
      <c r="D3" cm="1">
        <f t="array" ref="D3">SUM('250-600 μm'!D3:Z3+'150-250 μm '!D3:Z3+'150-600 μm (rest)'!D3:Z3)</f>
        <v>73</v>
      </c>
      <c r="E3">
        <f>D3</f>
        <v>73</v>
      </c>
      <c r="F3">
        <v>17</v>
      </c>
      <c r="G3" s="2">
        <f t="shared" ref="G3:G14" si="0">F3/(D3+F3)</f>
        <v>0.18888888888888888</v>
      </c>
      <c r="H3" s="2">
        <f>Species!AN3</f>
        <v>0.20547945205479451</v>
      </c>
      <c r="I3" s="4">
        <v>9.91</v>
      </c>
      <c r="J3">
        <f t="shared" ref="J3:J14" si="1">ROUND(E3/I3,2)</f>
        <v>7.37</v>
      </c>
      <c r="K3" s="10">
        <v>58</v>
      </c>
    </row>
    <row r="4" spans="1:29" x14ac:dyDescent="0.25">
      <c r="A4" t="s">
        <v>5</v>
      </c>
      <c r="B4">
        <v>211</v>
      </c>
      <c r="C4" s="1">
        <v>12.140504849999999</v>
      </c>
      <c r="D4" cm="1">
        <f t="array" ref="D4">SUM('250-600 μm'!D4:Z4+'150-250 μm '!D4:Z4+'150-600 μm (rest)'!D4:Z4)</f>
        <v>59</v>
      </c>
      <c r="E4">
        <f>D4</f>
        <v>59</v>
      </c>
      <c r="F4">
        <v>22</v>
      </c>
      <c r="G4" s="2">
        <f t="shared" si="0"/>
        <v>0.27160493827160492</v>
      </c>
      <c r="H4" s="2">
        <f>Species!AN4</f>
        <v>6.7796610169491525E-2</v>
      </c>
      <c r="I4" s="3">
        <v>12.13</v>
      </c>
      <c r="J4">
        <f t="shared" si="1"/>
        <v>4.8600000000000003</v>
      </c>
      <c r="K4" s="10">
        <v>50.2</v>
      </c>
    </row>
    <row r="5" spans="1:29" x14ac:dyDescent="0.25">
      <c r="A5" t="s">
        <v>6</v>
      </c>
      <c r="B5">
        <v>281</v>
      </c>
      <c r="C5" s="1">
        <v>12.681927460000001</v>
      </c>
      <c r="D5" cm="1">
        <f t="array" ref="D5">SUM('250-600 μm'!D5:Z5+'150-250 μm '!D5:Z5+'150-600 μm (rest)'!D5:Z5)</f>
        <v>29</v>
      </c>
      <c r="E5" s="5">
        <f>D5+70</f>
        <v>99</v>
      </c>
      <c r="F5">
        <v>8</v>
      </c>
      <c r="G5" s="2">
        <f t="shared" si="0"/>
        <v>0.21621621621621623</v>
      </c>
      <c r="H5" s="2">
        <f>Species!AN5</f>
        <v>0.13793103448275862</v>
      </c>
      <c r="I5" s="4">
        <v>10.47</v>
      </c>
      <c r="J5">
        <f t="shared" si="1"/>
        <v>9.4600000000000009</v>
      </c>
      <c r="K5" s="10">
        <v>46.9</v>
      </c>
    </row>
    <row r="6" spans="1:29" x14ac:dyDescent="0.25">
      <c r="A6" t="s">
        <v>24</v>
      </c>
      <c r="B6">
        <v>336</v>
      </c>
      <c r="C6" s="1">
        <v>12.90434014</v>
      </c>
      <c r="D6" cm="1">
        <f t="array" ref="D6">SUM('250-600 μm'!D6:Z6+'150-250 μm '!D6:Z6+'150-600 μm (rest)'!D6:Z6)</f>
        <v>118</v>
      </c>
      <c r="E6">
        <f>ROUND(D6*(32/11),2)</f>
        <v>343.27</v>
      </c>
      <c r="F6">
        <v>34</v>
      </c>
      <c r="G6" s="2">
        <f t="shared" si="0"/>
        <v>0.22368421052631579</v>
      </c>
      <c r="H6" s="2">
        <f>Species!AN6</f>
        <v>0.24576271186440679</v>
      </c>
      <c r="I6" s="3">
        <v>13.45</v>
      </c>
      <c r="J6">
        <f t="shared" si="1"/>
        <v>25.52</v>
      </c>
      <c r="K6" s="10">
        <v>78.5</v>
      </c>
    </row>
    <row r="7" spans="1:29" x14ac:dyDescent="0.25">
      <c r="A7" t="s">
        <v>7</v>
      </c>
      <c r="B7">
        <v>482</v>
      </c>
      <c r="C7" s="1">
        <v>13.4115</v>
      </c>
      <c r="D7" cm="1">
        <f t="array" ref="D7">SUM('250-600 μm'!D7:Z7+'150-250 μm '!D7:Z7+'150-600 μm (rest)'!D7:Z7)</f>
        <v>18</v>
      </c>
      <c r="E7">
        <f>D7</f>
        <v>18</v>
      </c>
      <c r="F7">
        <v>15</v>
      </c>
      <c r="G7" s="2">
        <f t="shared" si="0"/>
        <v>0.45454545454545453</v>
      </c>
      <c r="H7" s="2">
        <f>Species!AN7</f>
        <v>5.5555555555555552E-2</v>
      </c>
      <c r="I7" s="3">
        <v>13.7</v>
      </c>
      <c r="J7">
        <f t="shared" si="1"/>
        <v>1.31</v>
      </c>
      <c r="K7" s="10">
        <v>84.2</v>
      </c>
    </row>
    <row r="8" spans="1:29" x14ac:dyDescent="0.25">
      <c r="A8" t="s">
        <v>8</v>
      </c>
      <c r="B8">
        <v>542</v>
      </c>
      <c r="C8" s="1">
        <v>15.297745450000001</v>
      </c>
      <c r="D8" cm="1">
        <f t="array" ref="D8">SUM('250-600 μm'!D8:Z8+'150-250 μm '!D8:Z8+'150-600 μm (rest)'!D8:Z8)</f>
        <v>149</v>
      </c>
      <c r="E8">
        <f>ROUND(D8*(256/31),2)</f>
        <v>1230.45</v>
      </c>
      <c r="F8">
        <v>48</v>
      </c>
      <c r="G8" s="2">
        <f t="shared" si="0"/>
        <v>0.24365482233502539</v>
      </c>
      <c r="H8" s="2">
        <f>Species!AN8</f>
        <v>0.32214765100671139</v>
      </c>
      <c r="I8" s="3">
        <v>13.66</v>
      </c>
      <c r="J8">
        <f t="shared" si="1"/>
        <v>90.08</v>
      </c>
      <c r="K8" s="10">
        <v>84.1</v>
      </c>
    </row>
    <row r="9" spans="1:29" x14ac:dyDescent="0.25">
      <c r="A9" t="s">
        <v>9</v>
      </c>
      <c r="B9">
        <v>607</v>
      </c>
      <c r="C9" s="1">
        <v>17.630333329999999</v>
      </c>
      <c r="D9" cm="1">
        <f t="array" ref="D9">SUM('250-600 μm'!D9:Z9+'150-250 μm '!D9:Z9+'150-600 μm (rest)'!D9:Z9)</f>
        <v>16</v>
      </c>
      <c r="E9">
        <f t="shared" ref="E9:E16" si="2">D9</f>
        <v>16</v>
      </c>
      <c r="F9">
        <v>13</v>
      </c>
      <c r="G9" s="2">
        <f t="shared" si="0"/>
        <v>0.44827586206896552</v>
      </c>
      <c r="H9" s="2">
        <f>Species!AN9</f>
        <v>6.25E-2</v>
      </c>
      <c r="I9" s="3">
        <v>12.89</v>
      </c>
      <c r="J9">
        <f t="shared" si="1"/>
        <v>1.24</v>
      </c>
      <c r="K9" s="10">
        <v>11</v>
      </c>
    </row>
    <row r="10" spans="1:29" x14ac:dyDescent="0.25">
      <c r="A10" t="s">
        <v>10</v>
      </c>
      <c r="B10">
        <v>641</v>
      </c>
      <c r="C10" s="1">
        <v>19.789979379999998</v>
      </c>
      <c r="D10" cm="1">
        <f t="array" ref="D10">SUM('250-600 μm'!D10:Z10+'150-250 μm '!D10:Z10+'150-600 μm (rest)'!D10:Z10)</f>
        <v>34</v>
      </c>
      <c r="E10">
        <f t="shared" si="2"/>
        <v>34</v>
      </c>
      <c r="F10">
        <v>12</v>
      </c>
      <c r="G10" s="2">
        <f t="shared" si="0"/>
        <v>0.2608695652173913</v>
      </c>
      <c r="H10" s="2">
        <f>Species!AN10</f>
        <v>0.23529411764705882</v>
      </c>
      <c r="I10" s="3">
        <v>12.82</v>
      </c>
      <c r="J10">
        <f t="shared" si="1"/>
        <v>2.65</v>
      </c>
      <c r="K10" s="10">
        <v>64.099999999999994</v>
      </c>
    </row>
    <row r="11" spans="1:29" x14ac:dyDescent="0.25">
      <c r="A11" t="s">
        <v>11</v>
      </c>
      <c r="B11">
        <v>676</v>
      </c>
      <c r="C11" s="1">
        <v>22.102144330000002</v>
      </c>
      <c r="D11" cm="1">
        <f t="array" ref="D11">SUM('250-600 μm'!D11:Z11+'150-250 μm '!D11:Z11+'150-600 μm (rest)'!D11:Z11)</f>
        <v>31</v>
      </c>
      <c r="E11">
        <f t="shared" si="2"/>
        <v>31</v>
      </c>
      <c r="F11">
        <v>20</v>
      </c>
      <c r="G11" s="2">
        <f t="shared" si="0"/>
        <v>0.39215686274509803</v>
      </c>
      <c r="H11" s="2">
        <f>Species!AN11</f>
        <v>0.16129032258064516</v>
      </c>
      <c r="I11" s="3">
        <v>16.079999999999998</v>
      </c>
      <c r="J11">
        <f t="shared" si="1"/>
        <v>1.93</v>
      </c>
      <c r="K11" s="10">
        <v>63.3</v>
      </c>
    </row>
    <row r="12" spans="1:29" x14ac:dyDescent="0.25">
      <c r="A12" t="s">
        <v>12</v>
      </c>
      <c r="B12">
        <v>746</v>
      </c>
      <c r="C12" s="1">
        <v>26.142461539999999</v>
      </c>
      <c r="D12" cm="1">
        <f t="array" ref="D12">SUM('250-600 μm'!D12:Z12+'150-250 μm '!D12:Z12+'150-600 μm (rest)'!D12:Z12)</f>
        <v>167</v>
      </c>
      <c r="E12">
        <f t="shared" si="2"/>
        <v>167</v>
      </c>
      <c r="F12">
        <v>94</v>
      </c>
      <c r="G12" s="2">
        <f t="shared" si="0"/>
        <v>0.36015325670498083</v>
      </c>
      <c r="H12" s="2">
        <f>Species!AN12</f>
        <v>0.31736526946107785</v>
      </c>
      <c r="I12" s="3">
        <v>19.41</v>
      </c>
      <c r="J12">
        <f t="shared" si="1"/>
        <v>8.6</v>
      </c>
      <c r="K12" s="10">
        <v>65.599999999999994</v>
      </c>
    </row>
    <row r="13" spans="1:29" x14ac:dyDescent="0.25">
      <c r="A13" t="s">
        <v>13</v>
      </c>
      <c r="B13">
        <v>833</v>
      </c>
      <c r="C13" s="1">
        <v>29.47625532</v>
      </c>
      <c r="D13" cm="1">
        <f t="array" ref="D13">SUM('250-600 μm'!D13:Z13+'150-250 μm '!D13:Z13+'150-600 μm (rest)'!D13:Z13)</f>
        <v>2</v>
      </c>
      <c r="E13">
        <f t="shared" si="2"/>
        <v>2</v>
      </c>
      <c r="F13">
        <v>6</v>
      </c>
      <c r="G13" s="2">
        <f>F13/(D13+F13)</f>
        <v>0.75</v>
      </c>
      <c r="H13" s="2">
        <f>Species!AN13</f>
        <v>0</v>
      </c>
      <c r="I13" s="3">
        <v>14.7</v>
      </c>
      <c r="J13">
        <f t="shared" si="1"/>
        <v>0.14000000000000001</v>
      </c>
      <c r="K13" s="10">
        <v>30.4</v>
      </c>
    </row>
    <row r="14" spans="1:29" x14ac:dyDescent="0.25">
      <c r="A14" t="s">
        <v>14</v>
      </c>
      <c r="B14">
        <v>888</v>
      </c>
      <c r="C14" s="1">
        <v>30.86361905</v>
      </c>
      <c r="D14" cm="1">
        <f t="array" ref="D14">SUM('250-600 μm'!D14:Z14+'150-250 μm '!D14:Z14+'150-600 μm (rest)'!D14:Z14)</f>
        <v>3</v>
      </c>
      <c r="E14">
        <f t="shared" si="2"/>
        <v>3</v>
      </c>
      <c r="F14">
        <v>8</v>
      </c>
      <c r="G14" s="2">
        <f t="shared" si="0"/>
        <v>0.72727272727272729</v>
      </c>
      <c r="H14" s="2">
        <f>Species!AN14</f>
        <v>0</v>
      </c>
      <c r="I14" s="3">
        <v>15.63</v>
      </c>
      <c r="J14">
        <f t="shared" si="1"/>
        <v>0.19</v>
      </c>
      <c r="K14" s="10">
        <v>49.5</v>
      </c>
    </row>
    <row r="15" spans="1:29" x14ac:dyDescent="0.25">
      <c r="A15" t="s">
        <v>15</v>
      </c>
      <c r="B15">
        <v>940</v>
      </c>
      <c r="C15" s="1">
        <v>31.4960381</v>
      </c>
      <c r="D15" cm="1">
        <f t="array" ref="D15">SUM('250-600 μm'!D15:Z15+'150-250 μm '!D15:Z15+'150-600 μm (rest)'!D15:Z15)</f>
        <v>0</v>
      </c>
      <c r="E15">
        <f t="shared" si="2"/>
        <v>0</v>
      </c>
      <c r="F15">
        <v>0</v>
      </c>
      <c r="G15" s="2">
        <v>0</v>
      </c>
      <c r="H15" s="2">
        <f>Species!AN15</f>
        <v>0</v>
      </c>
      <c r="I15" s="3">
        <v>15.4</v>
      </c>
      <c r="J15">
        <f t="shared" ref="J15:J16" si="3">E15/I15</f>
        <v>0</v>
      </c>
      <c r="K15" s="10">
        <v>48.4</v>
      </c>
    </row>
    <row r="16" spans="1:29" x14ac:dyDescent="0.25">
      <c r="A16" t="s">
        <v>16</v>
      </c>
      <c r="B16">
        <v>1021</v>
      </c>
      <c r="C16" s="1">
        <v>33.121000000000002</v>
      </c>
      <c r="D16" cm="1">
        <f t="array" ref="D16">SUM('250-600 μm'!D16:Z16+'150-250 μm '!D16:Z16+'150-600 μm (rest)'!D16:Z16)</f>
        <v>0</v>
      </c>
      <c r="E16">
        <f t="shared" si="2"/>
        <v>0</v>
      </c>
      <c r="F16">
        <v>5</v>
      </c>
      <c r="G16" s="2">
        <f>F16/(D16+F16)</f>
        <v>1</v>
      </c>
      <c r="H16" s="2">
        <f>Species!AN16</f>
        <v>0</v>
      </c>
      <c r="I16" s="3">
        <v>15.96</v>
      </c>
      <c r="J16">
        <f t="shared" si="3"/>
        <v>0</v>
      </c>
      <c r="K16" s="10">
        <v>67</v>
      </c>
    </row>
    <row r="19" spans="9:33" x14ac:dyDescent="0.25">
      <c r="I19" cm="1">
        <f t="array" ref="I19">SUM(J10:J16/7)</f>
        <v>1.9299999999999997</v>
      </c>
    </row>
    <row r="20" spans="9:33" x14ac:dyDescent="0.25">
      <c r="AG20" s="1"/>
    </row>
    <row r="21" spans="9:33" x14ac:dyDescent="0.25">
      <c r="AC21" s="1"/>
      <c r="AG2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455A-8215-48E6-BE69-824E7FFC73E1}">
  <dimension ref="A1:AA36"/>
  <sheetViews>
    <sheetView zoomScale="70" zoomScaleNormal="70" workbookViewId="0">
      <selection activeCell="AA21" sqref="AA2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17</v>
      </c>
      <c r="I1" t="s">
        <v>18</v>
      </c>
      <c r="J1" t="s">
        <v>32</v>
      </c>
      <c r="K1" t="s">
        <v>31</v>
      </c>
      <c r="L1" t="s">
        <v>33</v>
      </c>
      <c r="M1" t="s">
        <v>34</v>
      </c>
      <c r="N1" t="s">
        <v>29</v>
      </c>
      <c r="O1" t="s">
        <v>163</v>
      </c>
      <c r="P1" t="s">
        <v>164</v>
      </c>
      <c r="Q1" t="s">
        <v>36</v>
      </c>
      <c r="R1" t="s">
        <v>165</v>
      </c>
      <c r="S1" t="s">
        <v>166</v>
      </c>
      <c r="T1" t="s">
        <v>45</v>
      </c>
      <c r="U1" t="s">
        <v>46</v>
      </c>
      <c r="V1" t="s">
        <v>19</v>
      </c>
      <c r="W1" t="s">
        <v>20</v>
      </c>
      <c r="X1" t="s">
        <v>43</v>
      </c>
      <c r="Y1" t="s">
        <v>44</v>
      </c>
      <c r="Z1" t="s">
        <v>41</v>
      </c>
      <c r="AA1" t="s">
        <v>21</v>
      </c>
    </row>
    <row r="2" spans="1:27" x14ac:dyDescent="0.25">
      <c r="A2" t="s">
        <v>3</v>
      </c>
      <c r="B2">
        <v>101</v>
      </c>
      <c r="C2" s="1">
        <v>10.298052630000001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>SUM(D2:Z2)</f>
        <v>0</v>
      </c>
    </row>
    <row r="3" spans="1:27" x14ac:dyDescent="0.25">
      <c r="A3" t="s">
        <v>4</v>
      </c>
      <c r="B3">
        <v>191</v>
      </c>
      <c r="C3" s="1">
        <v>11.76807767</v>
      </c>
      <c r="D3">
        <v>9</v>
      </c>
      <c r="E3">
        <v>3</v>
      </c>
      <c r="F3">
        <v>3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f t="shared" ref="AA3:AA16" si="0">SUM(D3:Z3)</f>
        <v>17</v>
      </c>
    </row>
    <row r="4" spans="1:27" x14ac:dyDescent="0.25">
      <c r="A4" t="s">
        <v>5</v>
      </c>
      <c r="B4">
        <v>211</v>
      </c>
      <c r="C4" s="1">
        <v>12.140504849999999</v>
      </c>
      <c r="D4">
        <v>1</v>
      </c>
      <c r="E4">
        <v>0</v>
      </c>
      <c r="F4">
        <v>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0</v>
      </c>
      <c r="Z4">
        <v>0</v>
      </c>
      <c r="AA4">
        <f t="shared" si="0"/>
        <v>8</v>
      </c>
    </row>
    <row r="5" spans="1:27" x14ac:dyDescent="0.25">
      <c r="A5" t="s">
        <v>6</v>
      </c>
      <c r="B5">
        <v>281</v>
      </c>
      <c r="C5" s="1">
        <v>12.681927460000001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 t="shared" si="0"/>
        <v>3</v>
      </c>
    </row>
    <row r="6" spans="1:27" x14ac:dyDescent="0.25">
      <c r="A6" t="s">
        <v>24</v>
      </c>
      <c r="B6">
        <v>336</v>
      </c>
      <c r="C6" s="1">
        <v>12.90434014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f t="shared" si="0"/>
        <v>3</v>
      </c>
    </row>
    <row r="7" spans="1:27" x14ac:dyDescent="0.25">
      <c r="A7" t="s">
        <v>7</v>
      </c>
      <c r="B7">
        <v>482</v>
      </c>
      <c r="C7" s="1">
        <v>13.4115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f t="shared" si="0"/>
        <v>0</v>
      </c>
    </row>
    <row r="8" spans="1:27" x14ac:dyDescent="0.25">
      <c r="A8" t="s">
        <v>8</v>
      </c>
      <c r="B8">
        <v>542</v>
      </c>
      <c r="C8" s="1">
        <v>15.297745450000001</v>
      </c>
      <c r="D8">
        <v>6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f t="shared" si="0"/>
        <v>9</v>
      </c>
    </row>
    <row r="9" spans="1:27" x14ac:dyDescent="0.25">
      <c r="A9" t="s">
        <v>9</v>
      </c>
      <c r="B9">
        <v>607</v>
      </c>
      <c r="C9" s="1">
        <v>17.630333330000003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f t="shared" si="0"/>
        <v>1</v>
      </c>
    </row>
    <row r="10" spans="1:27" x14ac:dyDescent="0.25">
      <c r="A10" t="s">
        <v>10</v>
      </c>
      <c r="B10">
        <v>641</v>
      </c>
      <c r="C10" s="1">
        <v>19.789979380000002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 t="shared" si="0"/>
        <v>0</v>
      </c>
    </row>
    <row r="11" spans="1:27" x14ac:dyDescent="0.25">
      <c r="A11" t="s">
        <v>11</v>
      </c>
      <c r="B11">
        <v>676</v>
      </c>
      <c r="C11" s="1">
        <v>22.102144329999998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 t="shared" si="0"/>
        <v>0</v>
      </c>
    </row>
    <row r="12" spans="1:27" x14ac:dyDescent="0.25">
      <c r="A12" t="s">
        <v>12</v>
      </c>
      <c r="B12">
        <v>746</v>
      </c>
      <c r="C12" s="1">
        <v>26.142461539999999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f t="shared" si="0"/>
        <v>2</v>
      </c>
    </row>
    <row r="13" spans="1:27" x14ac:dyDescent="0.25">
      <c r="A13" t="s">
        <v>13</v>
      </c>
      <c r="B13">
        <v>833</v>
      </c>
      <c r="C13" s="1">
        <v>29.47625532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f t="shared" si="0"/>
        <v>0</v>
      </c>
    </row>
    <row r="14" spans="1:27" x14ac:dyDescent="0.25">
      <c r="A14" t="s">
        <v>14</v>
      </c>
      <c r="B14">
        <v>888</v>
      </c>
      <c r="C14" s="1">
        <v>30.86361905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f t="shared" si="0"/>
        <v>0</v>
      </c>
    </row>
    <row r="15" spans="1:27" x14ac:dyDescent="0.25">
      <c r="A15" t="s">
        <v>15</v>
      </c>
      <c r="B15">
        <v>940</v>
      </c>
      <c r="C15" s="1">
        <v>31.4960381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 t="shared" si="0"/>
        <v>0</v>
      </c>
    </row>
    <row r="16" spans="1:27" x14ac:dyDescent="0.25">
      <c r="A16" t="s">
        <v>16</v>
      </c>
      <c r="B16">
        <v>1021</v>
      </c>
      <c r="C16" s="1">
        <v>33.121000000000002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f t="shared" si="0"/>
        <v>0</v>
      </c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0F1A-408D-4346-8DFE-5E5DBAB0A00B}">
  <dimension ref="A1:AA36"/>
  <sheetViews>
    <sheetView zoomScale="70" zoomScaleNormal="70" workbookViewId="0">
      <selection activeCell="D20" sqref="D20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17</v>
      </c>
      <c r="I1" t="s">
        <v>18</v>
      </c>
      <c r="J1" t="s">
        <v>32</v>
      </c>
      <c r="K1" t="s">
        <v>31</v>
      </c>
      <c r="L1" t="s">
        <v>33</v>
      </c>
      <c r="M1" t="s">
        <v>34</v>
      </c>
      <c r="N1" t="s">
        <v>29</v>
      </c>
      <c r="O1" t="s">
        <v>163</v>
      </c>
      <c r="P1" t="s">
        <v>164</v>
      </c>
      <c r="Q1" t="s">
        <v>36</v>
      </c>
      <c r="R1" t="s">
        <v>165</v>
      </c>
      <c r="S1" t="s">
        <v>166</v>
      </c>
      <c r="T1" t="s">
        <v>45</v>
      </c>
      <c r="U1" t="s">
        <v>46</v>
      </c>
      <c r="V1" t="s">
        <v>19</v>
      </c>
      <c r="W1" t="s">
        <v>20</v>
      </c>
      <c r="X1" t="s">
        <v>43</v>
      </c>
      <c r="Y1" t="s">
        <v>44</v>
      </c>
      <c r="Z1" t="s">
        <v>41</v>
      </c>
      <c r="AA1" t="s">
        <v>21</v>
      </c>
    </row>
    <row r="2" spans="1:27" x14ac:dyDescent="0.25">
      <c r="A2" t="s">
        <v>3</v>
      </c>
      <c r="B2">
        <v>101</v>
      </c>
      <c r="C2" s="1">
        <v>10.298052630000001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f>SUM(D2:Z2)</f>
        <v>4</v>
      </c>
    </row>
    <row r="3" spans="1:27" x14ac:dyDescent="0.25">
      <c r="A3" t="s">
        <v>4</v>
      </c>
      <c r="B3">
        <v>191</v>
      </c>
      <c r="C3" s="1">
        <v>11.76807767</v>
      </c>
      <c r="D3">
        <v>9</v>
      </c>
      <c r="E3">
        <v>6</v>
      </c>
      <c r="F3">
        <v>31</v>
      </c>
      <c r="G3">
        <v>5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 t="shared" ref="AA3:AA16" si="0">SUM(D3:Z3)</f>
        <v>56</v>
      </c>
    </row>
    <row r="4" spans="1:27" x14ac:dyDescent="0.25">
      <c r="A4" t="s">
        <v>5</v>
      </c>
      <c r="B4">
        <v>211</v>
      </c>
      <c r="C4" s="1">
        <v>12.140504849999999</v>
      </c>
      <c r="D4">
        <v>7</v>
      </c>
      <c r="E4">
        <v>0</v>
      </c>
      <c r="F4">
        <v>32</v>
      </c>
      <c r="G4">
        <v>2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2</v>
      </c>
      <c r="T4">
        <v>1</v>
      </c>
      <c r="U4">
        <v>0</v>
      </c>
      <c r="V4">
        <v>0</v>
      </c>
      <c r="W4">
        <v>0</v>
      </c>
      <c r="X4">
        <v>2</v>
      </c>
      <c r="Y4">
        <v>0</v>
      </c>
      <c r="Z4">
        <v>0</v>
      </c>
      <c r="AA4">
        <f t="shared" si="0"/>
        <v>51</v>
      </c>
    </row>
    <row r="5" spans="1:27" x14ac:dyDescent="0.25">
      <c r="A5" t="s">
        <v>6</v>
      </c>
      <c r="B5">
        <v>281</v>
      </c>
      <c r="C5" s="1">
        <v>12.681927460000001</v>
      </c>
      <c r="D5">
        <v>1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f t="shared" si="0"/>
        <v>9</v>
      </c>
    </row>
    <row r="6" spans="1:27" x14ac:dyDescent="0.25">
      <c r="A6" t="s">
        <v>24</v>
      </c>
      <c r="B6">
        <v>336</v>
      </c>
      <c r="C6" s="1">
        <v>12.90434014</v>
      </c>
      <c r="D6">
        <v>2</v>
      </c>
      <c r="E6">
        <v>1</v>
      </c>
      <c r="F6">
        <v>14</v>
      </c>
      <c r="G6">
        <v>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3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f t="shared" si="0"/>
        <v>36</v>
      </c>
    </row>
    <row r="7" spans="1:27" x14ac:dyDescent="0.25">
      <c r="A7" t="s">
        <v>7</v>
      </c>
      <c r="B7">
        <v>482</v>
      </c>
      <c r="C7" s="1">
        <v>13.4115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f t="shared" si="0"/>
        <v>0</v>
      </c>
    </row>
    <row r="8" spans="1:27" x14ac:dyDescent="0.25">
      <c r="A8" t="s">
        <v>8</v>
      </c>
      <c r="B8">
        <v>542</v>
      </c>
      <c r="C8" s="1">
        <v>15.297745450000001</v>
      </c>
      <c r="D8">
        <v>31</v>
      </c>
      <c r="E8">
        <v>13</v>
      </c>
      <c r="F8">
        <v>8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f t="shared" si="0"/>
        <v>61</v>
      </c>
    </row>
    <row r="9" spans="1:27" x14ac:dyDescent="0.25">
      <c r="A9" t="s">
        <v>9</v>
      </c>
      <c r="B9">
        <v>607</v>
      </c>
      <c r="C9" s="1">
        <v>17.630333330000003</v>
      </c>
      <c r="D9">
        <v>5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f t="shared" si="0"/>
        <v>7</v>
      </c>
    </row>
    <row r="10" spans="1:27" x14ac:dyDescent="0.25">
      <c r="A10" t="s">
        <v>10</v>
      </c>
      <c r="B10">
        <v>641</v>
      </c>
      <c r="C10" s="1">
        <v>19.789979380000002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 t="shared" si="0"/>
        <v>0</v>
      </c>
    </row>
    <row r="11" spans="1:27" x14ac:dyDescent="0.25">
      <c r="A11" t="s">
        <v>11</v>
      </c>
      <c r="B11">
        <v>676</v>
      </c>
      <c r="C11" s="1">
        <v>22.102144329999998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 t="shared" si="0"/>
        <v>0</v>
      </c>
    </row>
    <row r="12" spans="1:27" x14ac:dyDescent="0.25">
      <c r="A12" t="s">
        <v>12</v>
      </c>
      <c r="B12">
        <v>746</v>
      </c>
      <c r="C12" s="1">
        <v>26.142461539999999</v>
      </c>
      <c r="D12">
        <v>3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f t="shared" si="0"/>
        <v>6</v>
      </c>
    </row>
    <row r="13" spans="1:27" x14ac:dyDescent="0.25">
      <c r="A13" t="s">
        <v>13</v>
      </c>
      <c r="B13">
        <v>833</v>
      </c>
      <c r="C13" s="1">
        <v>29.47625532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f t="shared" si="0"/>
        <v>1</v>
      </c>
    </row>
    <row r="14" spans="1:27" x14ac:dyDescent="0.25">
      <c r="A14" t="s">
        <v>14</v>
      </c>
      <c r="B14">
        <v>888</v>
      </c>
      <c r="C14" s="1">
        <v>30.86361905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f t="shared" si="0"/>
        <v>0</v>
      </c>
    </row>
    <row r="15" spans="1:27" x14ac:dyDescent="0.25">
      <c r="A15" t="s">
        <v>15</v>
      </c>
      <c r="B15">
        <v>940</v>
      </c>
      <c r="C15" s="1">
        <v>31.4960381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 t="shared" si="0"/>
        <v>0</v>
      </c>
    </row>
    <row r="16" spans="1:27" x14ac:dyDescent="0.25">
      <c r="A16" t="s">
        <v>16</v>
      </c>
      <c r="B16">
        <v>1021</v>
      </c>
      <c r="C16" s="1">
        <v>33.121000000000002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f t="shared" si="0"/>
        <v>0</v>
      </c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E726-0754-46AA-96C7-A7B6D915C987}">
  <dimension ref="A1:AA36"/>
  <sheetViews>
    <sheetView zoomScale="70" zoomScaleNormal="70" workbookViewId="0">
      <selection activeCell="K39" sqref="K39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17</v>
      </c>
      <c r="I1" t="s">
        <v>18</v>
      </c>
      <c r="J1" t="s">
        <v>32</v>
      </c>
      <c r="K1" t="s">
        <v>31</v>
      </c>
      <c r="L1" t="s">
        <v>33</v>
      </c>
      <c r="M1" t="s">
        <v>34</v>
      </c>
      <c r="N1" t="s">
        <v>29</v>
      </c>
      <c r="O1" t="s">
        <v>163</v>
      </c>
      <c r="P1" t="s">
        <v>164</v>
      </c>
      <c r="Q1" t="s">
        <v>36</v>
      </c>
      <c r="R1" t="s">
        <v>165</v>
      </c>
      <c r="S1" t="s">
        <v>166</v>
      </c>
      <c r="T1" t="s">
        <v>45</v>
      </c>
      <c r="U1" t="s">
        <v>46</v>
      </c>
      <c r="V1" t="s">
        <v>19</v>
      </c>
      <c r="W1" t="s">
        <v>20</v>
      </c>
      <c r="X1" t="s">
        <v>43</v>
      </c>
      <c r="Y1" t="s">
        <v>44</v>
      </c>
      <c r="Z1" t="s">
        <v>41</v>
      </c>
      <c r="AA1" t="s">
        <v>21</v>
      </c>
    </row>
    <row r="2" spans="1:27" x14ac:dyDescent="0.25">
      <c r="A2" t="s">
        <v>3</v>
      </c>
      <c r="B2">
        <v>101</v>
      </c>
      <c r="C2" s="1">
        <v>10.298052630000001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>SUM(D2:Z2)</f>
        <v>0</v>
      </c>
    </row>
    <row r="3" spans="1:27" x14ac:dyDescent="0.25">
      <c r="A3" t="s">
        <v>4</v>
      </c>
      <c r="B3">
        <v>191</v>
      </c>
      <c r="C3" s="1">
        <v>11.76807767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 t="shared" ref="AA3:AA16" si="0">SUM(D3:Z3)</f>
        <v>0</v>
      </c>
    </row>
    <row r="4" spans="1:27" x14ac:dyDescent="0.25">
      <c r="A4" t="s">
        <v>5</v>
      </c>
      <c r="B4">
        <v>211</v>
      </c>
      <c r="C4" s="1">
        <v>12.140504849999999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f t="shared" si="0"/>
        <v>0</v>
      </c>
    </row>
    <row r="5" spans="1:27" x14ac:dyDescent="0.25">
      <c r="A5" t="s">
        <v>6</v>
      </c>
      <c r="B5">
        <v>281</v>
      </c>
      <c r="C5" s="1">
        <v>12.681927460000001</v>
      </c>
      <c r="D5">
        <v>3</v>
      </c>
      <c r="E5">
        <v>1</v>
      </c>
      <c r="F5">
        <v>7</v>
      </c>
      <c r="G5">
        <v>1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f t="shared" si="0"/>
        <v>17</v>
      </c>
    </row>
    <row r="6" spans="1:27" x14ac:dyDescent="0.25">
      <c r="A6" t="s">
        <v>24</v>
      </c>
      <c r="B6">
        <v>336</v>
      </c>
      <c r="C6" s="1">
        <v>12.90434014</v>
      </c>
      <c r="D6">
        <v>20</v>
      </c>
      <c r="E6">
        <v>1</v>
      </c>
      <c r="F6">
        <v>31</v>
      </c>
      <c r="G6">
        <v>10</v>
      </c>
      <c r="H6">
        <v>2</v>
      </c>
      <c r="I6">
        <v>0</v>
      </c>
      <c r="J6">
        <v>0</v>
      </c>
      <c r="K6">
        <v>3</v>
      </c>
      <c r="L6">
        <v>0</v>
      </c>
      <c r="M6">
        <v>1</v>
      </c>
      <c r="N6">
        <v>0</v>
      </c>
      <c r="O6">
        <v>0</v>
      </c>
      <c r="P6">
        <v>5</v>
      </c>
      <c r="Q6">
        <v>2</v>
      </c>
      <c r="R6">
        <v>1</v>
      </c>
      <c r="S6">
        <v>0</v>
      </c>
      <c r="T6">
        <v>2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f t="shared" si="0"/>
        <v>79</v>
      </c>
    </row>
    <row r="7" spans="1:27" x14ac:dyDescent="0.25">
      <c r="A7" t="s">
        <v>7</v>
      </c>
      <c r="B7">
        <v>482</v>
      </c>
      <c r="C7" s="1">
        <v>13.4115</v>
      </c>
      <c r="D7">
        <v>5</v>
      </c>
      <c r="E7">
        <v>0</v>
      </c>
      <c r="F7">
        <v>6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f t="shared" si="0"/>
        <v>18</v>
      </c>
    </row>
    <row r="8" spans="1:27" x14ac:dyDescent="0.25">
      <c r="A8" t="s">
        <v>8</v>
      </c>
      <c r="B8">
        <v>542</v>
      </c>
      <c r="C8" s="1">
        <v>15.297745450000001</v>
      </c>
      <c r="D8">
        <v>29</v>
      </c>
      <c r="E8">
        <v>20</v>
      </c>
      <c r="F8">
        <v>6</v>
      </c>
      <c r="G8">
        <v>4</v>
      </c>
      <c r="H8">
        <v>8</v>
      </c>
      <c r="I8">
        <v>3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1</v>
      </c>
      <c r="Q8">
        <v>4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f t="shared" si="0"/>
        <v>79</v>
      </c>
    </row>
    <row r="9" spans="1:27" x14ac:dyDescent="0.25">
      <c r="A9" t="s">
        <v>9</v>
      </c>
      <c r="B9">
        <v>607</v>
      </c>
      <c r="C9" s="1">
        <v>17.630333330000003</v>
      </c>
      <c r="D9">
        <v>3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f t="shared" si="0"/>
        <v>8</v>
      </c>
    </row>
    <row r="10" spans="1:27" x14ac:dyDescent="0.25">
      <c r="A10" t="s">
        <v>10</v>
      </c>
      <c r="B10">
        <v>641</v>
      </c>
      <c r="C10" s="1">
        <v>19.789979380000002</v>
      </c>
      <c r="D10">
        <v>9</v>
      </c>
      <c r="E10">
        <v>0</v>
      </c>
      <c r="F10">
        <v>6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1</v>
      </c>
      <c r="P10">
        <v>5</v>
      </c>
      <c r="Q10">
        <v>7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2</v>
      </c>
      <c r="Y10">
        <v>0</v>
      </c>
      <c r="Z10">
        <v>0</v>
      </c>
      <c r="AA10">
        <f t="shared" si="0"/>
        <v>34</v>
      </c>
    </row>
    <row r="11" spans="1:27" x14ac:dyDescent="0.25">
      <c r="A11" t="s">
        <v>11</v>
      </c>
      <c r="B11">
        <v>676</v>
      </c>
      <c r="C11" s="1">
        <v>22.102144329999998</v>
      </c>
      <c r="D11">
        <v>15</v>
      </c>
      <c r="E11">
        <v>1</v>
      </c>
      <c r="F11">
        <v>1</v>
      </c>
      <c r="G11">
        <v>0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2</v>
      </c>
      <c r="Y11">
        <v>1</v>
      </c>
      <c r="Z11">
        <v>0</v>
      </c>
      <c r="AA11">
        <f t="shared" si="0"/>
        <v>31</v>
      </c>
    </row>
    <row r="12" spans="1:27" x14ac:dyDescent="0.25">
      <c r="A12" t="s">
        <v>12</v>
      </c>
      <c r="B12">
        <v>746</v>
      </c>
      <c r="C12" s="1">
        <v>26.142461539999999</v>
      </c>
      <c r="D12">
        <v>60</v>
      </c>
      <c r="E12">
        <v>29</v>
      </c>
      <c r="F12">
        <v>10</v>
      </c>
      <c r="G12">
        <v>11</v>
      </c>
      <c r="H12">
        <v>8</v>
      </c>
      <c r="I12">
        <v>2</v>
      </c>
      <c r="J12">
        <v>2</v>
      </c>
      <c r="K12">
        <v>1</v>
      </c>
      <c r="L12">
        <v>0</v>
      </c>
      <c r="M12">
        <v>1</v>
      </c>
      <c r="N12">
        <v>2</v>
      </c>
      <c r="O12">
        <v>2</v>
      </c>
      <c r="P12">
        <v>13</v>
      </c>
      <c r="Q12">
        <v>6</v>
      </c>
      <c r="R12">
        <v>1</v>
      </c>
      <c r="S12">
        <v>1</v>
      </c>
      <c r="T12">
        <v>1</v>
      </c>
      <c r="U12">
        <v>1</v>
      </c>
      <c r="V12">
        <v>4</v>
      </c>
      <c r="W12">
        <v>0</v>
      </c>
      <c r="X12">
        <v>3</v>
      </c>
      <c r="Y12">
        <v>1</v>
      </c>
      <c r="Z12">
        <v>0</v>
      </c>
      <c r="AA12">
        <f t="shared" si="0"/>
        <v>159</v>
      </c>
    </row>
    <row r="13" spans="1:27" x14ac:dyDescent="0.25">
      <c r="A13" t="s">
        <v>13</v>
      </c>
      <c r="B13">
        <v>833</v>
      </c>
      <c r="C13" s="1">
        <v>29.47625532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f t="shared" si="0"/>
        <v>1</v>
      </c>
    </row>
    <row r="14" spans="1:27" x14ac:dyDescent="0.25">
      <c r="A14" t="s">
        <v>14</v>
      </c>
      <c r="B14">
        <v>888</v>
      </c>
      <c r="C14" s="1">
        <v>30.86361905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f t="shared" si="0"/>
        <v>3</v>
      </c>
    </row>
    <row r="15" spans="1:27" x14ac:dyDescent="0.25">
      <c r="A15" t="s">
        <v>15</v>
      </c>
      <c r="B15">
        <v>940</v>
      </c>
      <c r="C15" s="1">
        <v>31.4960381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 t="shared" si="0"/>
        <v>0</v>
      </c>
    </row>
    <row r="16" spans="1:27" x14ac:dyDescent="0.25">
      <c r="A16" t="s">
        <v>16</v>
      </c>
      <c r="B16">
        <v>1021</v>
      </c>
      <c r="C16" s="1">
        <v>33.121000000000002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f t="shared" si="0"/>
        <v>0</v>
      </c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CFBD-9890-4138-8A72-CE01A20E37B1}">
  <dimension ref="A1:AN18"/>
  <sheetViews>
    <sheetView topLeftCell="P19" zoomScale="80" zoomScaleNormal="80" workbookViewId="0">
      <selection activeCell="AL1" sqref="AL1:AL17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17</v>
      </c>
      <c r="I1" t="s">
        <v>18</v>
      </c>
      <c r="J1" t="s">
        <v>32</v>
      </c>
      <c r="K1" t="s">
        <v>31</v>
      </c>
      <c r="L1" t="s">
        <v>33</v>
      </c>
      <c r="M1" t="s">
        <v>34</v>
      </c>
      <c r="N1" t="s">
        <v>29</v>
      </c>
      <c r="O1" t="s">
        <v>163</v>
      </c>
      <c r="P1" t="s">
        <v>164</v>
      </c>
      <c r="Q1" t="s">
        <v>36</v>
      </c>
      <c r="R1" t="s">
        <v>165</v>
      </c>
      <c r="S1" t="s">
        <v>166</v>
      </c>
      <c r="T1" t="s">
        <v>45</v>
      </c>
      <c r="U1" t="s">
        <v>46</v>
      </c>
      <c r="V1" t="s">
        <v>19</v>
      </c>
      <c r="W1" t="s">
        <v>20</v>
      </c>
      <c r="X1" t="s">
        <v>43</v>
      </c>
      <c r="Y1" t="s">
        <v>44</v>
      </c>
      <c r="Z1" t="s">
        <v>41</v>
      </c>
      <c r="AA1" t="s">
        <v>21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161</v>
      </c>
      <c r="AI1" t="s">
        <v>162</v>
      </c>
      <c r="AJ1" t="s">
        <v>57</v>
      </c>
      <c r="AK1" t="s">
        <v>58</v>
      </c>
      <c r="AL1" t="s">
        <v>59</v>
      </c>
      <c r="AM1" t="s">
        <v>60</v>
      </c>
      <c r="AN1" t="s">
        <v>51</v>
      </c>
    </row>
    <row r="2" spans="1:40" x14ac:dyDescent="0.25">
      <c r="A2" t="s">
        <v>3</v>
      </c>
      <c r="B2">
        <v>101</v>
      </c>
      <c r="C2" s="1">
        <v>10.298052630000001</v>
      </c>
      <c r="D2">
        <f>SUM('250-600 μm'!D2+'150-250 μm '!D2+'150-600 μm (rest)'!D2)</f>
        <v>1</v>
      </c>
      <c r="E2">
        <f>SUM('250-600 μm'!E2+'150-250 μm '!E2+'150-600 μm (rest)'!E2)</f>
        <v>0</v>
      </c>
      <c r="F2">
        <f>SUM('250-600 μm'!F2+'150-250 μm '!F2+'150-600 μm (rest)'!F2)</f>
        <v>1</v>
      </c>
      <c r="G2">
        <f>SUM('250-600 μm'!G2+'150-250 μm '!G2+'150-600 μm (rest)'!G2)</f>
        <v>0</v>
      </c>
      <c r="H2">
        <f>SUM('250-600 μm'!H2+'150-250 μm '!H2+'150-600 μm (rest)'!H2)</f>
        <v>0</v>
      </c>
      <c r="I2">
        <f>SUM('250-600 μm'!I2+'150-250 μm '!I2+'150-600 μm (rest)'!I2)</f>
        <v>0</v>
      </c>
      <c r="J2">
        <f>SUM('250-600 μm'!J2+'150-250 μm '!J2+'150-600 μm (rest)'!J2)</f>
        <v>0</v>
      </c>
      <c r="K2">
        <f>SUM('250-600 μm'!K2+'150-250 μm '!K2+'150-600 μm (rest)'!K2)</f>
        <v>0</v>
      </c>
      <c r="L2">
        <f>SUM('250-600 μm'!L2+'150-250 μm '!L2+'150-600 μm (rest)'!L2)</f>
        <v>0</v>
      </c>
      <c r="M2">
        <f>SUM('250-600 μm'!M2+'150-250 μm '!M2+'150-600 μm (rest)'!M2)</f>
        <v>0</v>
      </c>
      <c r="N2">
        <f>SUM('250-600 μm'!N2+'150-250 μm '!N2+'150-600 μm (rest)'!N2)</f>
        <v>0</v>
      </c>
      <c r="O2">
        <f>SUM('250-600 μm'!O2+'150-250 μm '!O2+'150-600 μm (rest)'!O2)</f>
        <v>0</v>
      </c>
      <c r="P2">
        <f>SUM('250-600 μm'!P2+'150-250 μm '!P2+'150-600 μm (rest)'!P2)</f>
        <v>0</v>
      </c>
      <c r="Q2">
        <f>SUM('250-600 μm'!Q2+'150-250 μm '!Q2+'150-600 μm (rest)'!Q2)</f>
        <v>0</v>
      </c>
      <c r="R2">
        <f>SUM('250-600 μm'!R2+'150-250 μm '!R2+'150-600 μm (rest)'!R2)</f>
        <v>0</v>
      </c>
      <c r="S2">
        <f>SUM('250-600 μm'!S2+'150-250 μm '!S2+'150-600 μm (rest)'!S2)</f>
        <v>0</v>
      </c>
      <c r="T2">
        <f>SUM('250-600 μm'!T2+'150-250 μm '!T2+'150-600 μm (rest)'!T2)</f>
        <v>1</v>
      </c>
      <c r="U2">
        <f>SUM('250-600 μm'!U2+'150-250 μm '!U2+'150-600 μm (rest)'!U2)</f>
        <v>0</v>
      </c>
      <c r="V2">
        <f>SUM('250-600 μm'!V2+'150-250 μm '!V2+'150-600 μm (rest)'!V2)</f>
        <v>0</v>
      </c>
      <c r="W2">
        <f>SUM('250-600 μm'!W2+'150-250 μm '!W2+'150-600 μm (rest)'!W2)</f>
        <v>0</v>
      </c>
      <c r="X2">
        <f>SUM('250-600 μm'!X2+'150-250 μm '!X2+'150-600 μm (rest)'!X2)</f>
        <v>1</v>
      </c>
      <c r="Y2">
        <f>SUM('250-600 μm'!Y2+'150-250 μm '!Y2+'150-600 μm (rest)'!Y2)</f>
        <v>0</v>
      </c>
      <c r="Z2">
        <f>SUM('250-600 μm'!Z2+'150-250 μm '!Z2+'150-600 μm (rest)'!Z2)</f>
        <v>0</v>
      </c>
      <c r="AA2">
        <f>SUM(D2:Z2)</f>
        <v>4</v>
      </c>
      <c r="AC2">
        <f t="shared" ref="AC2:AC17" si="0">SUM(D2:E2)</f>
        <v>1</v>
      </c>
      <c r="AD2">
        <f t="shared" ref="AD2:AD17" si="1">SUM(F2:G2)</f>
        <v>1</v>
      </c>
      <c r="AE2">
        <f t="shared" ref="AE2:AE17" si="2">SUM(H2:J2)</f>
        <v>0</v>
      </c>
      <c r="AF2">
        <f t="shared" ref="AF2:AF17" si="3">SUM(K2:M2)</f>
        <v>0</v>
      </c>
      <c r="AG2">
        <f t="shared" ref="AG2:AG17" si="4">SUM(N2:O2)</f>
        <v>0</v>
      </c>
      <c r="AH2">
        <f t="shared" ref="AH2:AH17" si="5">SUM(P2:Q2)</f>
        <v>0</v>
      </c>
      <c r="AI2">
        <f t="shared" ref="AI2:AI17" si="6">SUM(R2:S2)</f>
        <v>0</v>
      </c>
      <c r="AJ2">
        <f t="shared" ref="AJ2:AJ17" si="7">SUM(T2:U2)</f>
        <v>1</v>
      </c>
      <c r="AK2">
        <f t="shared" ref="AK2:AK17" si="8">SUM(V2:W2)</f>
        <v>0</v>
      </c>
      <c r="AL2">
        <f t="shared" ref="AL2:AL17" si="9">SUM(X2:Y2)</f>
        <v>1</v>
      </c>
      <c r="AM2">
        <f t="shared" ref="AM2:AM17" si="10">Z2</f>
        <v>0</v>
      </c>
      <c r="AN2" s="2">
        <f>(E2+G2+I2+L2+O2+Q2+S2+U2+W2+Y2)/(AA2)</f>
        <v>0</v>
      </c>
    </row>
    <row r="3" spans="1:40" x14ac:dyDescent="0.25">
      <c r="A3" t="s">
        <v>4</v>
      </c>
      <c r="B3">
        <v>191</v>
      </c>
      <c r="C3" s="1">
        <v>11.76807767</v>
      </c>
      <c r="D3">
        <f>SUM('250-600 μm'!D3+'150-250 μm '!D3+'150-600 μm (rest)'!D3)</f>
        <v>18</v>
      </c>
      <c r="E3">
        <f>SUM('250-600 μm'!E3+'150-250 μm '!E3+'150-600 μm (rest)'!E3)</f>
        <v>9</v>
      </c>
      <c r="F3">
        <f>SUM('250-600 μm'!F3+'150-250 μm '!F3+'150-600 μm (rest)'!F3)</f>
        <v>34</v>
      </c>
      <c r="G3">
        <f>SUM('250-600 μm'!G3+'150-250 μm '!G3+'150-600 μm (rest)'!G3)</f>
        <v>6</v>
      </c>
      <c r="H3">
        <f>SUM('250-600 μm'!H3+'150-250 μm '!H3+'150-600 μm (rest)'!H3)</f>
        <v>2</v>
      </c>
      <c r="I3">
        <f>SUM('250-600 μm'!I3+'150-250 μm '!I3+'150-600 μm (rest)'!I3)</f>
        <v>0</v>
      </c>
      <c r="J3">
        <f>SUM('250-600 μm'!J3+'150-250 μm '!J3+'150-600 μm (rest)'!J3)</f>
        <v>0</v>
      </c>
      <c r="K3">
        <f>SUM('250-600 μm'!K3+'150-250 μm '!K3+'150-600 μm (rest)'!K3)</f>
        <v>0</v>
      </c>
      <c r="L3">
        <f>SUM('250-600 μm'!L3+'150-250 μm '!L3+'150-600 μm (rest)'!L3)</f>
        <v>0</v>
      </c>
      <c r="M3">
        <f>SUM('250-600 μm'!M3+'150-250 μm '!M3+'150-600 μm (rest)'!M3)</f>
        <v>0</v>
      </c>
      <c r="N3">
        <f>SUM('250-600 μm'!N3+'150-250 μm '!N3+'150-600 μm (rest)'!N3)</f>
        <v>0</v>
      </c>
      <c r="O3">
        <f>SUM('250-600 μm'!O3+'150-250 μm '!O3+'150-600 μm (rest)'!O3)</f>
        <v>0</v>
      </c>
      <c r="P3">
        <f>SUM('250-600 μm'!P3+'150-250 μm '!P3+'150-600 μm (rest)'!P3)</f>
        <v>3</v>
      </c>
      <c r="Q3">
        <f>SUM('250-600 μm'!Q3+'150-250 μm '!Q3+'150-600 μm (rest)'!Q3)</f>
        <v>0</v>
      </c>
      <c r="R3">
        <f>SUM('250-600 μm'!R3+'150-250 μm '!R3+'150-600 μm (rest)'!R3)</f>
        <v>0</v>
      </c>
      <c r="S3">
        <f>SUM('250-600 μm'!S3+'150-250 μm '!S3+'150-600 μm (rest)'!S3)</f>
        <v>0</v>
      </c>
      <c r="T3">
        <f>SUM('250-600 μm'!T3+'150-250 μm '!T3+'150-600 μm (rest)'!T3)</f>
        <v>0</v>
      </c>
      <c r="U3">
        <f>SUM('250-600 μm'!U3+'150-250 μm '!U3+'150-600 μm (rest)'!U3)</f>
        <v>0</v>
      </c>
      <c r="V3">
        <f>SUM('250-600 μm'!V3+'150-250 μm '!V3+'150-600 μm (rest)'!V3)</f>
        <v>0</v>
      </c>
      <c r="W3">
        <f>SUM('250-600 μm'!W3+'150-250 μm '!W3+'150-600 μm (rest)'!W3)</f>
        <v>0</v>
      </c>
      <c r="X3">
        <f>SUM('250-600 μm'!X3+'150-250 μm '!X3+'150-600 μm (rest)'!X3)</f>
        <v>1</v>
      </c>
      <c r="Y3">
        <f>SUM('250-600 μm'!Y3+'150-250 μm '!Y3+'150-600 μm (rest)'!Y3)</f>
        <v>0</v>
      </c>
      <c r="Z3">
        <f>SUM('250-600 μm'!Z3+'150-250 μm '!Z3+'150-600 μm (rest)'!Z3)</f>
        <v>0</v>
      </c>
      <c r="AA3">
        <f t="shared" ref="AA3:AA16" si="11">SUM(D3:Z3)</f>
        <v>73</v>
      </c>
      <c r="AC3">
        <f t="shared" si="0"/>
        <v>27</v>
      </c>
      <c r="AD3">
        <f t="shared" si="1"/>
        <v>40</v>
      </c>
      <c r="AE3">
        <f t="shared" si="2"/>
        <v>2</v>
      </c>
      <c r="AF3">
        <f t="shared" si="3"/>
        <v>0</v>
      </c>
      <c r="AG3">
        <f t="shared" si="4"/>
        <v>0</v>
      </c>
      <c r="AH3">
        <f t="shared" si="5"/>
        <v>3</v>
      </c>
      <c r="AI3">
        <f t="shared" si="6"/>
        <v>0</v>
      </c>
      <c r="AJ3">
        <f t="shared" si="7"/>
        <v>0</v>
      </c>
      <c r="AK3">
        <f t="shared" si="8"/>
        <v>0</v>
      </c>
      <c r="AL3">
        <f t="shared" si="9"/>
        <v>1</v>
      </c>
      <c r="AM3">
        <f t="shared" si="10"/>
        <v>0</v>
      </c>
      <c r="AN3" s="2">
        <f t="shared" ref="AN3:AN17" si="12">(E3+G3+I3+L3+O3+Q3+S3+U3+W3+Y3)/(AA3)</f>
        <v>0.20547945205479451</v>
      </c>
    </row>
    <row r="4" spans="1:40" x14ac:dyDescent="0.25">
      <c r="A4" t="s">
        <v>5</v>
      </c>
      <c r="B4">
        <v>211</v>
      </c>
      <c r="C4" s="1">
        <v>12.140504849999999</v>
      </c>
      <c r="D4">
        <f>SUM('250-600 μm'!D4+'150-250 μm '!D4+'150-600 μm (rest)'!D4)</f>
        <v>8</v>
      </c>
      <c r="E4">
        <f>SUM('250-600 μm'!E4+'150-250 μm '!E4+'150-600 μm (rest)'!E4)</f>
        <v>0</v>
      </c>
      <c r="F4">
        <f>SUM('250-600 μm'!F4+'150-250 μm '!F4+'150-600 μm (rest)'!F4)</f>
        <v>36</v>
      </c>
      <c r="G4">
        <f>SUM('250-600 μm'!G4+'150-250 μm '!G4+'150-600 μm (rest)'!G4)</f>
        <v>2</v>
      </c>
      <c r="H4">
        <f>SUM('250-600 μm'!H4+'150-250 μm '!H4+'150-600 μm (rest)'!H4)</f>
        <v>4</v>
      </c>
      <c r="I4">
        <f>SUM('250-600 μm'!I4+'150-250 μm '!I4+'150-600 μm (rest)'!I4)</f>
        <v>0</v>
      </c>
      <c r="J4">
        <f>SUM('250-600 μm'!J4+'150-250 μm '!J4+'150-600 μm (rest)'!J4)</f>
        <v>0</v>
      </c>
      <c r="K4">
        <f>SUM('250-600 μm'!K4+'150-250 μm '!K4+'150-600 μm (rest)'!K4)</f>
        <v>0</v>
      </c>
      <c r="L4">
        <f>SUM('250-600 μm'!L4+'150-250 μm '!L4+'150-600 μm (rest)'!L4)</f>
        <v>0</v>
      </c>
      <c r="M4">
        <f>SUM('250-600 μm'!M4+'150-250 μm '!M4+'150-600 μm (rest)'!M4)</f>
        <v>0</v>
      </c>
      <c r="N4">
        <f>SUM('250-600 μm'!N4+'150-250 μm '!N4+'150-600 μm (rest)'!N4)</f>
        <v>0</v>
      </c>
      <c r="O4">
        <f>SUM('250-600 μm'!O4+'150-250 μm '!O4+'150-600 μm (rest)'!O4)</f>
        <v>0</v>
      </c>
      <c r="P4">
        <f>SUM('250-600 μm'!P4+'150-250 μm '!P4+'150-600 μm (rest)'!P4)</f>
        <v>1</v>
      </c>
      <c r="Q4">
        <f>SUM('250-600 μm'!Q4+'150-250 μm '!Q4+'150-600 μm (rest)'!Q4)</f>
        <v>0</v>
      </c>
      <c r="R4">
        <f>SUM('250-600 μm'!R4+'150-250 μm '!R4+'150-600 μm (rest)'!R4)</f>
        <v>1</v>
      </c>
      <c r="S4">
        <f>SUM('250-600 μm'!S4+'150-250 μm '!S4+'150-600 μm (rest)'!S4)</f>
        <v>2</v>
      </c>
      <c r="T4">
        <f>SUM('250-600 μm'!T4+'150-250 μm '!T4+'150-600 μm (rest)'!T4)</f>
        <v>1</v>
      </c>
      <c r="U4">
        <f>SUM('250-600 μm'!U4+'150-250 μm '!U4+'150-600 μm (rest)'!U4)</f>
        <v>0</v>
      </c>
      <c r="V4">
        <f>SUM('250-600 μm'!V4+'150-250 μm '!V4+'150-600 μm (rest)'!V4)</f>
        <v>0</v>
      </c>
      <c r="W4">
        <f>SUM('250-600 μm'!W4+'150-250 μm '!W4+'150-600 μm (rest)'!W4)</f>
        <v>0</v>
      </c>
      <c r="X4">
        <f>SUM('250-600 μm'!X4+'150-250 μm '!X4+'150-600 μm (rest)'!X4)</f>
        <v>4</v>
      </c>
      <c r="Y4">
        <f>SUM('250-600 μm'!Y4+'150-250 μm '!Y4+'150-600 μm (rest)'!Y4)</f>
        <v>0</v>
      </c>
      <c r="Z4">
        <f>SUM('250-600 μm'!Z4+'150-250 μm '!Z4+'150-600 μm (rest)'!Z4)</f>
        <v>0</v>
      </c>
      <c r="AA4">
        <f t="shared" si="11"/>
        <v>59</v>
      </c>
      <c r="AC4">
        <f t="shared" si="0"/>
        <v>8</v>
      </c>
      <c r="AD4">
        <f t="shared" si="1"/>
        <v>38</v>
      </c>
      <c r="AE4">
        <f t="shared" si="2"/>
        <v>4</v>
      </c>
      <c r="AF4">
        <f t="shared" si="3"/>
        <v>0</v>
      </c>
      <c r="AG4">
        <f t="shared" si="4"/>
        <v>0</v>
      </c>
      <c r="AH4">
        <f t="shared" si="5"/>
        <v>1</v>
      </c>
      <c r="AI4">
        <f t="shared" si="6"/>
        <v>3</v>
      </c>
      <c r="AJ4">
        <f t="shared" si="7"/>
        <v>1</v>
      </c>
      <c r="AK4">
        <f t="shared" si="8"/>
        <v>0</v>
      </c>
      <c r="AL4">
        <f t="shared" si="9"/>
        <v>4</v>
      </c>
      <c r="AM4">
        <f t="shared" si="10"/>
        <v>0</v>
      </c>
      <c r="AN4" s="2">
        <f t="shared" si="12"/>
        <v>6.7796610169491525E-2</v>
      </c>
    </row>
    <row r="5" spans="1:40" x14ac:dyDescent="0.25">
      <c r="A5" t="s">
        <v>6</v>
      </c>
      <c r="B5">
        <v>281</v>
      </c>
      <c r="C5" s="1">
        <v>12.681927460000001</v>
      </c>
      <c r="D5">
        <f>SUM('250-600 μm'!D5+'150-250 μm '!D5+'150-600 μm (rest)'!D5)</f>
        <v>5</v>
      </c>
      <c r="E5">
        <f>SUM('250-600 μm'!E5+'150-250 μm '!E5+'150-600 μm (rest)'!E5)</f>
        <v>1</v>
      </c>
      <c r="F5">
        <f>SUM('250-600 μm'!F5+'150-250 μm '!F5+'150-600 μm (rest)'!F5)</f>
        <v>13</v>
      </c>
      <c r="G5">
        <f>SUM('250-600 μm'!G5+'150-250 μm '!G5+'150-600 μm (rest)'!G5)</f>
        <v>1</v>
      </c>
      <c r="H5">
        <f>SUM('250-600 μm'!H5+'150-250 μm '!H5+'150-600 μm (rest)'!H5)</f>
        <v>2</v>
      </c>
      <c r="I5">
        <f>SUM('250-600 μm'!I5+'150-250 μm '!I5+'150-600 μm (rest)'!I5)</f>
        <v>0</v>
      </c>
      <c r="J5">
        <f>SUM('250-600 μm'!J5+'150-250 μm '!J5+'150-600 μm (rest)'!J5)</f>
        <v>1</v>
      </c>
      <c r="K5">
        <f>SUM('250-600 μm'!K5+'150-250 μm '!K5+'150-600 μm (rest)'!K5)</f>
        <v>0</v>
      </c>
      <c r="L5">
        <f>SUM('250-600 μm'!L5+'150-250 μm '!L5+'150-600 μm (rest)'!L5)</f>
        <v>0</v>
      </c>
      <c r="M5">
        <f>SUM('250-600 μm'!M5+'150-250 μm '!M5+'150-600 μm (rest)'!M5)</f>
        <v>0</v>
      </c>
      <c r="N5">
        <f>SUM('250-600 μm'!N5+'150-250 μm '!N5+'150-600 μm (rest)'!N5)</f>
        <v>0</v>
      </c>
      <c r="O5">
        <f>SUM('250-600 μm'!O5+'150-250 μm '!O5+'150-600 μm (rest)'!O5)</f>
        <v>0</v>
      </c>
      <c r="P5">
        <f>SUM('250-600 μm'!P5+'150-250 μm '!P5+'150-600 μm (rest)'!P5)</f>
        <v>1</v>
      </c>
      <c r="Q5">
        <f>SUM('250-600 μm'!Q5+'150-250 μm '!Q5+'150-600 μm (rest)'!Q5)</f>
        <v>2</v>
      </c>
      <c r="R5">
        <f>SUM('250-600 μm'!R5+'150-250 μm '!R5+'150-600 μm (rest)'!R5)</f>
        <v>0</v>
      </c>
      <c r="S5">
        <f>SUM('250-600 μm'!S5+'150-250 μm '!S5+'150-600 μm (rest)'!S5)</f>
        <v>0</v>
      </c>
      <c r="T5">
        <f>SUM('250-600 μm'!T5+'150-250 μm '!T5+'150-600 μm (rest)'!T5)</f>
        <v>1</v>
      </c>
      <c r="U5">
        <f>SUM('250-600 μm'!U5+'150-250 μm '!U5+'150-600 μm (rest)'!U5)</f>
        <v>0</v>
      </c>
      <c r="V5">
        <f>SUM('250-600 μm'!V5+'150-250 μm '!V5+'150-600 μm (rest)'!V5)</f>
        <v>1</v>
      </c>
      <c r="W5">
        <f>SUM('250-600 μm'!W5+'150-250 μm '!W5+'150-600 μm (rest)'!W5)</f>
        <v>0</v>
      </c>
      <c r="X5">
        <f>SUM('250-600 μm'!X5+'150-250 μm '!X5+'150-600 μm (rest)'!X5)</f>
        <v>1</v>
      </c>
      <c r="Y5">
        <f>SUM('250-600 μm'!Y5+'150-250 μm '!Y5+'150-600 μm (rest)'!Y5)</f>
        <v>0</v>
      </c>
      <c r="Z5">
        <f>SUM('250-600 μm'!Z5+'150-250 μm '!Z5+'150-600 μm (rest)'!Z5)</f>
        <v>0</v>
      </c>
      <c r="AA5">
        <f t="shared" si="11"/>
        <v>29</v>
      </c>
      <c r="AC5">
        <f t="shared" si="0"/>
        <v>6</v>
      </c>
      <c r="AD5">
        <f t="shared" si="1"/>
        <v>14</v>
      </c>
      <c r="AE5">
        <f t="shared" si="2"/>
        <v>3</v>
      </c>
      <c r="AF5">
        <f t="shared" si="3"/>
        <v>0</v>
      </c>
      <c r="AG5">
        <f t="shared" si="4"/>
        <v>0</v>
      </c>
      <c r="AH5">
        <f t="shared" si="5"/>
        <v>3</v>
      </c>
      <c r="AI5">
        <f t="shared" si="6"/>
        <v>0</v>
      </c>
      <c r="AJ5">
        <f t="shared" si="7"/>
        <v>1</v>
      </c>
      <c r="AK5">
        <f t="shared" si="8"/>
        <v>1</v>
      </c>
      <c r="AL5">
        <f t="shared" si="9"/>
        <v>1</v>
      </c>
      <c r="AM5">
        <f t="shared" si="10"/>
        <v>0</v>
      </c>
      <c r="AN5" s="2">
        <f t="shared" si="12"/>
        <v>0.13793103448275862</v>
      </c>
    </row>
    <row r="6" spans="1:40" x14ac:dyDescent="0.25">
      <c r="A6" t="s">
        <v>24</v>
      </c>
      <c r="B6">
        <v>336</v>
      </c>
      <c r="C6" s="1">
        <v>12.90434014</v>
      </c>
      <c r="D6">
        <f>SUM('250-600 μm'!D6+'150-250 μm '!D6+'150-600 μm (rest)'!D6)</f>
        <v>22</v>
      </c>
      <c r="E6">
        <f>SUM('250-600 μm'!E6+'150-250 μm '!E6+'150-600 μm (rest)'!E6)</f>
        <v>2</v>
      </c>
      <c r="F6">
        <f>SUM('250-600 μm'!F6+'150-250 μm '!F6+'150-600 μm (rest)'!F6)</f>
        <v>45</v>
      </c>
      <c r="G6">
        <f>SUM('250-600 μm'!G6+'150-250 μm '!G6+'150-600 μm (rest)'!G6)</f>
        <v>22</v>
      </c>
      <c r="H6">
        <f>SUM('250-600 μm'!H6+'150-250 μm '!H6+'150-600 μm (rest)'!H6)</f>
        <v>2</v>
      </c>
      <c r="I6">
        <f>SUM('250-600 μm'!I6+'150-250 μm '!I6+'150-600 μm (rest)'!I6)</f>
        <v>0</v>
      </c>
      <c r="J6">
        <f>SUM('250-600 μm'!J6+'150-250 μm '!J6+'150-600 μm (rest)'!J6)</f>
        <v>0</v>
      </c>
      <c r="K6">
        <f>SUM('250-600 μm'!K6+'150-250 μm '!K6+'150-600 μm (rest)'!K6)</f>
        <v>3</v>
      </c>
      <c r="L6">
        <f>SUM('250-600 μm'!L6+'150-250 μm '!L6+'150-600 μm (rest)'!L6)</f>
        <v>0</v>
      </c>
      <c r="M6">
        <f>SUM('250-600 μm'!M6+'150-250 μm '!M6+'150-600 μm (rest)'!M6)</f>
        <v>1</v>
      </c>
      <c r="N6">
        <f>SUM('250-600 μm'!N6+'150-250 μm '!N6+'150-600 μm (rest)'!N6)</f>
        <v>0</v>
      </c>
      <c r="O6">
        <f>SUM('250-600 μm'!O6+'150-250 μm '!O6+'150-600 μm (rest)'!O6)</f>
        <v>0</v>
      </c>
      <c r="P6">
        <f>SUM('250-600 μm'!P6+'150-250 μm '!P6+'150-600 μm (rest)'!P6)</f>
        <v>9</v>
      </c>
      <c r="Q6">
        <f>SUM('250-600 μm'!Q6+'150-250 μm '!Q6+'150-600 μm (rest)'!Q6)</f>
        <v>5</v>
      </c>
      <c r="R6">
        <f>SUM('250-600 μm'!R6+'150-250 μm '!R6+'150-600 μm (rest)'!R6)</f>
        <v>2</v>
      </c>
      <c r="S6">
        <f>SUM('250-600 μm'!S6+'150-250 μm '!S6+'150-600 μm (rest)'!S6)</f>
        <v>0</v>
      </c>
      <c r="T6">
        <f>SUM('250-600 μm'!T6+'150-250 μm '!T6+'150-600 μm (rest)'!T6)</f>
        <v>3</v>
      </c>
      <c r="U6">
        <f>SUM('250-600 μm'!U6+'150-250 μm '!U6+'150-600 μm (rest)'!U6)</f>
        <v>0</v>
      </c>
      <c r="V6">
        <f>SUM('250-600 μm'!V6+'150-250 μm '!V6+'150-600 μm (rest)'!V6)</f>
        <v>1</v>
      </c>
      <c r="W6">
        <f>SUM('250-600 μm'!W6+'150-250 μm '!W6+'150-600 μm (rest)'!W6)</f>
        <v>0</v>
      </c>
      <c r="X6">
        <f>SUM('250-600 μm'!X6+'150-250 μm '!X6+'150-600 μm (rest)'!X6)</f>
        <v>1</v>
      </c>
      <c r="Y6">
        <f>SUM('250-600 μm'!Y6+'150-250 μm '!Y6+'150-600 μm (rest)'!Y6)</f>
        <v>0</v>
      </c>
      <c r="Z6">
        <f>SUM('250-600 μm'!Z6+'150-250 μm '!Z6+'150-600 μm (rest)'!Z6)</f>
        <v>0</v>
      </c>
      <c r="AA6">
        <f t="shared" si="11"/>
        <v>118</v>
      </c>
      <c r="AC6">
        <f t="shared" si="0"/>
        <v>24</v>
      </c>
      <c r="AD6">
        <f t="shared" si="1"/>
        <v>67</v>
      </c>
      <c r="AE6">
        <f t="shared" si="2"/>
        <v>2</v>
      </c>
      <c r="AF6">
        <f t="shared" si="3"/>
        <v>4</v>
      </c>
      <c r="AG6">
        <f t="shared" si="4"/>
        <v>0</v>
      </c>
      <c r="AH6">
        <f t="shared" si="5"/>
        <v>14</v>
      </c>
      <c r="AI6">
        <f t="shared" si="6"/>
        <v>2</v>
      </c>
      <c r="AJ6">
        <f t="shared" si="7"/>
        <v>3</v>
      </c>
      <c r="AK6">
        <f t="shared" si="8"/>
        <v>1</v>
      </c>
      <c r="AL6">
        <f t="shared" si="9"/>
        <v>1</v>
      </c>
      <c r="AM6">
        <f t="shared" si="10"/>
        <v>0</v>
      </c>
      <c r="AN6" s="2">
        <f t="shared" si="12"/>
        <v>0.24576271186440679</v>
      </c>
    </row>
    <row r="7" spans="1:40" x14ac:dyDescent="0.25">
      <c r="A7" t="s">
        <v>7</v>
      </c>
      <c r="B7">
        <v>482</v>
      </c>
      <c r="C7" s="1">
        <v>13.4115</v>
      </c>
      <c r="D7">
        <f>SUM('250-600 μm'!D7+'150-250 μm '!D7+'150-600 μm (rest)'!D7)</f>
        <v>5</v>
      </c>
      <c r="E7">
        <f>SUM('250-600 μm'!E7+'150-250 μm '!E7+'150-600 μm (rest)'!E7)</f>
        <v>0</v>
      </c>
      <c r="F7">
        <f>SUM('250-600 μm'!F7+'150-250 μm '!F7+'150-600 μm (rest)'!F7)</f>
        <v>6</v>
      </c>
      <c r="G7">
        <f>SUM('250-600 μm'!G7+'150-250 μm '!G7+'150-600 μm (rest)'!G7)</f>
        <v>1</v>
      </c>
      <c r="H7">
        <f>SUM('250-600 μm'!H7+'150-250 μm '!H7+'150-600 μm (rest)'!H7)</f>
        <v>1</v>
      </c>
      <c r="I7">
        <f>SUM('250-600 μm'!I7+'150-250 μm '!I7+'150-600 μm (rest)'!I7)</f>
        <v>0</v>
      </c>
      <c r="J7">
        <f>SUM('250-600 μm'!J7+'150-250 μm '!J7+'150-600 μm (rest)'!J7)</f>
        <v>0</v>
      </c>
      <c r="K7">
        <f>SUM('250-600 μm'!K7+'150-250 μm '!K7+'150-600 μm (rest)'!K7)</f>
        <v>0</v>
      </c>
      <c r="L7">
        <f>SUM('250-600 μm'!L7+'150-250 μm '!L7+'150-600 μm (rest)'!L7)</f>
        <v>0</v>
      </c>
      <c r="M7">
        <f>SUM('250-600 μm'!M7+'150-250 μm '!M7+'150-600 μm (rest)'!M7)</f>
        <v>0</v>
      </c>
      <c r="N7">
        <f>SUM('250-600 μm'!N7+'150-250 μm '!N7+'150-600 μm (rest)'!N7)</f>
        <v>0</v>
      </c>
      <c r="O7">
        <f>SUM('250-600 μm'!O7+'150-250 μm '!O7+'150-600 μm (rest)'!O7)</f>
        <v>0</v>
      </c>
      <c r="P7">
        <f>SUM('250-600 μm'!P7+'150-250 μm '!P7+'150-600 μm (rest)'!P7)</f>
        <v>3</v>
      </c>
      <c r="Q7">
        <f>SUM('250-600 μm'!Q7+'150-250 μm '!Q7+'150-600 μm (rest)'!Q7)</f>
        <v>0</v>
      </c>
      <c r="R7">
        <f>SUM('250-600 μm'!R7+'150-250 μm '!R7+'150-600 μm (rest)'!R7)</f>
        <v>0</v>
      </c>
      <c r="S7">
        <f>SUM('250-600 μm'!S7+'150-250 μm '!S7+'150-600 μm (rest)'!S7)</f>
        <v>0</v>
      </c>
      <c r="T7">
        <f>SUM('250-600 μm'!T7+'150-250 μm '!T7+'150-600 μm (rest)'!T7)</f>
        <v>0</v>
      </c>
      <c r="U7">
        <f>SUM('250-600 μm'!U7+'150-250 μm '!U7+'150-600 μm (rest)'!U7)</f>
        <v>0</v>
      </c>
      <c r="V7">
        <f>SUM('250-600 μm'!V7+'150-250 μm '!V7+'150-600 μm (rest)'!V7)</f>
        <v>0</v>
      </c>
      <c r="W7">
        <f>SUM('250-600 μm'!W7+'150-250 μm '!W7+'150-600 μm (rest)'!W7)</f>
        <v>0</v>
      </c>
      <c r="X7">
        <f>SUM('250-600 μm'!X7+'150-250 μm '!X7+'150-600 μm (rest)'!X7)</f>
        <v>2</v>
      </c>
      <c r="Y7">
        <f>SUM('250-600 μm'!Y7+'150-250 μm '!Y7+'150-600 μm (rest)'!Y7)</f>
        <v>0</v>
      </c>
      <c r="Z7">
        <f>SUM('250-600 μm'!Z7+'150-250 μm '!Z7+'150-600 μm (rest)'!Z7)</f>
        <v>0</v>
      </c>
      <c r="AA7">
        <f t="shared" si="11"/>
        <v>18</v>
      </c>
      <c r="AC7">
        <f t="shared" si="0"/>
        <v>5</v>
      </c>
      <c r="AD7">
        <f t="shared" si="1"/>
        <v>7</v>
      </c>
      <c r="AE7">
        <f t="shared" si="2"/>
        <v>1</v>
      </c>
      <c r="AF7">
        <f t="shared" si="3"/>
        <v>0</v>
      </c>
      <c r="AG7">
        <f t="shared" si="4"/>
        <v>0</v>
      </c>
      <c r="AH7">
        <f t="shared" si="5"/>
        <v>3</v>
      </c>
      <c r="AI7">
        <f t="shared" si="6"/>
        <v>0</v>
      </c>
      <c r="AJ7">
        <f t="shared" si="7"/>
        <v>0</v>
      </c>
      <c r="AK7">
        <f t="shared" si="8"/>
        <v>0</v>
      </c>
      <c r="AL7">
        <f t="shared" si="9"/>
        <v>2</v>
      </c>
      <c r="AM7">
        <f t="shared" si="10"/>
        <v>0</v>
      </c>
      <c r="AN7" s="2">
        <f t="shared" si="12"/>
        <v>5.5555555555555552E-2</v>
      </c>
    </row>
    <row r="8" spans="1:40" x14ac:dyDescent="0.25">
      <c r="A8" t="s">
        <v>8</v>
      </c>
      <c r="B8">
        <v>542</v>
      </c>
      <c r="C8" s="1">
        <v>15.297745450000001</v>
      </c>
      <c r="D8">
        <f>SUM('250-600 μm'!D8+'150-250 μm '!D8+'150-600 μm (rest)'!D8)</f>
        <v>66</v>
      </c>
      <c r="E8">
        <f>SUM('250-600 μm'!E8+'150-250 μm '!E8+'150-600 μm (rest)'!E8)</f>
        <v>34</v>
      </c>
      <c r="F8">
        <f>SUM('250-600 μm'!F8+'150-250 μm '!F8+'150-600 μm (rest)'!F8)</f>
        <v>15</v>
      </c>
      <c r="G8">
        <f>SUM('250-600 μm'!G8+'150-250 μm '!G8+'150-600 μm (rest)'!G8)</f>
        <v>5</v>
      </c>
      <c r="H8">
        <f>SUM('250-600 μm'!H8+'150-250 μm '!H8+'150-600 μm (rest)'!H8)</f>
        <v>9</v>
      </c>
      <c r="I8">
        <f>SUM('250-600 μm'!I8+'150-250 μm '!I8+'150-600 μm (rest)'!I8)</f>
        <v>3</v>
      </c>
      <c r="J8">
        <f>SUM('250-600 μm'!J8+'150-250 μm '!J8+'150-600 μm (rest)'!J8)</f>
        <v>0</v>
      </c>
      <c r="K8">
        <f>SUM('250-600 μm'!K8+'150-250 μm '!K8+'150-600 μm (rest)'!K8)</f>
        <v>0</v>
      </c>
      <c r="L8">
        <f>SUM('250-600 μm'!L8+'150-250 μm '!L8+'150-600 μm (rest)'!L8)</f>
        <v>0</v>
      </c>
      <c r="M8">
        <f>SUM('250-600 μm'!M8+'150-250 μm '!M8+'150-600 μm (rest)'!M8)</f>
        <v>1</v>
      </c>
      <c r="N8">
        <f>SUM('250-600 μm'!N8+'150-250 μm '!N8+'150-600 μm (rest)'!N8)</f>
        <v>1</v>
      </c>
      <c r="O8">
        <f>SUM('250-600 μm'!O8+'150-250 μm '!O8+'150-600 μm (rest)'!O8)</f>
        <v>0</v>
      </c>
      <c r="P8">
        <f>SUM('250-600 μm'!P8+'150-250 μm '!P8+'150-600 μm (rest)'!P8)</f>
        <v>4</v>
      </c>
      <c r="Q8">
        <f>SUM('250-600 μm'!Q8+'150-250 μm '!Q8+'150-600 μm (rest)'!Q8)</f>
        <v>6</v>
      </c>
      <c r="R8">
        <f>SUM('250-600 μm'!R8+'150-250 μm '!R8+'150-600 μm (rest)'!R8)</f>
        <v>1</v>
      </c>
      <c r="S8">
        <f>SUM('250-600 μm'!S8+'150-250 μm '!S8+'150-600 μm (rest)'!S8)</f>
        <v>0</v>
      </c>
      <c r="T8">
        <f>SUM('250-600 μm'!T8+'150-250 μm '!T8+'150-600 μm (rest)'!T8)</f>
        <v>0</v>
      </c>
      <c r="U8">
        <f>SUM('250-600 μm'!U8+'150-250 μm '!U8+'150-600 μm (rest)'!U8)</f>
        <v>0</v>
      </c>
      <c r="V8">
        <f>SUM('250-600 μm'!V8+'150-250 μm '!V8+'150-600 μm (rest)'!V8)</f>
        <v>0</v>
      </c>
      <c r="W8">
        <f>SUM('250-600 μm'!W8+'150-250 μm '!W8+'150-600 μm (rest)'!W8)</f>
        <v>0</v>
      </c>
      <c r="X8">
        <f>SUM('250-600 μm'!X8+'150-250 μm '!X8+'150-600 μm (rest)'!X8)</f>
        <v>3</v>
      </c>
      <c r="Y8">
        <f>SUM('250-600 μm'!Y8+'150-250 μm '!Y8+'150-600 μm (rest)'!Y8)</f>
        <v>0</v>
      </c>
      <c r="Z8">
        <f>SUM('250-600 μm'!Z8+'150-250 μm '!Z8+'150-600 μm (rest)'!Z8)</f>
        <v>1</v>
      </c>
      <c r="AA8">
        <f t="shared" si="11"/>
        <v>149</v>
      </c>
      <c r="AC8">
        <f t="shared" si="0"/>
        <v>100</v>
      </c>
      <c r="AD8">
        <f t="shared" si="1"/>
        <v>20</v>
      </c>
      <c r="AE8">
        <f t="shared" si="2"/>
        <v>12</v>
      </c>
      <c r="AF8">
        <f t="shared" si="3"/>
        <v>1</v>
      </c>
      <c r="AG8">
        <f t="shared" si="4"/>
        <v>1</v>
      </c>
      <c r="AH8">
        <f t="shared" si="5"/>
        <v>10</v>
      </c>
      <c r="AI8">
        <f t="shared" si="6"/>
        <v>1</v>
      </c>
      <c r="AJ8">
        <f t="shared" si="7"/>
        <v>0</v>
      </c>
      <c r="AK8">
        <f t="shared" si="8"/>
        <v>0</v>
      </c>
      <c r="AL8">
        <f t="shared" si="9"/>
        <v>3</v>
      </c>
      <c r="AM8">
        <f t="shared" si="10"/>
        <v>1</v>
      </c>
      <c r="AN8" s="2">
        <f t="shared" si="12"/>
        <v>0.32214765100671139</v>
      </c>
    </row>
    <row r="9" spans="1:40" x14ac:dyDescent="0.25">
      <c r="A9" t="s">
        <v>9</v>
      </c>
      <c r="B9">
        <v>607</v>
      </c>
      <c r="C9" s="1">
        <v>17.630333330000003</v>
      </c>
      <c r="D9">
        <f>SUM('250-600 μm'!D9+'150-250 μm '!D9+'150-600 μm (rest)'!D9)</f>
        <v>8</v>
      </c>
      <c r="E9">
        <f>SUM('250-600 μm'!E9+'150-250 μm '!E9+'150-600 μm (rest)'!E9)</f>
        <v>1</v>
      </c>
      <c r="F9">
        <f>SUM('250-600 μm'!F9+'150-250 μm '!F9+'150-600 μm (rest)'!F9)</f>
        <v>5</v>
      </c>
      <c r="G9">
        <f>SUM('250-600 μm'!G9+'150-250 μm '!G9+'150-600 μm (rest)'!G9)</f>
        <v>0</v>
      </c>
      <c r="H9">
        <f>SUM('250-600 μm'!H9+'150-250 μm '!H9+'150-600 μm (rest)'!H9)</f>
        <v>0</v>
      </c>
      <c r="I9">
        <f>SUM('250-600 μm'!I9+'150-250 μm '!I9+'150-600 μm (rest)'!I9)</f>
        <v>0</v>
      </c>
      <c r="J9">
        <f>SUM('250-600 μm'!J9+'150-250 μm '!J9+'150-600 μm (rest)'!J9)</f>
        <v>0</v>
      </c>
      <c r="K9">
        <f>SUM('250-600 μm'!K9+'150-250 μm '!K9+'150-600 μm (rest)'!K9)</f>
        <v>0</v>
      </c>
      <c r="L9">
        <f>SUM('250-600 μm'!L9+'150-250 μm '!L9+'150-600 μm (rest)'!L9)</f>
        <v>0</v>
      </c>
      <c r="M9">
        <f>SUM('250-600 μm'!M9+'150-250 μm '!M9+'150-600 μm (rest)'!M9)</f>
        <v>0</v>
      </c>
      <c r="N9">
        <f>SUM('250-600 μm'!N9+'150-250 μm '!N9+'150-600 μm (rest)'!N9)</f>
        <v>0</v>
      </c>
      <c r="O9">
        <f>SUM('250-600 μm'!O9+'150-250 μm '!O9+'150-600 μm (rest)'!O9)</f>
        <v>0</v>
      </c>
      <c r="P9">
        <f>SUM('250-600 μm'!P9+'150-250 μm '!P9+'150-600 μm (rest)'!P9)</f>
        <v>0</v>
      </c>
      <c r="Q9">
        <f>SUM('250-600 μm'!Q9+'150-250 μm '!Q9+'150-600 μm (rest)'!Q9)</f>
        <v>0</v>
      </c>
      <c r="R9">
        <f>SUM('250-600 μm'!R9+'150-250 μm '!R9+'150-600 μm (rest)'!R9)</f>
        <v>1</v>
      </c>
      <c r="S9">
        <f>SUM('250-600 μm'!S9+'150-250 μm '!S9+'150-600 μm (rest)'!S9)</f>
        <v>0</v>
      </c>
      <c r="T9">
        <f>SUM('250-600 μm'!T9+'150-250 μm '!T9+'150-600 μm (rest)'!T9)</f>
        <v>0</v>
      </c>
      <c r="U9">
        <f>SUM('250-600 μm'!U9+'150-250 μm '!U9+'150-600 μm (rest)'!U9)</f>
        <v>0</v>
      </c>
      <c r="V9">
        <f>SUM('250-600 μm'!V9+'150-250 μm '!V9+'150-600 μm (rest)'!V9)</f>
        <v>0</v>
      </c>
      <c r="W9">
        <f>SUM('250-600 μm'!W9+'150-250 μm '!W9+'150-600 μm (rest)'!W9)</f>
        <v>0</v>
      </c>
      <c r="X9">
        <f>SUM('250-600 μm'!X9+'150-250 μm '!X9+'150-600 μm (rest)'!X9)</f>
        <v>1</v>
      </c>
      <c r="Y9">
        <f>SUM('250-600 μm'!Y9+'150-250 μm '!Y9+'150-600 μm (rest)'!Y9)</f>
        <v>0</v>
      </c>
      <c r="Z9">
        <f>SUM('250-600 μm'!Z9+'150-250 μm '!Z9+'150-600 μm (rest)'!Z9)</f>
        <v>0</v>
      </c>
      <c r="AA9">
        <f t="shared" si="11"/>
        <v>16</v>
      </c>
      <c r="AC9">
        <f t="shared" si="0"/>
        <v>9</v>
      </c>
      <c r="AD9">
        <f t="shared" si="1"/>
        <v>5</v>
      </c>
      <c r="AE9">
        <f t="shared" si="2"/>
        <v>0</v>
      </c>
      <c r="AF9">
        <f t="shared" si="3"/>
        <v>0</v>
      </c>
      <c r="AG9">
        <f t="shared" si="4"/>
        <v>0</v>
      </c>
      <c r="AH9">
        <f t="shared" si="5"/>
        <v>0</v>
      </c>
      <c r="AI9">
        <f t="shared" si="6"/>
        <v>1</v>
      </c>
      <c r="AJ9">
        <f t="shared" si="7"/>
        <v>0</v>
      </c>
      <c r="AK9">
        <f t="shared" si="8"/>
        <v>0</v>
      </c>
      <c r="AL9">
        <f t="shared" si="9"/>
        <v>1</v>
      </c>
      <c r="AM9">
        <f t="shared" si="10"/>
        <v>0</v>
      </c>
      <c r="AN9" s="2">
        <f t="shared" si="12"/>
        <v>6.25E-2</v>
      </c>
    </row>
    <row r="10" spans="1:40" x14ac:dyDescent="0.25">
      <c r="A10" t="s">
        <v>10</v>
      </c>
      <c r="B10">
        <v>641</v>
      </c>
      <c r="C10" s="1">
        <v>19.789979380000002</v>
      </c>
      <c r="D10">
        <f>SUM('250-600 μm'!D10+'150-250 μm '!D10+'150-600 μm (rest)'!D10)</f>
        <v>9</v>
      </c>
      <c r="E10">
        <f>SUM('250-600 μm'!E10+'150-250 μm '!E10+'150-600 μm (rest)'!E10)</f>
        <v>0</v>
      </c>
      <c r="F10">
        <f>SUM('250-600 μm'!F10+'150-250 μm '!F10+'150-600 μm (rest)'!F10)</f>
        <v>6</v>
      </c>
      <c r="G10">
        <f>SUM('250-600 μm'!G10+'150-250 μm '!G10+'150-600 μm (rest)'!G10)</f>
        <v>0</v>
      </c>
      <c r="H10">
        <f>SUM('250-600 μm'!H10+'150-250 μm '!H10+'150-600 μm (rest)'!H10)</f>
        <v>1</v>
      </c>
      <c r="I10">
        <f>SUM('250-600 μm'!I10+'150-250 μm '!I10+'150-600 μm (rest)'!I10)</f>
        <v>0</v>
      </c>
      <c r="J10">
        <f>SUM('250-600 μm'!J10+'150-250 μm '!J10+'150-600 μm (rest)'!J10)</f>
        <v>0</v>
      </c>
      <c r="K10">
        <f>SUM('250-600 μm'!K10+'150-250 μm '!K10+'150-600 μm (rest)'!K10)</f>
        <v>0</v>
      </c>
      <c r="L10">
        <f>SUM('250-600 μm'!L10+'150-250 μm '!L10+'150-600 μm (rest)'!L10)</f>
        <v>0</v>
      </c>
      <c r="M10">
        <f>SUM('250-600 μm'!M10+'150-250 μm '!M10+'150-600 μm (rest)'!M10)</f>
        <v>0</v>
      </c>
      <c r="N10">
        <f>SUM('250-600 μm'!N10+'150-250 μm '!N10+'150-600 μm (rest)'!N10)</f>
        <v>2</v>
      </c>
      <c r="O10">
        <f>SUM('250-600 μm'!O10+'150-250 μm '!O10+'150-600 μm (rest)'!O10)</f>
        <v>1</v>
      </c>
      <c r="P10">
        <f>SUM('250-600 μm'!P10+'150-250 μm '!P10+'150-600 μm (rest)'!P10)</f>
        <v>5</v>
      </c>
      <c r="Q10">
        <f>SUM('250-600 μm'!Q10+'150-250 μm '!Q10+'150-600 μm (rest)'!Q10)</f>
        <v>7</v>
      </c>
      <c r="R10">
        <f>SUM('250-600 μm'!R10+'150-250 μm '!R10+'150-600 μm (rest)'!R10)</f>
        <v>0</v>
      </c>
      <c r="S10">
        <f>SUM('250-600 μm'!S10+'150-250 μm '!S10+'150-600 μm (rest)'!S10)</f>
        <v>0</v>
      </c>
      <c r="T10">
        <f>SUM('250-600 μm'!T10+'150-250 μm '!T10+'150-600 μm (rest)'!T10)</f>
        <v>0</v>
      </c>
      <c r="U10">
        <f>SUM('250-600 μm'!U10+'150-250 μm '!U10+'150-600 μm (rest)'!U10)</f>
        <v>0</v>
      </c>
      <c r="V10">
        <f>SUM('250-600 μm'!V10+'150-250 μm '!V10+'150-600 μm (rest)'!V10)</f>
        <v>1</v>
      </c>
      <c r="W10">
        <f>SUM('250-600 μm'!W10+'150-250 μm '!W10+'150-600 μm (rest)'!W10)</f>
        <v>0</v>
      </c>
      <c r="X10">
        <f>SUM('250-600 μm'!X10+'150-250 μm '!X10+'150-600 μm (rest)'!X10)</f>
        <v>2</v>
      </c>
      <c r="Y10">
        <f>SUM('250-600 μm'!Y10+'150-250 μm '!Y10+'150-600 μm (rest)'!Y10)</f>
        <v>0</v>
      </c>
      <c r="Z10">
        <f>SUM('250-600 μm'!Z10+'150-250 μm '!Z10+'150-600 μm (rest)'!Z10)</f>
        <v>0</v>
      </c>
      <c r="AA10">
        <f t="shared" si="11"/>
        <v>34</v>
      </c>
      <c r="AC10">
        <f t="shared" si="0"/>
        <v>9</v>
      </c>
      <c r="AD10">
        <f t="shared" si="1"/>
        <v>6</v>
      </c>
      <c r="AE10">
        <f t="shared" si="2"/>
        <v>1</v>
      </c>
      <c r="AF10">
        <f t="shared" si="3"/>
        <v>0</v>
      </c>
      <c r="AG10">
        <f t="shared" si="4"/>
        <v>3</v>
      </c>
      <c r="AH10">
        <f t="shared" si="5"/>
        <v>12</v>
      </c>
      <c r="AI10">
        <f t="shared" si="6"/>
        <v>0</v>
      </c>
      <c r="AJ10">
        <f t="shared" si="7"/>
        <v>0</v>
      </c>
      <c r="AK10">
        <f t="shared" si="8"/>
        <v>1</v>
      </c>
      <c r="AL10">
        <f t="shared" si="9"/>
        <v>2</v>
      </c>
      <c r="AM10">
        <f t="shared" si="10"/>
        <v>0</v>
      </c>
      <c r="AN10" s="2">
        <f t="shared" si="12"/>
        <v>0.23529411764705882</v>
      </c>
    </row>
    <row r="11" spans="1:40" x14ac:dyDescent="0.25">
      <c r="A11" t="s">
        <v>11</v>
      </c>
      <c r="B11">
        <v>676</v>
      </c>
      <c r="C11" s="1">
        <v>22.102144329999998</v>
      </c>
      <c r="D11">
        <f>SUM('250-600 μm'!D11+'150-250 μm '!D11+'150-600 μm (rest)'!D11)</f>
        <v>15</v>
      </c>
      <c r="E11">
        <f>SUM('250-600 μm'!E11+'150-250 μm '!E11+'150-600 μm (rest)'!E11)</f>
        <v>1</v>
      </c>
      <c r="F11">
        <f>SUM('250-600 μm'!F11+'150-250 μm '!F11+'150-600 μm (rest)'!F11)</f>
        <v>1</v>
      </c>
      <c r="G11">
        <f>SUM('250-600 μm'!G11+'150-250 μm '!G11+'150-600 μm (rest)'!G11)</f>
        <v>0</v>
      </c>
      <c r="H11">
        <f>SUM('250-600 μm'!H11+'150-250 μm '!H11+'150-600 μm (rest)'!H11)</f>
        <v>4</v>
      </c>
      <c r="I11">
        <f>SUM('250-600 μm'!I11+'150-250 μm '!I11+'150-600 μm (rest)'!I11)</f>
        <v>1</v>
      </c>
      <c r="J11">
        <f>SUM('250-600 μm'!J11+'150-250 μm '!J11+'150-600 μm (rest)'!J11)</f>
        <v>0</v>
      </c>
      <c r="K11">
        <f>SUM('250-600 μm'!K11+'150-250 μm '!K11+'150-600 μm (rest)'!K11)</f>
        <v>0</v>
      </c>
      <c r="L11">
        <f>SUM('250-600 μm'!L11+'150-250 μm '!L11+'150-600 μm (rest)'!L11)</f>
        <v>0</v>
      </c>
      <c r="M11">
        <f>SUM('250-600 μm'!M11+'150-250 μm '!M11+'150-600 μm (rest)'!M11)</f>
        <v>0</v>
      </c>
      <c r="N11">
        <f>SUM('250-600 μm'!N11+'150-250 μm '!N11+'150-600 μm (rest)'!N11)</f>
        <v>0</v>
      </c>
      <c r="O11">
        <f>SUM('250-600 μm'!O11+'150-250 μm '!O11+'150-600 μm (rest)'!O11)</f>
        <v>0</v>
      </c>
      <c r="P11">
        <f>SUM('250-600 μm'!P11+'150-250 μm '!P11+'150-600 μm (rest)'!P11)</f>
        <v>3</v>
      </c>
      <c r="Q11">
        <f>SUM('250-600 μm'!Q11+'150-250 μm '!Q11+'150-600 μm (rest)'!Q11)</f>
        <v>1</v>
      </c>
      <c r="R11">
        <f>SUM('250-600 μm'!R11+'150-250 μm '!R11+'150-600 μm (rest)'!R11)</f>
        <v>0</v>
      </c>
      <c r="S11">
        <f>SUM('250-600 μm'!S11+'150-250 μm '!S11+'150-600 μm (rest)'!S11)</f>
        <v>0</v>
      </c>
      <c r="T11">
        <f>SUM('250-600 μm'!T11+'150-250 μm '!T11+'150-600 μm (rest)'!T11)</f>
        <v>0</v>
      </c>
      <c r="U11">
        <f>SUM('250-600 μm'!U11+'150-250 μm '!U11+'150-600 μm (rest)'!U11)</f>
        <v>1</v>
      </c>
      <c r="V11">
        <f>SUM('250-600 μm'!V11+'150-250 μm '!V11+'150-600 μm (rest)'!V11)</f>
        <v>1</v>
      </c>
      <c r="W11">
        <f>SUM('250-600 μm'!W11+'150-250 μm '!W11+'150-600 μm (rest)'!W11)</f>
        <v>0</v>
      </c>
      <c r="X11">
        <f>SUM('250-600 μm'!X11+'150-250 μm '!X11+'150-600 μm (rest)'!X11)</f>
        <v>2</v>
      </c>
      <c r="Y11">
        <f>SUM('250-600 μm'!Y11+'150-250 μm '!Y11+'150-600 μm (rest)'!Y11)</f>
        <v>1</v>
      </c>
      <c r="Z11">
        <f>SUM('250-600 μm'!Z11+'150-250 μm '!Z11+'150-600 μm (rest)'!Z11)</f>
        <v>0</v>
      </c>
      <c r="AA11">
        <f t="shared" si="11"/>
        <v>31</v>
      </c>
      <c r="AC11">
        <f t="shared" si="0"/>
        <v>16</v>
      </c>
      <c r="AD11">
        <f t="shared" si="1"/>
        <v>1</v>
      </c>
      <c r="AE11">
        <f t="shared" si="2"/>
        <v>5</v>
      </c>
      <c r="AF11">
        <f t="shared" si="3"/>
        <v>0</v>
      </c>
      <c r="AG11">
        <f t="shared" si="4"/>
        <v>0</v>
      </c>
      <c r="AH11">
        <f t="shared" si="5"/>
        <v>4</v>
      </c>
      <c r="AI11">
        <f t="shared" si="6"/>
        <v>0</v>
      </c>
      <c r="AJ11">
        <f t="shared" si="7"/>
        <v>1</v>
      </c>
      <c r="AK11">
        <f t="shared" si="8"/>
        <v>1</v>
      </c>
      <c r="AL11">
        <f t="shared" si="9"/>
        <v>3</v>
      </c>
      <c r="AM11">
        <f t="shared" si="10"/>
        <v>0</v>
      </c>
      <c r="AN11" s="2">
        <f t="shared" si="12"/>
        <v>0.16129032258064516</v>
      </c>
    </row>
    <row r="12" spans="1:40" x14ac:dyDescent="0.25">
      <c r="A12" t="s">
        <v>12</v>
      </c>
      <c r="B12">
        <v>746</v>
      </c>
      <c r="C12" s="1">
        <v>26.142461539999999</v>
      </c>
      <c r="D12">
        <f>SUM('250-600 μm'!D12+'150-250 μm '!D12+'150-600 μm (rest)'!D12)</f>
        <v>65</v>
      </c>
      <c r="E12">
        <f>SUM('250-600 μm'!E12+'150-250 μm '!E12+'150-600 μm (rest)'!E12)</f>
        <v>29</v>
      </c>
      <c r="F12">
        <f>SUM('250-600 μm'!F12+'150-250 μm '!F12+'150-600 μm (rest)'!F12)</f>
        <v>11</v>
      </c>
      <c r="G12">
        <f>SUM('250-600 μm'!G12+'150-250 μm '!G12+'150-600 μm (rest)'!G12)</f>
        <v>11</v>
      </c>
      <c r="H12">
        <f>SUM('250-600 μm'!H12+'150-250 μm '!H12+'150-600 μm (rest)'!H12)</f>
        <v>8</v>
      </c>
      <c r="I12">
        <f>SUM('250-600 μm'!I12+'150-250 μm '!I12+'150-600 μm (rest)'!I12)</f>
        <v>2</v>
      </c>
      <c r="J12">
        <f>SUM('250-600 μm'!J12+'150-250 μm '!J12+'150-600 μm (rest)'!J12)</f>
        <v>2</v>
      </c>
      <c r="K12">
        <f>SUM('250-600 μm'!K12+'150-250 μm '!K12+'150-600 μm (rest)'!K12)</f>
        <v>1</v>
      </c>
      <c r="L12">
        <f>SUM('250-600 μm'!L12+'150-250 μm '!L12+'150-600 μm (rest)'!L12)</f>
        <v>0</v>
      </c>
      <c r="M12">
        <f>SUM('250-600 μm'!M12+'150-250 μm '!M12+'150-600 μm (rest)'!M12)</f>
        <v>1</v>
      </c>
      <c r="N12">
        <f>SUM('250-600 μm'!N12+'150-250 μm '!N12+'150-600 μm (rest)'!N12)</f>
        <v>2</v>
      </c>
      <c r="O12">
        <f>SUM('250-600 μm'!O12+'150-250 μm '!O12+'150-600 μm (rest)'!O12)</f>
        <v>2</v>
      </c>
      <c r="P12">
        <f>SUM('250-600 μm'!P12+'150-250 μm '!P12+'150-600 μm (rest)'!P12)</f>
        <v>14</v>
      </c>
      <c r="Q12">
        <f>SUM('250-600 μm'!Q12+'150-250 μm '!Q12+'150-600 μm (rest)'!Q12)</f>
        <v>6</v>
      </c>
      <c r="R12">
        <f>SUM('250-600 μm'!R12+'150-250 μm '!R12+'150-600 μm (rest)'!R12)</f>
        <v>1</v>
      </c>
      <c r="S12">
        <f>SUM('250-600 μm'!S12+'150-250 μm '!S12+'150-600 μm (rest)'!S12)</f>
        <v>1</v>
      </c>
      <c r="T12">
        <f>SUM('250-600 μm'!T12+'150-250 μm '!T12+'150-600 μm (rest)'!T12)</f>
        <v>1</v>
      </c>
      <c r="U12">
        <f>SUM('250-600 μm'!U12+'150-250 μm '!U12+'150-600 μm (rest)'!U12)</f>
        <v>1</v>
      </c>
      <c r="V12">
        <f>SUM('250-600 μm'!V12+'150-250 μm '!V12+'150-600 μm (rest)'!V12)</f>
        <v>4</v>
      </c>
      <c r="W12">
        <f>SUM('250-600 μm'!W12+'150-250 μm '!W12+'150-600 μm (rest)'!W12)</f>
        <v>0</v>
      </c>
      <c r="X12">
        <f>SUM('250-600 μm'!X12+'150-250 μm '!X12+'150-600 μm (rest)'!X12)</f>
        <v>4</v>
      </c>
      <c r="Y12">
        <f>SUM('250-600 μm'!Y12+'150-250 μm '!Y12+'150-600 μm (rest)'!Y12)</f>
        <v>1</v>
      </c>
      <c r="Z12">
        <f>SUM('250-600 μm'!Z12+'150-250 μm '!Z12+'150-600 μm (rest)'!Z12)</f>
        <v>0</v>
      </c>
      <c r="AA12">
        <f t="shared" si="11"/>
        <v>167</v>
      </c>
      <c r="AC12">
        <f t="shared" si="0"/>
        <v>94</v>
      </c>
      <c r="AD12">
        <f t="shared" si="1"/>
        <v>22</v>
      </c>
      <c r="AE12">
        <f t="shared" si="2"/>
        <v>12</v>
      </c>
      <c r="AF12">
        <f t="shared" si="3"/>
        <v>2</v>
      </c>
      <c r="AG12">
        <f t="shared" si="4"/>
        <v>4</v>
      </c>
      <c r="AH12">
        <f t="shared" si="5"/>
        <v>20</v>
      </c>
      <c r="AI12">
        <f t="shared" si="6"/>
        <v>2</v>
      </c>
      <c r="AJ12">
        <f t="shared" si="7"/>
        <v>2</v>
      </c>
      <c r="AK12">
        <f t="shared" si="8"/>
        <v>4</v>
      </c>
      <c r="AL12">
        <f t="shared" si="9"/>
        <v>5</v>
      </c>
      <c r="AM12">
        <f t="shared" si="10"/>
        <v>0</v>
      </c>
      <c r="AN12" s="2">
        <f t="shared" si="12"/>
        <v>0.31736526946107785</v>
      </c>
    </row>
    <row r="13" spans="1:40" x14ac:dyDescent="0.25">
      <c r="A13" t="s">
        <v>13</v>
      </c>
      <c r="B13">
        <v>833</v>
      </c>
      <c r="C13" s="1">
        <v>29.47625532</v>
      </c>
      <c r="D13">
        <f>SUM('250-600 μm'!D13+'150-250 μm '!D13+'150-600 μm (rest)'!D13)</f>
        <v>0</v>
      </c>
      <c r="E13">
        <f>SUM('250-600 μm'!E13+'150-250 μm '!E13+'150-600 μm (rest)'!E13)</f>
        <v>0</v>
      </c>
      <c r="F13">
        <f>SUM('250-600 μm'!F13+'150-250 μm '!F13+'150-600 μm (rest)'!F13)</f>
        <v>1</v>
      </c>
      <c r="G13">
        <f>SUM('250-600 μm'!G13+'150-250 μm '!G13+'150-600 μm (rest)'!G13)</f>
        <v>0</v>
      </c>
      <c r="H13">
        <f>SUM('250-600 μm'!H13+'150-250 μm '!H13+'150-600 μm (rest)'!H13)</f>
        <v>0</v>
      </c>
      <c r="I13">
        <f>SUM('250-600 μm'!I13+'150-250 μm '!I13+'150-600 μm (rest)'!I13)</f>
        <v>0</v>
      </c>
      <c r="J13">
        <f>SUM('250-600 μm'!J13+'150-250 μm '!J13+'150-600 μm (rest)'!J13)</f>
        <v>0</v>
      </c>
      <c r="K13">
        <f>SUM('250-600 μm'!K13+'150-250 μm '!K13+'150-600 μm (rest)'!K13)</f>
        <v>0</v>
      </c>
      <c r="L13">
        <f>SUM('250-600 μm'!L13+'150-250 μm '!L13+'150-600 μm (rest)'!L13)</f>
        <v>0</v>
      </c>
      <c r="M13">
        <f>SUM('250-600 μm'!M13+'150-250 μm '!M13+'150-600 μm (rest)'!M13)</f>
        <v>0</v>
      </c>
      <c r="N13">
        <f>SUM('250-600 μm'!N13+'150-250 μm '!N13+'150-600 μm (rest)'!N13)</f>
        <v>0</v>
      </c>
      <c r="O13">
        <f>SUM('250-600 μm'!O13+'150-250 μm '!O13+'150-600 μm (rest)'!O13)</f>
        <v>0</v>
      </c>
      <c r="P13">
        <f>SUM('250-600 μm'!P13+'150-250 μm '!P13+'150-600 μm (rest)'!P13)</f>
        <v>1</v>
      </c>
      <c r="Q13">
        <f>SUM('250-600 μm'!Q13+'150-250 μm '!Q13+'150-600 μm (rest)'!Q13)</f>
        <v>0</v>
      </c>
      <c r="R13">
        <f>SUM('250-600 μm'!R13+'150-250 μm '!R13+'150-600 μm (rest)'!R13)</f>
        <v>0</v>
      </c>
      <c r="S13">
        <f>SUM('250-600 μm'!S13+'150-250 μm '!S13+'150-600 μm (rest)'!S13)</f>
        <v>0</v>
      </c>
      <c r="T13">
        <f>SUM('250-600 μm'!T13+'150-250 μm '!T13+'150-600 μm (rest)'!T13)</f>
        <v>0</v>
      </c>
      <c r="U13">
        <f>SUM('250-600 μm'!U13+'150-250 μm '!U13+'150-600 μm (rest)'!U13)</f>
        <v>0</v>
      </c>
      <c r="V13">
        <f>SUM('250-600 μm'!V13+'150-250 μm '!V13+'150-600 μm (rest)'!V13)</f>
        <v>0</v>
      </c>
      <c r="W13">
        <f>SUM('250-600 μm'!W13+'150-250 μm '!W13+'150-600 μm (rest)'!W13)</f>
        <v>0</v>
      </c>
      <c r="X13">
        <f>SUM('250-600 μm'!X13+'150-250 μm '!X13+'150-600 μm (rest)'!X13)</f>
        <v>0</v>
      </c>
      <c r="Y13">
        <f>SUM('250-600 μm'!Y13+'150-250 μm '!Y13+'150-600 μm (rest)'!Y13)</f>
        <v>0</v>
      </c>
      <c r="Z13">
        <f>SUM('250-600 μm'!Z13+'150-250 μm '!Z13+'150-600 μm (rest)'!Z13)</f>
        <v>0</v>
      </c>
      <c r="AA13">
        <f t="shared" si="11"/>
        <v>2</v>
      </c>
      <c r="AC13">
        <f t="shared" si="0"/>
        <v>0</v>
      </c>
      <c r="AD13">
        <f t="shared" si="1"/>
        <v>1</v>
      </c>
      <c r="AE13">
        <f t="shared" si="2"/>
        <v>0</v>
      </c>
      <c r="AF13">
        <f t="shared" si="3"/>
        <v>0</v>
      </c>
      <c r="AG13">
        <f t="shared" si="4"/>
        <v>0</v>
      </c>
      <c r="AH13">
        <f t="shared" si="5"/>
        <v>1</v>
      </c>
      <c r="AI13">
        <f t="shared" si="6"/>
        <v>0</v>
      </c>
      <c r="AJ13">
        <f t="shared" si="7"/>
        <v>0</v>
      </c>
      <c r="AK13">
        <f t="shared" si="8"/>
        <v>0</v>
      </c>
      <c r="AL13">
        <f t="shared" si="9"/>
        <v>0</v>
      </c>
      <c r="AM13">
        <f t="shared" si="10"/>
        <v>0</v>
      </c>
      <c r="AN13" s="2">
        <f t="shared" si="12"/>
        <v>0</v>
      </c>
    </row>
    <row r="14" spans="1:40" x14ac:dyDescent="0.25">
      <c r="A14" t="s">
        <v>14</v>
      </c>
      <c r="B14">
        <v>888</v>
      </c>
      <c r="C14" s="1">
        <v>30.86361905</v>
      </c>
      <c r="D14">
        <f>SUM('250-600 μm'!D14+'150-250 μm '!D14+'150-600 μm (rest)'!D14)</f>
        <v>1</v>
      </c>
      <c r="E14">
        <f>SUM('250-600 μm'!E14+'150-250 μm '!E14+'150-600 μm (rest)'!E14)</f>
        <v>0</v>
      </c>
      <c r="F14">
        <f>SUM('250-600 μm'!F14+'150-250 μm '!F14+'150-600 μm (rest)'!F14)</f>
        <v>0</v>
      </c>
      <c r="G14">
        <f>SUM('250-600 μm'!G14+'150-250 μm '!G14+'150-600 μm (rest)'!G14)</f>
        <v>0</v>
      </c>
      <c r="H14">
        <f>SUM('250-600 μm'!H14+'150-250 μm '!H14+'150-600 μm (rest)'!H14)</f>
        <v>0</v>
      </c>
      <c r="I14">
        <f>SUM('250-600 μm'!I14+'150-250 μm '!I14+'150-600 μm (rest)'!I14)</f>
        <v>0</v>
      </c>
      <c r="J14">
        <f>SUM('250-600 μm'!J14+'150-250 μm '!J14+'150-600 μm (rest)'!J14)</f>
        <v>0</v>
      </c>
      <c r="K14">
        <f>SUM('250-600 μm'!K14+'150-250 μm '!K14+'150-600 μm (rest)'!K14)</f>
        <v>0</v>
      </c>
      <c r="L14">
        <f>SUM('250-600 μm'!L14+'150-250 μm '!L14+'150-600 μm (rest)'!L14)</f>
        <v>0</v>
      </c>
      <c r="M14">
        <f>SUM('250-600 μm'!M14+'150-250 μm '!M14+'150-600 μm (rest)'!M14)</f>
        <v>0</v>
      </c>
      <c r="N14">
        <f>SUM('250-600 μm'!N14+'150-250 μm '!N14+'150-600 μm (rest)'!N14)</f>
        <v>2</v>
      </c>
      <c r="O14">
        <f>SUM('250-600 μm'!O14+'150-250 μm '!O14+'150-600 μm (rest)'!O14)</f>
        <v>0</v>
      </c>
      <c r="P14">
        <f>SUM('250-600 μm'!P14+'150-250 μm '!P14+'150-600 μm (rest)'!P14)</f>
        <v>0</v>
      </c>
      <c r="Q14">
        <f>SUM('250-600 μm'!Q14+'150-250 μm '!Q14+'150-600 μm (rest)'!Q14)</f>
        <v>0</v>
      </c>
      <c r="R14">
        <f>SUM('250-600 μm'!R14+'150-250 μm '!R14+'150-600 μm (rest)'!R14)</f>
        <v>0</v>
      </c>
      <c r="S14">
        <f>SUM('250-600 μm'!S14+'150-250 μm '!S14+'150-600 μm (rest)'!S14)</f>
        <v>0</v>
      </c>
      <c r="T14">
        <f>SUM('250-600 μm'!T14+'150-250 μm '!T14+'150-600 μm (rest)'!T14)</f>
        <v>0</v>
      </c>
      <c r="U14">
        <f>SUM('250-600 μm'!U14+'150-250 μm '!U14+'150-600 μm (rest)'!U14)</f>
        <v>0</v>
      </c>
      <c r="V14">
        <f>SUM('250-600 μm'!V14+'150-250 μm '!V14+'150-600 μm (rest)'!V14)</f>
        <v>0</v>
      </c>
      <c r="W14">
        <f>SUM('250-600 μm'!W14+'150-250 μm '!W14+'150-600 μm (rest)'!W14)</f>
        <v>0</v>
      </c>
      <c r="X14">
        <f>SUM('250-600 μm'!X14+'150-250 μm '!X14+'150-600 μm (rest)'!X14)</f>
        <v>0</v>
      </c>
      <c r="Y14">
        <f>SUM('250-600 μm'!Y14+'150-250 μm '!Y14+'150-600 μm (rest)'!Y14)</f>
        <v>0</v>
      </c>
      <c r="Z14">
        <f>SUM('250-600 μm'!Z14+'150-250 μm '!Z14+'150-600 μm (rest)'!Z14)</f>
        <v>0</v>
      </c>
      <c r="AA14">
        <f t="shared" si="11"/>
        <v>3</v>
      </c>
      <c r="AC14">
        <f t="shared" si="0"/>
        <v>1</v>
      </c>
      <c r="AD14">
        <f t="shared" si="1"/>
        <v>0</v>
      </c>
      <c r="AE14">
        <f t="shared" si="2"/>
        <v>0</v>
      </c>
      <c r="AF14">
        <f t="shared" si="3"/>
        <v>0</v>
      </c>
      <c r="AG14">
        <f t="shared" si="4"/>
        <v>2</v>
      </c>
      <c r="AH14">
        <f t="shared" si="5"/>
        <v>0</v>
      </c>
      <c r="AI14">
        <f t="shared" si="6"/>
        <v>0</v>
      </c>
      <c r="AJ14">
        <f t="shared" si="7"/>
        <v>0</v>
      </c>
      <c r="AK14">
        <f t="shared" si="8"/>
        <v>0</v>
      </c>
      <c r="AL14">
        <f t="shared" si="9"/>
        <v>0</v>
      </c>
      <c r="AM14">
        <f t="shared" si="10"/>
        <v>0</v>
      </c>
      <c r="AN14" s="2">
        <f t="shared" si="12"/>
        <v>0</v>
      </c>
    </row>
    <row r="15" spans="1:40" x14ac:dyDescent="0.25">
      <c r="A15" t="s">
        <v>15</v>
      </c>
      <c r="B15">
        <v>940</v>
      </c>
      <c r="C15" s="1">
        <v>31.4960381</v>
      </c>
      <c r="D15">
        <f>SUM('250-600 μm'!D15+'150-250 μm '!D15+'150-600 μm (rest)'!D15)</f>
        <v>0</v>
      </c>
      <c r="E15">
        <f>SUM('250-600 μm'!E15+'150-250 μm '!E15+'150-600 μm (rest)'!E15)</f>
        <v>0</v>
      </c>
      <c r="F15">
        <f>SUM('250-600 μm'!F15+'150-250 μm '!F15+'150-600 μm (rest)'!F15)</f>
        <v>0</v>
      </c>
      <c r="G15">
        <f>SUM('250-600 μm'!G15+'150-250 μm '!G15+'150-600 μm (rest)'!G15)</f>
        <v>0</v>
      </c>
      <c r="H15">
        <f>SUM('250-600 μm'!H15+'150-250 μm '!H15+'150-600 μm (rest)'!H15)</f>
        <v>0</v>
      </c>
      <c r="I15">
        <f>SUM('250-600 μm'!I15+'150-250 μm '!I15+'150-600 μm (rest)'!I15)</f>
        <v>0</v>
      </c>
      <c r="J15">
        <f>SUM('250-600 μm'!J15+'150-250 μm '!J15+'150-600 μm (rest)'!J15)</f>
        <v>0</v>
      </c>
      <c r="K15">
        <f>SUM('250-600 μm'!K15+'150-250 μm '!K15+'150-600 μm (rest)'!K15)</f>
        <v>0</v>
      </c>
      <c r="L15">
        <f>SUM('250-600 μm'!L15+'150-250 μm '!L15+'150-600 μm (rest)'!L15)</f>
        <v>0</v>
      </c>
      <c r="M15">
        <f>SUM('250-600 μm'!M15+'150-250 μm '!M15+'150-600 μm (rest)'!M15)</f>
        <v>0</v>
      </c>
      <c r="N15">
        <f>SUM('250-600 μm'!N15+'150-250 μm '!N15+'150-600 μm (rest)'!N15)</f>
        <v>0</v>
      </c>
      <c r="O15">
        <f>SUM('250-600 μm'!O15+'150-250 μm '!O15+'150-600 μm (rest)'!O15)</f>
        <v>0</v>
      </c>
      <c r="P15">
        <f>SUM('250-600 μm'!P15+'150-250 μm '!P15+'150-600 μm (rest)'!P15)</f>
        <v>0</v>
      </c>
      <c r="Q15">
        <f>SUM('250-600 μm'!Q15+'150-250 μm '!Q15+'150-600 μm (rest)'!Q15)</f>
        <v>0</v>
      </c>
      <c r="R15">
        <f>SUM('250-600 μm'!R15+'150-250 μm '!R15+'150-600 μm (rest)'!R15)</f>
        <v>0</v>
      </c>
      <c r="S15">
        <f>SUM('250-600 μm'!S15+'150-250 μm '!S15+'150-600 μm (rest)'!S15)</f>
        <v>0</v>
      </c>
      <c r="T15">
        <f>SUM('250-600 μm'!T15+'150-250 μm '!T15+'150-600 μm (rest)'!T15)</f>
        <v>0</v>
      </c>
      <c r="U15">
        <f>SUM('250-600 μm'!U15+'150-250 μm '!U15+'150-600 μm (rest)'!U15)</f>
        <v>0</v>
      </c>
      <c r="V15">
        <f>SUM('250-600 μm'!V15+'150-250 μm '!V15+'150-600 μm (rest)'!V15)</f>
        <v>0</v>
      </c>
      <c r="W15">
        <f>SUM('250-600 μm'!W15+'150-250 μm '!W15+'150-600 μm (rest)'!W15)</f>
        <v>0</v>
      </c>
      <c r="X15">
        <f>SUM('250-600 μm'!X15+'150-250 μm '!X15+'150-600 μm (rest)'!X15)</f>
        <v>0</v>
      </c>
      <c r="Y15">
        <f>SUM('250-600 μm'!Y15+'150-250 μm '!Y15+'150-600 μm (rest)'!Y15)</f>
        <v>0</v>
      </c>
      <c r="Z15">
        <f>SUM('250-600 μm'!Z15+'150-250 μm '!Z15+'150-600 μm (rest)'!Z15)</f>
        <v>0</v>
      </c>
      <c r="AA15">
        <f t="shared" si="11"/>
        <v>0</v>
      </c>
      <c r="AC15">
        <f t="shared" si="0"/>
        <v>0</v>
      </c>
      <c r="AD15">
        <f t="shared" si="1"/>
        <v>0</v>
      </c>
      <c r="AE15">
        <f t="shared" si="2"/>
        <v>0</v>
      </c>
      <c r="AF15">
        <f t="shared" si="3"/>
        <v>0</v>
      </c>
      <c r="AG15">
        <f t="shared" si="4"/>
        <v>0</v>
      </c>
      <c r="AH15">
        <f t="shared" si="5"/>
        <v>0</v>
      </c>
      <c r="AI15">
        <f t="shared" si="6"/>
        <v>0</v>
      </c>
      <c r="AJ15">
        <f t="shared" si="7"/>
        <v>0</v>
      </c>
      <c r="AK15">
        <f t="shared" si="8"/>
        <v>0</v>
      </c>
      <c r="AL15">
        <f t="shared" si="9"/>
        <v>0</v>
      </c>
      <c r="AM15">
        <f t="shared" si="10"/>
        <v>0</v>
      </c>
      <c r="AN15" s="2">
        <v>0</v>
      </c>
    </row>
    <row r="16" spans="1:40" x14ac:dyDescent="0.25">
      <c r="A16" t="s">
        <v>16</v>
      </c>
      <c r="B16">
        <v>1021</v>
      </c>
      <c r="C16" s="1">
        <v>33.121000000000002</v>
      </c>
      <c r="D16">
        <f>SUM('250-600 μm'!D16+'150-250 μm '!D16+'150-600 μm (rest)'!D16)</f>
        <v>0</v>
      </c>
      <c r="E16">
        <f>SUM('250-600 μm'!E16+'150-250 μm '!E16+'150-600 μm (rest)'!E16)</f>
        <v>0</v>
      </c>
      <c r="F16">
        <f>SUM('250-600 μm'!F16+'150-250 μm '!F16+'150-600 μm (rest)'!F16)</f>
        <v>0</v>
      </c>
      <c r="G16">
        <f>SUM('250-600 μm'!G16+'150-250 μm '!G16+'150-600 μm (rest)'!G16)</f>
        <v>0</v>
      </c>
      <c r="H16">
        <f>SUM('250-600 μm'!H16+'150-250 μm '!H16+'150-600 μm (rest)'!H16)</f>
        <v>0</v>
      </c>
      <c r="I16">
        <f>SUM('250-600 μm'!I16+'150-250 μm '!I16+'150-600 μm (rest)'!I16)</f>
        <v>0</v>
      </c>
      <c r="J16">
        <f>SUM('250-600 μm'!J16+'150-250 μm '!J16+'150-600 μm (rest)'!J16)</f>
        <v>0</v>
      </c>
      <c r="K16">
        <f>SUM('250-600 μm'!K16+'150-250 μm '!K16+'150-600 μm (rest)'!K16)</f>
        <v>0</v>
      </c>
      <c r="L16">
        <f>SUM('250-600 μm'!L16+'150-250 μm '!L16+'150-600 μm (rest)'!L16)</f>
        <v>0</v>
      </c>
      <c r="M16">
        <f>SUM('250-600 μm'!M16+'150-250 μm '!M16+'150-600 μm (rest)'!M16)</f>
        <v>0</v>
      </c>
      <c r="N16">
        <f>SUM('250-600 μm'!N16+'150-250 μm '!N16+'150-600 μm (rest)'!N16)</f>
        <v>0</v>
      </c>
      <c r="O16">
        <f>SUM('250-600 μm'!O16+'150-250 μm '!O16+'150-600 μm (rest)'!O16)</f>
        <v>0</v>
      </c>
      <c r="P16">
        <f>SUM('250-600 μm'!P16+'150-250 μm '!P16+'150-600 μm (rest)'!P16)</f>
        <v>0</v>
      </c>
      <c r="Q16">
        <f>SUM('250-600 μm'!Q16+'150-250 μm '!Q16+'150-600 μm (rest)'!Q16)</f>
        <v>0</v>
      </c>
      <c r="R16">
        <f>SUM('250-600 μm'!R16+'150-250 μm '!R16+'150-600 μm (rest)'!R16)</f>
        <v>0</v>
      </c>
      <c r="S16">
        <f>SUM('250-600 μm'!S16+'150-250 μm '!S16+'150-600 μm (rest)'!S16)</f>
        <v>0</v>
      </c>
      <c r="T16">
        <f>SUM('250-600 μm'!T16+'150-250 μm '!T16+'150-600 μm (rest)'!T16)</f>
        <v>0</v>
      </c>
      <c r="U16">
        <f>SUM('250-600 μm'!U16+'150-250 μm '!U16+'150-600 μm (rest)'!U16)</f>
        <v>0</v>
      </c>
      <c r="V16">
        <f>SUM('250-600 μm'!V16+'150-250 μm '!V16+'150-600 μm (rest)'!V16)</f>
        <v>0</v>
      </c>
      <c r="W16">
        <f>SUM('250-600 μm'!W16+'150-250 μm '!W16+'150-600 μm (rest)'!W16)</f>
        <v>0</v>
      </c>
      <c r="X16">
        <f>SUM('250-600 μm'!X16+'150-250 μm '!X16+'150-600 μm (rest)'!X16)</f>
        <v>0</v>
      </c>
      <c r="Y16">
        <f>SUM('250-600 μm'!Y16+'150-250 μm '!Y16+'150-600 μm (rest)'!Y16)</f>
        <v>0</v>
      </c>
      <c r="Z16">
        <f>SUM('250-600 μm'!Z16+'150-250 μm '!Z16+'150-600 μm (rest)'!Z16)</f>
        <v>0</v>
      </c>
      <c r="AA16">
        <f t="shared" si="11"/>
        <v>0</v>
      </c>
      <c r="AC16">
        <f t="shared" si="0"/>
        <v>0</v>
      </c>
      <c r="AD16">
        <f t="shared" si="1"/>
        <v>0</v>
      </c>
      <c r="AE16">
        <f t="shared" si="2"/>
        <v>0</v>
      </c>
      <c r="AF16">
        <f t="shared" si="3"/>
        <v>0</v>
      </c>
      <c r="AG16">
        <f t="shared" si="4"/>
        <v>0</v>
      </c>
      <c r="AH16">
        <f t="shared" si="5"/>
        <v>0</v>
      </c>
      <c r="AI16">
        <f t="shared" si="6"/>
        <v>0</v>
      </c>
      <c r="AJ16">
        <f t="shared" si="7"/>
        <v>0</v>
      </c>
      <c r="AK16">
        <f t="shared" si="8"/>
        <v>0</v>
      </c>
      <c r="AL16">
        <f t="shared" si="9"/>
        <v>0</v>
      </c>
      <c r="AM16">
        <f t="shared" si="10"/>
        <v>0</v>
      </c>
      <c r="AN16" s="2">
        <v>0</v>
      </c>
    </row>
    <row r="17" spans="1:40" x14ac:dyDescent="0.25">
      <c r="A17" t="s">
        <v>21</v>
      </c>
      <c r="D17">
        <f>SUM(D2:D16)</f>
        <v>223</v>
      </c>
      <c r="E17">
        <f>SUM(E2:E16)</f>
        <v>77</v>
      </c>
      <c r="F17">
        <f t="shared" ref="F17:Z17" si="13">SUM(F2:F16)</f>
        <v>174</v>
      </c>
      <c r="G17">
        <f t="shared" si="13"/>
        <v>48</v>
      </c>
      <c r="H17">
        <f t="shared" si="13"/>
        <v>33</v>
      </c>
      <c r="I17">
        <f t="shared" si="13"/>
        <v>6</v>
      </c>
      <c r="J17">
        <f t="shared" si="13"/>
        <v>3</v>
      </c>
      <c r="K17">
        <f t="shared" si="13"/>
        <v>4</v>
      </c>
      <c r="L17">
        <f t="shared" si="13"/>
        <v>0</v>
      </c>
      <c r="M17">
        <f t="shared" si="13"/>
        <v>3</v>
      </c>
      <c r="N17">
        <f t="shared" si="13"/>
        <v>7</v>
      </c>
      <c r="O17">
        <f t="shared" si="13"/>
        <v>3</v>
      </c>
      <c r="P17">
        <f t="shared" si="13"/>
        <v>44</v>
      </c>
      <c r="Q17">
        <f t="shared" si="13"/>
        <v>27</v>
      </c>
      <c r="R17">
        <f t="shared" si="13"/>
        <v>6</v>
      </c>
      <c r="S17">
        <f t="shared" si="13"/>
        <v>3</v>
      </c>
      <c r="T17">
        <f t="shared" si="13"/>
        <v>7</v>
      </c>
      <c r="U17">
        <f t="shared" si="13"/>
        <v>2</v>
      </c>
      <c r="V17">
        <f t="shared" si="13"/>
        <v>8</v>
      </c>
      <c r="W17">
        <f t="shared" si="13"/>
        <v>0</v>
      </c>
      <c r="X17">
        <f t="shared" si="13"/>
        <v>22</v>
      </c>
      <c r="Y17">
        <f t="shared" si="13"/>
        <v>2</v>
      </c>
      <c r="Z17">
        <f t="shared" si="13"/>
        <v>1</v>
      </c>
      <c r="AA17">
        <f>SUM(AA2:AA16)</f>
        <v>703</v>
      </c>
      <c r="AC17">
        <f t="shared" si="0"/>
        <v>300</v>
      </c>
      <c r="AD17">
        <f t="shared" si="1"/>
        <v>222</v>
      </c>
      <c r="AE17">
        <f t="shared" si="2"/>
        <v>42</v>
      </c>
      <c r="AF17">
        <f t="shared" si="3"/>
        <v>7</v>
      </c>
      <c r="AG17">
        <f t="shared" si="4"/>
        <v>10</v>
      </c>
      <c r="AH17">
        <f t="shared" si="5"/>
        <v>71</v>
      </c>
      <c r="AI17">
        <f t="shared" si="6"/>
        <v>9</v>
      </c>
      <c r="AJ17">
        <f t="shared" si="7"/>
        <v>9</v>
      </c>
      <c r="AK17">
        <f t="shared" si="8"/>
        <v>8</v>
      </c>
      <c r="AL17">
        <f t="shared" si="9"/>
        <v>24</v>
      </c>
      <c r="AM17">
        <f t="shared" si="10"/>
        <v>1</v>
      </c>
      <c r="AN17" s="2">
        <f t="shared" si="12"/>
        <v>0.23897581792318634</v>
      </c>
    </row>
    <row r="18" spans="1:40" x14ac:dyDescent="0.25">
      <c r="A18" t="s">
        <v>51</v>
      </c>
      <c r="E18" s="2">
        <f>E17/(D17+E17)</f>
        <v>0.25666666666666665</v>
      </c>
      <c r="G18" s="2">
        <f>G17/(F17+G17)</f>
        <v>0.21621621621621623</v>
      </c>
      <c r="J18" s="2">
        <f>I17/(H17+I17+J17)</f>
        <v>0.14285714285714285</v>
      </c>
      <c r="M18" s="2">
        <f>L17/(K17+L17+M17)</f>
        <v>0</v>
      </c>
      <c r="O18" s="2">
        <f>O17/(N17+O17)</f>
        <v>0.3</v>
      </c>
      <c r="Q18" s="2">
        <f>Q17/(P17+Q17)</f>
        <v>0.38028169014084506</v>
      </c>
      <c r="S18" s="2">
        <f>S17/(R17+S17)</f>
        <v>0.33333333333333331</v>
      </c>
      <c r="U18" s="2">
        <f>U17/(T17+U17)</f>
        <v>0.22222222222222221</v>
      </c>
      <c r="W18" s="2">
        <f>W17/(V17+W17)</f>
        <v>0</v>
      </c>
      <c r="Y18" s="2">
        <f>Y17/(X17+Y17)</f>
        <v>8.3333333333333329E-2</v>
      </c>
      <c r="Z18" s="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9888-3C75-4150-ADB3-39C2F7A788E2}">
  <dimension ref="A1:AU35"/>
  <sheetViews>
    <sheetView topLeftCell="AL10" zoomScaleNormal="100" workbookViewId="0">
      <selection activeCell="BI25" sqref="BI25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52</v>
      </c>
      <c r="E1" t="s">
        <v>52</v>
      </c>
      <c r="F1" t="s">
        <v>52</v>
      </c>
      <c r="G1" t="s">
        <v>55</v>
      </c>
      <c r="H1" t="s">
        <v>56</v>
      </c>
      <c r="I1" t="s">
        <v>161</v>
      </c>
      <c r="J1" t="s">
        <v>162</v>
      </c>
      <c r="K1" t="s">
        <v>57</v>
      </c>
      <c r="L1" t="s">
        <v>58</v>
      </c>
      <c r="M1" t="s">
        <v>59</v>
      </c>
      <c r="N1" t="s">
        <v>60</v>
      </c>
      <c r="O1" t="s">
        <v>21</v>
      </c>
      <c r="Q1" t="s">
        <v>175</v>
      </c>
      <c r="AO1" t="s">
        <v>2</v>
      </c>
      <c r="AP1" t="s">
        <v>52</v>
      </c>
      <c r="AQ1" t="s">
        <v>53</v>
      </c>
      <c r="AR1" t="s">
        <v>54</v>
      </c>
      <c r="AS1" t="s">
        <v>175</v>
      </c>
      <c r="AT1" t="s">
        <v>59</v>
      </c>
      <c r="AU1" t="s">
        <v>21</v>
      </c>
    </row>
    <row r="2" spans="1:47" x14ac:dyDescent="0.25">
      <c r="A2" t="s">
        <v>3</v>
      </c>
      <c r="B2">
        <v>101</v>
      </c>
      <c r="C2" s="1">
        <v>10.298052630000001</v>
      </c>
      <c r="D2" s="2">
        <f>Species!AC2/Total!$D2</f>
        <v>0.25</v>
      </c>
      <c r="E2" s="2">
        <f>Species!AD2/Total!$D2</f>
        <v>0.25</v>
      </c>
      <c r="F2" s="2">
        <f>Species!AE2/Total!$D2</f>
        <v>0</v>
      </c>
      <c r="G2" s="2">
        <f>Species!AF2/Total!$D2</f>
        <v>0</v>
      </c>
      <c r="H2" s="2">
        <f>Species!AG2/Total!$D2</f>
        <v>0</v>
      </c>
      <c r="I2" s="2">
        <f>Species!AH2/Total!$D2</f>
        <v>0</v>
      </c>
      <c r="J2" s="2">
        <f>Species!AI2/Total!$D2</f>
        <v>0</v>
      </c>
      <c r="K2" s="2">
        <f>Species!AJ2/Total!$D2</f>
        <v>0.25</v>
      </c>
      <c r="L2" s="2">
        <f>Species!AK2/Total!$D2</f>
        <v>0</v>
      </c>
      <c r="M2" s="2">
        <f>Species!AL2/Total!$D2</f>
        <v>0.25</v>
      </c>
      <c r="N2" s="2">
        <f>Species!AM2/Total!$D2</f>
        <v>0</v>
      </c>
      <c r="O2" s="2">
        <f t="shared" ref="O2:O16" si="0">SUM(D2:N2)</f>
        <v>1</v>
      </c>
      <c r="Q2" s="2">
        <f>SUM(H2:J2)</f>
        <v>0</v>
      </c>
      <c r="AO2" s="1">
        <v>10.298052630000001</v>
      </c>
      <c r="AP2">
        <v>1</v>
      </c>
      <c r="AQ2">
        <v>1</v>
      </c>
      <c r="AR2">
        <v>0</v>
      </c>
      <c r="AS2">
        <f>SUM(Species!N2:S2)</f>
        <v>0</v>
      </c>
      <c r="AT2">
        <v>1</v>
      </c>
      <c r="AU2">
        <f>SUM(AP2:AT2)</f>
        <v>3</v>
      </c>
    </row>
    <row r="3" spans="1:47" x14ac:dyDescent="0.25">
      <c r="A3" t="s">
        <v>4</v>
      </c>
      <c r="B3">
        <v>191</v>
      </c>
      <c r="C3" s="1">
        <v>11.76807767</v>
      </c>
      <c r="D3" s="2">
        <f>Species!AC3/Total!$D3</f>
        <v>0.36986301369863012</v>
      </c>
      <c r="E3" s="2">
        <f>Species!AD3/Total!$D3</f>
        <v>0.54794520547945202</v>
      </c>
      <c r="F3" s="2">
        <f>Species!AE3/Total!$D3</f>
        <v>2.7397260273972601E-2</v>
      </c>
      <c r="G3" s="2">
        <f>Species!AF3/Total!$D3</f>
        <v>0</v>
      </c>
      <c r="H3" s="2">
        <f>Species!AG3/Total!$D3</f>
        <v>0</v>
      </c>
      <c r="I3" s="2">
        <f>Species!AH3/Total!$D3</f>
        <v>4.1095890410958902E-2</v>
      </c>
      <c r="J3" s="2">
        <f>Species!AI3/Total!$D3</f>
        <v>0</v>
      </c>
      <c r="K3" s="2">
        <f>Species!AJ3/Total!$D3</f>
        <v>0</v>
      </c>
      <c r="L3" s="2">
        <f>Species!AK3/Total!$D3</f>
        <v>0</v>
      </c>
      <c r="M3" s="2">
        <f>Species!AL3/Total!$D3</f>
        <v>1.3698630136986301E-2</v>
      </c>
      <c r="N3" s="2">
        <f>Species!AM3/Total!$D3</f>
        <v>0</v>
      </c>
      <c r="O3" s="2">
        <f t="shared" si="0"/>
        <v>1</v>
      </c>
      <c r="Q3" s="2">
        <f t="shared" ref="Q3:Q17" si="1">SUM(H3:J3)</f>
        <v>4.1095890410958902E-2</v>
      </c>
      <c r="AO3" s="1">
        <v>11.76807767</v>
      </c>
      <c r="AP3">
        <v>27</v>
      </c>
      <c r="AQ3">
        <v>40</v>
      </c>
      <c r="AR3">
        <v>2</v>
      </c>
      <c r="AS3">
        <f>SUM(Species!N3:S3)</f>
        <v>3</v>
      </c>
      <c r="AT3">
        <v>1</v>
      </c>
      <c r="AU3">
        <f t="shared" ref="AU3:AU17" si="2">SUM(AP3:AT3)</f>
        <v>73</v>
      </c>
    </row>
    <row r="4" spans="1:47" x14ac:dyDescent="0.25">
      <c r="A4" t="s">
        <v>5</v>
      </c>
      <c r="B4">
        <v>211</v>
      </c>
      <c r="C4" s="1">
        <v>12.140504849999999</v>
      </c>
      <c r="D4" s="2">
        <f>Species!AC4/Total!$D4</f>
        <v>0.13559322033898305</v>
      </c>
      <c r="E4" s="2">
        <f>Species!AD4/Total!$D4</f>
        <v>0.64406779661016944</v>
      </c>
      <c r="F4" s="2">
        <f>Species!AE4/Total!$D4</f>
        <v>6.7796610169491525E-2</v>
      </c>
      <c r="G4" s="2">
        <f>Species!AF4/Total!$D4</f>
        <v>0</v>
      </c>
      <c r="H4" s="2">
        <f>Species!AG4/Total!$D4</f>
        <v>0</v>
      </c>
      <c r="I4" s="2">
        <f>Species!AH4/Total!$D4</f>
        <v>1.6949152542372881E-2</v>
      </c>
      <c r="J4" s="2">
        <f>Species!AI4/Total!$D4</f>
        <v>5.0847457627118647E-2</v>
      </c>
      <c r="K4" s="2">
        <f>Species!AJ4/Total!$D4</f>
        <v>1.6949152542372881E-2</v>
      </c>
      <c r="L4" s="2">
        <f>Species!AK4/Total!$D4</f>
        <v>0</v>
      </c>
      <c r="M4" s="2">
        <f>Species!AL4/Total!$D4</f>
        <v>6.7796610169491525E-2</v>
      </c>
      <c r="N4" s="2">
        <f>Species!AM4/Total!$D4</f>
        <v>0</v>
      </c>
      <c r="O4" s="2">
        <f t="shared" si="0"/>
        <v>0.99999999999999989</v>
      </c>
      <c r="Q4" s="2">
        <f t="shared" si="1"/>
        <v>6.7796610169491525E-2</v>
      </c>
      <c r="AO4" s="1">
        <v>12.140504849999999</v>
      </c>
      <c r="AP4">
        <v>8</v>
      </c>
      <c r="AQ4">
        <v>38</v>
      </c>
      <c r="AR4">
        <v>4</v>
      </c>
      <c r="AS4">
        <f>SUM(Species!N4:S4)</f>
        <v>4</v>
      </c>
      <c r="AT4">
        <v>4</v>
      </c>
      <c r="AU4">
        <f t="shared" si="2"/>
        <v>58</v>
      </c>
    </row>
    <row r="5" spans="1:47" x14ac:dyDescent="0.25">
      <c r="A5" t="s">
        <v>6</v>
      </c>
      <c r="B5">
        <v>281</v>
      </c>
      <c r="C5" s="1">
        <v>12.681927460000001</v>
      </c>
      <c r="D5" s="2">
        <f>Species!AC5/Total!$D5</f>
        <v>0.20689655172413793</v>
      </c>
      <c r="E5" s="2">
        <f>Species!AD5/Total!$D5</f>
        <v>0.48275862068965519</v>
      </c>
      <c r="F5" s="2">
        <f>Species!AE5/Total!$D5</f>
        <v>0.10344827586206896</v>
      </c>
      <c r="G5" s="2">
        <f>Species!AF5/Total!$D5</f>
        <v>0</v>
      </c>
      <c r="H5" s="2">
        <f>Species!AG5/Total!$D5</f>
        <v>0</v>
      </c>
      <c r="I5" s="2">
        <f>Species!AH5/Total!$D5</f>
        <v>0.10344827586206896</v>
      </c>
      <c r="J5" s="2">
        <f>Species!AI5/Total!$D5</f>
        <v>0</v>
      </c>
      <c r="K5" s="2">
        <f>Species!AJ5/Total!$D5</f>
        <v>3.4482758620689655E-2</v>
      </c>
      <c r="L5" s="2">
        <f>Species!AK5/Total!$D5</f>
        <v>3.4482758620689655E-2</v>
      </c>
      <c r="M5" s="2">
        <f>Species!AL5/Total!$D5</f>
        <v>3.4482758620689655E-2</v>
      </c>
      <c r="N5" s="2">
        <f>Species!AM5/Total!$D5</f>
        <v>0</v>
      </c>
      <c r="O5" s="2">
        <f t="shared" si="0"/>
        <v>0.99999999999999989</v>
      </c>
      <c r="Q5" s="2">
        <f t="shared" si="1"/>
        <v>0.10344827586206896</v>
      </c>
      <c r="AO5" s="1">
        <v>12.681927460000001</v>
      </c>
      <c r="AP5">
        <v>6</v>
      </c>
      <c r="AQ5">
        <v>14</v>
      </c>
      <c r="AR5">
        <v>3</v>
      </c>
      <c r="AS5">
        <f>SUM(Species!N5:S5)</f>
        <v>3</v>
      </c>
      <c r="AT5">
        <v>1</v>
      </c>
      <c r="AU5">
        <f t="shared" si="2"/>
        <v>27</v>
      </c>
    </row>
    <row r="6" spans="1:47" x14ac:dyDescent="0.25">
      <c r="A6" t="s">
        <v>24</v>
      </c>
      <c r="B6">
        <v>336</v>
      </c>
      <c r="C6" s="1">
        <v>12.90434014</v>
      </c>
      <c r="D6" s="2">
        <f>Species!AC6/Total!$D6</f>
        <v>0.20338983050847459</v>
      </c>
      <c r="E6" s="2">
        <f>Species!AD6/Total!$D6</f>
        <v>0.56779661016949157</v>
      </c>
      <c r="F6" s="2">
        <f>Species!AE6/Total!$D6</f>
        <v>1.6949152542372881E-2</v>
      </c>
      <c r="G6" s="2">
        <f>Species!AF6/Total!$D6</f>
        <v>3.3898305084745763E-2</v>
      </c>
      <c r="H6" s="2">
        <f>Species!AG6/Total!$D6</f>
        <v>0</v>
      </c>
      <c r="I6" s="2">
        <f>Species!AH6/Total!$D6</f>
        <v>0.11864406779661017</v>
      </c>
      <c r="J6" s="2">
        <f>Species!AI6/Total!$D6</f>
        <v>1.6949152542372881E-2</v>
      </c>
      <c r="K6" s="2">
        <f>Species!AJ6/Total!$D6</f>
        <v>2.5423728813559324E-2</v>
      </c>
      <c r="L6" s="2">
        <f>Species!AK6/Total!$D6</f>
        <v>8.4745762711864406E-3</v>
      </c>
      <c r="M6" s="2">
        <f>Species!AL6/Total!$D6</f>
        <v>8.4745762711864406E-3</v>
      </c>
      <c r="N6" s="2">
        <f>Species!AM6/Total!$D6</f>
        <v>0</v>
      </c>
      <c r="O6" s="2">
        <f t="shared" si="0"/>
        <v>1</v>
      </c>
      <c r="P6" s="17"/>
      <c r="Q6" s="2">
        <f t="shared" si="1"/>
        <v>0.13559322033898305</v>
      </c>
      <c r="AO6" s="1">
        <v>12.90434014</v>
      </c>
      <c r="AP6">
        <v>24</v>
      </c>
      <c r="AQ6">
        <v>67</v>
      </c>
      <c r="AR6">
        <v>2</v>
      </c>
      <c r="AS6">
        <f>SUM(Species!N6:S6)</f>
        <v>16</v>
      </c>
      <c r="AT6">
        <v>1</v>
      </c>
      <c r="AU6">
        <f t="shared" si="2"/>
        <v>110</v>
      </c>
    </row>
    <row r="7" spans="1:47" x14ac:dyDescent="0.25">
      <c r="A7" t="s">
        <v>7</v>
      </c>
      <c r="B7">
        <v>482</v>
      </c>
      <c r="C7" s="1">
        <v>13.4115</v>
      </c>
      <c r="D7" s="2">
        <f>Species!AC7/Total!$D7</f>
        <v>0.27777777777777779</v>
      </c>
      <c r="E7" s="2">
        <f>Species!AD7/Total!$D7</f>
        <v>0.3888888888888889</v>
      </c>
      <c r="F7" s="2">
        <f>Species!AE7/Total!$D7</f>
        <v>5.5555555555555552E-2</v>
      </c>
      <c r="G7" s="2">
        <f>Species!AF7/Total!$D7</f>
        <v>0</v>
      </c>
      <c r="H7" s="2">
        <f>Species!AG7/Total!$D7</f>
        <v>0</v>
      </c>
      <c r="I7" s="2">
        <f>Species!AH7/Total!$D7</f>
        <v>0.16666666666666666</v>
      </c>
      <c r="J7" s="2">
        <f>Species!AI7/Total!$D7</f>
        <v>0</v>
      </c>
      <c r="K7" s="2">
        <f>Species!AJ7/Total!$D7</f>
        <v>0</v>
      </c>
      <c r="L7" s="2">
        <f>Species!AK7/Total!$D7</f>
        <v>0</v>
      </c>
      <c r="M7" s="2">
        <f>Species!AL7/Total!$D7</f>
        <v>0.1111111111111111</v>
      </c>
      <c r="N7" s="2">
        <f>Species!AM7/Total!$D7</f>
        <v>0</v>
      </c>
      <c r="O7" s="2">
        <f t="shared" si="0"/>
        <v>1</v>
      </c>
      <c r="Q7" s="2">
        <f t="shared" si="1"/>
        <v>0.16666666666666666</v>
      </c>
      <c r="AO7" s="1">
        <v>13.4115</v>
      </c>
      <c r="AP7">
        <v>5</v>
      </c>
      <c r="AQ7">
        <v>7</v>
      </c>
      <c r="AR7">
        <v>1</v>
      </c>
      <c r="AS7">
        <f>SUM(Species!N7:S7)</f>
        <v>3</v>
      </c>
      <c r="AT7">
        <v>2</v>
      </c>
      <c r="AU7">
        <f t="shared" si="2"/>
        <v>18</v>
      </c>
    </row>
    <row r="8" spans="1:47" x14ac:dyDescent="0.25">
      <c r="A8" t="s">
        <v>8</v>
      </c>
      <c r="B8">
        <v>542</v>
      </c>
      <c r="C8" s="1">
        <v>15.297745450000001</v>
      </c>
      <c r="D8" s="2">
        <f>Species!AC8/Total!$D8</f>
        <v>0.67114093959731547</v>
      </c>
      <c r="E8" s="2">
        <f>Species!AD8/Total!$D8</f>
        <v>0.13422818791946309</v>
      </c>
      <c r="F8" s="2">
        <f>Species!AE8/Total!$D8</f>
        <v>8.0536912751677847E-2</v>
      </c>
      <c r="G8" s="2">
        <f>Species!AF8/Total!$D8</f>
        <v>6.7114093959731542E-3</v>
      </c>
      <c r="H8" s="2">
        <f>Species!AG8/Total!$D8</f>
        <v>6.7114093959731542E-3</v>
      </c>
      <c r="I8" s="2">
        <f>Species!AH8/Total!$D8</f>
        <v>6.7114093959731544E-2</v>
      </c>
      <c r="J8" s="2">
        <f>Species!AI8/Total!$D8</f>
        <v>6.7114093959731542E-3</v>
      </c>
      <c r="K8" s="2">
        <f>Species!AJ8/Total!$D8</f>
        <v>0</v>
      </c>
      <c r="L8" s="2">
        <f>Species!AK8/Total!$D8</f>
        <v>0</v>
      </c>
      <c r="M8" s="2">
        <f>Species!AL8/Total!$D8</f>
        <v>2.0134228187919462E-2</v>
      </c>
      <c r="N8" s="2">
        <f>Species!AM8/Total!$D8</f>
        <v>6.7114093959731542E-3</v>
      </c>
      <c r="O8" s="2">
        <f t="shared" si="0"/>
        <v>1</v>
      </c>
      <c r="Q8" s="2">
        <f t="shared" si="1"/>
        <v>8.0536912751677861E-2</v>
      </c>
      <c r="AO8" s="1">
        <v>15.297745450000001</v>
      </c>
      <c r="AP8">
        <v>100</v>
      </c>
      <c r="AQ8">
        <v>20</v>
      </c>
      <c r="AR8">
        <v>12</v>
      </c>
      <c r="AS8">
        <f>SUM(Species!N8:S8)</f>
        <v>12</v>
      </c>
      <c r="AT8">
        <v>3</v>
      </c>
      <c r="AU8">
        <f t="shared" si="2"/>
        <v>147</v>
      </c>
    </row>
    <row r="9" spans="1:47" x14ac:dyDescent="0.25">
      <c r="A9" t="s">
        <v>9</v>
      </c>
      <c r="B9">
        <v>607</v>
      </c>
      <c r="C9" s="1">
        <v>17.630333330000003</v>
      </c>
      <c r="D9" s="2">
        <f>Species!AC9/Total!$D9</f>
        <v>0.5625</v>
      </c>
      <c r="E9" s="2">
        <f>Species!AD9/Total!$D9</f>
        <v>0.3125</v>
      </c>
      <c r="F9" s="2">
        <f>Species!AE9/Total!$D9</f>
        <v>0</v>
      </c>
      <c r="G9" s="2">
        <f>Species!AF9/Total!$D9</f>
        <v>0</v>
      </c>
      <c r="H9" s="2">
        <f>Species!AG9/Total!$D9</f>
        <v>0</v>
      </c>
      <c r="I9" s="2">
        <f>Species!AH9/Total!$D9</f>
        <v>0</v>
      </c>
      <c r="J9" s="2">
        <f>Species!AI9/Total!$D9</f>
        <v>6.25E-2</v>
      </c>
      <c r="K9" s="2">
        <f>Species!AJ9/Total!$D9</f>
        <v>0</v>
      </c>
      <c r="L9" s="2">
        <f>Species!AK9/Total!$D9</f>
        <v>0</v>
      </c>
      <c r="M9" s="2">
        <f>Species!AL9/Total!$D9</f>
        <v>6.25E-2</v>
      </c>
      <c r="N9" s="2">
        <f>Species!AM9/Total!$D9</f>
        <v>0</v>
      </c>
      <c r="O9" s="2">
        <f t="shared" si="0"/>
        <v>1</v>
      </c>
      <c r="Q9" s="2">
        <f t="shared" si="1"/>
        <v>6.25E-2</v>
      </c>
      <c r="AO9" s="1">
        <v>17.630333330000003</v>
      </c>
      <c r="AP9">
        <v>9</v>
      </c>
      <c r="AQ9">
        <v>5</v>
      </c>
      <c r="AR9">
        <v>0</v>
      </c>
      <c r="AS9">
        <f>SUM(Species!N9:S9)</f>
        <v>1</v>
      </c>
      <c r="AT9">
        <v>1</v>
      </c>
      <c r="AU9">
        <f t="shared" si="2"/>
        <v>16</v>
      </c>
    </row>
    <row r="10" spans="1:47" x14ac:dyDescent="0.25">
      <c r="A10" t="s">
        <v>10</v>
      </c>
      <c r="B10">
        <v>641</v>
      </c>
      <c r="C10" s="1">
        <v>19.789979380000002</v>
      </c>
      <c r="D10" s="2">
        <f>Species!AC10/Total!$D10</f>
        <v>0.26470588235294118</v>
      </c>
      <c r="E10" s="2">
        <f>Species!AD10/Total!$D10</f>
        <v>0.17647058823529413</v>
      </c>
      <c r="F10" s="2">
        <f>Species!AE10/Total!$D10</f>
        <v>2.9411764705882353E-2</v>
      </c>
      <c r="G10" s="2">
        <f>Species!AF10/Total!$D10</f>
        <v>0</v>
      </c>
      <c r="H10" s="2">
        <f>Species!AG10/Total!$D10</f>
        <v>8.8235294117647065E-2</v>
      </c>
      <c r="I10" s="2">
        <f>Species!AH10/Total!$D10</f>
        <v>0.35294117647058826</v>
      </c>
      <c r="J10" s="2">
        <f>Species!AI10/Total!$D10</f>
        <v>0</v>
      </c>
      <c r="K10" s="2">
        <f>Species!AJ10/Total!$D10</f>
        <v>0</v>
      </c>
      <c r="L10" s="2">
        <f>Species!AK10/Total!$D10</f>
        <v>2.9411764705882353E-2</v>
      </c>
      <c r="M10" s="2">
        <f>Species!AL10/Total!$D10</f>
        <v>5.8823529411764705E-2</v>
      </c>
      <c r="N10" s="2">
        <f>Species!AM10/Total!$D10</f>
        <v>0</v>
      </c>
      <c r="O10" s="2">
        <f t="shared" si="0"/>
        <v>1</v>
      </c>
      <c r="Q10" s="2">
        <f t="shared" si="1"/>
        <v>0.44117647058823534</v>
      </c>
      <c r="AO10" s="1">
        <v>19.789979380000002</v>
      </c>
      <c r="AP10">
        <v>9</v>
      </c>
      <c r="AQ10">
        <v>6</v>
      </c>
      <c r="AR10">
        <v>1</v>
      </c>
      <c r="AS10">
        <f>SUM(Species!N10:S10)</f>
        <v>15</v>
      </c>
      <c r="AT10">
        <v>2</v>
      </c>
      <c r="AU10">
        <f t="shared" si="2"/>
        <v>33</v>
      </c>
    </row>
    <row r="11" spans="1:47" x14ac:dyDescent="0.25">
      <c r="A11" t="s">
        <v>11</v>
      </c>
      <c r="B11">
        <v>676</v>
      </c>
      <c r="C11" s="1">
        <v>22.102144329999998</v>
      </c>
      <c r="D11" s="2">
        <f>Species!AC11/Total!$D11</f>
        <v>0.5161290322580645</v>
      </c>
      <c r="E11" s="2">
        <f>Species!AD11/Total!$D11</f>
        <v>3.2258064516129031E-2</v>
      </c>
      <c r="F11" s="2">
        <f>Species!AE11/Total!$D11</f>
        <v>0.16129032258064516</v>
      </c>
      <c r="G11" s="2">
        <f>Species!AF11/Total!$D11</f>
        <v>0</v>
      </c>
      <c r="H11" s="2">
        <f>Species!AG11/Total!$D11</f>
        <v>0</v>
      </c>
      <c r="I11" s="2">
        <f>Species!AH11/Total!$D11</f>
        <v>0.12903225806451613</v>
      </c>
      <c r="J11" s="2">
        <f>Species!AI11/Total!$D11</f>
        <v>0</v>
      </c>
      <c r="K11" s="2">
        <f>Species!AJ11/Total!$D11</f>
        <v>3.2258064516129031E-2</v>
      </c>
      <c r="L11" s="2">
        <f>Species!AK11/Total!$D11</f>
        <v>3.2258064516129031E-2</v>
      </c>
      <c r="M11" s="2">
        <f>Species!AL11/Total!$D11</f>
        <v>9.6774193548387094E-2</v>
      </c>
      <c r="N11" s="2">
        <f>Species!AM11/Total!$D11</f>
        <v>0</v>
      </c>
      <c r="O11" s="2">
        <f t="shared" si="0"/>
        <v>0.99999999999999989</v>
      </c>
      <c r="Q11" s="2">
        <f t="shared" si="1"/>
        <v>0.12903225806451613</v>
      </c>
      <c r="AO11" s="1">
        <v>22.102144329999998</v>
      </c>
      <c r="AP11">
        <v>16</v>
      </c>
      <c r="AQ11">
        <v>1</v>
      </c>
      <c r="AR11">
        <v>5</v>
      </c>
      <c r="AS11">
        <f>SUM(Species!N11:S11)</f>
        <v>4</v>
      </c>
      <c r="AT11">
        <v>3</v>
      </c>
      <c r="AU11">
        <f t="shared" si="2"/>
        <v>29</v>
      </c>
    </row>
    <row r="12" spans="1:47" x14ac:dyDescent="0.25">
      <c r="A12" t="s">
        <v>12</v>
      </c>
      <c r="B12">
        <v>746</v>
      </c>
      <c r="C12" s="1">
        <v>26.142461539999999</v>
      </c>
      <c r="D12" s="2">
        <f>Species!AC12/Total!$D12</f>
        <v>0.56287425149700598</v>
      </c>
      <c r="E12" s="2">
        <f>Species!AD12/Total!$D12</f>
        <v>0.1317365269461078</v>
      </c>
      <c r="F12" s="2">
        <f>Species!AE12/Total!$D12</f>
        <v>7.1856287425149698E-2</v>
      </c>
      <c r="G12" s="2">
        <f>Species!AF12/Total!$D12</f>
        <v>1.1976047904191617E-2</v>
      </c>
      <c r="H12" s="2">
        <f>Species!AG12/Total!$D12</f>
        <v>2.3952095808383235E-2</v>
      </c>
      <c r="I12" s="2">
        <f>Species!AH12/Total!$D12</f>
        <v>0.11976047904191617</v>
      </c>
      <c r="J12" s="2">
        <f>Species!AI12/Total!$D12</f>
        <v>1.1976047904191617E-2</v>
      </c>
      <c r="K12" s="2">
        <f>Species!AJ12/Total!$D12</f>
        <v>1.1976047904191617E-2</v>
      </c>
      <c r="L12" s="2">
        <f>Species!AK12/Total!$D12</f>
        <v>2.3952095808383235E-2</v>
      </c>
      <c r="M12" s="2">
        <f>Species!AL12/Total!$D12</f>
        <v>2.9940119760479042E-2</v>
      </c>
      <c r="N12" s="2">
        <f>Species!AM12/Total!$D12</f>
        <v>0</v>
      </c>
      <c r="O12" s="2">
        <f t="shared" si="0"/>
        <v>0.99999999999999989</v>
      </c>
      <c r="Q12" s="2">
        <f t="shared" si="1"/>
        <v>0.15568862275449102</v>
      </c>
      <c r="AO12" s="1">
        <v>26.142461539999999</v>
      </c>
      <c r="AP12">
        <v>94</v>
      </c>
      <c r="AQ12">
        <v>22</v>
      </c>
      <c r="AR12">
        <v>12</v>
      </c>
      <c r="AS12">
        <f>SUM(Species!N12:S12)</f>
        <v>26</v>
      </c>
      <c r="AT12">
        <v>5</v>
      </c>
      <c r="AU12">
        <f t="shared" si="2"/>
        <v>159</v>
      </c>
    </row>
    <row r="13" spans="1:47" x14ac:dyDescent="0.25">
      <c r="A13" t="s">
        <v>13</v>
      </c>
      <c r="B13">
        <v>833</v>
      </c>
      <c r="C13" s="1">
        <v>29.47625532</v>
      </c>
      <c r="D13" s="2">
        <f>Species!AC13/Total!$D13</f>
        <v>0</v>
      </c>
      <c r="E13" s="2">
        <f>Species!AD13/Total!$D13</f>
        <v>0.5</v>
      </c>
      <c r="F13" s="2">
        <f>Species!AE13/Total!$D13</f>
        <v>0</v>
      </c>
      <c r="G13" s="2">
        <f>Species!AF13/Total!$D13</f>
        <v>0</v>
      </c>
      <c r="H13" s="2">
        <f>Species!AG13/Total!$D13</f>
        <v>0</v>
      </c>
      <c r="I13" s="2">
        <f>Species!AH13/Total!$D13</f>
        <v>0.5</v>
      </c>
      <c r="J13" s="2">
        <f>Species!AI13/Total!$D13</f>
        <v>0</v>
      </c>
      <c r="K13" s="2">
        <f>Species!AJ13/Total!$D13</f>
        <v>0</v>
      </c>
      <c r="L13" s="2">
        <f>Species!AK13/Total!$D13</f>
        <v>0</v>
      </c>
      <c r="M13" s="2">
        <f>Species!AL13/Total!$D13</f>
        <v>0</v>
      </c>
      <c r="N13" s="2">
        <f>Species!AM13/Total!$D13</f>
        <v>0</v>
      </c>
      <c r="O13" s="2">
        <f t="shared" si="0"/>
        <v>1</v>
      </c>
      <c r="Q13" s="2">
        <f t="shared" si="1"/>
        <v>0.5</v>
      </c>
      <c r="AO13" s="1">
        <v>29.47625532</v>
      </c>
      <c r="AP13">
        <v>0</v>
      </c>
      <c r="AQ13">
        <v>1</v>
      </c>
      <c r="AR13">
        <v>0</v>
      </c>
      <c r="AS13">
        <f>SUM(Species!N13:S13)</f>
        <v>1</v>
      </c>
      <c r="AT13">
        <v>0</v>
      </c>
      <c r="AU13">
        <f t="shared" si="2"/>
        <v>2</v>
      </c>
    </row>
    <row r="14" spans="1:47" x14ac:dyDescent="0.25">
      <c r="A14" t="s">
        <v>14</v>
      </c>
      <c r="B14">
        <v>888</v>
      </c>
      <c r="C14" s="1">
        <v>30.86361905</v>
      </c>
      <c r="D14" s="2">
        <f>Species!AC14/Total!$D14</f>
        <v>0.33333333333333331</v>
      </c>
      <c r="E14" s="2">
        <f>Species!AD14/Total!$D14</f>
        <v>0</v>
      </c>
      <c r="F14" s="2">
        <f>Species!AE14/Total!$D14</f>
        <v>0</v>
      </c>
      <c r="G14" s="2">
        <f>Species!AF14/Total!$D14</f>
        <v>0</v>
      </c>
      <c r="H14" s="2">
        <f>Species!AG14/Total!$D14</f>
        <v>0.66666666666666663</v>
      </c>
      <c r="I14" s="2">
        <f>Species!AH14/Total!$D14</f>
        <v>0</v>
      </c>
      <c r="J14" s="2">
        <f>Species!AI14/Total!$D14</f>
        <v>0</v>
      </c>
      <c r="K14" s="2">
        <f>Species!AJ14/Total!$D14</f>
        <v>0</v>
      </c>
      <c r="L14" s="2">
        <f>Species!AK14/Total!$D14</f>
        <v>0</v>
      </c>
      <c r="M14" s="2">
        <f>Species!AL14/Total!$D14</f>
        <v>0</v>
      </c>
      <c r="N14" s="2">
        <f>Species!AM14/Total!$D14</f>
        <v>0</v>
      </c>
      <c r="O14" s="2">
        <f t="shared" si="0"/>
        <v>1</v>
      </c>
      <c r="Q14" s="2">
        <f t="shared" si="1"/>
        <v>0.66666666666666663</v>
      </c>
      <c r="AO14" s="1">
        <v>30.86361905</v>
      </c>
      <c r="AP14">
        <v>1</v>
      </c>
      <c r="AQ14">
        <v>0</v>
      </c>
      <c r="AR14">
        <v>0</v>
      </c>
      <c r="AS14">
        <f>SUM(Species!N14:S14)</f>
        <v>2</v>
      </c>
      <c r="AT14">
        <v>0</v>
      </c>
      <c r="AU14">
        <f t="shared" si="2"/>
        <v>3</v>
      </c>
    </row>
    <row r="15" spans="1:47" x14ac:dyDescent="0.25">
      <c r="A15" t="s">
        <v>15</v>
      </c>
      <c r="B15">
        <v>940</v>
      </c>
      <c r="C15" s="1">
        <v>31.4960381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f t="shared" si="0"/>
        <v>0</v>
      </c>
      <c r="Q15" s="2">
        <f t="shared" si="1"/>
        <v>0</v>
      </c>
      <c r="AO15" s="1">
        <v>31.4960381</v>
      </c>
      <c r="AP15">
        <v>0</v>
      </c>
      <c r="AQ15">
        <v>0</v>
      </c>
      <c r="AR15">
        <v>0</v>
      </c>
      <c r="AS15">
        <f>SUM(Species!N15:S15)</f>
        <v>0</v>
      </c>
      <c r="AT15">
        <v>0</v>
      </c>
      <c r="AU15">
        <f t="shared" si="2"/>
        <v>0</v>
      </c>
    </row>
    <row r="16" spans="1:47" x14ac:dyDescent="0.25">
      <c r="A16" t="s">
        <v>16</v>
      </c>
      <c r="B16">
        <v>1021</v>
      </c>
      <c r="C16" s="1">
        <v>33.121000000000002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f t="shared" si="0"/>
        <v>0</v>
      </c>
      <c r="Q16" s="2">
        <f t="shared" si="1"/>
        <v>0</v>
      </c>
      <c r="AO16" s="1">
        <v>33.121000000000002</v>
      </c>
      <c r="AP16">
        <v>0</v>
      </c>
      <c r="AQ16">
        <v>0</v>
      </c>
      <c r="AR16">
        <v>0</v>
      </c>
      <c r="AS16">
        <f>SUM(Species!N16:S16)</f>
        <v>0</v>
      </c>
      <c r="AT16">
        <v>0</v>
      </c>
      <c r="AU16">
        <f t="shared" si="2"/>
        <v>0</v>
      </c>
    </row>
    <row r="17" spans="1:47" x14ac:dyDescent="0.25">
      <c r="A17" t="s">
        <v>105</v>
      </c>
      <c r="D17" s="2" cm="1">
        <f t="array" ref="D17">SUM(D2:D16/15)</f>
        <v>0.29028025553911091</v>
      </c>
      <c r="E17" s="2" cm="1">
        <f t="array" ref="E17">SUM(E2:E16/15)</f>
        <v>0.27791003263031011</v>
      </c>
      <c r="F17" s="2" cm="1">
        <f t="array" ref="F17">SUM(F2:F16/15)</f>
        <v>4.0949476124454438E-2</v>
      </c>
      <c r="G17" s="2" cm="1">
        <f t="array" ref="G17">SUM(G2:G16/15)</f>
        <v>3.5057174923273692E-3</v>
      </c>
      <c r="H17" s="2" cm="1">
        <f t="array" ref="H17">SUM(H2:H16/15)</f>
        <v>5.2371031065911337E-2</v>
      </c>
      <c r="I17" s="2" cm="1">
        <f t="array" ref="I17">SUM(I2:I16/15)</f>
        <v>0.10771013738769533</v>
      </c>
      <c r="J17" s="2" cm="1">
        <f t="array" ref="J17">SUM(J2:J16/15)</f>
        <v>9.932271164643753E-3</v>
      </c>
      <c r="K17" s="2" cm="1">
        <f t="array" ref="K17">SUM(K2:K16/15)</f>
        <v>2.4739316826462836E-2</v>
      </c>
      <c r="L17" s="2" cm="1">
        <f t="array" ref="L17">SUM(L2:L16/15)</f>
        <v>8.5719506614847143E-3</v>
      </c>
      <c r="M17" s="2" cm="1">
        <f t="array" ref="M17">SUM(M2:M16/15)</f>
        <v>5.0249050481201013E-2</v>
      </c>
      <c r="N17" s="2" cm="1">
        <f t="array" ref="N17">SUM(N2:N16/15)</f>
        <v>4.4742729306487697E-4</v>
      </c>
      <c r="Q17" s="2">
        <f t="shared" si="1"/>
        <v>0.17001343961825044</v>
      </c>
      <c r="AP17">
        <v>300</v>
      </c>
      <c r="AQ17">
        <v>222</v>
      </c>
      <c r="AR17">
        <v>42</v>
      </c>
      <c r="AS17">
        <f>SUM(Species!N17:S17)</f>
        <v>90</v>
      </c>
      <c r="AT17">
        <v>24</v>
      </c>
      <c r="AU17">
        <f t="shared" si="2"/>
        <v>678</v>
      </c>
    </row>
    <row r="20" spans="1:47" x14ac:dyDescent="0.25">
      <c r="AO20" t="s">
        <v>176</v>
      </c>
      <c r="AP20" t="s">
        <v>177</v>
      </c>
      <c r="AQ20" t="s">
        <v>178</v>
      </c>
      <c r="AR20" t="s">
        <v>179</v>
      </c>
      <c r="AS20" t="s">
        <v>175</v>
      </c>
      <c r="AT20" t="s">
        <v>43</v>
      </c>
      <c r="AU20" t="s">
        <v>21</v>
      </c>
    </row>
    <row r="21" spans="1:47" x14ac:dyDescent="0.25">
      <c r="AO21" s="1">
        <v>10.298052630000001</v>
      </c>
      <c r="AP21" s="2">
        <f>AP2/AU2</f>
        <v>0.33333333333333331</v>
      </c>
      <c r="AQ21" s="2">
        <f>AQ2/AU2</f>
        <v>0.33333333333333331</v>
      </c>
      <c r="AR21" s="2">
        <f>AR2/AU2</f>
        <v>0</v>
      </c>
      <c r="AS21" s="2">
        <f>AS2/AU2</f>
        <v>0</v>
      </c>
      <c r="AT21" s="2">
        <f>AT2/AU2</f>
        <v>0.33333333333333331</v>
      </c>
    </row>
    <row r="22" spans="1:47" x14ac:dyDescent="0.25">
      <c r="AO22" s="1">
        <v>11.76807767</v>
      </c>
      <c r="AP22" s="2">
        <f t="shared" ref="AP22:AP33" si="3">AP3/AU3</f>
        <v>0.36986301369863012</v>
      </c>
      <c r="AQ22" s="2">
        <f t="shared" ref="AQ22:AQ33" si="4">AQ3/AU3</f>
        <v>0.54794520547945202</v>
      </c>
      <c r="AR22" s="2">
        <f t="shared" ref="AR22:AR33" si="5">AR3/AU3</f>
        <v>2.7397260273972601E-2</v>
      </c>
      <c r="AS22" s="2">
        <f t="shared" ref="AS22:AS33" si="6">AS3/AU3</f>
        <v>4.1095890410958902E-2</v>
      </c>
      <c r="AT22" s="2">
        <f t="shared" ref="AT22:AT33" si="7">AT3/AU3</f>
        <v>1.3698630136986301E-2</v>
      </c>
    </row>
    <row r="23" spans="1:47" x14ac:dyDescent="0.25">
      <c r="AO23" s="1">
        <v>12.140504849999999</v>
      </c>
      <c r="AP23" s="2">
        <f t="shared" si="3"/>
        <v>0.13793103448275862</v>
      </c>
      <c r="AQ23" s="2">
        <f t="shared" si="4"/>
        <v>0.65517241379310343</v>
      </c>
      <c r="AR23" s="2">
        <f t="shared" si="5"/>
        <v>6.8965517241379309E-2</v>
      </c>
      <c r="AS23" s="2">
        <f t="shared" si="6"/>
        <v>6.8965517241379309E-2</v>
      </c>
      <c r="AT23" s="2">
        <f t="shared" si="7"/>
        <v>6.8965517241379309E-2</v>
      </c>
    </row>
    <row r="24" spans="1:47" x14ac:dyDescent="0.25">
      <c r="AO24" s="1">
        <v>12.681927460000001</v>
      </c>
      <c r="AP24" s="2">
        <f t="shared" si="3"/>
        <v>0.22222222222222221</v>
      </c>
      <c r="AQ24" s="2">
        <f t="shared" si="4"/>
        <v>0.51851851851851849</v>
      </c>
      <c r="AR24" s="2">
        <f t="shared" si="5"/>
        <v>0.1111111111111111</v>
      </c>
      <c r="AS24" s="2">
        <f t="shared" si="6"/>
        <v>0.1111111111111111</v>
      </c>
      <c r="AT24" s="2">
        <f t="shared" si="7"/>
        <v>3.7037037037037035E-2</v>
      </c>
    </row>
    <row r="25" spans="1:47" x14ac:dyDescent="0.25">
      <c r="AO25" s="1">
        <v>12.90434014</v>
      </c>
      <c r="AP25" s="2">
        <f t="shared" si="3"/>
        <v>0.21818181818181817</v>
      </c>
      <c r="AQ25" s="2">
        <f t="shared" si="4"/>
        <v>0.60909090909090913</v>
      </c>
      <c r="AR25" s="2">
        <f t="shared" si="5"/>
        <v>1.8181818181818181E-2</v>
      </c>
      <c r="AS25" s="2">
        <f t="shared" si="6"/>
        <v>0.14545454545454545</v>
      </c>
      <c r="AT25" s="2">
        <f t="shared" si="7"/>
        <v>9.0909090909090905E-3</v>
      </c>
    </row>
    <row r="26" spans="1:47" x14ac:dyDescent="0.25">
      <c r="AO26" s="1">
        <v>13.4115</v>
      </c>
      <c r="AP26" s="2">
        <f t="shared" si="3"/>
        <v>0.27777777777777779</v>
      </c>
      <c r="AQ26" s="2">
        <f t="shared" si="4"/>
        <v>0.3888888888888889</v>
      </c>
      <c r="AR26" s="2">
        <f t="shared" si="5"/>
        <v>5.5555555555555552E-2</v>
      </c>
      <c r="AS26" s="2">
        <f t="shared" si="6"/>
        <v>0.16666666666666666</v>
      </c>
      <c r="AT26" s="2">
        <f t="shared" si="7"/>
        <v>0.1111111111111111</v>
      </c>
    </row>
    <row r="27" spans="1:47" x14ac:dyDescent="0.25">
      <c r="AO27" s="1">
        <v>15.297745450000001</v>
      </c>
      <c r="AP27" s="2">
        <f t="shared" si="3"/>
        <v>0.68027210884353739</v>
      </c>
      <c r="AQ27" s="2">
        <f t="shared" si="4"/>
        <v>0.1360544217687075</v>
      </c>
      <c r="AR27" s="2">
        <f t="shared" si="5"/>
        <v>8.1632653061224483E-2</v>
      </c>
      <c r="AS27" s="2">
        <f t="shared" si="6"/>
        <v>8.1632653061224483E-2</v>
      </c>
      <c r="AT27" s="2">
        <f t="shared" si="7"/>
        <v>2.0408163265306121E-2</v>
      </c>
    </row>
    <row r="28" spans="1:47" x14ac:dyDescent="0.25">
      <c r="AO28" s="1">
        <v>17.630333330000003</v>
      </c>
      <c r="AP28" s="2">
        <f t="shared" si="3"/>
        <v>0.5625</v>
      </c>
      <c r="AQ28" s="2">
        <f t="shared" si="4"/>
        <v>0.3125</v>
      </c>
      <c r="AR28" s="2">
        <f t="shared" si="5"/>
        <v>0</v>
      </c>
      <c r="AS28" s="2">
        <f t="shared" si="6"/>
        <v>6.25E-2</v>
      </c>
      <c r="AT28" s="2">
        <f t="shared" si="7"/>
        <v>6.25E-2</v>
      </c>
    </row>
    <row r="29" spans="1:47" x14ac:dyDescent="0.25">
      <c r="AO29" s="1">
        <v>19.789979380000002</v>
      </c>
      <c r="AP29" s="2">
        <f t="shared" si="3"/>
        <v>0.27272727272727271</v>
      </c>
      <c r="AQ29" s="2">
        <f t="shared" si="4"/>
        <v>0.18181818181818182</v>
      </c>
      <c r="AR29" s="2">
        <f t="shared" si="5"/>
        <v>3.0303030303030304E-2</v>
      </c>
      <c r="AS29" s="2">
        <f t="shared" si="6"/>
        <v>0.45454545454545453</v>
      </c>
      <c r="AT29" s="2">
        <f t="shared" si="7"/>
        <v>6.0606060606060608E-2</v>
      </c>
    </row>
    <row r="30" spans="1:47" x14ac:dyDescent="0.25">
      <c r="AO30" s="1">
        <v>22.102144329999998</v>
      </c>
      <c r="AP30" s="2">
        <f t="shared" si="3"/>
        <v>0.55172413793103448</v>
      </c>
      <c r="AQ30" s="2">
        <f t="shared" si="4"/>
        <v>3.4482758620689655E-2</v>
      </c>
      <c r="AR30" s="2">
        <f t="shared" si="5"/>
        <v>0.17241379310344829</v>
      </c>
      <c r="AS30" s="2">
        <f t="shared" si="6"/>
        <v>0.13793103448275862</v>
      </c>
      <c r="AT30" s="2">
        <f t="shared" si="7"/>
        <v>0.10344827586206896</v>
      </c>
    </row>
    <row r="31" spans="1:47" x14ac:dyDescent="0.25">
      <c r="AO31" s="1">
        <v>26.142461539999999</v>
      </c>
      <c r="AP31" s="2">
        <f t="shared" si="3"/>
        <v>0.5911949685534591</v>
      </c>
      <c r="AQ31" s="2">
        <f t="shared" si="4"/>
        <v>0.13836477987421383</v>
      </c>
      <c r="AR31" s="2">
        <f t="shared" si="5"/>
        <v>7.5471698113207544E-2</v>
      </c>
      <c r="AS31" s="2">
        <f t="shared" si="6"/>
        <v>0.16352201257861634</v>
      </c>
      <c r="AT31" s="2">
        <f t="shared" si="7"/>
        <v>3.1446540880503145E-2</v>
      </c>
    </row>
    <row r="32" spans="1:47" x14ac:dyDescent="0.25">
      <c r="AO32" s="1">
        <v>29.47625532</v>
      </c>
      <c r="AP32" s="2">
        <f t="shared" si="3"/>
        <v>0</v>
      </c>
      <c r="AQ32" s="2">
        <f t="shared" si="4"/>
        <v>0.5</v>
      </c>
      <c r="AR32" s="2">
        <f t="shared" si="5"/>
        <v>0</v>
      </c>
      <c r="AS32" s="2">
        <f t="shared" si="6"/>
        <v>0.5</v>
      </c>
      <c r="AT32" s="2">
        <f t="shared" si="7"/>
        <v>0</v>
      </c>
    </row>
    <row r="33" spans="41:46" x14ac:dyDescent="0.25">
      <c r="AO33" s="1">
        <v>30.86361905</v>
      </c>
      <c r="AP33" s="2">
        <f t="shared" si="3"/>
        <v>0.33333333333333331</v>
      </c>
      <c r="AQ33" s="2">
        <f t="shared" si="4"/>
        <v>0</v>
      </c>
      <c r="AR33" s="2">
        <f t="shared" si="5"/>
        <v>0</v>
      </c>
      <c r="AS33" s="2">
        <f t="shared" si="6"/>
        <v>0.66666666666666663</v>
      </c>
      <c r="AT33" s="2">
        <f t="shared" si="7"/>
        <v>0</v>
      </c>
    </row>
    <row r="34" spans="41:46" x14ac:dyDescent="0.25">
      <c r="AO34" s="1">
        <v>31.4960381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</row>
    <row r="35" spans="41:46" x14ac:dyDescent="0.25">
      <c r="AO35" s="1">
        <v>33.121000000000002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5118-D6D5-4C36-8DBF-2B71FFD2B666}">
  <dimension ref="A1"/>
  <sheetViews>
    <sheetView topLeftCell="A34" zoomScale="70" zoomScaleNormal="70" workbookViewId="0">
      <selection activeCell="S81" sqref="S8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E589-F7E3-4C16-9702-98E93F286E65}">
  <dimension ref="A1"/>
  <sheetViews>
    <sheetView tabSelected="1" zoomScale="40" zoomScaleNormal="40" workbookViewId="0">
      <selection activeCell="AU14" sqref="AU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12FD-75CC-46AB-A00B-3764E3ED6473}">
  <dimension ref="A1:J35"/>
  <sheetViews>
    <sheetView workbookViewId="0">
      <selection activeCell="I29" sqref="I2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49</v>
      </c>
      <c r="G1" t="s">
        <v>50</v>
      </c>
    </row>
    <row r="2" spans="1:7" x14ac:dyDescent="0.25">
      <c r="A2" s="8" t="s">
        <v>61</v>
      </c>
      <c r="B2" s="8">
        <v>1</v>
      </c>
      <c r="C2" s="8">
        <v>8.6999999999999993</v>
      </c>
      <c r="D2" s="8">
        <v>2</v>
      </c>
      <c r="E2" s="8">
        <v>2</v>
      </c>
      <c r="F2" s="8">
        <v>12.46</v>
      </c>
      <c r="G2" s="8">
        <f>ROUND(E2/F2,2)</f>
        <v>0.16</v>
      </c>
    </row>
    <row r="3" spans="1:7" x14ac:dyDescent="0.25">
      <c r="A3" s="8" t="s">
        <v>62</v>
      </c>
      <c r="B3" s="8">
        <v>66</v>
      </c>
      <c r="C3" s="8">
        <v>9.74</v>
      </c>
      <c r="D3" s="8">
        <v>1</v>
      </c>
      <c r="E3" s="8">
        <v>1</v>
      </c>
      <c r="F3" s="8">
        <v>9.2799999999999994</v>
      </c>
      <c r="G3" s="8">
        <f t="shared" ref="G3:G35" si="0">ROUND(E3/F3,2)</f>
        <v>0.11</v>
      </c>
    </row>
    <row r="4" spans="1:7" x14ac:dyDescent="0.25">
      <c r="A4" s="6" t="s">
        <v>3</v>
      </c>
      <c r="B4" s="6">
        <v>101</v>
      </c>
      <c r="C4" s="7">
        <v>10.298052630000001</v>
      </c>
      <c r="D4" s="6">
        <v>4</v>
      </c>
      <c r="E4" s="6">
        <v>4</v>
      </c>
      <c r="F4" s="7">
        <v>8.26</v>
      </c>
      <c r="G4" s="6">
        <f t="shared" si="0"/>
        <v>0.48</v>
      </c>
    </row>
    <row r="5" spans="1:7" x14ac:dyDescent="0.25">
      <c r="A5" s="8" t="s">
        <v>63</v>
      </c>
      <c r="B5" s="8">
        <v>126</v>
      </c>
      <c r="C5" s="8">
        <v>10.7</v>
      </c>
      <c r="D5" s="8">
        <v>9</v>
      </c>
      <c r="E5" s="8">
        <v>9</v>
      </c>
      <c r="F5" s="8">
        <v>10.36</v>
      </c>
      <c r="G5" s="8">
        <f t="shared" si="0"/>
        <v>0.87</v>
      </c>
    </row>
    <row r="6" spans="1:7" x14ac:dyDescent="0.25">
      <c r="A6" s="8" t="s">
        <v>64</v>
      </c>
      <c r="B6" s="8">
        <v>176</v>
      </c>
      <c r="C6" s="8">
        <v>11.49</v>
      </c>
      <c r="D6" s="8">
        <v>18</v>
      </c>
      <c r="E6" s="8">
        <v>18</v>
      </c>
      <c r="F6" s="8">
        <v>9.8800000000000008</v>
      </c>
      <c r="G6" s="8">
        <f t="shared" si="0"/>
        <v>1.82</v>
      </c>
    </row>
    <row r="7" spans="1:7" x14ac:dyDescent="0.25">
      <c r="A7" s="6" t="s">
        <v>4</v>
      </c>
      <c r="B7" s="6">
        <v>191</v>
      </c>
      <c r="C7" s="7">
        <v>11.76807767</v>
      </c>
      <c r="D7" s="6">
        <v>73</v>
      </c>
      <c r="E7" s="6">
        <v>73</v>
      </c>
      <c r="F7" s="7">
        <v>9.91</v>
      </c>
      <c r="G7" s="6">
        <f t="shared" si="0"/>
        <v>7.37</v>
      </c>
    </row>
    <row r="8" spans="1:7" x14ac:dyDescent="0.25">
      <c r="A8" s="6" t="s">
        <v>5</v>
      </c>
      <c r="B8" s="6">
        <v>211</v>
      </c>
      <c r="C8" s="7">
        <v>12.140504849999999</v>
      </c>
      <c r="D8" s="6">
        <v>59</v>
      </c>
      <c r="E8" s="6">
        <v>59</v>
      </c>
      <c r="F8" s="7">
        <v>12.13</v>
      </c>
      <c r="G8" s="6">
        <f t="shared" si="0"/>
        <v>4.8600000000000003</v>
      </c>
    </row>
    <row r="9" spans="1:7" x14ac:dyDescent="0.25">
      <c r="A9" s="8" t="s">
        <v>65</v>
      </c>
      <c r="B9" s="8">
        <v>246</v>
      </c>
      <c r="C9" s="8">
        <v>12.55</v>
      </c>
      <c r="D9" s="8">
        <v>70</v>
      </c>
      <c r="E9" s="8">
        <v>70</v>
      </c>
      <c r="F9" s="8">
        <v>13.78</v>
      </c>
      <c r="G9" s="8">
        <f t="shared" si="0"/>
        <v>5.08</v>
      </c>
    </row>
    <row r="10" spans="1:7" x14ac:dyDescent="0.25">
      <c r="A10" s="6" t="s">
        <v>6</v>
      </c>
      <c r="B10" s="6">
        <v>281</v>
      </c>
      <c r="C10" s="7">
        <v>12.681927460000001</v>
      </c>
      <c r="D10" s="6">
        <v>29</v>
      </c>
      <c r="E10" s="6">
        <v>99</v>
      </c>
      <c r="F10" s="7">
        <v>10.47</v>
      </c>
      <c r="G10" s="6">
        <f t="shared" si="0"/>
        <v>9.4600000000000009</v>
      </c>
    </row>
    <row r="11" spans="1:7" x14ac:dyDescent="0.25">
      <c r="A11" s="8" t="s">
        <v>66</v>
      </c>
      <c r="B11" s="8">
        <v>316</v>
      </c>
      <c r="C11" s="8">
        <v>12.82</v>
      </c>
      <c r="D11" s="8">
        <v>125</v>
      </c>
      <c r="E11" s="8">
        <v>533.33000000000004</v>
      </c>
      <c r="F11" s="8">
        <v>13.05</v>
      </c>
      <c r="G11" s="8">
        <f t="shared" si="0"/>
        <v>40.869999999999997</v>
      </c>
    </row>
    <row r="12" spans="1:7" x14ac:dyDescent="0.25">
      <c r="A12" s="6" t="s">
        <v>24</v>
      </c>
      <c r="B12" s="6">
        <v>336</v>
      </c>
      <c r="C12" s="7">
        <v>12.90434014</v>
      </c>
      <c r="D12" s="6">
        <v>118</v>
      </c>
      <c r="E12" s="6">
        <v>343.27</v>
      </c>
      <c r="F12" s="7">
        <v>13.45</v>
      </c>
      <c r="G12" s="6">
        <f t="shared" si="0"/>
        <v>25.52</v>
      </c>
    </row>
    <row r="13" spans="1:7" x14ac:dyDescent="0.25">
      <c r="A13" s="8" t="s">
        <v>67</v>
      </c>
      <c r="B13" s="8">
        <v>382</v>
      </c>
      <c r="C13" s="8">
        <v>13.14</v>
      </c>
      <c r="D13" s="8">
        <v>8</v>
      </c>
      <c r="E13" s="8">
        <v>8</v>
      </c>
      <c r="F13" s="8">
        <v>14.06</v>
      </c>
      <c r="G13" s="8">
        <f t="shared" si="0"/>
        <v>0.56999999999999995</v>
      </c>
    </row>
    <row r="14" spans="1:7" x14ac:dyDescent="0.25">
      <c r="A14" s="8" t="s">
        <v>68</v>
      </c>
      <c r="B14" s="8">
        <v>442</v>
      </c>
      <c r="C14" s="8">
        <v>13.29</v>
      </c>
      <c r="D14" s="8">
        <v>31</v>
      </c>
      <c r="E14" s="8">
        <v>31</v>
      </c>
      <c r="F14" s="8">
        <v>15.85</v>
      </c>
      <c r="G14" s="8">
        <f t="shared" si="0"/>
        <v>1.96</v>
      </c>
    </row>
    <row r="15" spans="1:7" x14ac:dyDescent="0.25">
      <c r="A15" s="8" t="s">
        <v>69</v>
      </c>
      <c r="B15" s="8">
        <v>467</v>
      </c>
      <c r="C15" s="8">
        <v>13.33</v>
      </c>
      <c r="D15" s="8">
        <v>135</v>
      </c>
      <c r="E15" s="8">
        <v>135</v>
      </c>
      <c r="F15" s="8">
        <v>12.24</v>
      </c>
      <c r="G15" s="8">
        <f t="shared" si="0"/>
        <v>11.03</v>
      </c>
    </row>
    <row r="16" spans="1:7" x14ac:dyDescent="0.25">
      <c r="A16" s="6" t="s">
        <v>7</v>
      </c>
      <c r="B16" s="6">
        <v>482</v>
      </c>
      <c r="C16" s="7">
        <v>13.4115</v>
      </c>
      <c r="D16" s="6">
        <v>18</v>
      </c>
      <c r="E16" s="6">
        <v>18</v>
      </c>
      <c r="F16" s="7">
        <v>13.7</v>
      </c>
      <c r="G16" s="6">
        <f t="shared" si="0"/>
        <v>1.31</v>
      </c>
    </row>
    <row r="17" spans="1:10" x14ac:dyDescent="0.25">
      <c r="A17" s="8" t="s">
        <v>70</v>
      </c>
      <c r="B17" s="8">
        <v>502</v>
      </c>
      <c r="C17" s="8">
        <v>13.82</v>
      </c>
      <c r="D17" s="8">
        <v>189</v>
      </c>
      <c r="E17" s="8">
        <v>214</v>
      </c>
      <c r="F17" s="8">
        <v>17.07</v>
      </c>
      <c r="G17" s="8">
        <f t="shared" si="0"/>
        <v>12.54</v>
      </c>
      <c r="I17" s="6" t="s">
        <v>80</v>
      </c>
    </row>
    <row r="18" spans="1:10" x14ac:dyDescent="0.25">
      <c r="A18" s="6" t="s">
        <v>8</v>
      </c>
      <c r="B18" s="6">
        <v>542</v>
      </c>
      <c r="C18" s="7">
        <v>15.297745450000001</v>
      </c>
      <c r="D18" s="6">
        <v>149</v>
      </c>
      <c r="E18" s="6">
        <v>1230.45</v>
      </c>
      <c r="F18" s="7">
        <v>13.66</v>
      </c>
      <c r="G18" s="6">
        <f t="shared" si="0"/>
        <v>90.08</v>
      </c>
      <c r="I18" s="8" t="s">
        <v>81</v>
      </c>
      <c r="J18" s="8"/>
    </row>
    <row r="19" spans="1:10" x14ac:dyDescent="0.25">
      <c r="A19" s="8" t="s">
        <v>71</v>
      </c>
      <c r="B19" s="8">
        <v>560</v>
      </c>
      <c r="C19" s="8">
        <v>15.99</v>
      </c>
      <c r="D19" s="8">
        <v>122</v>
      </c>
      <c r="E19" s="8">
        <v>1952</v>
      </c>
      <c r="F19" s="8">
        <v>14.15</v>
      </c>
      <c r="G19" s="8">
        <f t="shared" si="0"/>
        <v>137.94999999999999</v>
      </c>
    </row>
    <row r="20" spans="1:10" x14ac:dyDescent="0.25">
      <c r="A20" s="8" t="s">
        <v>79</v>
      </c>
      <c r="B20" s="8">
        <v>592</v>
      </c>
      <c r="C20" s="8">
        <v>17.29</v>
      </c>
      <c r="D20" s="8">
        <v>0</v>
      </c>
      <c r="E20" s="8">
        <v>0</v>
      </c>
      <c r="F20" s="8">
        <v>13.45</v>
      </c>
      <c r="G20" s="8">
        <f t="shared" si="0"/>
        <v>0</v>
      </c>
    </row>
    <row r="21" spans="1:10" x14ac:dyDescent="0.25">
      <c r="A21" s="6" t="s">
        <v>9</v>
      </c>
      <c r="B21" s="6">
        <v>607</v>
      </c>
      <c r="C21" s="7">
        <v>17.630333330000003</v>
      </c>
      <c r="D21" s="6">
        <v>16</v>
      </c>
      <c r="E21" s="6">
        <v>16</v>
      </c>
      <c r="F21" s="7">
        <v>12.89</v>
      </c>
      <c r="G21" s="6">
        <f t="shared" si="0"/>
        <v>1.24</v>
      </c>
    </row>
    <row r="22" spans="1:10" x14ac:dyDescent="0.25">
      <c r="A22" s="6" t="s">
        <v>10</v>
      </c>
      <c r="B22" s="6">
        <v>641</v>
      </c>
      <c r="C22" s="7">
        <v>19.789979380000002</v>
      </c>
      <c r="D22" s="6">
        <v>34</v>
      </c>
      <c r="E22" s="6">
        <v>34</v>
      </c>
      <c r="F22" s="7">
        <v>12.82</v>
      </c>
      <c r="G22" s="6">
        <f t="shared" si="0"/>
        <v>2.65</v>
      </c>
    </row>
    <row r="23" spans="1:10" x14ac:dyDescent="0.25">
      <c r="A23" s="8" t="s">
        <v>72</v>
      </c>
      <c r="B23" s="8">
        <v>656</v>
      </c>
      <c r="C23" s="8">
        <v>20.78</v>
      </c>
      <c r="D23" s="8">
        <v>7</v>
      </c>
      <c r="E23" s="8">
        <v>7</v>
      </c>
      <c r="F23" s="8">
        <v>16.21</v>
      </c>
      <c r="G23" s="8">
        <f t="shared" si="0"/>
        <v>0.43</v>
      </c>
    </row>
    <row r="24" spans="1:10" x14ac:dyDescent="0.25">
      <c r="A24" s="6" t="s">
        <v>11</v>
      </c>
      <c r="B24" s="6">
        <v>676</v>
      </c>
      <c r="C24" s="7">
        <v>22.102144329999998</v>
      </c>
      <c r="D24" s="6">
        <v>31</v>
      </c>
      <c r="E24" s="6">
        <v>31</v>
      </c>
      <c r="F24" s="7">
        <v>16.079999999999998</v>
      </c>
      <c r="G24" s="6">
        <f t="shared" si="0"/>
        <v>1.93</v>
      </c>
    </row>
    <row r="25" spans="1:10" x14ac:dyDescent="0.25">
      <c r="A25" s="8" t="s">
        <v>73</v>
      </c>
      <c r="B25" s="8">
        <v>696</v>
      </c>
      <c r="C25" s="8">
        <v>23.42</v>
      </c>
      <c r="D25" s="8">
        <v>20</v>
      </c>
      <c r="E25" s="8">
        <v>20</v>
      </c>
      <c r="F25" s="8">
        <v>16.59</v>
      </c>
      <c r="G25" s="8">
        <f t="shared" si="0"/>
        <v>1.21</v>
      </c>
    </row>
    <row r="26" spans="1:10" x14ac:dyDescent="0.25">
      <c r="A26" s="8" t="s">
        <v>74</v>
      </c>
      <c r="B26" s="8">
        <v>736</v>
      </c>
      <c r="C26" s="8">
        <v>25.21</v>
      </c>
      <c r="D26" s="8">
        <v>11</v>
      </c>
      <c r="E26" s="8">
        <v>11</v>
      </c>
      <c r="F26" s="8">
        <v>16.829999999999998</v>
      </c>
      <c r="G26" s="8">
        <f t="shared" si="0"/>
        <v>0.65</v>
      </c>
    </row>
    <row r="27" spans="1:10" x14ac:dyDescent="0.25">
      <c r="A27" s="6" t="s">
        <v>12</v>
      </c>
      <c r="B27" s="6">
        <v>746</v>
      </c>
      <c r="C27" s="7">
        <v>26.142461539999999</v>
      </c>
      <c r="D27" s="6">
        <v>167</v>
      </c>
      <c r="E27" s="6">
        <v>167</v>
      </c>
      <c r="F27" s="7">
        <v>19.41</v>
      </c>
      <c r="G27" s="6">
        <f t="shared" si="0"/>
        <v>8.6</v>
      </c>
    </row>
    <row r="28" spans="1:10" x14ac:dyDescent="0.25">
      <c r="A28" s="8" t="s">
        <v>75</v>
      </c>
      <c r="B28" s="8">
        <v>799</v>
      </c>
      <c r="C28" s="8">
        <v>28.52</v>
      </c>
      <c r="D28" s="8">
        <v>1</v>
      </c>
      <c r="E28" s="8">
        <v>1</v>
      </c>
      <c r="F28" s="8">
        <v>13.8</v>
      </c>
      <c r="G28" s="8">
        <f t="shared" si="0"/>
        <v>7.0000000000000007E-2</v>
      </c>
    </row>
    <row r="29" spans="1:10" x14ac:dyDescent="0.25">
      <c r="A29" s="6" t="s">
        <v>13</v>
      </c>
      <c r="B29" s="6">
        <v>833</v>
      </c>
      <c r="C29" s="7">
        <v>29.47625532</v>
      </c>
      <c r="D29" s="6">
        <v>2</v>
      </c>
      <c r="E29" s="6">
        <v>2</v>
      </c>
      <c r="F29" s="7">
        <v>14.7</v>
      </c>
      <c r="G29" s="6">
        <f t="shared" si="0"/>
        <v>0.14000000000000001</v>
      </c>
    </row>
    <row r="30" spans="1:10" x14ac:dyDescent="0.25">
      <c r="A30" s="8" t="s">
        <v>76</v>
      </c>
      <c r="B30" s="8">
        <v>871</v>
      </c>
      <c r="C30" s="8">
        <v>30.55</v>
      </c>
      <c r="D30" s="8">
        <v>12</v>
      </c>
      <c r="E30" s="8">
        <v>12</v>
      </c>
      <c r="F30" s="8">
        <v>15.02</v>
      </c>
      <c r="G30" s="8">
        <f t="shared" si="0"/>
        <v>0.8</v>
      </c>
    </row>
    <row r="31" spans="1:10" x14ac:dyDescent="0.25">
      <c r="A31" s="6" t="s">
        <v>14</v>
      </c>
      <c r="B31" s="6">
        <v>888</v>
      </c>
      <c r="C31" s="7">
        <v>30.86361905</v>
      </c>
      <c r="D31" s="6">
        <v>3</v>
      </c>
      <c r="E31" s="6">
        <v>3</v>
      </c>
      <c r="F31" s="7">
        <v>15.63</v>
      </c>
      <c r="G31" s="6">
        <f t="shared" si="0"/>
        <v>0.19</v>
      </c>
    </row>
    <row r="32" spans="1:10" x14ac:dyDescent="0.25">
      <c r="A32" s="8" t="s">
        <v>77</v>
      </c>
      <c r="B32" s="8">
        <v>931</v>
      </c>
      <c r="C32" s="8">
        <v>31.39</v>
      </c>
      <c r="D32" s="8">
        <v>0</v>
      </c>
      <c r="E32" s="8">
        <v>0</v>
      </c>
      <c r="F32" s="9">
        <v>14.96</v>
      </c>
      <c r="G32" s="8">
        <f t="shared" si="0"/>
        <v>0</v>
      </c>
    </row>
    <row r="33" spans="1:7" x14ac:dyDescent="0.25">
      <c r="A33" s="6" t="s">
        <v>15</v>
      </c>
      <c r="B33" s="6">
        <v>940</v>
      </c>
      <c r="C33" s="7">
        <v>31.4960381</v>
      </c>
      <c r="D33" s="6">
        <v>0</v>
      </c>
      <c r="E33" s="6">
        <v>0</v>
      </c>
      <c r="F33" s="7">
        <v>15.4</v>
      </c>
      <c r="G33" s="6">
        <f t="shared" si="0"/>
        <v>0</v>
      </c>
    </row>
    <row r="34" spans="1:7" x14ac:dyDescent="0.25">
      <c r="A34" s="8" t="s">
        <v>78</v>
      </c>
      <c r="B34" s="8">
        <v>983</v>
      </c>
      <c r="C34" s="9">
        <v>32.020000000000003</v>
      </c>
      <c r="D34" s="8">
        <v>0</v>
      </c>
      <c r="E34" s="8">
        <v>0</v>
      </c>
      <c r="F34" s="9">
        <v>14.63</v>
      </c>
      <c r="G34" s="8">
        <f t="shared" si="0"/>
        <v>0</v>
      </c>
    </row>
    <row r="35" spans="1:7" x14ac:dyDescent="0.25">
      <c r="A35" s="6" t="s">
        <v>16</v>
      </c>
      <c r="B35" s="6">
        <v>1021</v>
      </c>
      <c r="C35" s="7">
        <v>33.121000000000002</v>
      </c>
      <c r="D35" s="6">
        <v>0</v>
      </c>
      <c r="E35" s="6">
        <v>0</v>
      </c>
      <c r="F35" s="7">
        <v>15.96</v>
      </c>
      <c r="G35" s="6">
        <f t="shared" si="0"/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1EE0-9CCE-451E-BEC7-149FB3C28F6A}">
  <dimension ref="A1:R18"/>
  <sheetViews>
    <sheetView zoomScale="130" zoomScaleNormal="130" workbookViewId="0">
      <selection activeCell="I21" sqref="I21"/>
    </sheetView>
  </sheetViews>
  <sheetFormatPr defaultRowHeight="15" x14ac:dyDescent="0.25"/>
  <sheetData>
    <row r="1" spans="1:18" x14ac:dyDescent="0.25">
      <c r="A1" t="s">
        <v>82</v>
      </c>
      <c r="B1" t="s">
        <v>83</v>
      </c>
      <c r="C1" t="s">
        <v>84</v>
      </c>
      <c r="P1" t="s">
        <v>0</v>
      </c>
      <c r="Q1" t="s">
        <v>102</v>
      </c>
    </row>
    <row r="2" spans="1:18" x14ac:dyDescent="0.25">
      <c r="A2">
        <v>7</v>
      </c>
      <c r="B2">
        <v>8.7989999999999995</v>
      </c>
      <c r="C2">
        <f>ROUND((A3-A2)/(B3-B2),2)</f>
        <v>62.71</v>
      </c>
      <c r="P2" t="s">
        <v>3</v>
      </c>
      <c r="Q2" s="1">
        <v>10.298052630000001</v>
      </c>
      <c r="R2">
        <f>C2+(Q2-B2)/(B3-B2)*(C3-C2)</f>
        <v>57.757134508140815</v>
      </c>
    </row>
    <row r="3" spans="1:18" x14ac:dyDescent="0.25">
      <c r="A3">
        <v>178</v>
      </c>
      <c r="B3">
        <v>11.526</v>
      </c>
      <c r="C3">
        <f t="shared" ref="C3:C17" si="0">ROUND((A4-A3)/(B4-B3),2)</f>
        <v>53.7</v>
      </c>
      <c r="P3" t="s">
        <v>4</v>
      </c>
      <c r="Q3" s="1">
        <v>11.76807767</v>
      </c>
      <c r="R3">
        <f>C3+(Q3-B3)/(B4-B3)*(C4-C3)</f>
        <v>106.15941749676759</v>
      </c>
    </row>
    <row r="4" spans="1:18" x14ac:dyDescent="0.25">
      <c r="A4">
        <v>229.5</v>
      </c>
      <c r="B4">
        <v>12.484999999999999</v>
      </c>
      <c r="C4">
        <f t="shared" si="0"/>
        <v>261.52</v>
      </c>
      <c r="P4" t="s">
        <v>5</v>
      </c>
      <c r="Q4" s="1">
        <v>12.140504849999999</v>
      </c>
      <c r="R4">
        <f>C3+(Q4-B3)/(B4-B3)*(C4-C3)</f>
        <v>186.86621264546397</v>
      </c>
    </row>
    <row r="5" spans="1:18" x14ac:dyDescent="0.25">
      <c r="A5">
        <v>326</v>
      </c>
      <c r="B5">
        <v>12.853999999999999</v>
      </c>
      <c r="C5">
        <f t="shared" si="0"/>
        <v>198.65</v>
      </c>
      <c r="P5" t="s">
        <v>6</v>
      </c>
      <c r="Q5" s="1">
        <v>12.681927460000001</v>
      </c>
      <c r="R5">
        <f>C4+(Q5-B4)/(B5-B4)*(C5-C4)</f>
        <v>227.96761677452551</v>
      </c>
    </row>
    <row r="6" spans="1:18" x14ac:dyDescent="0.25">
      <c r="A6">
        <v>399.5</v>
      </c>
      <c r="B6">
        <v>13.224</v>
      </c>
      <c r="C6">
        <f t="shared" si="0"/>
        <v>684.93</v>
      </c>
      <c r="P6" t="s">
        <v>24</v>
      </c>
      <c r="Q6" s="1">
        <v>12.90434014</v>
      </c>
      <c r="R6">
        <f>C5+(Q6-B5)/(B6-B5)*(C6-C5)</f>
        <v>264.81054940324464</v>
      </c>
    </row>
    <row r="7" spans="1:18" x14ac:dyDescent="0.25">
      <c r="A7">
        <v>449.5</v>
      </c>
      <c r="B7">
        <v>13.297000000000001</v>
      </c>
      <c r="C7">
        <f t="shared" si="0"/>
        <v>556.6</v>
      </c>
      <c r="P7" t="s">
        <v>7</v>
      </c>
      <c r="Q7" s="1">
        <v>13.4115</v>
      </c>
      <c r="R7">
        <f>C8+(Q7-B8)/(B9-B8)*(C9-C8)</f>
        <v>46.168846153846125</v>
      </c>
    </row>
    <row r="8" spans="1:18" x14ac:dyDescent="0.25">
      <c r="A8">
        <v>479</v>
      </c>
      <c r="B8">
        <v>13.35</v>
      </c>
      <c r="C8">
        <f t="shared" si="0"/>
        <v>48.78</v>
      </c>
      <c r="P8" t="s">
        <v>8</v>
      </c>
      <c r="Q8" s="1">
        <v>15.297745450000001</v>
      </c>
      <c r="R8">
        <f>C9+(Q8-B9)/(B10-B9)*(C10-C9)</f>
        <v>27.455090904897766</v>
      </c>
    </row>
    <row r="9" spans="1:18" x14ac:dyDescent="0.25">
      <c r="A9">
        <v>505</v>
      </c>
      <c r="B9">
        <v>13.882999999999999</v>
      </c>
      <c r="C9">
        <f t="shared" si="0"/>
        <v>26.15</v>
      </c>
      <c r="P9" t="s">
        <v>9</v>
      </c>
      <c r="Q9" s="1">
        <v>17.630333329999999</v>
      </c>
      <c r="R9">
        <f>C12+(Q9-B12)/(B13-B12)*(C13-C12)</f>
        <v>16.756666853284635</v>
      </c>
    </row>
    <row r="10" spans="1:18" x14ac:dyDescent="0.25">
      <c r="A10">
        <v>560</v>
      </c>
      <c r="B10">
        <v>15.986000000000001</v>
      </c>
      <c r="C10">
        <f t="shared" si="0"/>
        <v>28.09</v>
      </c>
      <c r="P10" t="s">
        <v>10</v>
      </c>
      <c r="Q10" s="1">
        <v>19.789979379999998</v>
      </c>
      <c r="R10">
        <f>C13+(Q10-B13)/(B14-B13)*(C14-C13)</f>
        <v>15.925360823564294</v>
      </c>
    </row>
    <row r="11" spans="1:18" x14ac:dyDescent="0.25">
      <c r="A11">
        <v>570</v>
      </c>
      <c r="B11">
        <v>16.341999999999999</v>
      </c>
      <c r="C11">
        <f t="shared" si="0"/>
        <v>13.87</v>
      </c>
      <c r="P11" t="s">
        <v>11</v>
      </c>
      <c r="Q11" s="1">
        <v>22.102144330000002</v>
      </c>
      <c r="R11">
        <f>C13+(Q11-B13)/(B14-B13)*(C14-C13)</f>
        <v>17.812474226888266</v>
      </c>
    </row>
    <row r="12" spans="1:18" x14ac:dyDescent="0.25">
      <c r="A12">
        <v>579</v>
      </c>
      <c r="B12">
        <v>16.991</v>
      </c>
      <c r="C12">
        <f t="shared" si="0"/>
        <v>52.55</v>
      </c>
      <c r="P12" t="s">
        <v>12</v>
      </c>
      <c r="Q12" s="1">
        <v>26.142461539999999</v>
      </c>
      <c r="R12">
        <f>C14+(Q12-B14)/(B15-B14)*(C15-C14)</f>
        <v>27.696666672845041</v>
      </c>
    </row>
    <row r="13" spans="1:18" x14ac:dyDescent="0.25">
      <c r="A13">
        <v>615</v>
      </c>
      <c r="B13">
        <v>17.675999999999998</v>
      </c>
      <c r="C13">
        <f t="shared" si="0"/>
        <v>14.2</v>
      </c>
      <c r="E13" s="10"/>
      <c r="P13" t="s">
        <v>13</v>
      </c>
      <c r="Q13" s="1">
        <v>29.47625532</v>
      </c>
      <c r="R13">
        <f>C15+(Q13-B15)/(B16-B15)*(C16-C15)</f>
        <v>59.877978738426627</v>
      </c>
    </row>
    <row r="14" spans="1:18" x14ac:dyDescent="0.25">
      <c r="A14">
        <v>706</v>
      </c>
      <c r="B14">
        <v>24.084</v>
      </c>
      <c r="C14">
        <f t="shared" si="0"/>
        <v>19.43</v>
      </c>
      <c r="P14" t="s">
        <v>14</v>
      </c>
      <c r="Q14" s="1">
        <v>30.86361905</v>
      </c>
      <c r="R14">
        <f t="shared" ref="R14" si="1">C17+(Q14-B17)/(B18-B17)*(C18-C17)</f>
        <v>59.456511069592437</v>
      </c>
    </row>
    <row r="15" spans="1:18" x14ac:dyDescent="0.25">
      <c r="A15">
        <v>784</v>
      </c>
      <c r="B15">
        <v>28.097999999999999</v>
      </c>
      <c r="C15">
        <f t="shared" si="0"/>
        <v>35.549999999999997</v>
      </c>
      <c r="P15" t="s">
        <v>15</v>
      </c>
      <c r="Q15" s="1">
        <v>31.4960381</v>
      </c>
      <c r="R15">
        <f>C16+(Q15-B16)/(B17-B16)*(C17-C16)</f>
        <v>54.030666488645238</v>
      </c>
    </row>
    <row r="16" spans="1:18" x14ac:dyDescent="0.25">
      <c r="A16">
        <v>878</v>
      </c>
      <c r="B16">
        <v>30.742000000000001</v>
      </c>
      <c r="C16">
        <f t="shared" si="0"/>
        <v>82.22</v>
      </c>
      <c r="P16" t="s">
        <v>16</v>
      </c>
      <c r="Q16" s="1">
        <v>33.121000000000002</v>
      </c>
    </row>
    <row r="17" spans="1:3" x14ac:dyDescent="0.25">
      <c r="A17">
        <v>983</v>
      </c>
      <c r="B17">
        <v>32.018999999999998</v>
      </c>
      <c r="C17">
        <f t="shared" si="0"/>
        <v>34.479999999999997</v>
      </c>
    </row>
    <row r="18" spans="1:3" x14ac:dyDescent="0.25">
      <c r="A18">
        <v>1038</v>
      </c>
      <c r="B18">
        <v>33.613999999999997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F997-D80E-4053-A406-3F9AAF07DCA7}">
  <dimension ref="A1:G16"/>
  <sheetViews>
    <sheetView workbookViewId="0">
      <selection activeCell="E29" sqref="E2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50</v>
      </c>
      <c r="E1" t="s">
        <v>85</v>
      </c>
      <c r="F1" t="s">
        <v>86</v>
      </c>
      <c r="G1" t="s">
        <v>87</v>
      </c>
    </row>
    <row r="2" spans="1:7" x14ac:dyDescent="0.25">
      <c r="A2" t="s">
        <v>3</v>
      </c>
      <c r="B2">
        <v>101</v>
      </c>
      <c r="C2" s="1">
        <v>10.298052630000001</v>
      </c>
      <c r="D2">
        <v>0.48</v>
      </c>
      <c r="E2">
        <v>15</v>
      </c>
      <c r="F2">
        <f>ROUND(D2/E2,2)</f>
        <v>0.03</v>
      </c>
      <c r="G2" s="2">
        <f>ROUND(D2/(D2+E2),2)</f>
        <v>0.03</v>
      </c>
    </row>
    <row r="3" spans="1:7" x14ac:dyDescent="0.25">
      <c r="A3" t="s">
        <v>4</v>
      </c>
      <c r="B3">
        <v>191</v>
      </c>
      <c r="C3" s="1">
        <v>11.76807767</v>
      </c>
      <c r="D3">
        <v>7.37</v>
      </c>
      <c r="E3">
        <v>41</v>
      </c>
      <c r="F3">
        <f t="shared" ref="F3:F16" si="0">ROUND(D3/E3,2)</f>
        <v>0.18</v>
      </c>
      <c r="G3" s="2">
        <f t="shared" ref="G3:G16" si="1">ROUND(D3/(D3+E3),2)</f>
        <v>0.15</v>
      </c>
    </row>
    <row r="4" spans="1:7" x14ac:dyDescent="0.25">
      <c r="A4" t="s">
        <v>5</v>
      </c>
      <c r="B4">
        <v>211</v>
      </c>
      <c r="C4" s="1">
        <v>12.140504849999999</v>
      </c>
      <c r="D4">
        <v>4.8600000000000003</v>
      </c>
      <c r="E4">
        <v>27</v>
      </c>
      <c r="F4">
        <f t="shared" si="0"/>
        <v>0.18</v>
      </c>
      <c r="G4" s="2">
        <f t="shared" si="1"/>
        <v>0.15</v>
      </c>
    </row>
    <row r="5" spans="1:7" x14ac:dyDescent="0.25">
      <c r="A5" t="s">
        <v>6</v>
      </c>
      <c r="B5">
        <v>281</v>
      </c>
      <c r="C5" s="1">
        <v>12.681927460000001</v>
      </c>
      <c r="D5">
        <v>9.4600000000000009</v>
      </c>
      <c r="E5">
        <v>43</v>
      </c>
      <c r="F5">
        <f t="shared" si="0"/>
        <v>0.22</v>
      </c>
      <c r="G5" s="2">
        <f t="shared" si="1"/>
        <v>0.18</v>
      </c>
    </row>
    <row r="6" spans="1:7" x14ac:dyDescent="0.25">
      <c r="A6" t="s">
        <v>24</v>
      </c>
      <c r="B6">
        <v>336</v>
      </c>
      <c r="C6" s="1">
        <v>12.90434014</v>
      </c>
      <c r="D6">
        <v>25.52</v>
      </c>
      <c r="E6">
        <v>263</v>
      </c>
      <c r="F6">
        <f t="shared" si="0"/>
        <v>0.1</v>
      </c>
      <c r="G6" s="2">
        <f t="shared" si="1"/>
        <v>0.09</v>
      </c>
    </row>
    <row r="7" spans="1:7" x14ac:dyDescent="0.25">
      <c r="A7" t="s">
        <v>7</v>
      </c>
      <c r="B7">
        <v>482</v>
      </c>
      <c r="C7" s="1">
        <v>13.4115</v>
      </c>
      <c r="D7">
        <v>1.31</v>
      </c>
      <c r="E7">
        <v>240</v>
      </c>
      <c r="F7">
        <f t="shared" si="0"/>
        <v>0.01</v>
      </c>
      <c r="G7" s="2">
        <f t="shared" si="1"/>
        <v>0.01</v>
      </c>
    </row>
    <row r="8" spans="1:7" x14ac:dyDescent="0.25">
      <c r="A8" t="s">
        <v>8</v>
      </c>
      <c r="B8">
        <v>542</v>
      </c>
      <c r="C8" s="1">
        <v>15.297745450000001</v>
      </c>
      <c r="D8">
        <v>90.08</v>
      </c>
      <c r="E8">
        <v>534</v>
      </c>
      <c r="F8">
        <f t="shared" si="0"/>
        <v>0.17</v>
      </c>
      <c r="G8" s="2">
        <f t="shared" si="1"/>
        <v>0.14000000000000001</v>
      </c>
    </row>
    <row r="9" spans="1:7" x14ac:dyDescent="0.25">
      <c r="A9" t="s">
        <v>9</v>
      </c>
      <c r="B9">
        <v>607</v>
      </c>
      <c r="C9" s="1">
        <v>17.630333330000003</v>
      </c>
      <c r="D9">
        <v>1.24</v>
      </c>
      <c r="E9">
        <v>70</v>
      </c>
      <c r="F9">
        <f t="shared" si="0"/>
        <v>0.02</v>
      </c>
      <c r="G9" s="2">
        <f t="shared" si="1"/>
        <v>0.02</v>
      </c>
    </row>
    <row r="10" spans="1:7" x14ac:dyDescent="0.25">
      <c r="A10" t="s">
        <v>10</v>
      </c>
      <c r="B10">
        <v>641</v>
      </c>
      <c r="C10" s="1">
        <v>19.789979380000002</v>
      </c>
      <c r="D10">
        <v>2.65</v>
      </c>
      <c r="E10">
        <v>784</v>
      </c>
      <c r="F10">
        <f t="shared" si="0"/>
        <v>0</v>
      </c>
      <c r="G10" s="2">
        <f t="shared" si="1"/>
        <v>0</v>
      </c>
    </row>
    <row r="11" spans="1:7" x14ac:dyDescent="0.25">
      <c r="A11" t="s">
        <v>11</v>
      </c>
      <c r="B11">
        <v>676</v>
      </c>
      <c r="C11" s="1">
        <v>22.102144329999998</v>
      </c>
      <c r="D11">
        <v>1.93</v>
      </c>
      <c r="E11">
        <v>1317</v>
      </c>
      <c r="F11">
        <f t="shared" si="0"/>
        <v>0</v>
      </c>
      <c r="G11" s="2">
        <f t="shared" si="1"/>
        <v>0</v>
      </c>
    </row>
    <row r="12" spans="1:7" x14ac:dyDescent="0.25">
      <c r="A12" t="s">
        <v>12</v>
      </c>
      <c r="B12">
        <v>746</v>
      </c>
      <c r="C12" s="1">
        <v>26.142461539999999</v>
      </c>
      <c r="D12">
        <v>8.6</v>
      </c>
      <c r="E12">
        <v>368</v>
      </c>
      <c r="F12">
        <f t="shared" si="0"/>
        <v>0.02</v>
      </c>
      <c r="G12" s="2">
        <f t="shared" si="1"/>
        <v>0.02</v>
      </c>
    </row>
    <row r="13" spans="1:7" x14ac:dyDescent="0.25">
      <c r="A13" t="s">
        <v>13</v>
      </c>
      <c r="B13">
        <v>833</v>
      </c>
      <c r="C13" s="1">
        <v>29.47625532</v>
      </c>
      <c r="D13">
        <v>0.14000000000000001</v>
      </c>
      <c r="E13">
        <v>455</v>
      </c>
      <c r="F13">
        <f t="shared" si="0"/>
        <v>0</v>
      </c>
      <c r="G13" s="2">
        <f t="shared" si="1"/>
        <v>0</v>
      </c>
    </row>
    <row r="14" spans="1:7" x14ac:dyDescent="0.25">
      <c r="A14" t="s">
        <v>14</v>
      </c>
      <c r="B14">
        <v>888</v>
      </c>
      <c r="C14" s="1">
        <v>30.86361905</v>
      </c>
      <c r="D14">
        <v>0.19</v>
      </c>
      <c r="E14">
        <v>362</v>
      </c>
      <c r="F14">
        <f t="shared" si="0"/>
        <v>0</v>
      </c>
      <c r="G14" s="2">
        <f t="shared" si="1"/>
        <v>0</v>
      </c>
    </row>
    <row r="15" spans="1:7" x14ac:dyDescent="0.25">
      <c r="A15" t="s">
        <v>15</v>
      </c>
      <c r="B15">
        <v>940</v>
      </c>
      <c r="C15" s="1">
        <v>31.4960381</v>
      </c>
      <c r="D15">
        <v>0</v>
      </c>
      <c r="E15">
        <v>596</v>
      </c>
      <c r="F15">
        <f t="shared" si="0"/>
        <v>0</v>
      </c>
      <c r="G15" s="2">
        <f t="shared" si="1"/>
        <v>0</v>
      </c>
    </row>
    <row r="16" spans="1:7" x14ac:dyDescent="0.25">
      <c r="A16" t="s">
        <v>16</v>
      </c>
      <c r="B16">
        <v>1021</v>
      </c>
      <c r="C16" s="1">
        <v>33.121000000000002</v>
      </c>
      <c r="D16">
        <v>0</v>
      </c>
      <c r="E16">
        <v>386</v>
      </c>
      <c r="F16">
        <f t="shared" si="0"/>
        <v>0</v>
      </c>
      <c r="G16" s="2">
        <f t="shared" si="1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FB49-DF79-4DC2-9E77-571CE55F11CE}">
  <dimension ref="A1:X112"/>
  <sheetViews>
    <sheetView topLeftCell="F1" zoomScaleNormal="100" workbookViewId="0">
      <selection activeCell="N1" sqref="N1"/>
    </sheetView>
  </sheetViews>
  <sheetFormatPr defaultRowHeight="15" x14ac:dyDescent="0.25"/>
  <sheetData>
    <row r="1" spans="1:24" x14ac:dyDescent="0.25">
      <c r="A1" t="s">
        <v>88</v>
      </c>
      <c r="B1" t="s">
        <v>89</v>
      </c>
      <c r="C1" t="s">
        <v>95</v>
      </c>
      <c r="D1" t="s">
        <v>90</v>
      </c>
      <c r="E1" t="s">
        <v>91</v>
      </c>
      <c r="F1" t="s">
        <v>92</v>
      </c>
      <c r="G1" t="s">
        <v>93</v>
      </c>
      <c r="H1" t="s">
        <v>96</v>
      </c>
      <c r="I1" t="s">
        <v>97</v>
      </c>
      <c r="J1" t="s">
        <v>98</v>
      </c>
      <c r="K1" t="s">
        <v>99</v>
      </c>
      <c r="L1" t="s">
        <v>94</v>
      </c>
      <c r="N1" t="s">
        <v>153</v>
      </c>
      <c r="V1" t="s">
        <v>0</v>
      </c>
      <c r="W1" t="s">
        <v>102</v>
      </c>
      <c r="X1" t="s">
        <v>154</v>
      </c>
    </row>
    <row r="2" spans="1:24" x14ac:dyDescent="0.25">
      <c r="A2" s="11">
        <v>0.03</v>
      </c>
      <c r="B2" s="11">
        <v>2.17</v>
      </c>
      <c r="C2" s="11">
        <v>4.8</v>
      </c>
      <c r="D2" s="11">
        <v>7.16</v>
      </c>
      <c r="E2" s="11">
        <v>0.7</v>
      </c>
      <c r="F2" s="11">
        <v>88.64</v>
      </c>
      <c r="G2" s="11">
        <v>17.38</v>
      </c>
      <c r="H2" s="11">
        <v>2.42</v>
      </c>
      <c r="I2" s="11">
        <v>-0.42</v>
      </c>
      <c r="J2" s="11">
        <v>1.63</v>
      </c>
      <c r="K2" s="11">
        <v>0.65</v>
      </c>
      <c r="L2" s="11">
        <v>43.01</v>
      </c>
      <c r="N2" t="s">
        <v>100</v>
      </c>
      <c r="V2" t="s">
        <v>3</v>
      </c>
      <c r="W2" s="1">
        <v>10.298052630000001</v>
      </c>
      <c r="X2">
        <f>F9+(W2-B9)/(B10-B9)*(F10-F9)</f>
        <v>68.882350518782602</v>
      </c>
    </row>
    <row r="3" spans="1:24" x14ac:dyDescent="0.25">
      <c r="A3" s="11">
        <v>0.08</v>
      </c>
      <c r="B3" s="11">
        <v>3.32</v>
      </c>
      <c r="C3" s="11">
        <v>4.37</v>
      </c>
      <c r="D3" s="11">
        <v>5.97</v>
      </c>
      <c r="E3" s="11">
        <v>0.66</v>
      </c>
      <c r="F3" s="11">
        <v>46.45</v>
      </c>
      <c r="G3" s="11">
        <v>17.38</v>
      </c>
      <c r="H3" s="11">
        <v>3.03</v>
      </c>
      <c r="I3" s="11">
        <v>0.1</v>
      </c>
      <c r="J3" s="11">
        <v>1.84</v>
      </c>
      <c r="K3" s="11">
        <v>0.71</v>
      </c>
      <c r="L3" s="11"/>
      <c r="V3" t="s">
        <v>4</v>
      </c>
      <c r="W3" s="1">
        <v>11.76807767</v>
      </c>
      <c r="X3">
        <f>F10+(W3-B10)/(B11-B10)*(F11-F10)</f>
        <v>87.502025323043455</v>
      </c>
    </row>
    <row r="4" spans="1:24" x14ac:dyDescent="0.25">
      <c r="A4" s="11">
        <v>0.13</v>
      </c>
      <c r="B4" s="11">
        <v>4.47</v>
      </c>
      <c r="C4" s="11"/>
      <c r="D4" s="11"/>
      <c r="E4" s="11"/>
      <c r="F4" s="11"/>
      <c r="G4" s="11"/>
      <c r="H4" s="11"/>
      <c r="I4" s="11"/>
      <c r="J4" s="11">
        <v>1.8</v>
      </c>
      <c r="K4" s="11">
        <v>0.7</v>
      </c>
      <c r="L4" s="11">
        <v>43.93</v>
      </c>
      <c r="V4" t="s">
        <v>5</v>
      </c>
      <c r="W4" s="1">
        <v>12.140504849999999</v>
      </c>
      <c r="X4">
        <f>F10+(W4-B10)/(B10-B11)*(F10-F11)</f>
        <v>71.779121332608725</v>
      </c>
    </row>
    <row r="5" spans="1:24" x14ac:dyDescent="0.25">
      <c r="A5" s="11">
        <v>0.18</v>
      </c>
      <c r="B5" s="11">
        <v>5.62</v>
      </c>
      <c r="C5" s="11">
        <v>5.08</v>
      </c>
      <c r="D5" s="11">
        <v>7.94</v>
      </c>
      <c r="E5" s="11">
        <v>0.72</v>
      </c>
      <c r="F5" s="11">
        <v>33.450000000000003</v>
      </c>
      <c r="G5" s="11">
        <v>17.38</v>
      </c>
      <c r="H5" s="11">
        <v>2.5099999999999998</v>
      </c>
      <c r="I5" s="11">
        <v>0.26</v>
      </c>
      <c r="J5" s="11">
        <v>1.92</v>
      </c>
      <c r="K5" s="11">
        <v>0.72</v>
      </c>
      <c r="L5" s="11"/>
      <c r="V5" t="s">
        <v>6</v>
      </c>
      <c r="W5" s="1">
        <v>12.681927460000001</v>
      </c>
      <c r="X5">
        <f>F11+(W5-B11)/(B12-B11)*(F12-F11)</f>
        <v>67.331972702033966</v>
      </c>
    </row>
    <row r="6" spans="1:24" x14ac:dyDescent="0.25">
      <c r="A6" s="11">
        <v>0.23</v>
      </c>
      <c r="B6" s="11">
        <v>6.77</v>
      </c>
      <c r="C6" s="11">
        <v>4.83</v>
      </c>
      <c r="D6" s="11">
        <v>7.25</v>
      </c>
      <c r="E6" s="11">
        <v>0.7</v>
      </c>
      <c r="F6" s="11">
        <v>40.729999999999997</v>
      </c>
      <c r="G6" s="11">
        <v>17.38</v>
      </c>
      <c r="H6" s="11">
        <v>2.2200000000000002</v>
      </c>
      <c r="I6" s="11">
        <v>0.16</v>
      </c>
      <c r="J6" s="11">
        <v>1.75</v>
      </c>
      <c r="K6" s="11">
        <v>0.71</v>
      </c>
      <c r="L6" s="11">
        <v>44.59</v>
      </c>
      <c r="V6" t="s">
        <v>24</v>
      </c>
      <c r="W6" s="1">
        <v>12.90434014</v>
      </c>
      <c r="X6">
        <f>F11+(W6-B11)/(B12-B11)*(F12-F11)</f>
        <v>81.758639250508523</v>
      </c>
    </row>
    <row r="7" spans="1:24" x14ac:dyDescent="0.25">
      <c r="A7" s="11">
        <v>0.28000000000000003</v>
      </c>
      <c r="B7" s="11">
        <v>7.91</v>
      </c>
      <c r="C7" s="11">
        <v>5.17</v>
      </c>
      <c r="D7" s="11">
        <v>8.19</v>
      </c>
      <c r="E7" s="11">
        <v>0.73</v>
      </c>
      <c r="F7" s="11">
        <v>24.18</v>
      </c>
      <c r="G7" s="11">
        <v>17.38</v>
      </c>
      <c r="H7" s="11">
        <v>3.6</v>
      </c>
      <c r="I7" s="11">
        <v>0.03</v>
      </c>
      <c r="J7" s="11">
        <v>2.2799999999999998</v>
      </c>
      <c r="K7" s="11">
        <v>0.39</v>
      </c>
      <c r="L7" s="11"/>
      <c r="V7" t="s">
        <v>7</v>
      </c>
      <c r="W7" s="1">
        <v>13.4115</v>
      </c>
      <c r="X7">
        <f>F12+(W7-B12)/(B13-B12)*(F13-F12)</f>
        <v>78.611016949152514</v>
      </c>
    </row>
    <row r="8" spans="1:24" x14ac:dyDescent="0.25">
      <c r="A8" s="11">
        <v>0.33</v>
      </c>
      <c r="B8" s="11">
        <v>9.06</v>
      </c>
      <c r="C8" s="11">
        <v>5.64</v>
      </c>
      <c r="D8" s="11">
        <v>9.49</v>
      </c>
      <c r="E8" s="11">
        <v>0.78</v>
      </c>
      <c r="F8" s="11">
        <v>60.45</v>
      </c>
      <c r="G8" s="11">
        <v>17.38</v>
      </c>
      <c r="H8" s="11">
        <v>2.54</v>
      </c>
      <c r="I8" s="11">
        <v>-0.14000000000000001</v>
      </c>
      <c r="J8" s="11">
        <v>1.89</v>
      </c>
      <c r="K8" s="11">
        <v>0.62</v>
      </c>
      <c r="L8" s="11">
        <v>50</v>
      </c>
      <c r="V8" t="s">
        <v>8</v>
      </c>
      <c r="W8" s="1">
        <v>15.297745450000001</v>
      </c>
      <c r="X8">
        <f>F15+(W8-B15)/(B16-B15)*(F16-F15)</f>
        <v>102.90054370847457</v>
      </c>
    </row>
    <row r="9" spans="1:24" x14ac:dyDescent="0.25">
      <c r="A9" s="11">
        <v>0.38</v>
      </c>
      <c r="B9" s="11">
        <v>10.210000000000001</v>
      </c>
      <c r="C9" s="11">
        <v>5.67</v>
      </c>
      <c r="D9" s="11">
        <v>9.58</v>
      </c>
      <c r="E9" s="11">
        <v>0.78</v>
      </c>
      <c r="F9" s="11">
        <v>65.91</v>
      </c>
      <c r="G9" s="11">
        <v>17.38</v>
      </c>
      <c r="H9" s="11">
        <v>2.75</v>
      </c>
      <c r="I9" s="11">
        <v>-0.35</v>
      </c>
      <c r="J9" s="11">
        <v>1.73</v>
      </c>
      <c r="K9" s="11">
        <v>0.47</v>
      </c>
      <c r="L9" s="11">
        <v>55.89</v>
      </c>
      <c r="V9" t="s">
        <v>9</v>
      </c>
      <c r="W9" s="1">
        <v>17.630333329999999</v>
      </c>
      <c r="X9">
        <f>F18+(W9-B18)/(B19-B18)*(F19-F18)</f>
        <v>83.836861142499998</v>
      </c>
    </row>
    <row r="10" spans="1:24" x14ac:dyDescent="0.25">
      <c r="A10" s="11">
        <v>0.43</v>
      </c>
      <c r="B10" s="11">
        <v>11.36</v>
      </c>
      <c r="C10" s="11">
        <v>4.45</v>
      </c>
      <c r="D10" s="11">
        <v>6.19</v>
      </c>
      <c r="E10" s="11">
        <v>0.67</v>
      </c>
      <c r="F10" s="11">
        <v>104.73</v>
      </c>
      <c r="G10" s="11">
        <v>17.38</v>
      </c>
      <c r="H10" s="11">
        <v>3.04</v>
      </c>
      <c r="I10" s="11">
        <v>-0.67</v>
      </c>
      <c r="J10" s="11">
        <v>2.0699999999999998</v>
      </c>
      <c r="K10" s="11">
        <v>0.57999999999999996</v>
      </c>
      <c r="L10" s="11">
        <v>56.82</v>
      </c>
      <c r="V10" t="s">
        <v>10</v>
      </c>
      <c r="W10" s="1">
        <v>19.789979379999998</v>
      </c>
      <c r="X10">
        <f>F21+(W10-B21)/(B22-B21)*(F22-F21)</f>
        <v>45.103278313333298</v>
      </c>
    </row>
    <row r="11" spans="1:24" x14ac:dyDescent="0.25">
      <c r="A11" s="11">
        <v>0.48</v>
      </c>
      <c r="B11" s="11">
        <v>12.51</v>
      </c>
      <c r="C11" s="11">
        <v>5.62</v>
      </c>
      <c r="D11" s="11">
        <v>9.44</v>
      </c>
      <c r="E11" s="11">
        <v>0.78</v>
      </c>
      <c r="F11" s="11">
        <v>56.18</v>
      </c>
      <c r="G11" s="11">
        <v>17.38</v>
      </c>
      <c r="H11" s="11">
        <v>2.61</v>
      </c>
      <c r="I11" s="11">
        <v>-7.0000000000000007E-2</v>
      </c>
      <c r="J11" s="11">
        <v>1.73</v>
      </c>
      <c r="K11" s="11">
        <v>0.64</v>
      </c>
      <c r="L11" s="11">
        <v>57.39</v>
      </c>
      <c r="V11" t="s">
        <v>11</v>
      </c>
      <c r="W11" s="1">
        <v>22.102144330000002</v>
      </c>
      <c r="X11">
        <f>F22+(W11-B22)/(B24-B22)*(F24-F22)</f>
        <v>93.437119626153859</v>
      </c>
    </row>
    <row r="12" spans="1:24" x14ac:dyDescent="0.25">
      <c r="A12" s="11">
        <v>0.53</v>
      </c>
      <c r="B12" s="11">
        <v>13.1</v>
      </c>
      <c r="C12" s="11"/>
      <c r="D12" s="11"/>
      <c r="E12" s="11"/>
      <c r="F12" s="11">
        <v>94.45</v>
      </c>
      <c r="G12" s="11">
        <v>17.38</v>
      </c>
      <c r="H12" s="11">
        <v>3.65</v>
      </c>
      <c r="I12" s="11">
        <v>-0.36</v>
      </c>
      <c r="J12" s="11">
        <v>2.6</v>
      </c>
      <c r="K12" s="11">
        <v>0.77</v>
      </c>
      <c r="L12" s="11">
        <v>44.83</v>
      </c>
      <c r="V12" t="s">
        <v>12</v>
      </c>
      <c r="W12" s="1">
        <v>26.142461539999999</v>
      </c>
      <c r="X12">
        <f>F26+(W12-B26)/(B29-B26)*(F29-F26)</f>
        <v>145.87368566577069</v>
      </c>
    </row>
    <row r="13" spans="1:24" x14ac:dyDescent="0.25">
      <c r="A13" s="11">
        <v>0.57999999999999996</v>
      </c>
      <c r="B13" s="11">
        <v>13.69</v>
      </c>
      <c r="C13" s="11">
        <v>5.37</v>
      </c>
      <c r="D13" s="11">
        <v>8.75</v>
      </c>
      <c r="E13" s="11">
        <v>0.75</v>
      </c>
      <c r="F13" s="11">
        <v>64.45</v>
      </c>
      <c r="G13" s="11">
        <v>17.38</v>
      </c>
      <c r="H13" s="11">
        <v>3.66</v>
      </c>
      <c r="I13" s="11">
        <v>0.04</v>
      </c>
      <c r="J13" s="11">
        <v>2.42</v>
      </c>
      <c r="K13" s="11">
        <v>0.84</v>
      </c>
      <c r="L13" s="11"/>
      <c r="V13" t="s">
        <v>13</v>
      </c>
      <c r="W13" s="1">
        <v>29.47625532</v>
      </c>
      <c r="X13">
        <f>F32+(W13-B32)/(B33-B32)*(F33-F32)</f>
        <v>105.29446563571436</v>
      </c>
    </row>
    <row r="14" spans="1:24" x14ac:dyDescent="0.25">
      <c r="A14" s="11">
        <v>0.63</v>
      </c>
      <c r="B14" s="11">
        <v>14.28</v>
      </c>
      <c r="C14" s="11">
        <v>5.98</v>
      </c>
      <c r="D14" s="11">
        <v>10.45</v>
      </c>
      <c r="E14" s="11">
        <v>0.82</v>
      </c>
      <c r="F14" s="11">
        <v>110.27</v>
      </c>
      <c r="G14" s="11">
        <v>17.38</v>
      </c>
      <c r="H14" s="11">
        <v>3.33</v>
      </c>
      <c r="I14" s="11">
        <v>-0.64</v>
      </c>
      <c r="J14" s="11">
        <v>1.93</v>
      </c>
      <c r="K14" s="11">
        <v>0.67</v>
      </c>
      <c r="L14" s="11">
        <v>55.41</v>
      </c>
      <c r="V14" t="s">
        <v>14</v>
      </c>
      <c r="W14" s="1">
        <v>30.86361905</v>
      </c>
      <c r="X14">
        <f>F33+(W14-B33)/(B35-B33)*(F35-F33)</f>
        <v>141.08744105416667</v>
      </c>
    </row>
    <row r="15" spans="1:24" x14ac:dyDescent="0.25">
      <c r="A15" s="11">
        <v>0.68</v>
      </c>
      <c r="B15" s="11">
        <v>14.88</v>
      </c>
      <c r="C15" s="11">
        <v>5.59</v>
      </c>
      <c r="D15" s="11">
        <v>9.3699999999999992</v>
      </c>
      <c r="E15" s="11">
        <v>0.77</v>
      </c>
      <c r="F15" s="11">
        <v>112.36</v>
      </c>
      <c r="G15" s="11">
        <v>17.38</v>
      </c>
      <c r="H15" s="11">
        <v>3.33</v>
      </c>
      <c r="I15" s="11">
        <v>-0.71</v>
      </c>
      <c r="J15" s="11">
        <v>2.2400000000000002</v>
      </c>
      <c r="K15" s="11">
        <v>0.62</v>
      </c>
      <c r="L15" s="11"/>
      <c r="V15" t="s">
        <v>15</v>
      </c>
      <c r="W15" s="1">
        <v>31.4960381</v>
      </c>
      <c r="X15">
        <f>F35+(W15-B35)/(B36-B35)*(F36-F35)</f>
        <v>142.5425402541176</v>
      </c>
    </row>
    <row r="16" spans="1:24" x14ac:dyDescent="0.25">
      <c r="A16" s="11">
        <v>0.73</v>
      </c>
      <c r="B16" s="11">
        <v>15.47</v>
      </c>
      <c r="C16" s="11">
        <v>5.76</v>
      </c>
      <c r="D16" s="11">
        <v>9.84</v>
      </c>
      <c r="E16" s="11">
        <v>0.79</v>
      </c>
      <c r="F16" s="11">
        <v>99</v>
      </c>
      <c r="G16" s="11">
        <v>17.38</v>
      </c>
      <c r="H16" s="11">
        <v>3.72</v>
      </c>
      <c r="I16" s="11">
        <v>-0.71</v>
      </c>
      <c r="J16" s="11">
        <v>2.1</v>
      </c>
      <c r="K16" s="11">
        <v>0.48</v>
      </c>
      <c r="L16" s="11">
        <v>49.2</v>
      </c>
      <c r="V16" t="s">
        <v>16</v>
      </c>
      <c r="W16" s="1">
        <v>33.121000000000002</v>
      </c>
      <c r="X16">
        <f>F36+(W16-B36)/(B37-B36)*(F37-F36)</f>
        <v>172.9620000000005</v>
      </c>
    </row>
    <row r="17" spans="1:12" x14ac:dyDescent="0.25">
      <c r="A17" s="11">
        <v>0.78</v>
      </c>
      <c r="B17" s="11">
        <v>16.309999999999999</v>
      </c>
      <c r="C17" s="11">
        <v>5.14</v>
      </c>
      <c r="D17" s="11">
        <v>8.1</v>
      </c>
      <c r="E17" s="11">
        <v>0.73</v>
      </c>
      <c r="F17" s="11">
        <v>31.27</v>
      </c>
      <c r="G17" s="11">
        <v>17.38</v>
      </c>
      <c r="H17" s="11">
        <v>2.56</v>
      </c>
      <c r="I17" s="11">
        <v>0.34</v>
      </c>
      <c r="J17" s="11">
        <v>2.36</v>
      </c>
      <c r="K17" s="11">
        <v>0.78</v>
      </c>
      <c r="L17" s="11"/>
    </row>
    <row r="18" spans="1:12" x14ac:dyDescent="0.25">
      <c r="A18" s="11">
        <v>0.83</v>
      </c>
      <c r="B18" s="11">
        <v>17.149999999999999</v>
      </c>
      <c r="C18" s="11">
        <v>4.74</v>
      </c>
      <c r="D18" s="11">
        <v>6.99</v>
      </c>
      <c r="E18" s="11">
        <v>0.69</v>
      </c>
      <c r="F18" s="11">
        <v>88.36</v>
      </c>
      <c r="G18" s="11">
        <v>17.38</v>
      </c>
      <c r="H18" s="11">
        <v>3.65</v>
      </c>
      <c r="I18" s="11">
        <v>-0.48</v>
      </c>
      <c r="J18" s="11">
        <v>1.7</v>
      </c>
      <c r="K18" s="11">
        <v>0.57999999999999996</v>
      </c>
      <c r="L18" s="11">
        <v>54.84</v>
      </c>
    </row>
    <row r="19" spans="1:12" x14ac:dyDescent="0.25">
      <c r="A19" s="11">
        <v>0.88</v>
      </c>
      <c r="B19" s="11">
        <v>17.989999999999998</v>
      </c>
      <c r="C19" s="11">
        <v>4.8899999999999997</v>
      </c>
      <c r="D19" s="11">
        <v>7.43</v>
      </c>
      <c r="E19" s="11">
        <v>0.71</v>
      </c>
      <c r="F19" s="11">
        <v>80.45</v>
      </c>
      <c r="G19" s="11">
        <v>17.38</v>
      </c>
      <c r="H19" s="11">
        <v>3.13</v>
      </c>
      <c r="I19" s="11">
        <v>-0.25</v>
      </c>
      <c r="J19" s="11">
        <v>2.16</v>
      </c>
      <c r="K19" s="11">
        <v>0.73</v>
      </c>
      <c r="L19" s="11"/>
    </row>
    <row r="20" spans="1:12" x14ac:dyDescent="0.25">
      <c r="A20" s="11">
        <v>0.93</v>
      </c>
      <c r="B20" s="11">
        <v>18.84</v>
      </c>
      <c r="C20" s="11">
        <v>5.31</v>
      </c>
      <c r="D20" s="11">
        <v>8.58</v>
      </c>
      <c r="E20" s="11">
        <v>0.75</v>
      </c>
      <c r="F20" s="11">
        <v>32</v>
      </c>
      <c r="G20" s="11">
        <v>17.38</v>
      </c>
      <c r="H20" s="11">
        <v>3.73</v>
      </c>
      <c r="I20" s="11">
        <v>-0.05</v>
      </c>
      <c r="J20" s="11">
        <v>2.02</v>
      </c>
      <c r="K20" s="11">
        <v>0.4</v>
      </c>
      <c r="L20" s="11">
        <v>44.44</v>
      </c>
    </row>
    <row r="21" spans="1:12" x14ac:dyDescent="0.25">
      <c r="A21" s="11">
        <v>0.98</v>
      </c>
      <c r="B21" s="11">
        <v>19.68</v>
      </c>
      <c r="C21" s="11">
        <v>4.7</v>
      </c>
      <c r="D21" s="11">
        <v>6.88</v>
      </c>
      <c r="E21" s="11">
        <v>0.69</v>
      </c>
      <c r="F21" s="11">
        <v>42.27</v>
      </c>
      <c r="G21" s="11">
        <v>17.38</v>
      </c>
      <c r="H21" s="11">
        <v>3.63</v>
      </c>
      <c r="I21" s="11">
        <v>0.11</v>
      </c>
      <c r="J21" s="11">
        <v>2.04</v>
      </c>
      <c r="K21" s="11">
        <v>0.67</v>
      </c>
      <c r="L21" s="11"/>
    </row>
    <row r="22" spans="1:12" x14ac:dyDescent="0.25">
      <c r="A22" s="11">
        <v>1.03</v>
      </c>
      <c r="B22" s="11">
        <v>20.52</v>
      </c>
      <c r="C22" s="11">
        <v>5.09</v>
      </c>
      <c r="D22" s="11">
        <v>7.97</v>
      </c>
      <c r="E22" s="11">
        <v>0.72</v>
      </c>
      <c r="F22" s="11">
        <v>63.91</v>
      </c>
      <c r="G22" s="11">
        <v>17.38</v>
      </c>
      <c r="H22" s="11">
        <v>3.58</v>
      </c>
      <c r="I22" s="11">
        <v>-0.22</v>
      </c>
      <c r="J22" s="11">
        <v>2.04</v>
      </c>
      <c r="K22" s="11">
        <v>0.56999999999999995</v>
      </c>
      <c r="L22" s="11">
        <v>48.85</v>
      </c>
    </row>
    <row r="23" spans="1:12" x14ac:dyDescent="0.25">
      <c r="A23" s="11">
        <v>1.08</v>
      </c>
      <c r="B23" s="11">
        <v>21.36</v>
      </c>
      <c r="C23" s="11"/>
      <c r="D23" s="11"/>
      <c r="E23" s="11"/>
      <c r="F23" s="11"/>
      <c r="G23" s="11"/>
      <c r="H23" s="11">
        <v>3.72</v>
      </c>
      <c r="I23" s="11">
        <v>-0.39</v>
      </c>
      <c r="J23" s="11"/>
      <c r="K23" s="11"/>
      <c r="L23" s="11"/>
    </row>
    <row r="24" spans="1:12" x14ac:dyDescent="0.25">
      <c r="A24" s="11">
        <v>1.1299999999999999</v>
      </c>
      <c r="B24" s="11">
        <v>22.21</v>
      </c>
      <c r="C24" s="11">
        <v>5.31</v>
      </c>
      <c r="D24" s="11">
        <v>8.58</v>
      </c>
      <c r="E24" s="11">
        <v>0.75</v>
      </c>
      <c r="F24" s="11">
        <v>95.45</v>
      </c>
      <c r="G24" s="11">
        <v>17.38</v>
      </c>
      <c r="H24" s="11">
        <v>3.66</v>
      </c>
      <c r="I24" s="11">
        <v>-0.64</v>
      </c>
      <c r="J24" s="11">
        <v>1.87</v>
      </c>
      <c r="K24" s="11">
        <v>0.5</v>
      </c>
      <c r="L24" s="11">
        <v>61.51</v>
      </c>
    </row>
    <row r="25" spans="1:12" x14ac:dyDescent="0.25">
      <c r="A25" s="11">
        <v>1.18</v>
      </c>
      <c r="B25" s="11">
        <v>23.05</v>
      </c>
      <c r="C25" s="11">
        <v>5.07</v>
      </c>
      <c r="D25" s="11">
        <v>7.93</v>
      </c>
      <c r="E25" s="11">
        <v>0.72</v>
      </c>
      <c r="F25" s="11"/>
      <c r="G25" s="11"/>
      <c r="H25" s="11">
        <v>3.77</v>
      </c>
      <c r="I25" s="11">
        <v>-1.02</v>
      </c>
      <c r="J25" s="11"/>
      <c r="K25" s="11"/>
      <c r="L25" s="11"/>
    </row>
    <row r="26" spans="1:12" x14ac:dyDescent="0.25">
      <c r="A26" s="11">
        <v>1.23</v>
      </c>
      <c r="B26" s="11">
        <v>23.89</v>
      </c>
      <c r="C26" s="11">
        <v>5.25</v>
      </c>
      <c r="D26" s="11">
        <v>8.41</v>
      </c>
      <c r="E26" s="11">
        <v>0.74</v>
      </c>
      <c r="F26" s="11">
        <v>77</v>
      </c>
      <c r="G26" s="11">
        <v>17.38</v>
      </c>
      <c r="H26" s="11">
        <v>3.43</v>
      </c>
      <c r="I26" s="11">
        <v>-0.5</v>
      </c>
      <c r="J26" s="11">
        <v>1.8</v>
      </c>
      <c r="K26" s="11">
        <v>0.44</v>
      </c>
      <c r="L26" s="11">
        <v>57.14</v>
      </c>
    </row>
    <row r="27" spans="1:12" x14ac:dyDescent="0.25">
      <c r="A27" s="11">
        <v>1.28</v>
      </c>
      <c r="B27" s="11">
        <v>24.73</v>
      </c>
      <c r="C27" s="11"/>
      <c r="D27" s="11"/>
      <c r="E27" s="11"/>
      <c r="F27" s="11"/>
      <c r="G27" s="11"/>
      <c r="H27" s="11">
        <v>3.18</v>
      </c>
      <c r="I27" s="11">
        <v>-1.41</v>
      </c>
      <c r="J27" s="11"/>
      <c r="K27" s="11"/>
      <c r="L27" s="11"/>
    </row>
    <row r="28" spans="1:12" x14ac:dyDescent="0.25">
      <c r="A28" s="11">
        <v>1.33</v>
      </c>
      <c r="B28" s="11">
        <v>25.58</v>
      </c>
      <c r="C28" s="11">
        <v>5.49</v>
      </c>
      <c r="D28" s="11">
        <v>9.08</v>
      </c>
      <c r="E28" s="11">
        <v>0.76</v>
      </c>
      <c r="F28" s="11"/>
      <c r="G28" s="11"/>
      <c r="H28" s="11">
        <v>3.56</v>
      </c>
      <c r="I28" s="11">
        <v>-1.95</v>
      </c>
      <c r="J28" s="11"/>
      <c r="K28" s="11"/>
      <c r="L28" s="11">
        <v>53.56</v>
      </c>
    </row>
    <row r="29" spans="1:12" x14ac:dyDescent="0.25">
      <c r="A29" s="11">
        <v>1.38</v>
      </c>
      <c r="B29" s="11">
        <v>26.42</v>
      </c>
      <c r="C29" s="11">
        <v>5.58</v>
      </c>
      <c r="D29" s="11">
        <v>9.33</v>
      </c>
      <c r="E29" s="11">
        <v>0.77</v>
      </c>
      <c r="F29" s="11">
        <v>154.36000000000001</v>
      </c>
      <c r="G29" s="11">
        <v>17.38</v>
      </c>
      <c r="H29" s="11">
        <v>3.58</v>
      </c>
      <c r="I29" s="11">
        <v>-0.92</v>
      </c>
      <c r="J29" s="11">
        <v>2.48</v>
      </c>
      <c r="K29" s="11">
        <v>0.88</v>
      </c>
      <c r="L29" s="11"/>
    </row>
    <row r="30" spans="1:12" x14ac:dyDescent="0.25">
      <c r="A30" s="11">
        <v>1.43</v>
      </c>
      <c r="B30" s="11">
        <v>27.26</v>
      </c>
      <c r="C30" s="11">
        <v>6.23</v>
      </c>
      <c r="D30" s="11">
        <v>11.15</v>
      </c>
      <c r="E30" s="11">
        <v>0.84</v>
      </c>
      <c r="F30" s="11"/>
      <c r="G30" s="11"/>
      <c r="H30" s="11">
        <v>3.42</v>
      </c>
      <c r="I30" s="11">
        <v>-0.02</v>
      </c>
      <c r="J30" s="11"/>
      <c r="K30" s="11"/>
      <c r="L30" s="11">
        <v>65.790000000000006</v>
      </c>
    </row>
    <row r="31" spans="1:12" x14ac:dyDescent="0.25">
      <c r="A31" s="11">
        <v>1.48</v>
      </c>
      <c r="B31" s="11">
        <v>28.1</v>
      </c>
      <c r="C31" s="11">
        <v>5.2</v>
      </c>
      <c r="D31" s="11">
        <v>8.27</v>
      </c>
      <c r="E31" s="11">
        <v>0.73</v>
      </c>
      <c r="F31" s="11">
        <v>163.36000000000001</v>
      </c>
      <c r="G31" s="11">
        <v>17.38</v>
      </c>
      <c r="H31" s="11">
        <v>3.14</v>
      </c>
      <c r="I31" s="11">
        <v>-1.31</v>
      </c>
      <c r="J31" s="11">
        <v>2.08</v>
      </c>
      <c r="K31" s="11">
        <v>0.57999999999999996</v>
      </c>
      <c r="L31" s="11"/>
    </row>
    <row r="32" spans="1:12" x14ac:dyDescent="0.25">
      <c r="A32" s="11">
        <v>1.53</v>
      </c>
      <c r="B32" s="11">
        <v>28.95</v>
      </c>
      <c r="C32" s="11">
        <v>5.89</v>
      </c>
      <c r="D32" s="11">
        <v>10.210000000000001</v>
      </c>
      <c r="E32" s="11">
        <v>0.81</v>
      </c>
      <c r="F32" s="11">
        <v>53.64</v>
      </c>
      <c r="G32" s="11">
        <v>17.38</v>
      </c>
      <c r="H32" s="11">
        <v>3.54</v>
      </c>
      <c r="I32" s="11">
        <v>0.1</v>
      </c>
      <c r="J32" s="11">
        <v>2.8</v>
      </c>
      <c r="K32" s="11">
        <v>0.78</v>
      </c>
      <c r="L32" s="11">
        <v>54.52</v>
      </c>
    </row>
    <row r="33" spans="1:12" x14ac:dyDescent="0.25">
      <c r="A33" s="11">
        <v>1.58</v>
      </c>
      <c r="B33" s="11">
        <v>29.79</v>
      </c>
      <c r="C33" s="11">
        <v>5.55</v>
      </c>
      <c r="D33" s="11">
        <v>9.25</v>
      </c>
      <c r="E33" s="11">
        <v>0.77</v>
      </c>
      <c r="F33" s="11">
        <v>136.09</v>
      </c>
      <c r="G33" s="11">
        <v>17.38</v>
      </c>
      <c r="H33" s="11">
        <v>3.65</v>
      </c>
      <c r="I33" s="11">
        <v>-0.88</v>
      </c>
      <c r="J33" s="11">
        <v>2.4700000000000002</v>
      </c>
      <c r="K33" s="11">
        <v>0.72</v>
      </c>
      <c r="L33" s="11"/>
    </row>
    <row r="34" spans="1:12" x14ac:dyDescent="0.25">
      <c r="A34" s="11">
        <v>1.63</v>
      </c>
      <c r="B34" s="11">
        <v>30.63</v>
      </c>
      <c r="C34" s="11">
        <v>5.08</v>
      </c>
      <c r="D34" s="11">
        <v>7.94</v>
      </c>
      <c r="E34" s="11">
        <v>0.72</v>
      </c>
      <c r="F34" s="11"/>
      <c r="G34" s="11"/>
      <c r="H34" s="11">
        <v>3.45</v>
      </c>
      <c r="I34" s="11">
        <v>-0.76</v>
      </c>
      <c r="J34" s="11"/>
      <c r="K34" s="11"/>
      <c r="L34" s="11">
        <v>57.14</v>
      </c>
    </row>
    <row r="35" spans="1:12" x14ac:dyDescent="0.25">
      <c r="A35" s="11">
        <v>1.68</v>
      </c>
      <c r="B35" s="11">
        <v>31.47</v>
      </c>
      <c r="C35" s="11">
        <v>4.97</v>
      </c>
      <c r="D35" s="11">
        <v>7.65</v>
      </c>
      <c r="E35" s="11">
        <v>0.71</v>
      </c>
      <c r="F35" s="11">
        <v>143.91</v>
      </c>
      <c r="G35" s="11">
        <v>17.38</v>
      </c>
      <c r="H35" s="11">
        <v>3.44</v>
      </c>
      <c r="I35" s="11">
        <v>-1.27</v>
      </c>
      <c r="J35" s="11">
        <v>2.0699999999999998</v>
      </c>
      <c r="K35" s="11">
        <v>0.41</v>
      </c>
      <c r="L35" s="11"/>
    </row>
    <row r="36" spans="1:12" x14ac:dyDescent="0.25">
      <c r="A36" s="11">
        <v>1.73</v>
      </c>
      <c r="B36" s="11">
        <v>32.32</v>
      </c>
      <c r="C36" s="11">
        <v>5.09</v>
      </c>
      <c r="D36" s="11">
        <v>7.96</v>
      </c>
      <c r="E36" s="11">
        <v>0.72</v>
      </c>
      <c r="F36" s="11">
        <v>99.27</v>
      </c>
      <c r="G36" s="11">
        <v>17.38</v>
      </c>
      <c r="H36" s="11">
        <v>3.54</v>
      </c>
      <c r="I36" s="11">
        <v>-0.67</v>
      </c>
      <c r="J36" s="11">
        <v>1.91</v>
      </c>
      <c r="K36" s="11">
        <v>0.52</v>
      </c>
      <c r="L36" s="11">
        <v>63.11</v>
      </c>
    </row>
    <row r="37" spans="1:12" x14ac:dyDescent="0.25">
      <c r="A37" s="11">
        <v>1.78</v>
      </c>
      <c r="B37" s="11">
        <v>33.159999999999997</v>
      </c>
      <c r="C37" s="11">
        <v>5.32</v>
      </c>
      <c r="D37" s="11">
        <v>8.6199999999999992</v>
      </c>
      <c r="E37" s="11">
        <v>0.75</v>
      </c>
      <c r="F37" s="11">
        <v>176.55</v>
      </c>
      <c r="G37" s="11">
        <v>17.38</v>
      </c>
      <c r="H37" s="11">
        <v>3.67</v>
      </c>
      <c r="I37" s="11">
        <v>-1.66</v>
      </c>
      <c r="J37" s="11">
        <v>2.2599999999999998</v>
      </c>
      <c r="K37" s="11">
        <v>0.38</v>
      </c>
      <c r="L37" s="11"/>
    </row>
    <row r="38" spans="1:12" x14ac:dyDescent="0.25">
      <c r="A38" s="11">
        <v>1.83</v>
      </c>
      <c r="B38" s="11">
        <v>34</v>
      </c>
      <c r="C38" s="11">
        <v>5.34</v>
      </c>
      <c r="D38" s="11">
        <v>8.67</v>
      </c>
      <c r="E38" s="11">
        <v>0.75</v>
      </c>
      <c r="F38" s="11">
        <v>124.18</v>
      </c>
      <c r="G38" s="11">
        <v>17.38</v>
      </c>
      <c r="H38" s="11">
        <v>3.58</v>
      </c>
      <c r="I38" s="11">
        <v>-0.94</v>
      </c>
      <c r="J38" s="11">
        <v>2.48</v>
      </c>
      <c r="K38" s="11">
        <v>0.52</v>
      </c>
      <c r="L38" s="11">
        <v>54.57</v>
      </c>
    </row>
    <row r="39" spans="1:12" x14ac:dyDescent="0.25">
      <c r="A39" s="11">
        <v>1.88</v>
      </c>
      <c r="B39" s="11">
        <v>34.840000000000003</v>
      </c>
      <c r="C39" s="11">
        <v>4.8600000000000003</v>
      </c>
      <c r="D39" s="11">
        <v>7.33</v>
      </c>
      <c r="E39" s="11">
        <v>0.7</v>
      </c>
      <c r="F39" s="11">
        <v>55.18</v>
      </c>
      <c r="G39" s="11">
        <v>17.38</v>
      </c>
      <c r="H39" s="11">
        <v>3.14</v>
      </c>
      <c r="I39" s="11">
        <v>0.01</v>
      </c>
      <c r="J39" s="11">
        <v>1.98</v>
      </c>
      <c r="K39" s="11">
        <v>0.71</v>
      </c>
      <c r="L39" s="11"/>
    </row>
    <row r="40" spans="1:12" x14ac:dyDescent="0.25">
      <c r="A40" s="11">
        <v>1.93</v>
      </c>
      <c r="B40" s="11">
        <v>35.69</v>
      </c>
      <c r="C40" s="11">
        <v>5.64</v>
      </c>
      <c r="D40" s="11">
        <v>9.5</v>
      </c>
      <c r="E40" s="11">
        <v>0.78</v>
      </c>
      <c r="F40" s="11">
        <v>122.09</v>
      </c>
      <c r="G40" s="11">
        <v>17.38</v>
      </c>
      <c r="H40" s="11">
        <v>3.35</v>
      </c>
      <c r="I40" s="11">
        <v>-0.88</v>
      </c>
      <c r="J40" s="11">
        <v>2.58</v>
      </c>
      <c r="K40" s="11">
        <v>0.55000000000000004</v>
      </c>
      <c r="L40" s="11">
        <v>64.52</v>
      </c>
    </row>
    <row r="41" spans="1:12" x14ac:dyDescent="0.25">
      <c r="A41" s="11">
        <v>1.98</v>
      </c>
      <c r="B41" s="11">
        <v>36.53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5">
      <c r="A42" s="11">
        <v>2.0299999999999998</v>
      </c>
      <c r="B42" s="11">
        <v>37.369999999999997</v>
      </c>
      <c r="C42" s="11">
        <v>5.39</v>
      </c>
      <c r="D42" s="11">
        <v>8.82</v>
      </c>
      <c r="E42" s="11">
        <v>0.75</v>
      </c>
      <c r="F42" s="11">
        <v>64.91</v>
      </c>
      <c r="G42" s="11">
        <v>17.38</v>
      </c>
      <c r="H42" s="11">
        <v>3.16</v>
      </c>
      <c r="I42" s="11">
        <v>-0.18</v>
      </c>
      <c r="J42" s="11">
        <v>2.41</v>
      </c>
      <c r="K42" s="11">
        <v>0.63</v>
      </c>
      <c r="L42" s="11">
        <v>57.31</v>
      </c>
    </row>
    <row r="43" spans="1:12" x14ac:dyDescent="0.25">
      <c r="A43" s="11">
        <v>2.08</v>
      </c>
      <c r="B43" s="11">
        <v>38.21</v>
      </c>
      <c r="C43" s="11">
        <v>4.87</v>
      </c>
      <c r="D43" s="11">
        <v>7.36</v>
      </c>
      <c r="E43" s="11">
        <v>0.7</v>
      </c>
      <c r="F43" s="11">
        <v>215.45</v>
      </c>
      <c r="G43" s="11">
        <v>17.38</v>
      </c>
      <c r="H43" s="11">
        <v>3.06</v>
      </c>
      <c r="I43" s="11">
        <v>-1.87</v>
      </c>
      <c r="J43" s="11">
        <v>2.36</v>
      </c>
      <c r="K43" s="11">
        <v>0.59</v>
      </c>
      <c r="L43" s="11"/>
    </row>
    <row r="44" spans="1:12" x14ac:dyDescent="0.25">
      <c r="A44" s="11">
        <v>2.13</v>
      </c>
      <c r="B44" s="11">
        <v>39.06</v>
      </c>
      <c r="C44" s="11">
        <v>4.97</v>
      </c>
      <c r="D44" s="11">
        <v>7.63</v>
      </c>
      <c r="E44" s="11">
        <v>0.71</v>
      </c>
      <c r="F44" s="11">
        <v>181.18</v>
      </c>
      <c r="G44" s="11">
        <v>17.38</v>
      </c>
      <c r="H44" s="11">
        <v>3.4</v>
      </c>
      <c r="I44" s="11">
        <v>-1.27</v>
      </c>
      <c r="J44" s="11">
        <v>2.72</v>
      </c>
      <c r="K44" s="11">
        <v>0.82</v>
      </c>
      <c r="L44" s="11">
        <v>59.8</v>
      </c>
    </row>
    <row r="45" spans="1:12" x14ac:dyDescent="0.25">
      <c r="A45" s="11">
        <v>2.1800000000000002</v>
      </c>
      <c r="B45" s="11">
        <v>39.770000000000003</v>
      </c>
      <c r="C45" s="11">
        <v>4.6500000000000004</v>
      </c>
      <c r="D45" s="11">
        <v>6.75</v>
      </c>
      <c r="E45" s="11">
        <v>0.68</v>
      </c>
      <c r="F45" s="11">
        <v>233</v>
      </c>
      <c r="G45" s="11">
        <v>17.38</v>
      </c>
      <c r="H45" s="11">
        <v>3.53</v>
      </c>
      <c r="I45" s="11">
        <v>-2.02</v>
      </c>
      <c r="J45" s="11">
        <v>2.17</v>
      </c>
      <c r="K45" s="11">
        <v>0.64</v>
      </c>
      <c r="L45" s="11">
        <v>59.26</v>
      </c>
    </row>
    <row r="46" spans="1:12" x14ac:dyDescent="0.25">
      <c r="A46" s="11">
        <v>2.23</v>
      </c>
      <c r="B46" s="11">
        <v>40.49</v>
      </c>
      <c r="C46" s="11">
        <v>4.41</v>
      </c>
      <c r="D46" s="11">
        <v>6.09</v>
      </c>
      <c r="E46" s="11">
        <v>0.67</v>
      </c>
      <c r="F46" s="11">
        <v>89</v>
      </c>
      <c r="G46" s="11">
        <v>17.38</v>
      </c>
      <c r="H46" s="11">
        <v>3.7</v>
      </c>
      <c r="I46" s="11">
        <v>-0.6</v>
      </c>
      <c r="J46" s="11">
        <v>2.42</v>
      </c>
      <c r="K46" s="11">
        <v>0.47</v>
      </c>
      <c r="L46" s="11">
        <v>61.36</v>
      </c>
    </row>
    <row r="47" spans="1:12" x14ac:dyDescent="0.25">
      <c r="A47" s="11">
        <v>2.2799999999999998</v>
      </c>
      <c r="B47" s="11">
        <v>41.21</v>
      </c>
      <c r="C47" s="11">
        <v>4.63</v>
      </c>
      <c r="D47" s="11">
        <v>6.69</v>
      </c>
      <c r="E47" s="11">
        <v>0.68</v>
      </c>
      <c r="F47" s="11">
        <v>252.18</v>
      </c>
      <c r="G47" s="11">
        <v>17.38</v>
      </c>
      <c r="H47" s="11">
        <v>3.7</v>
      </c>
      <c r="I47" s="11">
        <v>-2.48</v>
      </c>
      <c r="J47" s="11">
        <v>2.58</v>
      </c>
      <c r="K47" s="11">
        <v>0.39</v>
      </c>
      <c r="L47" s="11"/>
    </row>
    <row r="48" spans="1:12" x14ac:dyDescent="0.25">
      <c r="A48" s="11">
        <v>2.33</v>
      </c>
      <c r="B48" s="11">
        <v>41.92</v>
      </c>
      <c r="C48" s="11">
        <v>4.5999999999999996</v>
      </c>
      <c r="D48" s="11">
        <v>6.61</v>
      </c>
      <c r="E48" s="11">
        <v>0.68</v>
      </c>
      <c r="F48" s="11">
        <v>117.27</v>
      </c>
      <c r="G48" s="11">
        <v>17.38</v>
      </c>
      <c r="H48" s="11">
        <v>3.51</v>
      </c>
      <c r="I48" s="11">
        <v>-1.1599999999999999</v>
      </c>
      <c r="J48" s="11">
        <v>2.19</v>
      </c>
      <c r="K48" s="11">
        <v>0.23</v>
      </c>
      <c r="L48" s="11">
        <v>59.8</v>
      </c>
    </row>
    <row r="49" spans="1:12" x14ac:dyDescent="0.25">
      <c r="A49" s="11">
        <v>2.38</v>
      </c>
      <c r="B49" s="11">
        <v>42.64</v>
      </c>
      <c r="C49" s="11">
        <v>4.22</v>
      </c>
      <c r="D49" s="11">
        <v>5.56</v>
      </c>
      <c r="E49" s="11">
        <v>0.65</v>
      </c>
      <c r="F49" s="11">
        <v>255.82</v>
      </c>
      <c r="G49" s="11">
        <v>17.38</v>
      </c>
      <c r="H49" s="11">
        <v>3.63</v>
      </c>
      <c r="I49" s="11">
        <v>-2.39</v>
      </c>
      <c r="J49" s="11">
        <v>2.4</v>
      </c>
      <c r="K49" s="11">
        <v>0.52</v>
      </c>
      <c r="L49" s="11">
        <v>59.36</v>
      </c>
    </row>
    <row r="50" spans="1:12" x14ac:dyDescent="0.25">
      <c r="A50" s="11">
        <v>2.4300000000000002</v>
      </c>
      <c r="B50" s="11">
        <v>43.36</v>
      </c>
      <c r="C50" s="11">
        <v>3.79</v>
      </c>
      <c r="D50" s="11">
        <v>4.3499999999999996</v>
      </c>
      <c r="E50" s="11">
        <v>0.62</v>
      </c>
      <c r="F50" s="11">
        <v>218.55</v>
      </c>
      <c r="G50" s="11">
        <v>17.38</v>
      </c>
      <c r="H50" s="11">
        <v>3.53</v>
      </c>
      <c r="I50" s="11">
        <v>-1.96</v>
      </c>
      <c r="J50" s="11">
        <v>2.52</v>
      </c>
      <c r="K50" s="11">
        <v>0.54</v>
      </c>
      <c r="L50" s="11">
        <v>60.76</v>
      </c>
    </row>
    <row r="51" spans="1:12" x14ac:dyDescent="0.25">
      <c r="A51" s="11">
        <v>2.48</v>
      </c>
      <c r="B51" s="11">
        <v>44.08</v>
      </c>
      <c r="C51" s="11">
        <v>3.93</v>
      </c>
      <c r="D51" s="11">
        <v>4.75</v>
      </c>
      <c r="E51" s="11">
        <v>0.63</v>
      </c>
      <c r="F51" s="11">
        <v>242.36</v>
      </c>
      <c r="G51" s="11">
        <v>17.38</v>
      </c>
      <c r="H51" s="11">
        <v>3.67</v>
      </c>
      <c r="I51" s="11">
        <v>-2.19</v>
      </c>
      <c r="J51" s="11">
        <v>2.21</v>
      </c>
      <c r="K51" s="11">
        <v>0.56999999999999995</v>
      </c>
      <c r="L51" s="11"/>
    </row>
    <row r="52" spans="1:12" x14ac:dyDescent="0.25">
      <c r="A52" s="11">
        <v>2.5299999999999998</v>
      </c>
      <c r="B52" s="11">
        <v>44.79</v>
      </c>
      <c r="C52" s="11">
        <v>4.12</v>
      </c>
      <c r="D52" s="11">
        <v>5.28</v>
      </c>
      <c r="E52" s="11">
        <v>0.64</v>
      </c>
      <c r="F52" s="11">
        <v>280.91000000000003</v>
      </c>
      <c r="G52" s="11">
        <v>17.38</v>
      </c>
      <c r="H52" s="11">
        <v>3.66</v>
      </c>
      <c r="I52" s="11">
        <v>-2.56</v>
      </c>
      <c r="J52" s="11">
        <v>2.95</v>
      </c>
      <c r="K52" s="11">
        <v>0.63</v>
      </c>
      <c r="L52" s="11">
        <v>73.819999999999993</v>
      </c>
    </row>
    <row r="53" spans="1:12" x14ac:dyDescent="0.25">
      <c r="A53" s="11">
        <v>2.58</v>
      </c>
      <c r="B53" s="11">
        <v>45.51</v>
      </c>
      <c r="C53" s="11">
        <v>4.1100000000000003</v>
      </c>
      <c r="D53" s="11">
        <v>5.25</v>
      </c>
      <c r="E53" s="11">
        <v>0.64</v>
      </c>
      <c r="F53" s="11">
        <v>174.91</v>
      </c>
      <c r="G53" s="11">
        <v>17.38</v>
      </c>
      <c r="H53" s="11">
        <v>3.68</v>
      </c>
      <c r="I53" s="11">
        <v>-1.68</v>
      </c>
      <c r="J53" s="11">
        <v>2.19</v>
      </c>
      <c r="K53" s="11">
        <v>0.34</v>
      </c>
      <c r="L53" s="11"/>
    </row>
    <row r="54" spans="1:12" x14ac:dyDescent="0.25">
      <c r="A54" s="11">
        <v>2.63</v>
      </c>
      <c r="B54" s="11">
        <v>46.23</v>
      </c>
      <c r="C54" s="11">
        <v>4.6500000000000004</v>
      </c>
      <c r="D54" s="11">
        <v>6.74</v>
      </c>
      <c r="E54" s="11">
        <v>0.68</v>
      </c>
      <c r="F54" s="11">
        <v>157.91</v>
      </c>
      <c r="G54" s="11">
        <v>17.38</v>
      </c>
      <c r="H54" s="11">
        <v>3.6</v>
      </c>
      <c r="I54" s="11">
        <v>-1.21</v>
      </c>
      <c r="J54" s="11">
        <v>2.48</v>
      </c>
      <c r="K54" s="11">
        <v>0.62</v>
      </c>
      <c r="L54" s="11">
        <v>63.16</v>
      </c>
    </row>
    <row r="55" spans="1:12" x14ac:dyDescent="0.25">
      <c r="A55" s="11">
        <v>2.68</v>
      </c>
      <c r="B55" s="11">
        <v>46.94</v>
      </c>
      <c r="C55" s="11">
        <v>4</v>
      </c>
      <c r="D55" s="11">
        <v>4.95</v>
      </c>
      <c r="E55" s="11">
        <v>0.64</v>
      </c>
      <c r="F55" s="11">
        <v>155.18</v>
      </c>
      <c r="G55" s="11">
        <v>17.38</v>
      </c>
      <c r="H55" s="11">
        <v>3.82</v>
      </c>
      <c r="I55" s="11">
        <v>-1.1100000000000001</v>
      </c>
      <c r="J55" s="11">
        <v>2.5</v>
      </c>
      <c r="K55" s="11">
        <v>0.69</v>
      </c>
      <c r="L55" s="11"/>
    </row>
    <row r="56" spans="1:12" x14ac:dyDescent="0.25">
      <c r="A56" s="11">
        <v>2.73</v>
      </c>
      <c r="B56" s="11">
        <v>47.66</v>
      </c>
      <c r="C56" s="11">
        <v>4.0999999999999996</v>
      </c>
      <c r="D56" s="11">
        <v>5.22</v>
      </c>
      <c r="E56" s="11">
        <v>0.64</v>
      </c>
      <c r="F56" s="11">
        <v>101.45</v>
      </c>
      <c r="G56" s="11">
        <v>17.38</v>
      </c>
      <c r="H56" s="11">
        <v>3.7</v>
      </c>
      <c r="I56" s="11">
        <v>-0.75</v>
      </c>
      <c r="J56" s="11">
        <v>2.0099999999999998</v>
      </c>
      <c r="K56" s="11">
        <v>0.46</v>
      </c>
      <c r="L56" s="11">
        <v>67.91</v>
      </c>
    </row>
    <row r="57" spans="1:12" x14ac:dyDescent="0.25">
      <c r="A57" s="11">
        <v>2.78</v>
      </c>
      <c r="B57" s="11">
        <v>48.38</v>
      </c>
      <c r="C57" s="11">
        <v>4.24</v>
      </c>
      <c r="D57" s="11">
        <v>5.61</v>
      </c>
      <c r="E57" s="11">
        <v>0.65</v>
      </c>
      <c r="F57" s="11">
        <v>246.55</v>
      </c>
      <c r="G57" s="11">
        <v>17.38</v>
      </c>
      <c r="H57" s="11">
        <v>3.55</v>
      </c>
      <c r="I57" s="11">
        <v>-2.3199999999999998</v>
      </c>
      <c r="J57" s="11">
        <v>2.16</v>
      </c>
      <c r="K57" s="11">
        <v>0.49</v>
      </c>
      <c r="L57" s="11"/>
    </row>
    <row r="58" spans="1:12" x14ac:dyDescent="0.25">
      <c r="A58" s="11">
        <v>2.83</v>
      </c>
      <c r="B58" s="11">
        <v>49.09</v>
      </c>
      <c r="C58" s="11">
        <v>4.16</v>
      </c>
      <c r="D58" s="11">
        <v>5.4</v>
      </c>
      <c r="E58" s="11">
        <v>0.65</v>
      </c>
      <c r="F58" s="11">
        <v>181.91</v>
      </c>
      <c r="G58" s="11">
        <v>17.38</v>
      </c>
      <c r="H58" s="11">
        <v>3.74</v>
      </c>
      <c r="I58" s="11">
        <v>-1.79</v>
      </c>
      <c r="J58" s="11">
        <v>2.34</v>
      </c>
      <c r="K58" s="11">
        <v>0.3</v>
      </c>
      <c r="L58" s="11">
        <v>66.44</v>
      </c>
    </row>
    <row r="59" spans="1:12" x14ac:dyDescent="0.25">
      <c r="A59" s="11">
        <v>2.88</v>
      </c>
      <c r="B59" s="11">
        <v>49.81</v>
      </c>
      <c r="C59" s="11">
        <v>4.3</v>
      </c>
      <c r="D59" s="11">
        <v>5.79</v>
      </c>
      <c r="E59" s="11">
        <v>0.66</v>
      </c>
      <c r="F59" s="11">
        <v>199.55</v>
      </c>
      <c r="G59" s="11">
        <v>17.38</v>
      </c>
      <c r="H59" s="11">
        <v>3.63</v>
      </c>
      <c r="I59" s="11">
        <v>-1.88</v>
      </c>
      <c r="J59" s="11">
        <v>2.33</v>
      </c>
      <c r="K59" s="11">
        <v>0.41</v>
      </c>
      <c r="L59" s="11"/>
    </row>
    <row r="60" spans="1:12" x14ac:dyDescent="0.25">
      <c r="A60" s="11">
        <v>2.93</v>
      </c>
      <c r="B60" s="11">
        <v>50.53</v>
      </c>
      <c r="C60" s="11">
        <v>4.13</v>
      </c>
      <c r="D60" s="11">
        <v>5.3</v>
      </c>
      <c r="E60" s="11">
        <v>0.64</v>
      </c>
      <c r="F60" s="11"/>
      <c r="G60" s="11"/>
      <c r="H60" s="11">
        <v>3.86</v>
      </c>
      <c r="I60" s="11">
        <v>-1.25</v>
      </c>
      <c r="J60" s="11"/>
      <c r="K60" s="11"/>
      <c r="L60" s="11">
        <v>61.92</v>
      </c>
    </row>
    <row r="61" spans="1:12" x14ac:dyDescent="0.25">
      <c r="A61" s="11">
        <v>2.98</v>
      </c>
      <c r="B61" s="11">
        <v>51.25</v>
      </c>
      <c r="C61" s="11">
        <v>3.84</v>
      </c>
      <c r="D61" s="11">
        <v>4.49</v>
      </c>
      <c r="E61" s="11">
        <v>0.62</v>
      </c>
      <c r="F61" s="11">
        <v>138.91</v>
      </c>
      <c r="G61" s="11">
        <v>17.38</v>
      </c>
      <c r="H61" s="11">
        <v>3.77</v>
      </c>
      <c r="I61" s="11">
        <v>-1.17</v>
      </c>
      <c r="J61" s="11">
        <v>2.34</v>
      </c>
      <c r="K61" s="11">
        <v>0.45</v>
      </c>
      <c r="L61" s="11"/>
    </row>
    <row r="62" spans="1:12" x14ac:dyDescent="0.25">
      <c r="A62" s="11">
        <v>3.03</v>
      </c>
      <c r="B62" s="11">
        <v>51.96</v>
      </c>
      <c r="C62" s="11"/>
      <c r="D62" s="11"/>
      <c r="E62" s="11"/>
      <c r="F62" s="11"/>
      <c r="G62" s="11"/>
      <c r="H62" s="11">
        <v>3.52</v>
      </c>
      <c r="I62" s="11">
        <v>-1.46</v>
      </c>
      <c r="J62" s="11"/>
      <c r="K62" s="11"/>
      <c r="L62" s="11">
        <v>67.31</v>
      </c>
    </row>
    <row r="63" spans="1:12" x14ac:dyDescent="0.25">
      <c r="A63" s="11">
        <v>3.08</v>
      </c>
      <c r="B63" s="11">
        <v>52.68</v>
      </c>
      <c r="C63" s="11"/>
      <c r="D63" s="11"/>
      <c r="E63" s="11"/>
      <c r="F63" s="11"/>
      <c r="G63" s="11"/>
      <c r="H63" s="11">
        <v>3.67</v>
      </c>
      <c r="I63" s="11">
        <v>-1.08</v>
      </c>
      <c r="J63" s="11"/>
      <c r="K63" s="11"/>
      <c r="L63" s="11"/>
    </row>
    <row r="64" spans="1:12" x14ac:dyDescent="0.25">
      <c r="A64" s="11">
        <v>3.13</v>
      </c>
      <c r="B64" s="11">
        <v>53.4</v>
      </c>
      <c r="C64" s="11"/>
      <c r="D64" s="11"/>
      <c r="E64" s="11"/>
      <c r="F64" s="11"/>
      <c r="G64" s="11"/>
      <c r="H64" s="11">
        <v>3.6</v>
      </c>
      <c r="I64" s="11">
        <v>-1.07</v>
      </c>
      <c r="J64" s="11"/>
      <c r="K64" s="11"/>
      <c r="L64" s="11">
        <v>71.77</v>
      </c>
    </row>
    <row r="65" spans="1:12" x14ac:dyDescent="0.25">
      <c r="A65" s="11">
        <v>3.18</v>
      </c>
      <c r="B65" s="11">
        <v>54.11</v>
      </c>
      <c r="C65" s="11">
        <v>4.4400000000000004</v>
      </c>
      <c r="D65" s="11">
        <v>6.17</v>
      </c>
      <c r="E65" s="11">
        <v>0.67</v>
      </c>
      <c r="F65" s="11"/>
      <c r="G65" s="11"/>
      <c r="H65" s="11">
        <v>3.52</v>
      </c>
      <c r="I65" s="11">
        <v>-0.65</v>
      </c>
      <c r="J65" s="11"/>
      <c r="K65" s="11"/>
      <c r="L65" s="11"/>
    </row>
    <row r="66" spans="1:12" x14ac:dyDescent="0.25">
      <c r="A66" s="11">
        <v>3.23</v>
      </c>
      <c r="B66" s="11">
        <v>54.83</v>
      </c>
      <c r="C66" s="11">
        <v>4.09</v>
      </c>
      <c r="D66" s="11">
        <v>5.19</v>
      </c>
      <c r="E66" s="11">
        <v>0.64</v>
      </c>
      <c r="F66" s="11"/>
      <c r="G66" s="11"/>
      <c r="H66" s="11">
        <v>3.58</v>
      </c>
      <c r="I66" s="11">
        <v>-2.37</v>
      </c>
      <c r="J66" s="11"/>
      <c r="K66" s="11"/>
      <c r="L66" s="11">
        <v>70.099999999999994</v>
      </c>
    </row>
    <row r="67" spans="1:12" x14ac:dyDescent="0.25">
      <c r="A67" s="11">
        <v>3.28</v>
      </c>
      <c r="B67" s="11">
        <v>55.55</v>
      </c>
      <c r="C67" s="11">
        <v>4.8</v>
      </c>
      <c r="D67" s="11">
        <v>7.18</v>
      </c>
      <c r="E67" s="11">
        <v>0.7</v>
      </c>
      <c r="F67" s="11"/>
      <c r="G67" s="11"/>
      <c r="H67" s="11">
        <v>3.35</v>
      </c>
      <c r="I67" s="11">
        <v>-1.35</v>
      </c>
      <c r="J67" s="11"/>
      <c r="K67" s="11"/>
      <c r="L67" s="11"/>
    </row>
    <row r="68" spans="1:12" x14ac:dyDescent="0.25">
      <c r="A68" s="11">
        <v>3.33</v>
      </c>
      <c r="B68" s="11">
        <v>56.26</v>
      </c>
      <c r="C68" s="11">
        <v>4.24</v>
      </c>
      <c r="D68" s="11">
        <v>5.62</v>
      </c>
      <c r="E68" s="11">
        <v>0.65</v>
      </c>
      <c r="F68" s="11"/>
      <c r="G68" s="11"/>
      <c r="H68" s="11">
        <v>3.68</v>
      </c>
      <c r="I68" s="11">
        <v>-1.22</v>
      </c>
      <c r="J68" s="11"/>
      <c r="K68" s="11"/>
      <c r="L68" s="11">
        <v>67.72</v>
      </c>
    </row>
    <row r="69" spans="1:12" x14ac:dyDescent="0.25">
      <c r="A69" s="11">
        <v>3.38</v>
      </c>
      <c r="B69" s="11">
        <v>56.98</v>
      </c>
      <c r="C69" s="11">
        <v>5.09</v>
      </c>
      <c r="D69" s="11">
        <v>7.98</v>
      </c>
      <c r="E69" s="11">
        <v>0.72</v>
      </c>
      <c r="F69" s="11"/>
      <c r="G69" s="11"/>
      <c r="H69" s="11">
        <v>3.59</v>
      </c>
      <c r="I69" s="11">
        <v>-1.87</v>
      </c>
      <c r="J69" s="11"/>
      <c r="K69" s="11"/>
      <c r="L69" s="11"/>
    </row>
    <row r="70" spans="1:12" x14ac:dyDescent="0.25">
      <c r="A70" s="11">
        <v>3.43</v>
      </c>
      <c r="B70" s="11">
        <v>57.7</v>
      </c>
      <c r="C70" s="11">
        <v>4.79</v>
      </c>
      <c r="D70" s="11">
        <v>7.13</v>
      </c>
      <c r="E70" s="11">
        <v>0.7</v>
      </c>
      <c r="F70" s="11"/>
      <c r="G70" s="11"/>
      <c r="H70" s="11">
        <v>3.47</v>
      </c>
      <c r="I70" s="11">
        <v>-0.78</v>
      </c>
      <c r="J70" s="11"/>
      <c r="K70" s="11"/>
      <c r="L70" s="11">
        <v>69.510000000000005</v>
      </c>
    </row>
    <row r="71" spans="1:12" x14ac:dyDescent="0.25">
      <c r="A71" s="11">
        <v>3.48</v>
      </c>
      <c r="B71" s="11">
        <v>58.42</v>
      </c>
      <c r="C71" s="11">
        <v>4.22</v>
      </c>
      <c r="D71" s="11">
        <v>5.55</v>
      </c>
      <c r="E71" s="11">
        <v>0.65</v>
      </c>
      <c r="F71" s="11"/>
      <c r="G71" s="11"/>
      <c r="H71" s="11">
        <v>3.84</v>
      </c>
      <c r="I71" s="11">
        <v>-2.1</v>
      </c>
      <c r="J71" s="11"/>
      <c r="K71" s="11"/>
      <c r="L71" s="11"/>
    </row>
    <row r="72" spans="1:12" x14ac:dyDescent="0.25">
      <c r="A72" s="11">
        <v>3.53</v>
      </c>
      <c r="B72" s="11">
        <v>59.13</v>
      </c>
      <c r="C72" s="11">
        <v>3.93</v>
      </c>
      <c r="D72" s="11">
        <v>4.76</v>
      </c>
      <c r="E72" s="11">
        <v>0.63</v>
      </c>
      <c r="F72" s="11"/>
      <c r="G72" s="11"/>
      <c r="H72" s="11">
        <v>3.79</v>
      </c>
      <c r="I72" s="11">
        <v>-0.89</v>
      </c>
      <c r="J72" s="11"/>
      <c r="K72" s="11"/>
      <c r="L72" s="11">
        <v>68.3</v>
      </c>
    </row>
    <row r="73" spans="1:12" x14ac:dyDescent="0.25">
      <c r="A73" s="11">
        <v>3.58</v>
      </c>
      <c r="B73" s="11">
        <v>59.85</v>
      </c>
      <c r="C73" s="11">
        <v>4.26</v>
      </c>
      <c r="D73" s="11">
        <v>5.67</v>
      </c>
      <c r="E73" s="11">
        <v>0.65</v>
      </c>
      <c r="F73" s="11"/>
      <c r="G73" s="11"/>
      <c r="H73" s="11">
        <v>3.32</v>
      </c>
      <c r="I73" s="11">
        <v>-2.17</v>
      </c>
      <c r="J73" s="11"/>
      <c r="K73" s="11"/>
      <c r="L73" s="11">
        <v>67.900000000000006</v>
      </c>
    </row>
    <row r="74" spans="1:12" x14ac:dyDescent="0.25">
      <c r="A74" s="11">
        <v>3.63</v>
      </c>
      <c r="B74" s="11">
        <v>60.57</v>
      </c>
      <c r="C74" s="11">
        <v>4</v>
      </c>
      <c r="D74" s="11">
        <v>4.95</v>
      </c>
      <c r="E74" s="11">
        <v>0.64</v>
      </c>
      <c r="F74" s="11"/>
      <c r="G74" s="11"/>
      <c r="H74" s="11">
        <v>3.39</v>
      </c>
      <c r="I74" s="11">
        <v>-1.1499999999999999</v>
      </c>
      <c r="J74" s="11"/>
      <c r="K74" s="11"/>
      <c r="L74" s="11">
        <v>62.04</v>
      </c>
    </row>
    <row r="75" spans="1:12" x14ac:dyDescent="0.25">
      <c r="A75" s="11">
        <v>3.68</v>
      </c>
      <c r="B75" s="11">
        <v>61.28</v>
      </c>
      <c r="C75" s="11">
        <v>3.81</v>
      </c>
      <c r="D75" s="11">
        <v>4.41</v>
      </c>
      <c r="E75" s="11">
        <v>0.62</v>
      </c>
      <c r="F75" s="11"/>
      <c r="G75" s="11"/>
      <c r="H75" s="11">
        <v>3.66</v>
      </c>
      <c r="I75" s="11">
        <v>-1.79</v>
      </c>
      <c r="J75" s="11"/>
      <c r="K75" s="11"/>
      <c r="L75" s="11"/>
    </row>
    <row r="76" spans="1:12" x14ac:dyDescent="0.25">
      <c r="A76" s="11">
        <v>3.73</v>
      </c>
      <c r="B76" s="11">
        <v>62</v>
      </c>
      <c r="C76" s="11">
        <v>3.95</v>
      </c>
      <c r="D76" s="11">
        <v>4.8</v>
      </c>
      <c r="E76" s="11">
        <v>0.63</v>
      </c>
      <c r="F76" s="11"/>
      <c r="G76" s="11"/>
      <c r="H76" s="11">
        <v>3.77</v>
      </c>
      <c r="I76" s="11">
        <v>-1.87</v>
      </c>
      <c r="J76" s="11"/>
      <c r="K76" s="11"/>
      <c r="L76" s="11">
        <v>66.86</v>
      </c>
    </row>
    <row r="77" spans="1:12" x14ac:dyDescent="0.25">
      <c r="A77" s="11">
        <v>3.78</v>
      </c>
      <c r="B77" s="11">
        <v>63.1</v>
      </c>
      <c r="C77" s="11">
        <v>4.08</v>
      </c>
      <c r="D77" s="11">
        <v>5.16</v>
      </c>
      <c r="E77" s="11">
        <v>0.64</v>
      </c>
      <c r="F77" s="11"/>
      <c r="G77" s="11"/>
      <c r="H77" s="11">
        <v>3.78</v>
      </c>
      <c r="I77" s="11">
        <v>-2.2999999999999998</v>
      </c>
      <c r="J77" s="11"/>
      <c r="K77" s="11"/>
      <c r="L77" s="11"/>
    </row>
    <row r="78" spans="1:12" x14ac:dyDescent="0.25">
      <c r="A78" s="11">
        <v>3.83</v>
      </c>
      <c r="B78" s="11">
        <v>64.2</v>
      </c>
      <c r="C78" s="11">
        <v>3.64</v>
      </c>
      <c r="D78" s="11">
        <v>3.95</v>
      </c>
      <c r="E78" s="11">
        <v>0.61</v>
      </c>
      <c r="F78" s="11"/>
      <c r="G78" s="11"/>
      <c r="H78" s="11">
        <v>3.68</v>
      </c>
      <c r="I78" s="11">
        <v>-2.74</v>
      </c>
      <c r="J78" s="11"/>
      <c r="K78" s="11"/>
      <c r="L78" s="11">
        <v>74.180000000000007</v>
      </c>
    </row>
    <row r="79" spans="1:12" x14ac:dyDescent="0.25">
      <c r="A79" s="11">
        <v>3.88</v>
      </c>
      <c r="B79" s="11">
        <v>65.3</v>
      </c>
      <c r="C79" s="11">
        <v>3.97</v>
      </c>
      <c r="D79" s="11">
        <v>4.8600000000000003</v>
      </c>
      <c r="E79" s="11">
        <v>0.63</v>
      </c>
      <c r="F79" s="11">
        <v>264</v>
      </c>
      <c r="G79" s="11">
        <v>17.38</v>
      </c>
      <c r="H79" s="11">
        <v>3.76</v>
      </c>
      <c r="I79" s="11">
        <v>-2.78</v>
      </c>
      <c r="J79" s="11">
        <v>2.48</v>
      </c>
      <c r="K79" s="11">
        <v>0.22</v>
      </c>
      <c r="L79" s="11"/>
    </row>
    <row r="80" spans="1:12" x14ac:dyDescent="0.25">
      <c r="A80" s="11">
        <v>3.93</v>
      </c>
      <c r="B80" s="11">
        <v>66.400000000000006</v>
      </c>
      <c r="C80" s="11">
        <v>3.66</v>
      </c>
      <c r="D80" s="11">
        <v>4.01</v>
      </c>
      <c r="E80" s="11">
        <v>0.61</v>
      </c>
      <c r="F80" s="11"/>
      <c r="G80" s="11"/>
      <c r="H80" s="11">
        <v>3.73</v>
      </c>
      <c r="I80" s="11">
        <v>-1.51</v>
      </c>
      <c r="J80" s="11"/>
      <c r="K80" s="11"/>
      <c r="L80" s="11">
        <v>69.849999999999994</v>
      </c>
    </row>
    <row r="81" spans="1:12" x14ac:dyDescent="0.25">
      <c r="A81" s="11">
        <v>3.98</v>
      </c>
      <c r="B81" s="11">
        <v>67.5</v>
      </c>
      <c r="C81" s="11">
        <v>3.75</v>
      </c>
      <c r="D81" s="11">
        <v>4.24</v>
      </c>
      <c r="E81" s="11">
        <v>0.62</v>
      </c>
      <c r="F81" s="11"/>
      <c r="G81" s="11"/>
      <c r="H81" s="11">
        <v>3.36</v>
      </c>
      <c r="I81" s="11">
        <v>-2.2400000000000002</v>
      </c>
      <c r="J81" s="11"/>
      <c r="K81" s="11"/>
      <c r="L81" s="11"/>
    </row>
    <row r="82" spans="1:12" x14ac:dyDescent="0.25">
      <c r="A82" s="11">
        <v>4.03</v>
      </c>
      <c r="B82" s="11">
        <v>68.599999999999994</v>
      </c>
      <c r="C82" s="11">
        <v>4.25</v>
      </c>
      <c r="D82" s="11">
        <v>5.64</v>
      </c>
      <c r="E82" s="11">
        <v>0.65</v>
      </c>
      <c r="F82" s="11">
        <v>201.36</v>
      </c>
      <c r="G82" s="11">
        <v>17.38</v>
      </c>
      <c r="H82" s="11">
        <v>3.41</v>
      </c>
      <c r="I82" s="11">
        <v>-1.99</v>
      </c>
      <c r="J82" s="11">
        <v>2.5099999999999998</v>
      </c>
      <c r="K82" s="11">
        <v>0.32</v>
      </c>
      <c r="L82" s="11">
        <v>64.39</v>
      </c>
    </row>
    <row r="83" spans="1:12" x14ac:dyDescent="0.25">
      <c r="A83" s="11">
        <v>4.08</v>
      </c>
      <c r="B83" s="11">
        <v>69.7</v>
      </c>
      <c r="C83" s="11">
        <v>3.86</v>
      </c>
      <c r="D83" s="11">
        <v>4.57</v>
      </c>
      <c r="E83" s="11">
        <v>0.63</v>
      </c>
      <c r="F83" s="11"/>
      <c r="G83" s="11"/>
      <c r="H83" s="11"/>
      <c r="I83" s="11"/>
      <c r="J83" s="11">
        <v>2.74</v>
      </c>
      <c r="K83" s="11">
        <v>0.36</v>
      </c>
      <c r="L83" s="11"/>
    </row>
    <row r="84" spans="1:12" x14ac:dyDescent="0.25">
      <c r="A84" s="11">
        <v>4.13</v>
      </c>
      <c r="B84" s="11">
        <v>70.8</v>
      </c>
      <c r="C84" s="11">
        <v>4.79</v>
      </c>
      <c r="D84" s="11">
        <v>7.15</v>
      </c>
      <c r="E84" s="11">
        <v>0.7</v>
      </c>
      <c r="F84" s="11">
        <v>18.36</v>
      </c>
      <c r="G84" s="11"/>
      <c r="H84" s="11"/>
      <c r="I84" s="11"/>
      <c r="J84" s="11">
        <v>2.69</v>
      </c>
      <c r="K84" s="11">
        <v>0.3</v>
      </c>
      <c r="L84" s="11">
        <v>64.39</v>
      </c>
    </row>
    <row r="85" spans="1:12" x14ac:dyDescent="0.25">
      <c r="A85" s="11">
        <v>4.18</v>
      </c>
      <c r="B85" s="11">
        <v>71.900000000000006</v>
      </c>
      <c r="C85" s="11"/>
      <c r="D85" s="11"/>
      <c r="E85" s="11"/>
      <c r="F85" s="11">
        <v>279</v>
      </c>
      <c r="G85" s="11">
        <v>17.38</v>
      </c>
      <c r="H85" s="11">
        <v>3.56</v>
      </c>
      <c r="I85" s="11">
        <v>-2.6</v>
      </c>
      <c r="J85" s="11">
        <v>2.79</v>
      </c>
      <c r="K85" s="11">
        <v>0.56000000000000005</v>
      </c>
      <c r="L85" s="11"/>
    </row>
    <row r="86" spans="1:12" x14ac:dyDescent="0.25">
      <c r="A86" s="11">
        <v>4.2300000000000004</v>
      </c>
      <c r="B86" s="11">
        <v>73</v>
      </c>
      <c r="C86" s="11">
        <v>4.6399999999999997</v>
      </c>
      <c r="D86" s="11">
        <v>6.72</v>
      </c>
      <c r="E86" s="11">
        <v>0.68</v>
      </c>
      <c r="F86" s="11">
        <v>87.45</v>
      </c>
      <c r="G86" s="11">
        <v>17.38</v>
      </c>
      <c r="H86" s="11">
        <v>3.15</v>
      </c>
      <c r="I86" s="11">
        <v>-0.56000000000000005</v>
      </c>
      <c r="J86" s="11">
        <v>2.79</v>
      </c>
      <c r="K86" s="11">
        <v>0.5</v>
      </c>
      <c r="L86" s="11">
        <v>60.87</v>
      </c>
    </row>
    <row r="87" spans="1:12" x14ac:dyDescent="0.25">
      <c r="A87" s="11">
        <v>4.28</v>
      </c>
      <c r="B87" s="11">
        <v>73.8</v>
      </c>
      <c r="C87" s="11">
        <v>4.41</v>
      </c>
      <c r="D87" s="11">
        <v>6.09</v>
      </c>
      <c r="E87" s="11">
        <v>0.67</v>
      </c>
      <c r="F87" s="11">
        <v>222.91</v>
      </c>
      <c r="G87" s="11">
        <v>17.38</v>
      </c>
      <c r="H87" s="11">
        <v>3.7</v>
      </c>
      <c r="I87" s="11">
        <v>-2.15</v>
      </c>
      <c r="J87" s="11">
        <v>2.81</v>
      </c>
      <c r="K87" s="11">
        <v>0.4</v>
      </c>
      <c r="L87" s="11">
        <v>65.489999999999995</v>
      </c>
    </row>
    <row r="88" spans="1:12" x14ac:dyDescent="0.25">
      <c r="A88" s="11">
        <v>4.33</v>
      </c>
      <c r="B88" s="11">
        <v>74.599999999999994</v>
      </c>
      <c r="C88" s="11">
        <v>4.4400000000000004</v>
      </c>
      <c r="D88" s="11">
        <v>6.16</v>
      </c>
      <c r="E88" s="11">
        <v>0.67</v>
      </c>
      <c r="F88" s="11">
        <v>151.36000000000001</v>
      </c>
      <c r="G88" s="11">
        <v>17.38</v>
      </c>
      <c r="H88" s="11">
        <v>3.55</v>
      </c>
      <c r="I88" s="11">
        <v>-1.29</v>
      </c>
      <c r="J88" s="11">
        <v>2.69</v>
      </c>
      <c r="K88" s="11">
        <v>0.47</v>
      </c>
      <c r="L88" s="11">
        <v>63.1</v>
      </c>
    </row>
    <row r="89" spans="1:12" x14ac:dyDescent="0.25">
      <c r="A89" s="11">
        <v>4.38</v>
      </c>
      <c r="B89" s="11">
        <v>75.400000000000006</v>
      </c>
      <c r="C89" s="11">
        <v>4.46</v>
      </c>
      <c r="D89" s="11">
        <v>6.22</v>
      </c>
      <c r="E89" s="11">
        <v>0.67</v>
      </c>
      <c r="F89" s="11">
        <v>149.72999999999999</v>
      </c>
      <c r="G89" s="11">
        <v>17.38</v>
      </c>
      <c r="H89" s="11">
        <v>3.61</v>
      </c>
      <c r="I89" s="11">
        <v>-1.37</v>
      </c>
      <c r="J89" s="11">
        <v>2.52</v>
      </c>
      <c r="K89" s="11">
        <v>0.37</v>
      </c>
      <c r="L89" s="11"/>
    </row>
    <row r="90" spans="1:12" x14ac:dyDescent="0.25">
      <c r="A90" s="11">
        <v>4.43</v>
      </c>
      <c r="B90" s="11">
        <v>76.2</v>
      </c>
      <c r="C90" s="11">
        <v>4.72</v>
      </c>
      <c r="D90" s="11">
        <v>6.94</v>
      </c>
      <c r="E90" s="11">
        <v>0.69</v>
      </c>
      <c r="F90" s="11">
        <v>158.09</v>
      </c>
      <c r="G90" s="11">
        <v>17.38</v>
      </c>
      <c r="H90" s="11">
        <v>3.44</v>
      </c>
      <c r="I90" s="11">
        <v>-1.33</v>
      </c>
      <c r="J90" s="11">
        <v>2.4500000000000002</v>
      </c>
      <c r="K90" s="11">
        <v>0.5</v>
      </c>
      <c r="L90" s="11">
        <v>58.47</v>
      </c>
    </row>
    <row r="91" spans="1:12" x14ac:dyDescent="0.25">
      <c r="A91" s="11">
        <v>4.4800000000000004</v>
      </c>
      <c r="B91" s="11">
        <v>77</v>
      </c>
      <c r="C91" s="11">
        <v>3.75</v>
      </c>
      <c r="D91" s="11">
        <v>4.25</v>
      </c>
      <c r="E91" s="11">
        <v>0.62</v>
      </c>
      <c r="F91" s="11">
        <v>138.63999999999999</v>
      </c>
      <c r="G91" s="11">
        <v>17.38</v>
      </c>
      <c r="H91" s="11">
        <v>3.35</v>
      </c>
      <c r="I91" s="11">
        <v>-1.38</v>
      </c>
      <c r="J91" s="11">
        <v>2.48</v>
      </c>
      <c r="K91" s="11">
        <v>0.24</v>
      </c>
      <c r="L91" s="11"/>
    </row>
    <row r="92" spans="1:12" x14ac:dyDescent="0.25">
      <c r="A92" s="11">
        <v>4.53</v>
      </c>
      <c r="B92" s="11">
        <v>77.8</v>
      </c>
      <c r="C92" s="11">
        <v>4.0199999999999996</v>
      </c>
      <c r="D92" s="11">
        <v>5</v>
      </c>
      <c r="E92" s="11">
        <v>0.64</v>
      </c>
      <c r="F92" s="11">
        <v>162.09</v>
      </c>
      <c r="G92" s="11">
        <v>17.38</v>
      </c>
      <c r="H92" s="11">
        <v>3.77</v>
      </c>
      <c r="I92" s="11">
        <v>-1.47</v>
      </c>
      <c r="J92" s="11">
        <v>2.86</v>
      </c>
      <c r="K92" s="11">
        <v>0.41</v>
      </c>
      <c r="L92" s="11">
        <v>51.33</v>
      </c>
    </row>
    <row r="93" spans="1:12" x14ac:dyDescent="0.25">
      <c r="A93" s="11">
        <v>4.58</v>
      </c>
      <c r="B93" s="11">
        <v>78.599999999999994</v>
      </c>
      <c r="C93" s="11">
        <v>4.08</v>
      </c>
      <c r="D93" s="11">
        <v>5.15</v>
      </c>
      <c r="E93" s="11">
        <v>0.64</v>
      </c>
      <c r="F93" s="11">
        <v>146.27000000000001</v>
      </c>
      <c r="G93" s="11">
        <v>17.38</v>
      </c>
      <c r="H93" s="11">
        <v>3.55</v>
      </c>
      <c r="I93" s="11">
        <v>-1.28</v>
      </c>
      <c r="J93" s="11">
        <v>2.5499999999999998</v>
      </c>
      <c r="K93" s="11">
        <v>0.42</v>
      </c>
      <c r="L93" s="11">
        <v>61.67</v>
      </c>
    </row>
    <row r="94" spans="1:12" x14ac:dyDescent="0.25">
      <c r="A94" s="11">
        <v>4.63</v>
      </c>
      <c r="B94" s="11">
        <v>79.400000000000006</v>
      </c>
      <c r="C94" s="11">
        <v>4.0599999999999996</v>
      </c>
      <c r="D94" s="11">
        <v>5.1100000000000003</v>
      </c>
      <c r="E94" s="11">
        <v>0.64</v>
      </c>
      <c r="F94" s="11">
        <v>116.55</v>
      </c>
      <c r="G94" s="11">
        <v>17.38</v>
      </c>
      <c r="H94" s="11">
        <v>3.79</v>
      </c>
      <c r="I94" s="11">
        <v>-0.94</v>
      </c>
      <c r="J94" s="11">
        <v>2.68</v>
      </c>
      <c r="K94" s="11">
        <v>0.44</v>
      </c>
      <c r="L94" s="11">
        <v>67.739999999999995</v>
      </c>
    </row>
    <row r="95" spans="1:12" x14ac:dyDescent="0.25">
      <c r="A95" s="11">
        <v>4.68</v>
      </c>
      <c r="B95" s="11">
        <v>80.2</v>
      </c>
      <c r="C95" s="11">
        <v>4.47</v>
      </c>
      <c r="D95" s="11">
        <v>6.24</v>
      </c>
      <c r="E95" s="11">
        <v>0.67</v>
      </c>
      <c r="F95" s="11">
        <v>165.86</v>
      </c>
      <c r="G95" s="11">
        <v>17.38</v>
      </c>
      <c r="H95" s="11">
        <v>3.59</v>
      </c>
      <c r="I95" s="11">
        <v>-1.5</v>
      </c>
      <c r="J95" s="11">
        <v>2.86</v>
      </c>
      <c r="K95" s="11">
        <v>0.41</v>
      </c>
      <c r="L95" s="11"/>
    </row>
    <row r="96" spans="1:12" x14ac:dyDescent="0.25">
      <c r="A96" s="11">
        <v>4.7300000000000004</v>
      </c>
      <c r="B96" s="11">
        <v>81</v>
      </c>
      <c r="C96" s="11">
        <v>5.51</v>
      </c>
      <c r="D96" s="11">
        <v>9.1300000000000008</v>
      </c>
      <c r="E96" s="11">
        <v>0.76</v>
      </c>
      <c r="F96" s="11"/>
      <c r="G96" s="11"/>
      <c r="H96" s="11">
        <v>3.84</v>
      </c>
      <c r="I96" s="11">
        <v>-2.27</v>
      </c>
      <c r="J96" s="11"/>
      <c r="K96" s="11"/>
      <c r="L96" s="11">
        <v>72.94</v>
      </c>
    </row>
    <row r="97" spans="1:12" x14ac:dyDescent="0.25">
      <c r="A97" s="11">
        <v>4.78</v>
      </c>
      <c r="B97" s="11">
        <v>81.8</v>
      </c>
      <c r="C97" s="11">
        <v>6.68</v>
      </c>
      <c r="D97" s="11">
        <v>12.39</v>
      </c>
      <c r="E97" s="11">
        <v>0.9</v>
      </c>
      <c r="F97" s="11"/>
      <c r="G97" s="11"/>
      <c r="H97" s="11">
        <v>3.52</v>
      </c>
      <c r="I97" s="11">
        <v>-1.36</v>
      </c>
      <c r="J97" s="11"/>
      <c r="K97" s="11"/>
      <c r="L97" s="11"/>
    </row>
    <row r="98" spans="1:12" x14ac:dyDescent="0.25">
      <c r="A98" s="11">
        <v>4.83</v>
      </c>
      <c r="B98" s="11">
        <v>82.6</v>
      </c>
      <c r="C98" s="11">
        <v>4.97</v>
      </c>
      <c r="D98" s="11">
        <v>7.63</v>
      </c>
      <c r="E98" s="11">
        <v>0.71</v>
      </c>
      <c r="F98" s="11"/>
      <c r="G98" s="11"/>
      <c r="H98" s="11">
        <v>3.06</v>
      </c>
      <c r="I98" s="11">
        <v>-1.24</v>
      </c>
      <c r="J98" s="11"/>
      <c r="K98" s="11"/>
      <c r="L98" s="11">
        <v>54.8</v>
      </c>
    </row>
    <row r="99" spans="1:12" x14ac:dyDescent="0.25">
      <c r="A99" s="11">
        <v>4.88</v>
      </c>
      <c r="B99" s="11">
        <v>83.4</v>
      </c>
      <c r="C99" s="11">
        <v>4.5999999999999996</v>
      </c>
      <c r="D99" s="11">
        <v>6.62</v>
      </c>
      <c r="E99" s="11">
        <v>0.68</v>
      </c>
      <c r="F99" s="11"/>
      <c r="G99" s="11"/>
      <c r="H99" s="11">
        <v>3.51</v>
      </c>
      <c r="I99" s="11">
        <v>-1.31</v>
      </c>
      <c r="J99" s="11"/>
      <c r="K99" s="11"/>
      <c r="L99" s="11"/>
    </row>
    <row r="100" spans="1:12" x14ac:dyDescent="0.25">
      <c r="A100" s="11">
        <v>4.93</v>
      </c>
      <c r="B100" s="11">
        <v>84.2</v>
      </c>
      <c r="C100" s="11"/>
      <c r="D100" s="11"/>
      <c r="E100" s="11"/>
      <c r="F100" s="11"/>
      <c r="G100" s="11"/>
      <c r="H100" s="11">
        <v>3.76</v>
      </c>
      <c r="I100" s="11">
        <v>-0.59</v>
      </c>
      <c r="J100" s="11"/>
      <c r="K100" s="11"/>
      <c r="L100" s="11">
        <v>79.08</v>
      </c>
    </row>
    <row r="101" spans="1:12" x14ac:dyDescent="0.25">
      <c r="A101" s="11">
        <v>4.9800000000000004</v>
      </c>
      <c r="B101" s="11">
        <v>85</v>
      </c>
      <c r="C101" s="11">
        <v>4.4000000000000004</v>
      </c>
      <c r="D101" s="11">
        <v>6.05</v>
      </c>
      <c r="E101" s="11">
        <v>0.66</v>
      </c>
      <c r="F101" s="11"/>
      <c r="G101" s="11"/>
      <c r="H101" s="11">
        <v>3.22</v>
      </c>
      <c r="I101" s="11">
        <v>-1.85</v>
      </c>
      <c r="J101" s="11"/>
      <c r="K101" s="11"/>
      <c r="L101" s="11"/>
    </row>
    <row r="102" spans="1:12" x14ac:dyDescent="0.25">
      <c r="A102" s="11">
        <v>5.03</v>
      </c>
      <c r="B102" s="11">
        <v>85.8</v>
      </c>
      <c r="C102" s="11"/>
      <c r="D102" s="11"/>
      <c r="E102" s="11"/>
      <c r="F102" s="11">
        <v>204</v>
      </c>
      <c r="G102" s="11">
        <v>17.38</v>
      </c>
      <c r="H102" s="11">
        <v>3.63</v>
      </c>
      <c r="I102" s="11">
        <v>-1.95</v>
      </c>
      <c r="J102" s="11">
        <v>2.73</v>
      </c>
      <c r="K102" s="11">
        <v>0.38</v>
      </c>
      <c r="L102" s="11">
        <v>64.38</v>
      </c>
    </row>
    <row r="103" spans="1:12" x14ac:dyDescent="0.25">
      <c r="A103" s="11">
        <v>5.08</v>
      </c>
      <c r="B103" s="11">
        <v>86.6</v>
      </c>
      <c r="C103" s="11"/>
      <c r="D103" s="11"/>
      <c r="E103" s="11"/>
      <c r="F103" s="11"/>
      <c r="G103" s="11"/>
      <c r="H103" s="11">
        <v>3.44</v>
      </c>
      <c r="I103" s="11">
        <v>-2.3199999999999998</v>
      </c>
      <c r="J103" s="11"/>
      <c r="K103" s="11"/>
      <c r="L103" s="11"/>
    </row>
    <row r="104" spans="1:12" x14ac:dyDescent="0.25">
      <c r="A104" s="11">
        <v>5.13</v>
      </c>
      <c r="B104" s="11">
        <v>87.4</v>
      </c>
      <c r="C104" s="11"/>
      <c r="D104" s="11"/>
      <c r="E104" s="11"/>
      <c r="F104" s="11"/>
      <c r="G104" s="11"/>
      <c r="H104" s="11">
        <v>3.62</v>
      </c>
      <c r="I104" s="11">
        <v>-1.95</v>
      </c>
      <c r="J104" s="11"/>
      <c r="K104" s="11"/>
      <c r="L104" s="11"/>
    </row>
    <row r="105" spans="1:12" x14ac:dyDescent="0.25">
      <c r="A105" s="11">
        <v>5.18</v>
      </c>
      <c r="B105" s="11">
        <v>88.2</v>
      </c>
      <c r="C105" s="11">
        <v>4.0999999999999996</v>
      </c>
      <c r="D105" s="11">
        <v>5.22</v>
      </c>
      <c r="E105" s="11">
        <v>0.64</v>
      </c>
      <c r="F105" s="11"/>
      <c r="G105" s="11"/>
      <c r="H105" s="11">
        <v>3.77</v>
      </c>
      <c r="I105" s="11">
        <v>-1.22</v>
      </c>
      <c r="J105" s="11"/>
      <c r="K105" s="11"/>
      <c r="L105" s="11"/>
    </row>
    <row r="106" spans="1:12" x14ac:dyDescent="0.25">
      <c r="A106" s="11">
        <v>5.23</v>
      </c>
      <c r="B106" s="11">
        <v>89</v>
      </c>
      <c r="C106" s="11">
        <v>4.26</v>
      </c>
      <c r="D106" s="11">
        <v>5.66</v>
      </c>
      <c r="E106" s="11">
        <v>0.65</v>
      </c>
      <c r="F106" s="11">
        <v>204.18</v>
      </c>
      <c r="G106" s="11">
        <v>17.38</v>
      </c>
      <c r="H106" s="11">
        <v>2.67</v>
      </c>
      <c r="I106" s="11">
        <v>-2.0499999999999998</v>
      </c>
      <c r="J106" s="11">
        <v>2.57</v>
      </c>
      <c r="K106" s="11">
        <v>0.28999999999999998</v>
      </c>
      <c r="L106" s="11">
        <v>70.459999999999994</v>
      </c>
    </row>
    <row r="107" spans="1:12" x14ac:dyDescent="0.25">
      <c r="A107" s="11">
        <v>5.28</v>
      </c>
      <c r="B107" s="11">
        <v>89.8</v>
      </c>
      <c r="C107" s="11">
        <v>3.53</v>
      </c>
      <c r="D107" s="11">
        <v>3.63</v>
      </c>
      <c r="E107" s="11">
        <v>0.61</v>
      </c>
      <c r="F107" s="11"/>
      <c r="G107" s="11"/>
      <c r="H107" s="11">
        <v>3.66</v>
      </c>
      <c r="I107" s="11">
        <v>-2.02</v>
      </c>
      <c r="J107" s="11"/>
      <c r="K107" s="11"/>
      <c r="L107" s="11"/>
    </row>
    <row r="108" spans="1:12" x14ac:dyDescent="0.25">
      <c r="A108" s="11">
        <v>5.33</v>
      </c>
      <c r="B108" s="11">
        <v>90.6</v>
      </c>
      <c r="C108" s="11">
        <v>4.63</v>
      </c>
      <c r="D108" s="11">
        <v>6.68</v>
      </c>
      <c r="E108" s="11">
        <v>0.68</v>
      </c>
      <c r="F108" s="11"/>
      <c r="G108" s="11"/>
      <c r="H108" s="11">
        <v>3.48</v>
      </c>
      <c r="I108" s="11">
        <v>-1.56</v>
      </c>
      <c r="J108" s="11"/>
      <c r="K108" s="11"/>
      <c r="L108" s="11">
        <v>77.41</v>
      </c>
    </row>
    <row r="109" spans="1:12" x14ac:dyDescent="0.25">
      <c r="A109" s="11">
        <v>5.38</v>
      </c>
      <c r="B109" s="11">
        <v>91.4</v>
      </c>
      <c r="C109" s="11"/>
      <c r="D109" s="11"/>
      <c r="E109" s="11"/>
      <c r="F109" s="11"/>
      <c r="G109" s="11"/>
      <c r="H109" s="11">
        <v>3.94</v>
      </c>
      <c r="I109" s="11">
        <v>-0.86</v>
      </c>
      <c r="J109" s="11"/>
      <c r="K109" s="11"/>
      <c r="L109" s="11"/>
    </row>
    <row r="110" spans="1:12" x14ac:dyDescent="0.25">
      <c r="A110" s="11">
        <v>5.43</v>
      </c>
      <c r="B110" s="11">
        <v>92.2</v>
      </c>
      <c r="C110" s="11">
        <v>4.03</v>
      </c>
      <c r="D110" s="11">
        <v>5.0199999999999996</v>
      </c>
      <c r="E110" s="11">
        <v>0.64</v>
      </c>
      <c r="F110" s="11"/>
      <c r="G110" s="11"/>
      <c r="H110" s="11">
        <v>3.44</v>
      </c>
      <c r="I110" s="11">
        <v>-2.2400000000000002</v>
      </c>
      <c r="J110" s="11"/>
      <c r="K110" s="11"/>
      <c r="L110" s="11">
        <v>84.73</v>
      </c>
    </row>
    <row r="111" spans="1:12" x14ac:dyDescent="0.25">
      <c r="A111" s="11">
        <v>5.48</v>
      </c>
      <c r="B111" s="11">
        <v>93</v>
      </c>
      <c r="C111" s="11">
        <v>4.07</v>
      </c>
      <c r="D111" s="11">
        <v>5.15</v>
      </c>
      <c r="E111" s="11">
        <v>0.64</v>
      </c>
      <c r="F111" s="11">
        <v>59.18</v>
      </c>
      <c r="G111" s="11">
        <v>17.38</v>
      </c>
      <c r="H111" s="11">
        <v>3.74</v>
      </c>
      <c r="I111" s="11">
        <v>-0.53</v>
      </c>
      <c r="J111" s="11">
        <v>2.5</v>
      </c>
      <c r="K111" s="11">
        <v>0.21</v>
      </c>
      <c r="L111" s="11"/>
    </row>
    <row r="112" spans="1:12" x14ac:dyDescent="0.25">
      <c r="A112" s="11">
        <v>5.53</v>
      </c>
      <c r="B112" s="11">
        <v>93.8</v>
      </c>
      <c r="C112" s="11"/>
      <c r="D112" s="11"/>
      <c r="E112" s="11"/>
      <c r="F112" s="11"/>
      <c r="G112" s="11"/>
      <c r="H112" s="11">
        <v>3.27</v>
      </c>
      <c r="I112" s="11">
        <v>-2.78</v>
      </c>
      <c r="J112" s="11"/>
      <c r="K112" s="11"/>
      <c r="L112" s="11">
        <v>72.73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43CF-3477-49E0-81B5-A62DBB2B6D17}">
  <dimension ref="A1:D20"/>
  <sheetViews>
    <sheetView workbookViewId="0">
      <selection activeCell="C21" sqref="C21"/>
    </sheetView>
  </sheetViews>
  <sheetFormatPr defaultRowHeight="15" x14ac:dyDescent="0.25"/>
  <sheetData>
    <row r="1" spans="1:4" x14ac:dyDescent="0.25">
      <c r="A1" t="s">
        <v>0</v>
      </c>
      <c r="B1" t="s">
        <v>102</v>
      </c>
      <c r="C1" t="s">
        <v>103</v>
      </c>
      <c r="D1" t="s">
        <v>104</v>
      </c>
    </row>
    <row r="2" spans="1:4" x14ac:dyDescent="0.25">
      <c r="A2" t="s">
        <v>3</v>
      </c>
      <c r="B2" s="1">
        <v>10.298052630000001</v>
      </c>
      <c r="C2">
        <v>24.63</v>
      </c>
      <c r="D2">
        <v>0.876</v>
      </c>
    </row>
    <row r="3" spans="1:4" x14ac:dyDescent="0.25">
      <c r="A3" t="s">
        <v>4</v>
      </c>
      <c r="B3" s="1">
        <v>11.76807767</v>
      </c>
      <c r="C3">
        <v>24.81</v>
      </c>
      <c r="D3">
        <v>0.88300000000000001</v>
      </c>
    </row>
    <row r="4" spans="1:4" x14ac:dyDescent="0.25">
      <c r="A4" t="s">
        <v>5</v>
      </c>
      <c r="B4" s="1">
        <v>12.140504849999999</v>
      </c>
      <c r="C4">
        <v>24.5</v>
      </c>
      <c r="D4">
        <v>0.872</v>
      </c>
    </row>
    <row r="5" spans="1:4" x14ac:dyDescent="0.25">
      <c r="A5" t="s">
        <v>6</v>
      </c>
      <c r="B5" s="1">
        <v>12.681927460000001</v>
      </c>
      <c r="C5">
        <v>24.02</v>
      </c>
      <c r="D5">
        <v>0.85599999999999998</v>
      </c>
    </row>
    <row r="6" spans="1:4" x14ac:dyDescent="0.25">
      <c r="A6" t="s">
        <v>24</v>
      </c>
      <c r="B6" s="1">
        <v>12.90434014</v>
      </c>
      <c r="C6">
        <v>23.83</v>
      </c>
      <c r="D6">
        <v>0.84899999999999998</v>
      </c>
    </row>
    <row r="7" spans="1:4" x14ac:dyDescent="0.25">
      <c r="A7" t="s">
        <v>7</v>
      </c>
      <c r="B7" s="1">
        <v>13.4115</v>
      </c>
      <c r="C7">
        <v>23.38</v>
      </c>
      <c r="D7">
        <v>0.83299999999999996</v>
      </c>
    </row>
    <row r="8" spans="1:4" x14ac:dyDescent="0.25">
      <c r="A8" t="s">
        <v>8</v>
      </c>
      <c r="B8" s="1">
        <v>15.297745450000001</v>
      </c>
      <c r="C8">
        <v>22.83</v>
      </c>
      <c r="D8">
        <v>0.81399999999999995</v>
      </c>
    </row>
    <row r="9" spans="1:4" x14ac:dyDescent="0.25">
      <c r="A9" t="s">
        <v>9</v>
      </c>
      <c r="B9" s="1">
        <v>17.630333330000003</v>
      </c>
      <c r="C9">
        <v>21.91</v>
      </c>
      <c r="D9">
        <v>0.78400000000000003</v>
      </c>
    </row>
    <row r="10" spans="1:4" x14ac:dyDescent="0.25">
      <c r="A10" t="s">
        <v>10</v>
      </c>
      <c r="B10" s="1">
        <v>19.789979380000002</v>
      </c>
      <c r="C10">
        <v>22.3</v>
      </c>
      <c r="D10">
        <v>0.79800000000000004</v>
      </c>
    </row>
    <row r="11" spans="1:4" x14ac:dyDescent="0.25">
      <c r="A11" t="s">
        <v>11</v>
      </c>
      <c r="B11" s="1">
        <v>22.102144329999998</v>
      </c>
      <c r="C11">
        <v>21.72</v>
      </c>
      <c r="D11">
        <v>0.77800000000000002</v>
      </c>
    </row>
    <row r="12" spans="1:4" x14ac:dyDescent="0.25">
      <c r="A12" t="s">
        <v>12</v>
      </c>
      <c r="B12" s="1">
        <v>26.142461539999999</v>
      </c>
      <c r="C12">
        <v>21.51</v>
      </c>
      <c r="D12">
        <v>0.77200000000000002</v>
      </c>
    </row>
    <row r="13" spans="1:4" x14ac:dyDescent="0.25">
      <c r="A13" t="s">
        <v>13</v>
      </c>
      <c r="B13" s="1">
        <v>29.47625532</v>
      </c>
      <c r="C13">
        <v>22.84</v>
      </c>
      <c r="D13">
        <v>0.81499999999999995</v>
      </c>
    </row>
    <row r="14" spans="1:4" x14ac:dyDescent="0.25">
      <c r="A14" t="s">
        <v>14</v>
      </c>
      <c r="B14" s="1">
        <v>30.86361905</v>
      </c>
      <c r="C14">
        <v>22.71</v>
      </c>
      <c r="D14">
        <v>0.81100000000000005</v>
      </c>
    </row>
    <row r="15" spans="1:4" x14ac:dyDescent="0.25">
      <c r="A15" t="s">
        <v>15</v>
      </c>
      <c r="B15" s="1">
        <v>31.4960381</v>
      </c>
      <c r="C15">
        <v>22.66</v>
      </c>
      <c r="D15">
        <v>0.81</v>
      </c>
    </row>
    <row r="16" spans="1:4" x14ac:dyDescent="0.25">
      <c r="A16" t="s">
        <v>16</v>
      </c>
      <c r="B16" s="1">
        <v>33.121000000000002</v>
      </c>
      <c r="C16">
        <v>22.69</v>
      </c>
      <c r="D16">
        <v>0.81100000000000005</v>
      </c>
    </row>
    <row r="20" spans="3:3" x14ac:dyDescent="0.25">
      <c r="C20" cm="1">
        <f t="array" ref="C20">SUM(C10:C16/7)</f>
        <v>22.34714285714286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2DE0-D143-4384-8FC9-82AD772F6B91}">
  <dimension ref="A1:J103"/>
  <sheetViews>
    <sheetView topLeftCell="A70" workbookViewId="0">
      <selection activeCell="B4" sqref="B4:C103"/>
    </sheetView>
  </sheetViews>
  <sheetFormatPr defaultRowHeight="15" x14ac:dyDescent="0.25"/>
  <sheetData>
    <row r="1" spans="1:10" x14ac:dyDescent="0.25">
      <c r="J1" t="s">
        <v>155</v>
      </c>
    </row>
    <row r="3" spans="1:10" x14ac:dyDescent="0.25">
      <c r="A3" s="12" t="s">
        <v>156</v>
      </c>
      <c r="B3" t="s">
        <v>159</v>
      </c>
      <c r="C3" s="13" t="s">
        <v>157</v>
      </c>
      <c r="D3" s="14" t="s">
        <v>158</v>
      </c>
      <c r="F3" t="s">
        <v>0</v>
      </c>
      <c r="G3" t="s">
        <v>102</v>
      </c>
      <c r="H3" t="s">
        <v>160</v>
      </c>
    </row>
    <row r="4" spans="1:10" x14ac:dyDescent="0.25">
      <c r="A4" s="15">
        <v>27237</v>
      </c>
      <c r="B4">
        <f t="shared" ref="B4:B35" si="0">A4/1000</f>
        <v>27.236999999999998</v>
      </c>
      <c r="C4" s="16">
        <v>-100.1</v>
      </c>
      <c r="D4" s="16">
        <v>10.3</v>
      </c>
      <c r="F4" t="s">
        <v>3</v>
      </c>
      <c r="G4" s="1">
        <v>10.298052630000001</v>
      </c>
      <c r="H4">
        <f>C102+(G4-B102)/(B103-B102)*(C103-C102)</f>
        <v>-53.717431456824528</v>
      </c>
    </row>
    <row r="5" spans="1:10" x14ac:dyDescent="0.25">
      <c r="A5" s="15">
        <v>26670</v>
      </c>
      <c r="B5">
        <f t="shared" si="0"/>
        <v>26.67</v>
      </c>
      <c r="C5" s="16">
        <v>-100.3</v>
      </c>
      <c r="D5" s="16">
        <v>8.3000000000000007</v>
      </c>
      <c r="F5" t="s">
        <v>4</v>
      </c>
      <c r="G5" s="1">
        <v>11.76807767</v>
      </c>
      <c r="H5">
        <f>C103+(G5-B103)/(B102-B103)*(C102-C103)</f>
        <v>-58.221686454039002</v>
      </c>
    </row>
    <row r="6" spans="1:10" x14ac:dyDescent="0.25">
      <c r="A6" s="15">
        <v>26520</v>
      </c>
      <c r="B6">
        <f t="shared" si="0"/>
        <v>26.52</v>
      </c>
      <c r="C6" s="16">
        <v>-100.3</v>
      </c>
      <c r="D6" s="16">
        <v>7.9</v>
      </c>
      <c r="F6" t="s">
        <v>5</v>
      </c>
      <c r="G6" s="1">
        <v>12.140504849999999</v>
      </c>
      <c r="H6">
        <f>C103+(G6-B103)/(B102-B103)*(C102-C103)</f>
        <v>-59.362828231197767</v>
      </c>
    </row>
    <row r="7" spans="1:10" x14ac:dyDescent="0.25">
      <c r="A7" s="15">
        <v>26370</v>
      </c>
      <c r="B7">
        <f t="shared" si="0"/>
        <v>26.37</v>
      </c>
      <c r="C7" s="16">
        <v>-100.4</v>
      </c>
      <c r="D7" s="16">
        <v>7.6</v>
      </c>
      <c r="F7" t="s">
        <v>6</v>
      </c>
      <c r="G7" s="1">
        <v>12.681927460000001</v>
      </c>
      <c r="H7">
        <f>C99+(G7-B99)/(B98-B99)*(C98-C99)</f>
        <v>-61.173091533333334</v>
      </c>
    </row>
    <row r="8" spans="1:10" x14ac:dyDescent="0.25">
      <c r="A8" s="15">
        <v>26220</v>
      </c>
      <c r="B8">
        <f t="shared" si="0"/>
        <v>26.22</v>
      </c>
      <c r="C8" s="16">
        <v>-100.5</v>
      </c>
      <c r="D8" s="16">
        <v>7.2</v>
      </c>
      <c r="F8" t="s">
        <v>24</v>
      </c>
      <c r="G8" s="1">
        <v>12.90434014</v>
      </c>
      <c r="H8">
        <f>C97+(G8-B97)/(B96-B97)*(C96-C97)</f>
        <v>-61.791573706666675</v>
      </c>
    </row>
    <row r="9" spans="1:10" x14ac:dyDescent="0.25">
      <c r="A9" s="15">
        <v>26070</v>
      </c>
      <c r="B9">
        <f t="shared" si="0"/>
        <v>26.07</v>
      </c>
      <c r="C9" s="16">
        <v>-100.6</v>
      </c>
      <c r="D9" s="16">
        <v>7</v>
      </c>
      <c r="F9" t="s">
        <v>7</v>
      </c>
      <c r="G9" s="1">
        <v>13.4115</v>
      </c>
      <c r="H9">
        <f>C94+(G9-B94)/(B93-B94)*(C93-C94)</f>
        <v>-63.082999999999998</v>
      </c>
    </row>
    <row r="10" spans="1:10" x14ac:dyDescent="0.25">
      <c r="A10" s="15">
        <v>25920</v>
      </c>
      <c r="B10">
        <f t="shared" si="0"/>
        <v>25.92</v>
      </c>
      <c r="C10" s="16">
        <v>-100.7</v>
      </c>
      <c r="D10" s="16">
        <v>6.7</v>
      </c>
      <c r="F10" t="s">
        <v>8</v>
      </c>
      <c r="G10" s="1">
        <v>15.297745450000001</v>
      </c>
      <c r="H10">
        <f>C80+(G10-B81)/(B80-B81)*(C80-C81)</f>
        <v>-71.684969666666674</v>
      </c>
    </row>
    <row r="11" spans="1:10" x14ac:dyDescent="0.25">
      <c r="A11" s="15">
        <v>25770</v>
      </c>
      <c r="B11">
        <f t="shared" si="0"/>
        <v>25.77</v>
      </c>
      <c r="C11" s="16">
        <v>-100.8</v>
      </c>
      <c r="D11" s="16">
        <v>6.4</v>
      </c>
      <c r="F11" t="s">
        <v>9</v>
      </c>
      <c r="G11" s="1">
        <v>17.630333329999999</v>
      </c>
      <c r="H11">
        <f>C65+(G11-B66)/(B65-B66)*(C65-C66)</f>
        <v>-91.856222193333323</v>
      </c>
    </row>
    <row r="12" spans="1:10" x14ac:dyDescent="0.25">
      <c r="A12" s="15">
        <v>25620</v>
      </c>
      <c r="B12">
        <f t="shared" si="0"/>
        <v>25.62</v>
      </c>
      <c r="C12" s="16">
        <v>-100.9</v>
      </c>
      <c r="D12" s="16">
        <v>6.2</v>
      </c>
      <c r="F12" t="s">
        <v>10</v>
      </c>
      <c r="G12" s="1">
        <v>19.789979379999998</v>
      </c>
      <c r="H12">
        <f>C50+(G12-B51)/(B50-B51)*(C50-C51)</f>
        <v>-104.03995875999999</v>
      </c>
    </row>
    <row r="13" spans="1:10" x14ac:dyDescent="0.25">
      <c r="A13" s="15">
        <v>25470</v>
      </c>
      <c r="B13">
        <f t="shared" si="0"/>
        <v>25.47</v>
      </c>
      <c r="C13" s="16">
        <v>-101.1</v>
      </c>
      <c r="D13" s="16">
        <v>5.9</v>
      </c>
      <c r="F13" t="s">
        <v>11</v>
      </c>
      <c r="G13" s="1">
        <v>22.102144330000002</v>
      </c>
      <c r="H13">
        <f>C35+(G13-B35)/(B35-B36)*(C35-C36)</f>
        <v>-104.74523711333333</v>
      </c>
    </row>
    <row r="14" spans="1:10" x14ac:dyDescent="0.25">
      <c r="A14" s="15">
        <v>25320</v>
      </c>
      <c r="B14">
        <f t="shared" si="0"/>
        <v>25.32</v>
      </c>
      <c r="C14" s="16">
        <v>-101.2</v>
      </c>
      <c r="D14" s="16">
        <v>5.7</v>
      </c>
      <c r="F14" t="s">
        <v>12</v>
      </c>
      <c r="G14" s="1">
        <v>26.142461539999999</v>
      </c>
      <c r="H14">
        <f>C8+(G14-B8)/(B8-B9)*(C8-C9)</f>
        <v>-100.55169230666667</v>
      </c>
    </row>
    <row r="15" spans="1:10" x14ac:dyDescent="0.25">
      <c r="A15" s="15">
        <v>25170</v>
      </c>
      <c r="B15">
        <f t="shared" si="0"/>
        <v>25.17</v>
      </c>
      <c r="C15" s="16">
        <v>-101.4</v>
      </c>
      <c r="D15" s="16">
        <v>5.5</v>
      </c>
      <c r="F15" t="s">
        <v>13</v>
      </c>
      <c r="G15" s="1">
        <v>29.47625532</v>
      </c>
      <c r="H15">
        <v>-100</v>
      </c>
    </row>
    <row r="16" spans="1:10" x14ac:dyDescent="0.25">
      <c r="A16" s="15">
        <v>25020</v>
      </c>
      <c r="B16">
        <f t="shared" si="0"/>
        <v>25.02</v>
      </c>
      <c r="C16" s="16">
        <v>-101.6</v>
      </c>
      <c r="D16" s="16">
        <v>5.3</v>
      </c>
      <c r="F16" t="s">
        <v>14</v>
      </c>
      <c r="G16" s="1">
        <v>30.86361905</v>
      </c>
      <c r="H16">
        <v>-100</v>
      </c>
    </row>
    <row r="17" spans="1:8" x14ac:dyDescent="0.25">
      <c r="A17" s="15">
        <v>24870</v>
      </c>
      <c r="B17">
        <f t="shared" si="0"/>
        <v>24.87</v>
      </c>
      <c r="C17" s="16">
        <v>-101.8</v>
      </c>
      <c r="D17" s="16">
        <v>5.2</v>
      </c>
      <c r="F17" t="s">
        <v>15</v>
      </c>
      <c r="G17" s="1">
        <v>31.4960381</v>
      </c>
      <c r="H17">
        <v>-100</v>
      </c>
    </row>
    <row r="18" spans="1:8" x14ac:dyDescent="0.25">
      <c r="A18" s="15">
        <v>24720</v>
      </c>
      <c r="B18">
        <f t="shared" si="0"/>
        <v>24.72</v>
      </c>
      <c r="C18" s="16">
        <v>-102</v>
      </c>
      <c r="D18" s="16">
        <v>5.0999999999999996</v>
      </c>
      <c r="F18" t="s">
        <v>16</v>
      </c>
      <c r="G18" s="1">
        <v>33.121000000000002</v>
      </c>
      <c r="H18">
        <v>-100</v>
      </c>
    </row>
    <row r="19" spans="1:8" x14ac:dyDescent="0.25">
      <c r="A19" s="15">
        <v>24570</v>
      </c>
      <c r="B19">
        <f t="shared" si="0"/>
        <v>24.57</v>
      </c>
      <c r="C19" s="16">
        <v>-102.2</v>
      </c>
      <c r="D19" s="16">
        <v>5.0999999999999996</v>
      </c>
    </row>
    <row r="20" spans="1:8" x14ac:dyDescent="0.25">
      <c r="A20" s="15">
        <v>24420</v>
      </c>
      <c r="B20">
        <f t="shared" si="0"/>
        <v>24.42</v>
      </c>
      <c r="C20" s="16">
        <v>-102.4</v>
      </c>
      <c r="D20" s="16">
        <v>5.2</v>
      </c>
    </row>
    <row r="21" spans="1:8" x14ac:dyDescent="0.25">
      <c r="A21" s="15">
        <v>24270</v>
      </c>
      <c r="B21">
        <f t="shared" si="0"/>
        <v>24.27</v>
      </c>
      <c r="C21" s="16">
        <v>-102.6</v>
      </c>
      <c r="D21" s="16">
        <v>5.4</v>
      </c>
    </row>
    <row r="22" spans="1:8" x14ac:dyDescent="0.25">
      <c r="A22" s="15">
        <v>24120</v>
      </c>
      <c r="B22">
        <f t="shared" si="0"/>
        <v>24.12</v>
      </c>
      <c r="C22" s="16">
        <v>-102.8</v>
      </c>
      <c r="D22" s="16">
        <v>5.7</v>
      </c>
    </row>
    <row r="23" spans="1:8" x14ac:dyDescent="0.25">
      <c r="A23" s="15">
        <v>23970</v>
      </c>
      <c r="B23">
        <f t="shared" si="0"/>
        <v>23.97</v>
      </c>
      <c r="C23" s="16">
        <v>-102.9</v>
      </c>
      <c r="D23" s="16">
        <v>6</v>
      </c>
    </row>
    <row r="24" spans="1:8" x14ac:dyDescent="0.25">
      <c r="A24" s="15">
        <v>23820</v>
      </c>
      <c r="B24">
        <f t="shared" si="0"/>
        <v>23.82</v>
      </c>
      <c r="C24" s="16">
        <v>-103.1</v>
      </c>
      <c r="D24" s="16">
        <v>6.5</v>
      </c>
    </row>
    <row r="25" spans="1:8" x14ac:dyDescent="0.25">
      <c r="A25" s="15">
        <v>23670</v>
      </c>
      <c r="B25">
        <f t="shared" si="0"/>
        <v>23.67</v>
      </c>
      <c r="C25" s="16">
        <v>-103.3</v>
      </c>
      <c r="D25" s="16">
        <v>6.9</v>
      </c>
    </row>
    <row r="26" spans="1:8" x14ac:dyDescent="0.25">
      <c r="A26" s="15">
        <v>23520</v>
      </c>
      <c r="B26">
        <f t="shared" si="0"/>
        <v>23.52</v>
      </c>
      <c r="C26" s="16">
        <v>-103.5</v>
      </c>
      <c r="D26" s="16">
        <v>7.4</v>
      </c>
    </row>
    <row r="27" spans="1:8" x14ac:dyDescent="0.25">
      <c r="A27" s="15">
        <v>23370</v>
      </c>
      <c r="B27">
        <f t="shared" si="0"/>
        <v>23.37</v>
      </c>
      <c r="C27" s="16">
        <v>-103.6</v>
      </c>
      <c r="D27" s="16">
        <v>7.8</v>
      </c>
    </row>
    <row r="28" spans="1:8" x14ac:dyDescent="0.25">
      <c r="A28" s="15">
        <v>23220</v>
      </c>
      <c r="B28">
        <f t="shared" si="0"/>
        <v>23.22</v>
      </c>
      <c r="C28" s="16">
        <v>-103.8</v>
      </c>
      <c r="D28" s="16">
        <v>8.3000000000000007</v>
      </c>
    </row>
    <row r="29" spans="1:8" x14ac:dyDescent="0.25">
      <c r="A29" s="15">
        <v>23070</v>
      </c>
      <c r="B29">
        <f t="shared" si="0"/>
        <v>23.07</v>
      </c>
      <c r="C29" s="16">
        <v>-103.9</v>
      </c>
      <c r="D29" s="16">
        <v>8.6999999999999993</v>
      </c>
    </row>
    <row r="30" spans="1:8" x14ac:dyDescent="0.25">
      <c r="A30" s="15">
        <v>22920</v>
      </c>
      <c r="B30">
        <f t="shared" si="0"/>
        <v>22.92</v>
      </c>
      <c r="C30" s="16">
        <v>-104.1</v>
      </c>
      <c r="D30" s="16">
        <v>9.1</v>
      </c>
    </row>
    <row r="31" spans="1:8" x14ac:dyDescent="0.25">
      <c r="A31" s="15">
        <v>22770</v>
      </c>
      <c r="B31">
        <f t="shared" si="0"/>
        <v>22.77</v>
      </c>
      <c r="C31" s="16">
        <v>-104.2</v>
      </c>
      <c r="D31" s="16">
        <v>9.5</v>
      </c>
    </row>
    <row r="32" spans="1:8" x14ac:dyDescent="0.25">
      <c r="A32" s="15">
        <v>22620</v>
      </c>
      <c r="B32">
        <f t="shared" si="0"/>
        <v>22.62</v>
      </c>
      <c r="C32" s="16">
        <v>-104.4</v>
      </c>
      <c r="D32" s="16">
        <v>9.8000000000000007</v>
      </c>
    </row>
    <row r="33" spans="1:4" x14ac:dyDescent="0.25">
      <c r="A33" s="15">
        <v>22470</v>
      </c>
      <c r="B33">
        <f t="shared" si="0"/>
        <v>22.47</v>
      </c>
      <c r="C33" s="16">
        <v>-104.5</v>
      </c>
      <c r="D33" s="16">
        <v>10.1</v>
      </c>
    </row>
    <row r="34" spans="1:4" x14ac:dyDescent="0.25">
      <c r="A34" s="15">
        <v>22320</v>
      </c>
      <c r="B34">
        <f t="shared" si="0"/>
        <v>22.32</v>
      </c>
      <c r="C34" s="16">
        <v>-104.6</v>
      </c>
      <c r="D34" s="16">
        <v>10.4</v>
      </c>
    </row>
    <row r="35" spans="1:4" x14ac:dyDescent="0.25">
      <c r="A35" s="15">
        <v>22170</v>
      </c>
      <c r="B35">
        <f t="shared" si="0"/>
        <v>22.17</v>
      </c>
      <c r="C35" s="16">
        <v>-104.7</v>
      </c>
      <c r="D35" s="16">
        <v>10.6</v>
      </c>
    </row>
    <row r="36" spans="1:4" x14ac:dyDescent="0.25">
      <c r="A36" s="15">
        <v>22020</v>
      </c>
      <c r="B36">
        <f t="shared" ref="B36:B67" si="1">A36/1000</f>
        <v>22.02</v>
      </c>
      <c r="C36" s="16">
        <v>-104.8</v>
      </c>
      <c r="D36" s="16">
        <v>10.8</v>
      </c>
    </row>
    <row r="37" spans="1:4" x14ac:dyDescent="0.25">
      <c r="A37" s="15">
        <v>21870</v>
      </c>
      <c r="B37">
        <f t="shared" si="1"/>
        <v>21.87</v>
      </c>
      <c r="C37" s="16">
        <v>-104.9</v>
      </c>
      <c r="D37" s="16">
        <v>10.9</v>
      </c>
    </row>
    <row r="38" spans="1:4" x14ac:dyDescent="0.25">
      <c r="A38" s="15">
        <v>21720</v>
      </c>
      <c r="B38">
        <f t="shared" si="1"/>
        <v>21.72</v>
      </c>
      <c r="C38" s="16">
        <v>-105</v>
      </c>
      <c r="D38" s="16">
        <v>11</v>
      </c>
    </row>
    <row r="39" spans="1:4" x14ac:dyDescent="0.25">
      <c r="A39" s="15">
        <v>21570</v>
      </c>
      <c r="B39">
        <f t="shared" si="1"/>
        <v>21.57</v>
      </c>
      <c r="C39" s="16">
        <v>-105.1</v>
      </c>
      <c r="D39" s="16">
        <v>11</v>
      </c>
    </row>
    <row r="40" spans="1:4" x14ac:dyDescent="0.25">
      <c r="A40" s="15">
        <v>21420</v>
      </c>
      <c r="B40">
        <f t="shared" si="1"/>
        <v>21.42</v>
      </c>
      <c r="C40" s="16">
        <v>-105.1</v>
      </c>
      <c r="D40" s="16">
        <v>10.9</v>
      </c>
    </row>
    <row r="41" spans="1:4" x14ac:dyDescent="0.25">
      <c r="A41" s="15">
        <v>21270</v>
      </c>
      <c r="B41">
        <f t="shared" si="1"/>
        <v>21.27</v>
      </c>
      <c r="C41" s="16">
        <v>-105.1</v>
      </c>
      <c r="D41" s="16">
        <v>10.8</v>
      </c>
    </row>
    <row r="42" spans="1:4" x14ac:dyDescent="0.25">
      <c r="A42" s="15">
        <v>21120</v>
      </c>
      <c r="B42">
        <f t="shared" si="1"/>
        <v>21.12</v>
      </c>
      <c r="C42" s="16">
        <v>-105.1</v>
      </c>
      <c r="D42" s="16">
        <v>10.6</v>
      </c>
    </row>
    <row r="43" spans="1:4" x14ac:dyDescent="0.25">
      <c r="A43" s="15">
        <v>20970</v>
      </c>
      <c r="B43">
        <f t="shared" si="1"/>
        <v>20.97</v>
      </c>
      <c r="C43" s="16">
        <v>-105.1</v>
      </c>
      <c r="D43" s="16">
        <v>10.4</v>
      </c>
    </row>
    <row r="44" spans="1:4" x14ac:dyDescent="0.25">
      <c r="A44" s="15">
        <v>20820</v>
      </c>
      <c r="B44">
        <f t="shared" si="1"/>
        <v>20.82</v>
      </c>
      <c r="C44" s="16">
        <v>-105.1</v>
      </c>
      <c r="D44" s="16">
        <v>10.1</v>
      </c>
    </row>
    <row r="45" spans="1:4" x14ac:dyDescent="0.25">
      <c r="A45" s="15">
        <v>20670</v>
      </c>
      <c r="B45">
        <f t="shared" si="1"/>
        <v>20.67</v>
      </c>
      <c r="C45" s="16">
        <v>-105</v>
      </c>
      <c r="D45" s="16">
        <v>9.8000000000000007</v>
      </c>
    </row>
    <row r="46" spans="1:4" x14ac:dyDescent="0.25">
      <c r="A46" s="15">
        <v>20520</v>
      </c>
      <c r="B46">
        <f t="shared" si="1"/>
        <v>20.52</v>
      </c>
      <c r="C46" s="16">
        <v>-104.9</v>
      </c>
      <c r="D46" s="16">
        <v>9.4</v>
      </c>
    </row>
    <row r="47" spans="1:4" x14ac:dyDescent="0.25">
      <c r="A47" s="15">
        <v>20370</v>
      </c>
      <c r="B47">
        <f t="shared" si="1"/>
        <v>20.37</v>
      </c>
      <c r="C47" s="16">
        <v>-104.8</v>
      </c>
      <c r="D47" s="16">
        <v>9</v>
      </c>
    </row>
    <row r="48" spans="1:4" x14ac:dyDescent="0.25">
      <c r="A48" s="15">
        <v>20220</v>
      </c>
      <c r="B48">
        <f t="shared" si="1"/>
        <v>20.22</v>
      </c>
      <c r="C48" s="16">
        <v>-104.6</v>
      </c>
      <c r="D48" s="16">
        <v>8.6</v>
      </c>
    </row>
    <row r="49" spans="1:4" x14ac:dyDescent="0.25">
      <c r="A49" s="15">
        <v>20070</v>
      </c>
      <c r="B49">
        <f t="shared" si="1"/>
        <v>20.07</v>
      </c>
      <c r="C49" s="16">
        <v>-104.3</v>
      </c>
      <c r="D49" s="16">
        <v>8.1999999999999993</v>
      </c>
    </row>
    <row r="50" spans="1:4" x14ac:dyDescent="0.25">
      <c r="A50" s="15">
        <v>19920</v>
      </c>
      <c r="B50">
        <f t="shared" si="1"/>
        <v>19.920000000000002</v>
      </c>
      <c r="C50" s="16">
        <v>-104</v>
      </c>
      <c r="D50" s="16">
        <v>7.7</v>
      </c>
    </row>
    <row r="51" spans="1:4" x14ac:dyDescent="0.25">
      <c r="A51" s="15">
        <v>19770</v>
      </c>
      <c r="B51">
        <f t="shared" si="1"/>
        <v>19.77</v>
      </c>
      <c r="C51" s="16">
        <v>-103.7</v>
      </c>
      <c r="D51" s="16">
        <v>7.3</v>
      </c>
    </row>
    <row r="52" spans="1:4" x14ac:dyDescent="0.25">
      <c r="A52" s="15">
        <v>19620</v>
      </c>
      <c r="B52">
        <f t="shared" si="1"/>
        <v>19.62</v>
      </c>
      <c r="C52" s="16">
        <v>-103.2</v>
      </c>
      <c r="D52" s="16">
        <v>7</v>
      </c>
    </row>
    <row r="53" spans="1:4" x14ac:dyDescent="0.25">
      <c r="A53" s="15">
        <v>19470</v>
      </c>
      <c r="B53">
        <f t="shared" si="1"/>
        <v>19.47</v>
      </c>
      <c r="C53" s="16">
        <v>-102.7</v>
      </c>
      <c r="D53" s="16">
        <v>6.6</v>
      </c>
    </row>
    <row r="54" spans="1:4" x14ac:dyDescent="0.25">
      <c r="A54" s="15">
        <v>19320</v>
      </c>
      <c r="B54">
        <f t="shared" si="1"/>
        <v>19.32</v>
      </c>
      <c r="C54" s="16">
        <v>-102.1</v>
      </c>
      <c r="D54" s="16">
        <v>6.4</v>
      </c>
    </row>
    <row r="55" spans="1:4" x14ac:dyDescent="0.25">
      <c r="A55" s="15">
        <v>19170</v>
      </c>
      <c r="B55">
        <f t="shared" si="1"/>
        <v>19.170000000000002</v>
      </c>
      <c r="C55" s="16">
        <v>-101.4</v>
      </c>
      <c r="D55" s="16">
        <v>6.3</v>
      </c>
    </row>
    <row r="56" spans="1:4" x14ac:dyDescent="0.25">
      <c r="A56" s="15">
        <v>19020</v>
      </c>
      <c r="B56">
        <f t="shared" si="1"/>
        <v>19.02</v>
      </c>
      <c r="C56" s="16">
        <v>-100.7</v>
      </c>
      <c r="D56" s="16">
        <v>6.3</v>
      </c>
    </row>
    <row r="57" spans="1:4" x14ac:dyDescent="0.25">
      <c r="A57" s="15">
        <v>18870</v>
      </c>
      <c r="B57">
        <f t="shared" si="1"/>
        <v>18.87</v>
      </c>
      <c r="C57" s="16">
        <v>-99.9</v>
      </c>
      <c r="D57" s="16">
        <v>6.4</v>
      </c>
    </row>
    <row r="58" spans="1:4" x14ac:dyDescent="0.25">
      <c r="A58" s="15">
        <v>18720</v>
      </c>
      <c r="B58">
        <f t="shared" si="1"/>
        <v>18.72</v>
      </c>
      <c r="C58" s="16">
        <v>-99</v>
      </c>
      <c r="D58" s="16">
        <v>6.6</v>
      </c>
    </row>
    <row r="59" spans="1:4" x14ac:dyDescent="0.25">
      <c r="A59" s="15">
        <v>18570</v>
      </c>
      <c r="B59">
        <f t="shared" si="1"/>
        <v>18.57</v>
      </c>
      <c r="C59" s="16">
        <v>-98</v>
      </c>
      <c r="D59" s="16">
        <v>6.9</v>
      </c>
    </row>
    <row r="60" spans="1:4" x14ac:dyDescent="0.25">
      <c r="A60" s="15">
        <v>18420</v>
      </c>
      <c r="B60">
        <f t="shared" si="1"/>
        <v>18.420000000000002</v>
      </c>
      <c r="C60" s="16">
        <v>-96.9</v>
      </c>
      <c r="D60" s="16">
        <v>7.2</v>
      </c>
    </row>
    <row r="61" spans="1:4" x14ac:dyDescent="0.25">
      <c r="A61" s="15">
        <v>18270</v>
      </c>
      <c r="B61">
        <f t="shared" si="1"/>
        <v>18.27</v>
      </c>
      <c r="C61" s="16">
        <v>-95.8</v>
      </c>
      <c r="D61" s="16">
        <v>7.5</v>
      </c>
    </row>
    <row r="62" spans="1:4" x14ac:dyDescent="0.25">
      <c r="A62" s="15">
        <v>18120</v>
      </c>
      <c r="B62">
        <f t="shared" si="1"/>
        <v>18.12</v>
      </c>
      <c r="C62" s="16">
        <v>-94.7</v>
      </c>
      <c r="D62" s="16">
        <v>7.9</v>
      </c>
    </row>
    <row r="63" spans="1:4" x14ac:dyDescent="0.25">
      <c r="A63" s="15">
        <v>17970</v>
      </c>
      <c r="B63">
        <f t="shared" si="1"/>
        <v>17.97</v>
      </c>
      <c r="C63" s="16">
        <v>-93.4</v>
      </c>
      <c r="D63" s="16">
        <v>8.1999999999999993</v>
      </c>
    </row>
    <row r="64" spans="1:4" x14ac:dyDescent="0.25">
      <c r="A64" s="15">
        <v>17820</v>
      </c>
      <c r="B64">
        <f t="shared" si="1"/>
        <v>17.82</v>
      </c>
      <c r="C64" s="16">
        <v>-92.2</v>
      </c>
      <c r="D64" s="16">
        <v>8.5</v>
      </c>
    </row>
    <row r="65" spans="1:4" x14ac:dyDescent="0.25">
      <c r="A65" s="15">
        <v>17670</v>
      </c>
      <c r="B65">
        <f t="shared" si="1"/>
        <v>17.670000000000002</v>
      </c>
      <c r="C65" s="16">
        <v>-90.9</v>
      </c>
      <c r="D65" s="16">
        <v>8.8000000000000007</v>
      </c>
    </row>
    <row r="66" spans="1:4" x14ac:dyDescent="0.25">
      <c r="A66" s="15">
        <v>17520</v>
      </c>
      <c r="B66">
        <f t="shared" si="1"/>
        <v>17.52</v>
      </c>
      <c r="C66" s="16">
        <v>-89.6</v>
      </c>
      <c r="D66" s="16">
        <v>9</v>
      </c>
    </row>
    <row r="67" spans="1:4" x14ac:dyDescent="0.25">
      <c r="A67" s="15">
        <v>17370</v>
      </c>
      <c r="B67">
        <f t="shared" si="1"/>
        <v>17.37</v>
      </c>
      <c r="C67" s="16">
        <v>-88.2</v>
      </c>
      <c r="D67" s="16">
        <v>9.1999999999999993</v>
      </c>
    </row>
    <row r="68" spans="1:4" x14ac:dyDescent="0.25">
      <c r="A68" s="15">
        <v>17220</v>
      </c>
      <c r="B68">
        <f t="shared" ref="B68:B99" si="2">A68/1000</f>
        <v>17.22</v>
      </c>
      <c r="C68" s="16">
        <v>-86.9</v>
      </c>
      <c r="D68" s="16">
        <v>9.4</v>
      </c>
    </row>
    <row r="69" spans="1:4" x14ac:dyDescent="0.25">
      <c r="A69" s="15">
        <v>17070</v>
      </c>
      <c r="B69">
        <f t="shared" si="2"/>
        <v>17.07</v>
      </c>
      <c r="C69" s="16">
        <v>-85.5</v>
      </c>
      <c r="D69" s="16">
        <v>9.5</v>
      </c>
    </row>
    <row r="70" spans="1:4" x14ac:dyDescent="0.25">
      <c r="A70" s="15">
        <v>16920</v>
      </c>
      <c r="B70">
        <f t="shared" si="2"/>
        <v>16.920000000000002</v>
      </c>
      <c r="C70" s="16">
        <v>-84.2</v>
      </c>
      <c r="D70" s="16">
        <v>9.5</v>
      </c>
    </row>
    <row r="71" spans="1:4" x14ac:dyDescent="0.25">
      <c r="A71" s="15">
        <v>16770</v>
      </c>
      <c r="B71">
        <f t="shared" si="2"/>
        <v>16.77</v>
      </c>
      <c r="C71" s="16">
        <v>-82.8</v>
      </c>
      <c r="D71" s="16">
        <v>9.5</v>
      </c>
    </row>
    <row r="72" spans="1:4" x14ac:dyDescent="0.25">
      <c r="A72" s="15">
        <v>16620</v>
      </c>
      <c r="B72">
        <f t="shared" si="2"/>
        <v>16.62</v>
      </c>
      <c r="C72" s="16">
        <v>-81.5</v>
      </c>
      <c r="D72" s="16">
        <v>9.4</v>
      </c>
    </row>
    <row r="73" spans="1:4" x14ac:dyDescent="0.25">
      <c r="A73" s="15">
        <v>16470</v>
      </c>
      <c r="B73">
        <f t="shared" si="2"/>
        <v>16.47</v>
      </c>
      <c r="C73" s="16">
        <v>-80.099999999999994</v>
      </c>
      <c r="D73" s="16">
        <v>9.3000000000000007</v>
      </c>
    </row>
    <row r="74" spans="1:4" x14ac:dyDescent="0.25">
      <c r="A74" s="15">
        <v>16320</v>
      </c>
      <c r="B74">
        <f t="shared" si="2"/>
        <v>16.32</v>
      </c>
      <c r="C74" s="16">
        <v>-78.8</v>
      </c>
      <c r="D74" s="16">
        <v>9.1999999999999993</v>
      </c>
    </row>
    <row r="75" spans="1:4" x14ac:dyDescent="0.25">
      <c r="A75" s="15">
        <v>16170</v>
      </c>
      <c r="B75">
        <f t="shared" si="2"/>
        <v>16.170000000000002</v>
      </c>
      <c r="C75" s="16">
        <v>-77.5</v>
      </c>
      <c r="D75" s="16">
        <v>9</v>
      </c>
    </row>
    <row r="76" spans="1:4" x14ac:dyDescent="0.25">
      <c r="A76" s="15">
        <v>16020</v>
      </c>
      <c r="B76">
        <f t="shared" si="2"/>
        <v>16.02</v>
      </c>
      <c r="C76" s="16">
        <v>-76.2</v>
      </c>
      <c r="D76" s="16">
        <v>8.6999999999999993</v>
      </c>
    </row>
    <row r="77" spans="1:4" x14ac:dyDescent="0.25">
      <c r="A77" s="15">
        <v>15870</v>
      </c>
      <c r="B77">
        <f t="shared" si="2"/>
        <v>15.87</v>
      </c>
      <c r="C77" s="16">
        <v>-75</v>
      </c>
      <c r="D77" s="16">
        <v>8.4</v>
      </c>
    </row>
    <row r="78" spans="1:4" x14ac:dyDescent="0.25">
      <c r="A78" s="15">
        <v>15720</v>
      </c>
      <c r="B78">
        <f t="shared" si="2"/>
        <v>15.72</v>
      </c>
      <c r="C78" s="16">
        <v>-73.8</v>
      </c>
      <c r="D78" s="16">
        <v>8</v>
      </c>
    </row>
    <row r="79" spans="1:4" x14ac:dyDescent="0.25">
      <c r="A79" s="15">
        <v>15570</v>
      </c>
      <c r="B79">
        <f t="shared" si="2"/>
        <v>15.57</v>
      </c>
      <c r="C79" s="16">
        <v>-72.599999999999994</v>
      </c>
      <c r="D79" s="16">
        <v>7.6</v>
      </c>
    </row>
    <row r="80" spans="1:4" x14ac:dyDescent="0.25">
      <c r="A80" s="15">
        <v>15420</v>
      </c>
      <c r="B80">
        <f t="shared" si="2"/>
        <v>15.42</v>
      </c>
      <c r="C80" s="16">
        <v>-71.5</v>
      </c>
      <c r="D80" s="16">
        <v>7.2</v>
      </c>
    </row>
    <row r="81" spans="1:4" x14ac:dyDescent="0.25">
      <c r="A81" s="15">
        <v>15270</v>
      </c>
      <c r="B81">
        <f t="shared" si="2"/>
        <v>15.27</v>
      </c>
      <c r="C81" s="16">
        <v>-70.5</v>
      </c>
      <c r="D81" s="16">
        <v>6.7</v>
      </c>
    </row>
    <row r="82" spans="1:4" x14ac:dyDescent="0.25">
      <c r="A82" s="15">
        <v>15120</v>
      </c>
      <c r="B82">
        <f t="shared" si="2"/>
        <v>15.12</v>
      </c>
      <c r="C82" s="16">
        <v>-69.5</v>
      </c>
      <c r="D82" s="16">
        <v>6.2</v>
      </c>
    </row>
    <row r="83" spans="1:4" x14ac:dyDescent="0.25">
      <c r="A83" s="15">
        <v>14970</v>
      </c>
      <c r="B83">
        <f t="shared" si="2"/>
        <v>14.97</v>
      </c>
      <c r="C83" s="16">
        <v>-68.599999999999994</v>
      </c>
      <c r="D83" s="16">
        <v>5.7</v>
      </c>
    </row>
    <row r="84" spans="1:4" x14ac:dyDescent="0.25">
      <c r="A84" s="15">
        <v>14820</v>
      </c>
      <c r="B84">
        <f t="shared" si="2"/>
        <v>14.82</v>
      </c>
      <c r="C84" s="16">
        <v>-67.8</v>
      </c>
      <c r="D84" s="16">
        <v>5.0999999999999996</v>
      </c>
    </row>
    <row r="85" spans="1:4" x14ac:dyDescent="0.25">
      <c r="A85" s="15">
        <v>14670</v>
      </c>
      <c r="B85">
        <f t="shared" si="2"/>
        <v>14.67</v>
      </c>
      <c r="C85" s="16">
        <v>-67</v>
      </c>
      <c r="D85" s="16">
        <v>4.5999999999999996</v>
      </c>
    </row>
    <row r="86" spans="1:4" x14ac:dyDescent="0.25">
      <c r="A86" s="15">
        <v>14520</v>
      </c>
      <c r="B86">
        <f t="shared" si="2"/>
        <v>14.52</v>
      </c>
      <c r="C86" s="16">
        <v>-66.3</v>
      </c>
      <c r="D86" s="16">
        <v>4</v>
      </c>
    </row>
    <row r="87" spans="1:4" x14ac:dyDescent="0.25">
      <c r="A87" s="15">
        <v>14370</v>
      </c>
      <c r="B87">
        <f t="shared" si="2"/>
        <v>14.37</v>
      </c>
      <c r="C87" s="16">
        <v>-65.7</v>
      </c>
      <c r="D87" s="16">
        <v>3.5</v>
      </c>
    </row>
    <row r="88" spans="1:4" x14ac:dyDescent="0.25">
      <c r="A88" s="15">
        <v>14220</v>
      </c>
      <c r="B88">
        <f t="shared" si="2"/>
        <v>14.22</v>
      </c>
      <c r="C88" s="16">
        <v>-65.2</v>
      </c>
      <c r="D88" s="16">
        <v>3</v>
      </c>
    </row>
    <row r="89" spans="1:4" x14ac:dyDescent="0.25">
      <c r="A89" s="15">
        <v>14070</v>
      </c>
      <c r="B89">
        <f t="shared" si="2"/>
        <v>14.07</v>
      </c>
      <c r="C89" s="16">
        <v>-64.7</v>
      </c>
      <c r="D89" s="16">
        <v>2.6</v>
      </c>
    </row>
    <row r="90" spans="1:4" x14ac:dyDescent="0.25">
      <c r="A90" s="15">
        <v>13920</v>
      </c>
      <c r="B90">
        <f t="shared" si="2"/>
        <v>13.92</v>
      </c>
      <c r="C90" s="16">
        <v>-64.3</v>
      </c>
      <c r="D90" s="16">
        <v>2.2000000000000002</v>
      </c>
    </row>
    <row r="91" spans="1:4" x14ac:dyDescent="0.25">
      <c r="A91" s="15">
        <v>13770</v>
      </c>
      <c r="B91">
        <f t="shared" si="2"/>
        <v>13.77</v>
      </c>
      <c r="C91" s="16">
        <v>-63.9</v>
      </c>
      <c r="D91" s="16">
        <v>1.9</v>
      </c>
    </row>
    <row r="92" spans="1:4" x14ac:dyDescent="0.25">
      <c r="A92" s="15">
        <v>13620</v>
      </c>
      <c r="B92">
        <f t="shared" si="2"/>
        <v>13.62</v>
      </c>
      <c r="C92" s="16">
        <v>-63.5</v>
      </c>
      <c r="D92" s="16">
        <v>1.7</v>
      </c>
    </row>
    <row r="93" spans="1:4" x14ac:dyDescent="0.25">
      <c r="A93" s="15">
        <v>13470</v>
      </c>
      <c r="B93">
        <f t="shared" si="2"/>
        <v>13.47</v>
      </c>
      <c r="C93" s="16">
        <v>-63.2</v>
      </c>
      <c r="D93" s="16">
        <v>1.6</v>
      </c>
    </row>
    <row r="94" spans="1:4" x14ac:dyDescent="0.25">
      <c r="A94" s="15">
        <v>13320</v>
      </c>
      <c r="B94">
        <f t="shared" si="2"/>
        <v>13.32</v>
      </c>
      <c r="C94" s="16">
        <v>-62.9</v>
      </c>
      <c r="D94" s="16">
        <v>1.5</v>
      </c>
    </row>
    <row r="95" spans="1:4" x14ac:dyDescent="0.25">
      <c r="A95" s="15">
        <v>13170</v>
      </c>
      <c r="B95">
        <f t="shared" si="2"/>
        <v>13.17</v>
      </c>
      <c r="C95" s="16">
        <v>-62.5</v>
      </c>
      <c r="D95" s="16">
        <v>1.5</v>
      </c>
    </row>
    <row r="96" spans="1:4" x14ac:dyDescent="0.25">
      <c r="A96" s="15">
        <v>13020</v>
      </c>
      <c r="B96">
        <f t="shared" si="2"/>
        <v>13.02</v>
      </c>
      <c r="C96" s="16">
        <v>-62.1</v>
      </c>
      <c r="D96" s="16">
        <v>1.5</v>
      </c>
    </row>
    <row r="97" spans="1:4" x14ac:dyDescent="0.25">
      <c r="A97" s="15">
        <v>12870</v>
      </c>
      <c r="B97">
        <f t="shared" si="2"/>
        <v>12.87</v>
      </c>
      <c r="C97" s="16">
        <v>-61.7</v>
      </c>
      <c r="D97" s="16">
        <v>1.5</v>
      </c>
    </row>
    <row r="98" spans="1:4" x14ac:dyDescent="0.25">
      <c r="A98" s="15">
        <v>12720</v>
      </c>
      <c r="B98">
        <f t="shared" si="2"/>
        <v>12.72</v>
      </c>
      <c r="C98" s="16">
        <v>-61.3</v>
      </c>
      <c r="D98" s="16">
        <v>1.6</v>
      </c>
    </row>
    <row r="99" spans="1:4" x14ac:dyDescent="0.25">
      <c r="A99" s="15">
        <v>12570</v>
      </c>
      <c r="B99">
        <f t="shared" si="2"/>
        <v>12.57</v>
      </c>
      <c r="C99" s="16">
        <v>-60.8</v>
      </c>
      <c r="D99" s="16">
        <v>1.7</v>
      </c>
    </row>
    <row r="100" spans="1:4" x14ac:dyDescent="0.25">
      <c r="A100" s="15">
        <v>12420</v>
      </c>
      <c r="B100">
        <f t="shared" ref="B100:B103" si="3">A100/1000</f>
        <v>12.42</v>
      </c>
      <c r="C100" s="16">
        <v>-60.3</v>
      </c>
      <c r="D100" s="16">
        <v>1.9</v>
      </c>
    </row>
    <row r="101" spans="1:4" x14ac:dyDescent="0.25">
      <c r="A101" s="15">
        <v>12270</v>
      </c>
      <c r="B101">
        <f t="shared" si="3"/>
        <v>12.27</v>
      </c>
      <c r="C101" s="16">
        <v>-59.8</v>
      </c>
      <c r="D101" s="16">
        <v>2.2000000000000002</v>
      </c>
    </row>
    <row r="102" spans="1:4" x14ac:dyDescent="0.25">
      <c r="A102" s="15">
        <v>12120</v>
      </c>
      <c r="B102">
        <f t="shared" si="3"/>
        <v>12.12</v>
      </c>
      <c r="C102" s="16">
        <v>-59.3</v>
      </c>
      <c r="D102" s="16">
        <v>2.6</v>
      </c>
    </row>
    <row r="103" spans="1:4" x14ac:dyDescent="0.25">
      <c r="A103" s="15">
        <v>11402</v>
      </c>
      <c r="B103">
        <f t="shared" si="3"/>
        <v>11.401999999999999</v>
      </c>
      <c r="C103" s="16">
        <v>-57.1</v>
      </c>
      <c r="D103" s="16">
        <v>5.7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0BAB-2794-4083-AF62-66D486594BBA}">
  <dimension ref="A1:J10"/>
  <sheetViews>
    <sheetView workbookViewId="0">
      <selection activeCell="O16" sqref="O16"/>
    </sheetView>
  </sheetViews>
  <sheetFormatPr defaultRowHeight="15" x14ac:dyDescent="0.25"/>
  <sheetData>
    <row r="1" spans="1:10" x14ac:dyDescent="0.25"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84</v>
      </c>
      <c r="J1" t="s">
        <v>174</v>
      </c>
    </row>
    <row r="2" spans="1:10" x14ac:dyDescent="0.25">
      <c r="A2" t="s">
        <v>167</v>
      </c>
      <c r="C2">
        <v>4.0516000000000003E-2</v>
      </c>
      <c r="D2" s="18">
        <v>2.8710999999999999E-6</v>
      </c>
      <c r="E2">
        <v>0.55381000000000002</v>
      </c>
      <c r="F2">
        <v>9.3488000000000002E-2</v>
      </c>
      <c r="G2">
        <v>3.2680999999999999E-3</v>
      </c>
      <c r="H2">
        <v>1.7556E-3</v>
      </c>
      <c r="I2">
        <v>0.53663000000000005</v>
      </c>
      <c r="J2">
        <v>0.37551000000000001</v>
      </c>
    </row>
    <row r="3" spans="1:10" x14ac:dyDescent="0.25">
      <c r="A3" t="s">
        <v>168</v>
      </c>
      <c r="B3">
        <v>-0.53356999999999999</v>
      </c>
      <c r="D3">
        <v>8.0421999999999993E-2</v>
      </c>
      <c r="E3">
        <v>0.71289000000000002</v>
      </c>
      <c r="F3">
        <v>0.48616999999999999</v>
      </c>
      <c r="G3">
        <v>0.24182999999999999</v>
      </c>
      <c r="H3">
        <v>3.7108000000000002E-2</v>
      </c>
      <c r="I3">
        <v>0.17426</v>
      </c>
      <c r="J3">
        <v>0.20502999999999999</v>
      </c>
    </row>
    <row r="4" spans="1:10" x14ac:dyDescent="0.25">
      <c r="A4" t="s">
        <v>169</v>
      </c>
      <c r="B4">
        <v>0.90810000000000002</v>
      </c>
      <c r="C4">
        <v>-0.46540999999999999</v>
      </c>
      <c r="E4">
        <v>0.61341999999999997</v>
      </c>
      <c r="F4">
        <v>0.64122999999999997</v>
      </c>
      <c r="G4">
        <v>1.0259000000000001E-2</v>
      </c>
      <c r="H4">
        <v>8.5932999999999995E-2</v>
      </c>
      <c r="I4">
        <v>0.63656000000000001</v>
      </c>
      <c r="J4">
        <v>0.76651000000000002</v>
      </c>
    </row>
    <row r="5" spans="1:10" x14ac:dyDescent="0.25">
      <c r="A5" t="s">
        <v>170</v>
      </c>
      <c r="B5">
        <v>-0.16622000000000001</v>
      </c>
      <c r="C5">
        <v>0.10376000000000001</v>
      </c>
      <c r="D5">
        <v>0.14210999999999999</v>
      </c>
      <c r="F5" s="18">
        <v>1.4177E-6</v>
      </c>
      <c r="G5">
        <v>0.53274999999999995</v>
      </c>
      <c r="H5">
        <v>3.0479000000000001E-3</v>
      </c>
      <c r="I5">
        <v>2.2793999999999998E-2</v>
      </c>
      <c r="J5">
        <v>5.1645E-4</v>
      </c>
    </row>
    <row r="6" spans="1:10" x14ac:dyDescent="0.25">
      <c r="A6" t="s">
        <v>171</v>
      </c>
      <c r="B6">
        <v>0.44862000000000002</v>
      </c>
      <c r="C6">
        <v>-0.19499</v>
      </c>
      <c r="D6">
        <v>0.13117000000000001</v>
      </c>
      <c r="E6">
        <v>-0.91786000000000001</v>
      </c>
      <c r="G6">
        <v>0.20094999999999999</v>
      </c>
      <c r="H6">
        <v>1.3889999999999999E-4</v>
      </c>
      <c r="I6">
        <v>4.7721999999999999E-3</v>
      </c>
      <c r="J6">
        <v>7.5688000000000003E-4</v>
      </c>
    </row>
    <row r="7" spans="1:10" x14ac:dyDescent="0.25">
      <c r="A7" t="s">
        <v>172</v>
      </c>
      <c r="B7">
        <v>-0.70599000000000001</v>
      </c>
      <c r="C7">
        <v>0.32200000000000001</v>
      </c>
      <c r="D7">
        <v>-0.63946999999999998</v>
      </c>
      <c r="E7">
        <v>0.17499999999999999</v>
      </c>
      <c r="F7">
        <v>-0.35</v>
      </c>
      <c r="H7">
        <v>4.9190999999999999E-2</v>
      </c>
      <c r="I7">
        <v>0.89944999999999997</v>
      </c>
      <c r="J7">
        <v>0.67571000000000003</v>
      </c>
    </row>
    <row r="8" spans="1:10" x14ac:dyDescent="0.25">
      <c r="A8" t="s">
        <v>173</v>
      </c>
      <c r="B8">
        <v>0.73607999999999996</v>
      </c>
      <c r="C8">
        <v>-0.54144999999999999</v>
      </c>
      <c r="D8">
        <v>0.45810000000000001</v>
      </c>
      <c r="E8">
        <v>-0.70955999999999997</v>
      </c>
      <c r="F8">
        <v>0.82781000000000005</v>
      </c>
      <c r="G8">
        <v>-0.51554</v>
      </c>
      <c r="I8">
        <v>3.8698000000000003E-2</v>
      </c>
      <c r="J8">
        <v>2.5322999999999999E-3</v>
      </c>
    </row>
    <row r="9" spans="1:10" x14ac:dyDescent="0.25">
      <c r="A9" t="s">
        <v>84</v>
      </c>
      <c r="B9">
        <v>0.17337</v>
      </c>
      <c r="C9">
        <v>-0.37030000000000002</v>
      </c>
      <c r="D9">
        <v>-0.13300000000000001</v>
      </c>
      <c r="E9">
        <v>-0.58213999999999999</v>
      </c>
      <c r="F9">
        <v>0.68571000000000004</v>
      </c>
      <c r="G9">
        <v>-3.5714000000000003E-2</v>
      </c>
      <c r="H9">
        <v>0.53771000000000002</v>
      </c>
      <c r="J9">
        <v>8.2932999999999998E-4</v>
      </c>
    </row>
    <row r="10" spans="1:10" x14ac:dyDescent="0.25">
      <c r="A10" t="s">
        <v>174</v>
      </c>
      <c r="B10">
        <v>0.24665000000000001</v>
      </c>
      <c r="C10">
        <v>-0.34705000000000003</v>
      </c>
      <c r="D10">
        <v>-8.3806000000000005E-2</v>
      </c>
      <c r="E10">
        <v>-0.78571000000000002</v>
      </c>
      <c r="F10">
        <v>0.77142999999999995</v>
      </c>
      <c r="G10">
        <v>-0.11786000000000001</v>
      </c>
      <c r="H10">
        <v>0.71879000000000004</v>
      </c>
      <c r="I10">
        <v>0.76785999999999999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1C78-5D0B-4E9A-9CD0-F71D20C802A8}">
  <dimension ref="A1:Z38"/>
  <sheetViews>
    <sheetView topLeftCell="A13" zoomScale="115" zoomScaleNormal="115" workbookViewId="0">
      <selection activeCell="O27" sqref="O27"/>
    </sheetView>
  </sheetViews>
  <sheetFormatPr defaultColWidth="10.5703125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17</v>
      </c>
      <c r="I1" t="s">
        <v>18</v>
      </c>
      <c r="J1" t="s">
        <v>32</v>
      </c>
      <c r="K1" t="s">
        <v>31</v>
      </c>
      <c r="L1" t="s">
        <v>33</v>
      </c>
      <c r="M1" t="s">
        <v>34</v>
      </c>
      <c r="N1" t="s">
        <v>29</v>
      </c>
      <c r="O1" t="s">
        <v>40</v>
      </c>
      <c r="P1" t="s">
        <v>35</v>
      </c>
      <c r="Q1" t="s">
        <v>36</v>
      </c>
      <c r="R1" t="s">
        <v>37</v>
      </c>
      <c r="S1" t="s">
        <v>30</v>
      </c>
      <c r="T1" t="s">
        <v>38</v>
      </c>
      <c r="U1" t="s">
        <v>39</v>
      </c>
      <c r="V1" t="s">
        <v>43</v>
      </c>
      <c r="W1" t="s">
        <v>44</v>
      </c>
      <c r="X1" t="s">
        <v>41</v>
      </c>
      <c r="Y1" t="s">
        <v>42</v>
      </c>
      <c r="Z1" t="s">
        <v>21</v>
      </c>
    </row>
    <row r="2" spans="1:26" x14ac:dyDescent="0.25">
      <c r="A2" t="s">
        <v>3</v>
      </c>
      <c r="B2">
        <v>101</v>
      </c>
      <c r="C2" s="1">
        <v>10.298052630000001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4</v>
      </c>
      <c r="B3">
        <v>191</v>
      </c>
      <c r="C3" s="1">
        <v>11.76807767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5</v>
      </c>
      <c r="B4">
        <v>211</v>
      </c>
      <c r="C4" s="1">
        <v>12.140504849999999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6</v>
      </c>
      <c r="B5">
        <v>281</v>
      </c>
      <c r="C5" s="1">
        <v>12.681927460000001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24</v>
      </c>
      <c r="B6">
        <v>336</v>
      </c>
      <c r="C6" s="1">
        <v>12.90434014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7</v>
      </c>
      <c r="B7">
        <v>482</v>
      </c>
      <c r="C7" s="1">
        <v>13.4115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8</v>
      </c>
      <c r="B8">
        <v>542</v>
      </c>
      <c r="C8" s="1">
        <v>15.297745450000001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9</v>
      </c>
      <c r="B9">
        <v>607</v>
      </c>
      <c r="C9" s="1">
        <v>17.630333330000003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10</v>
      </c>
      <c r="B10">
        <v>641</v>
      </c>
      <c r="C10" s="1">
        <v>19.789979380000002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11</v>
      </c>
      <c r="B11">
        <v>676</v>
      </c>
      <c r="C11" s="1">
        <v>22.102144329999998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12</v>
      </c>
      <c r="B12">
        <v>746</v>
      </c>
      <c r="C12" s="1">
        <v>26.142461539999999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13</v>
      </c>
      <c r="B13">
        <v>833</v>
      </c>
      <c r="C13" s="1">
        <v>29.47625532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14</v>
      </c>
      <c r="B14">
        <v>888</v>
      </c>
      <c r="C14" s="1">
        <v>30.86361905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15</v>
      </c>
      <c r="B15">
        <v>940</v>
      </c>
      <c r="C15" s="1">
        <v>31.4960381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16</v>
      </c>
      <c r="B16">
        <v>1021</v>
      </c>
      <c r="C16" s="1">
        <v>33.121000000000002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23" spans="2:14" x14ac:dyDescent="0.25">
      <c r="H23" t="s">
        <v>106</v>
      </c>
      <c r="I23" t="s">
        <v>106</v>
      </c>
      <c r="J23">
        <v>0</v>
      </c>
      <c r="K23">
        <v>0</v>
      </c>
      <c r="L23" t="s">
        <v>106</v>
      </c>
      <c r="N23">
        <v>68.882350518782602</v>
      </c>
    </row>
    <row r="24" spans="2:14" x14ac:dyDescent="0.25">
      <c r="B24" t="s">
        <v>106</v>
      </c>
      <c r="C24" t="s">
        <v>106</v>
      </c>
      <c r="D24">
        <v>0</v>
      </c>
      <c r="E24">
        <v>0</v>
      </c>
      <c r="F24" t="s">
        <v>106</v>
      </c>
      <c r="H24" t="s">
        <v>111</v>
      </c>
      <c r="I24" t="s">
        <v>112</v>
      </c>
      <c r="J24" t="s">
        <v>113</v>
      </c>
      <c r="K24" t="s">
        <v>114</v>
      </c>
      <c r="L24" t="s">
        <v>115</v>
      </c>
      <c r="N24">
        <v>87.502025323043455</v>
      </c>
    </row>
    <row r="25" spans="2:14" x14ac:dyDescent="0.25">
      <c r="B25">
        <v>0.36986301369863012</v>
      </c>
      <c r="C25">
        <v>0.54794520547945202</v>
      </c>
      <c r="D25">
        <v>2.7397260273972601E-2</v>
      </c>
      <c r="E25">
        <v>4.1095890410958902E-2</v>
      </c>
      <c r="F25">
        <v>1.3698630136986301E-2</v>
      </c>
      <c r="H25" t="s">
        <v>116</v>
      </c>
      <c r="I25" t="s">
        <v>117</v>
      </c>
      <c r="J25" t="s">
        <v>118</v>
      </c>
      <c r="K25" t="s">
        <v>118</v>
      </c>
      <c r="L25" t="s">
        <v>118</v>
      </c>
      <c r="N25">
        <v>71.779121332608725</v>
      </c>
    </row>
    <row r="26" spans="2:14" x14ac:dyDescent="0.25">
      <c r="B26">
        <v>0.13559322033898305</v>
      </c>
      <c r="C26">
        <v>0.64406779661016944</v>
      </c>
      <c r="D26">
        <v>6.7796610169491525E-2</v>
      </c>
      <c r="E26">
        <v>6.7796610169491525E-2</v>
      </c>
      <c r="F26">
        <v>6.7796610169491525E-2</v>
      </c>
      <c r="H26" t="s">
        <v>119</v>
      </c>
      <c r="I26" t="s">
        <v>120</v>
      </c>
      <c r="J26" t="s">
        <v>121</v>
      </c>
      <c r="K26" t="s">
        <v>121</v>
      </c>
      <c r="L26" t="s">
        <v>122</v>
      </c>
      <c r="N26">
        <v>67.331972702033966</v>
      </c>
    </row>
    <row r="27" spans="2:14" x14ac:dyDescent="0.25">
      <c r="B27">
        <v>0.20689655172413793</v>
      </c>
      <c r="C27">
        <v>0.48275862068965519</v>
      </c>
      <c r="D27">
        <v>0.10344827586206896</v>
      </c>
      <c r="E27">
        <v>0.10344827586206896</v>
      </c>
      <c r="F27">
        <v>3.4482758620689655E-2</v>
      </c>
      <c r="H27" t="s">
        <v>123</v>
      </c>
      <c r="I27" t="s">
        <v>124</v>
      </c>
      <c r="J27" t="s">
        <v>125</v>
      </c>
      <c r="K27" t="s">
        <v>116</v>
      </c>
      <c r="L27" t="s">
        <v>126</v>
      </c>
      <c r="N27">
        <v>81.758639250508523</v>
      </c>
    </row>
    <row r="28" spans="2:14" x14ac:dyDescent="0.25">
      <c r="B28">
        <v>0.20338983050847459</v>
      </c>
      <c r="C28">
        <v>0.56779661016949157</v>
      </c>
      <c r="D28">
        <v>1.6949152542372881E-2</v>
      </c>
      <c r="E28">
        <v>0.13559322033898305</v>
      </c>
      <c r="F28">
        <v>8.4745762711864406E-3</v>
      </c>
      <c r="H28" t="s">
        <v>127</v>
      </c>
      <c r="I28" t="s">
        <v>128</v>
      </c>
      <c r="J28" t="s">
        <v>129</v>
      </c>
      <c r="K28" t="s">
        <v>130</v>
      </c>
      <c r="L28" t="s">
        <v>131</v>
      </c>
      <c r="N28">
        <v>78.611016949152514</v>
      </c>
    </row>
    <row r="29" spans="2:14" x14ac:dyDescent="0.25">
      <c r="B29">
        <v>0.27777777777777779</v>
      </c>
      <c r="C29">
        <v>0.3888888888888889</v>
      </c>
      <c r="D29">
        <v>5.5555555555555552E-2</v>
      </c>
      <c r="E29">
        <v>0.16666666666666666</v>
      </c>
      <c r="F29">
        <v>0.1111111111111111</v>
      </c>
      <c r="H29" t="s">
        <v>132</v>
      </c>
      <c r="I29" t="s">
        <v>133</v>
      </c>
      <c r="J29" t="s">
        <v>134</v>
      </c>
      <c r="K29" t="s">
        <v>134</v>
      </c>
      <c r="L29" t="s">
        <v>135</v>
      </c>
      <c r="N29">
        <v>102.90054370847457</v>
      </c>
    </row>
    <row r="30" spans="2:14" x14ac:dyDescent="0.25">
      <c r="B30">
        <v>0.67114093959731547</v>
      </c>
      <c r="C30">
        <v>0.13422818791946309</v>
      </c>
      <c r="D30">
        <v>8.0536912751677847E-2</v>
      </c>
      <c r="E30">
        <v>8.0536912751677861E-2</v>
      </c>
      <c r="F30">
        <v>2.0134228187919462E-2</v>
      </c>
      <c r="H30" t="s">
        <v>107</v>
      </c>
      <c r="I30" t="s">
        <v>108</v>
      </c>
      <c r="J30">
        <v>0</v>
      </c>
      <c r="K30" t="s">
        <v>109</v>
      </c>
      <c r="L30" t="s">
        <v>109</v>
      </c>
      <c r="N30">
        <v>83.836861142499998</v>
      </c>
    </row>
    <row r="31" spans="2:14" x14ac:dyDescent="0.25">
      <c r="B31">
        <v>0.5625</v>
      </c>
      <c r="C31">
        <v>0.3125</v>
      </c>
      <c r="D31">
        <v>0</v>
      </c>
      <c r="E31">
        <v>6.25E-2</v>
      </c>
      <c r="F31">
        <v>6.25E-2</v>
      </c>
      <c r="H31" t="s">
        <v>136</v>
      </c>
      <c r="I31" t="s">
        <v>137</v>
      </c>
      <c r="J31" t="s">
        <v>138</v>
      </c>
      <c r="K31" t="s">
        <v>139</v>
      </c>
      <c r="L31" t="s">
        <v>140</v>
      </c>
      <c r="N31">
        <v>45.103278313333298</v>
      </c>
    </row>
    <row r="32" spans="2:14" x14ac:dyDescent="0.25">
      <c r="B32">
        <v>0.26470588235294118</v>
      </c>
      <c r="C32">
        <v>0.17647058823529413</v>
      </c>
      <c r="D32">
        <v>2.9411764705882353E-2</v>
      </c>
      <c r="E32">
        <v>0.44117647058823534</v>
      </c>
      <c r="F32">
        <v>5.8823529411764705E-2</v>
      </c>
      <c r="H32" t="s">
        <v>141</v>
      </c>
      <c r="I32" t="s">
        <v>142</v>
      </c>
      <c r="J32" t="s">
        <v>143</v>
      </c>
      <c r="K32" t="s">
        <v>144</v>
      </c>
      <c r="L32" t="s">
        <v>145</v>
      </c>
      <c r="N32">
        <v>93.437119626153859</v>
      </c>
    </row>
    <row r="33" spans="2:14" x14ac:dyDescent="0.25">
      <c r="B33">
        <v>0.5161290322580645</v>
      </c>
      <c r="C33">
        <v>3.2258064516129031E-2</v>
      </c>
      <c r="D33">
        <v>0.16129032258064516</v>
      </c>
      <c r="E33">
        <v>0.12903225806451613</v>
      </c>
      <c r="F33">
        <v>9.6774193548387094E-2</v>
      </c>
      <c r="H33" t="s">
        <v>146</v>
      </c>
      <c r="I33" t="s">
        <v>147</v>
      </c>
      <c r="J33" t="s">
        <v>148</v>
      </c>
      <c r="K33" t="s">
        <v>149</v>
      </c>
      <c r="L33" t="s">
        <v>150</v>
      </c>
      <c r="N33">
        <v>145.87368566577069</v>
      </c>
    </row>
    <row r="34" spans="2:14" x14ac:dyDescent="0.25">
      <c r="B34">
        <v>0.56287425149700598</v>
      </c>
      <c r="C34">
        <v>0.1317365269461078</v>
      </c>
      <c r="D34">
        <v>7.1856287425149698E-2</v>
      </c>
      <c r="E34">
        <v>0.15568862275449102</v>
      </c>
      <c r="F34">
        <v>2.9940119760479042E-2</v>
      </c>
      <c r="H34">
        <v>0</v>
      </c>
      <c r="I34" t="s">
        <v>110</v>
      </c>
      <c r="J34">
        <v>0</v>
      </c>
      <c r="K34" t="s">
        <v>110</v>
      </c>
      <c r="L34">
        <v>0</v>
      </c>
      <c r="N34">
        <v>105.29446563571436</v>
      </c>
    </row>
    <row r="35" spans="2:14" x14ac:dyDescent="0.25">
      <c r="B35">
        <v>0</v>
      </c>
      <c r="C35">
        <v>0.5</v>
      </c>
      <c r="D35">
        <v>0</v>
      </c>
      <c r="E35">
        <v>0.5</v>
      </c>
      <c r="F35">
        <v>0</v>
      </c>
      <c r="H35" t="s">
        <v>151</v>
      </c>
      <c r="I35">
        <v>0</v>
      </c>
      <c r="J35">
        <v>0</v>
      </c>
      <c r="K35" t="s">
        <v>152</v>
      </c>
      <c r="L35">
        <v>0</v>
      </c>
      <c r="N35">
        <v>141.08744105416667</v>
      </c>
    </row>
    <row r="36" spans="2:14" x14ac:dyDescent="0.25">
      <c r="B36">
        <v>0.33333333333333331</v>
      </c>
      <c r="C36">
        <v>0</v>
      </c>
      <c r="D36">
        <v>0</v>
      </c>
      <c r="E36">
        <v>0.66666666666666663</v>
      </c>
      <c r="F36">
        <v>0</v>
      </c>
      <c r="N36">
        <v>142.5425402541176</v>
      </c>
    </row>
    <row r="37" spans="2:14" x14ac:dyDescent="0.25">
      <c r="B37">
        <v>0</v>
      </c>
      <c r="C37">
        <v>0</v>
      </c>
      <c r="D37">
        <v>0</v>
      </c>
      <c r="E37">
        <v>0</v>
      </c>
      <c r="F37">
        <v>0</v>
      </c>
      <c r="N37">
        <v>172.9620000000005</v>
      </c>
    </row>
    <row r="38" spans="2:14" x14ac:dyDescent="0.25">
      <c r="B38">
        <v>0</v>
      </c>
      <c r="C38">
        <v>0</v>
      </c>
      <c r="D38">
        <v>0</v>
      </c>
      <c r="E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A2C5D4-992A-4A94-8D63-55A4E3B92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</vt:lpstr>
      <vt:lpstr>250-600 μm</vt:lpstr>
      <vt:lpstr>150-250 μm </vt:lpstr>
      <vt:lpstr>150-600 μm (rest)</vt:lpstr>
      <vt:lpstr>Species</vt:lpstr>
      <vt:lpstr>Species percentage</vt:lpstr>
      <vt:lpstr>Plots</vt:lpstr>
      <vt:lpstr>Stacked chart</vt:lpstr>
      <vt:lpstr>Total + Sam</vt:lpstr>
      <vt:lpstr>Sedimentation speed</vt:lpstr>
      <vt:lpstr>Aragonite%</vt:lpstr>
      <vt:lpstr>OMZ</vt:lpstr>
      <vt:lpstr>SST</vt:lpstr>
      <vt:lpstr>RSL</vt:lpstr>
      <vt:lpstr>Spearman's correlation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 Bas</dc:creator>
  <cp:lastModifiedBy>Rik Bas</cp:lastModifiedBy>
  <dcterms:created xsi:type="dcterms:W3CDTF">2026-04-15T13:58:43Z</dcterms:created>
  <dcterms:modified xsi:type="dcterms:W3CDTF">2026-06-17T19:46:09Z</dcterms:modified>
</cp:coreProperties>
</file>