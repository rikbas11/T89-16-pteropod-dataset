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:\Bachelor thesis\"/>
    </mc:Choice>
  </mc:AlternateContent>
  <xr:revisionPtr revIDLastSave="0" documentId="13_ncr:1_{178F7966-477C-462E-A7BD-CD47703268B7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14C" sheetId="1" r:id="rId1"/>
    <sheet name="CalAge" sheetId="2" r:id="rId2"/>
    <sheet name="Ca" sheetId="3" r:id="rId3"/>
  </sheets>
  <definedNames>
    <definedName name="_xlnm.Print_Area" localSheetId="1">CalAge!$B$99:$P$134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24" i="2" l="1"/>
  <c r="U25" i="2"/>
  <c r="N24" i="2"/>
  <c r="N25" i="2"/>
  <c r="G24" i="2"/>
  <c r="G2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5" i="2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Els Ufkes</author>
  </authors>
  <commentList>
    <comment ref="AD2" authorId="0" shapeId="0" xr:uid="{00000000-0006-0000-0100-000001000000}">
      <text>
        <r>
          <rPr>
            <b/>
            <sz val="9"/>
            <color indexed="81"/>
            <rFont val="Calibri"/>
            <family val="2"/>
          </rPr>
          <t>Els Ufkes:</t>
        </r>
        <r>
          <rPr>
            <sz val="9"/>
            <color indexed="81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<sst xmlns="http://schemas.openxmlformats.org/spreadsheetml/2006/main" count="89" uniqueCount="60">
  <si>
    <t>T89-16</t>
  </si>
  <si>
    <t>uncorrected C14 ages</t>
  </si>
  <si>
    <t>Depth [m]</t>
  </si>
  <si>
    <t xml:space="preserve">Age dated [ka] </t>
  </si>
  <si>
    <t>-</t>
  </si>
  <si>
    <t>+</t>
  </si>
  <si>
    <t>lijst 1993</t>
  </si>
  <si>
    <t>x</t>
  </si>
  <si>
    <t>file T89-16 isotopes+14C</t>
  </si>
  <si>
    <t>Versteegh+2004</t>
  </si>
  <si>
    <t>vermeld SD = 2x foutenmarge vdPlicht</t>
  </si>
  <si>
    <t>derhalve Versteegh SD waardes gehalveerd</t>
  </si>
  <si>
    <t>IntCal13, Reservoir age = 540 +/- 70, increasing towards glacial</t>
  </si>
  <si>
    <t>Date</t>
  </si>
  <si>
    <t xml:space="preserve"> 95.4% HPD intervals </t>
  </si>
  <si>
    <t xml:space="preserve"> 8260-8212 (0.021)</t>
  </si>
  <si>
    <t xml:space="preserve"> 11717-11669 (0.014)</t>
  </si>
  <si>
    <t xml:space="preserve"> 11657-10705 (0.938)</t>
  </si>
  <si>
    <t xml:space="preserve"> 12424-11770 (0.95)</t>
  </si>
  <si>
    <t>IntCal13, reservoir age = 396 +/- 50</t>
  </si>
  <si>
    <t xml:space="preserve"> 9204-9176 (0.009)</t>
  </si>
  <si>
    <t xml:space="preserve"> 9139-8422 (0.939)</t>
  </si>
  <si>
    <t xml:space="preserve"> 12356-12227 (0.107)</t>
  </si>
  <si>
    <t xml:space="preserve"> 12210-12148 (0.039)</t>
  </si>
  <si>
    <t>IntCal13, reservoir age = 396 +/- 200</t>
  </si>
  <si>
    <t xml:space="preserve"> 11663-11650 (0.002)</t>
  </si>
  <si>
    <t xml:space="preserve"> 12480-12427 (0.012)</t>
  </si>
  <si>
    <t xml:space="preserve"> 13610-12791 (0.951)</t>
  </si>
  <si>
    <t>14C dates were calibrated using MatCal 2.3 (Lougheed and Obrochta, 2016), employing IntCal13 (Reimer et al., 2013) and a reservoir age of XXXXXXX.</t>
  </si>
  <si>
    <t>Lougheed, B. C. and Obrochta, S. P.: MatCal: Open Source Bayesian 14C Age Calibration in Matlab, J. Open Res. Softw., 4, doi:10.5334/jors.130, 2016.</t>
  </si>
  <si>
    <t>Reimer, P. J., Bard, E., Bayliss, A., Beck, J. W., Blackwell, P. G., Ramsey, C. B., Buck, C. E., Cheng, H., Edwards, R. L., Friedrich, M., Grootes, P. M., Guilderson, T. P., Haflidason, H., Hajdas, I., Hatté, C., Heaton, T. J., Hoffmann, D. L., Hogg, A. G., Hughen, K. A., Kaiser, K. F., Kromer, B., Manning, S. W., Niu, M., Reimer, R. W., Richards, D. A., Scott, E. M., Southon, J. R., Staff, R. A., Turney, C. S. M. and van der Plicht, J.: IntCal13 and Marine13 Radiocarbon Age Calibration Curves 0–50,000 Years cal BP, Radiocarbon, 55(04), 1869–1887, 2013.</t>
  </si>
  <si>
    <t>min</t>
  </si>
  <si>
    <t>max</t>
  </si>
  <si>
    <t>Depth (m)</t>
  </si>
  <si>
    <t xml:space="preserve"> Median Cal years R540+/-70</t>
  </si>
  <si>
    <t xml:space="preserve"> Median R396+/-50</t>
  </si>
  <si>
    <t xml:space="preserve"> Median R396+/-200</t>
  </si>
  <si>
    <t>T89-16#10-49</t>
  </si>
  <si>
    <t>T89-16#9-28</t>
  </si>
  <si>
    <t>Cal yrs [ka BP]</t>
  </si>
  <si>
    <t>Age min [ka]</t>
  </si>
  <si>
    <t>Age max [ka]</t>
  </si>
  <si>
    <t>T89-16#8-30</t>
  </si>
  <si>
    <t>T89-16#7-28</t>
  </si>
  <si>
    <t>T89-16#6a-8</t>
  </si>
  <si>
    <t>T89-16#6-60</t>
  </si>
  <si>
    <t>Bulk carbonate</t>
  </si>
  <si>
    <t>ResAge 400</t>
  </si>
  <si>
    <t>CALIB 4.3 (Stuiver + '98) Res.age 400</t>
  </si>
  <si>
    <t>sedim rate (cm/y)</t>
  </si>
  <si>
    <t>sedim rate (cm/ky)</t>
  </si>
  <si>
    <t>Ca</t>
  </si>
  <si>
    <t>cmbs</t>
  </si>
  <si>
    <t>D REs396-Res540</t>
  </si>
  <si>
    <t>opnieuw berekend door Bryan Lougheed, zie mail 23 mrt 2018 voor referenties</t>
  </si>
  <si>
    <t>OxCal</t>
  </si>
  <si>
    <t>14C data</t>
  </si>
  <si>
    <t>14C</t>
  </si>
  <si>
    <t>+/-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</si>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</sst>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Helvetica"/>
      <family val="2"/>
    </font>
    <font>
      <sz val="12"/>
      <color rgb="FF2B2B2B"/>
      <name val="Helvetica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6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9" fontId="0" fillId="0" borderId="0" xfId="0" applyNumberForma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5" fillId="0" borderId="0" xfId="0" applyFont="1"/>
    <xf numFmtId="164" fontId="0" fillId="0" borderId="0" xfId="0" applyNumberFormat="1"/>
    <xf numFmtId="0" fontId="0" fillId="2" borderId="0" xfId="0" applyFill="1"/>
    <xf numFmtId="0" fontId="0" fillId="0" borderId="0" xfId="0" applyAlignment="1">
      <alignment horizontal="right"/>
    </xf>
  </cellXfs>
  <cellStyles count="6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927741234793"/>
          <c:y val="0.123490713086152"/>
          <c:w val="0.80025855499986898"/>
          <c:h val="0.84330366750133201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CalAge!$F$4</c:f>
              <c:strCache>
                <c:ptCount val="1"/>
                <c:pt idx="0">
                  <c:v> Median Cal years R540+/-70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  <c:spPr>
              <a:solidFill>
                <a:schemeClr val="tx1"/>
              </a:solidFill>
            </c:spPr>
          </c:marker>
          <c:xVal>
            <c:numRef>
              <c:f>CalAge!$F$5:$F$22</c:f>
              <c:numCache>
                <c:formatCode>General</c:formatCode>
                <c:ptCount val="18"/>
                <c:pt idx="0">
                  <c:v>8559</c:v>
                </c:pt>
                <c:pt idx="1">
                  <c:v>11199</c:v>
                </c:pt>
                <c:pt idx="2">
                  <c:v>12121</c:v>
                </c:pt>
                <c:pt idx="3">
                  <c:v>12647</c:v>
                </c:pt>
                <c:pt idx="4">
                  <c:v>12979</c:v>
                </c:pt>
                <c:pt idx="5">
                  <c:v>13053</c:v>
                </c:pt>
                <c:pt idx="6">
                  <c:v>13116</c:v>
                </c:pt>
                <c:pt idx="7">
                  <c:v>13597</c:v>
                </c:pt>
                <c:pt idx="8">
                  <c:v>15546</c:v>
                </c:pt>
                <c:pt idx="9">
                  <c:v>15944</c:v>
                </c:pt>
                <c:pt idx="10">
                  <c:v>16481</c:v>
                </c:pt>
                <c:pt idx="11">
                  <c:v>17200</c:v>
                </c:pt>
                <c:pt idx="12">
                  <c:v>17200</c:v>
                </c:pt>
                <c:pt idx="13">
                  <c:v>23614</c:v>
                </c:pt>
                <c:pt idx="14">
                  <c:v>27769</c:v>
                </c:pt>
                <c:pt idx="15">
                  <c:v>30373</c:v>
                </c:pt>
                <c:pt idx="16">
                  <c:v>31632</c:v>
                </c:pt>
                <c:pt idx="17">
                  <c:v>33189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4C-D847-B535-51B38822DA5A}"/>
            </c:ext>
          </c:extLst>
        </c:ser>
        <c:ser>
          <c:idx val="1"/>
          <c:order val="1"/>
          <c:tx>
            <c:strRef>
              <c:f>CalAge!$G$4</c:f>
              <c:strCache>
                <c:ptCount val="1"/>
                <c:pt idx="0">
                  <c:v>max</c:v>
                </c:pt>
              </c:strCache>
            </c:strRef>
          </c:tx>
          <c:spPr>
            <a:ln w="47625">
              <a:noFill/>
            </a:ln>
          </c:spPr>
          <c:marker>
            <c:symbol val="square"/>
            <c:size val="5"/>
          </c:marker>
          <c:xVal>
            <c:numRef>
              <c:f>CalAge!$G$5:$G$22</c:f>
              <c:numCache>
                <c:formatCode>General</c:formatCode>
                <c:ptCount val="18"/>
                <c:pt idx="0">
                  <c:v>8996</c:v>
                </c:pt>
                <c:pt idx="1">
                  <c:v>11749</c:v>
                </c:pt>
                <c:pt idx="2">
                  <c:v>12515</c:v>
                </c:pt>
                <c:pt idx="3">
                  <c:v>12814</c:v>
                </c:pt>
                <c:pt idx="4">
                  <c:v>13131</c:v>
                </c:pt>
                <c:pt idx="5">
                  <c:v>13251</c:v>
                </c:pt>
                <c:pt idx="6">
                  <c:v>13367</c:v>
                </c:pt>
                <c:pt idx="7">
                  <c:v>13771</c:v>
                </c:pt>
                <c:pt idx="8">
                  <c:v>15868</c:v>
                </c:pt>
                <c:pt idx="9">
                  <c:v>16223</c:v>
                </c:pt>
                <c:pt idx="10">
                  <c:v>16803</c:v>
                </c:pt>
                <c:pt idx="11">
                  <c:v>17562</c:v>
                </c:pt>
                <c:pt idx="12">
                  <c:v>17562</c:v>
                </c:pt>
                <c:pt idx="13">
                  <c:v>24342</c:v>
                </c:pt>
                <c:pt idx="14">
                  <c:v>28401</c:v>
                </c:pt>
                <c:pt idx="15">
                  <c:v>31151</c:v>
                </c:pt>
                <c:pt idx="16">
                  <c:v>32928</c:v>
                </c:pt>
                <c:pt idx="17">
                  <c:v>34381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4C-D847-B535-51B38822DA5A}"/>
            </c:ext>
          </c:extLst>
        </c:ser>
        <c:ser>
          <c:idx val="2"/>
          <c:order val="2"/>
          <c:tx>
            <c:strRef>
              <c:f>CalAge!$H$4</c:f>
              <c:strCache>
                <c:ptCount val="1"/>
                <c:pt idx="0">
                  <c:v>min</c:v>
                </c:pt>
              </c:strCache>
            </c:strRef>
          </c:tx>
          <c:spPr>
            <a:ln w="47625">
              <a:noFill/>
            </a:ln>
          </c:spPr>
          <c:marker>
            <c:symbol val="triangle"/>
            <c:size val="5"/>
          </c:marker>
          <c:xVal>
            <c:numRef>
              <c:f>CalAge!$H$5:$H$22</c:f>
              <c:numCache>
                <c:formatCode>General</c:formatCode>
                <c:ptCount val="18"/>
                <c:pt idx="0">
                  <c:v>8297</c:v>
                </c:pt>
                <c:pt idx="1">
                  <c:v>11738</c:v>
                </c:pt>
                <c:pt idx="2">
                  <c:v>12501</c:v>
                </c:pt>
                <c:pt idx="3">
                  <c:v>12411</c:v>
                </c:pt>
                <c:pt idx="4">
                  <c:v>12779</c:v>
                </c:pt>
                <c:pt idx="5">
                  <c:v>12828</c:v>
                </c:pt>
                <c:pt idx="6">
                  <c:v>12815</c:v>
                </c:pt>
                <c:pt idx="7">
                  <c:v>13427</c:v>
                </c:pt>
                <c:pt idx="8">
                  <c:v>15240</c:v>
                </c:pt>
                <c:pt idx="9">
                  <c:v>15680</c:v>
                </c:pt>
                <c:pt idx="10">
                  <c:v>16224</c:v>
                </c:pt>
                <c:pt idx="11">
                  <c:v>16807</c:v>
                </c:pt>
                <c:pt idx="12">
                  <c:v>16807</c:v>
                </c:pt>
                <c:pt idx="13">
                  <c:v>22880</c:v>
                </c:pt>
                <c:pt idx="14">
                  <c:v>27309</c:v>
                </c:pt>
                <c:pt idx="15">
                  <c:v>29407</c:v>
                </c:pt>
                <c:pt idx="16">
                  <c:v>30842</c:v>
                </c:pt>
                <c:pt idx="17">
                  <c:v>31654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4C-D847-B535-51B38822D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3673160"/>
        <c:axId val="-2113667096"/>
      </c:scatterChart>
      <c:valAx>
        <c:axId val="-2113673160"/>
        <c:scaling>
          <c:orientation val="minMax"/>
          <c:max val="35000"/>
          <c:min val="5000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</a:t>
                </a:r>
                <a:r>
                  <a:rPr lang="en-US" baseline="0"/>
                  <a:t> Calender years 14C - ResAge 540 +/- 70 yr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crossAx val="-2113667096"/>
        <c:crosses val="autoZero"/>
        <c:crossBetween val="midCat"/>
        <c:minorUnit val="1000"/>
      </c:valAx>
      <c:valAx>
        <c:axId val="-2113667096"/>
        <c:scaling>
          <c:orientation val="maxMin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13673160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49278918833699697"/>
          <c:y val="0.17273458633762701"/>
          <c:w val="0.31698015894866299"/>
          <c:h val="0.125518208661417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927741234793"/>
          <c:y val="0.123490713086152"/>
          <c:w val="0.80025855499986898"/>
          <c:h val="0.84330366750133201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CalAge!$M$4</c:f>
              <c:strCache>
                <c:ptCount val="1"/>
                <c:pt idx="0">
                  <c:v> Median R396+/-50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  <c:spPr>
              <a:solidFill>
                <a:schemeClr val="tx1"/>
              </a:solidFill>
            </c:spPr>
          </c:marker>
          <c:xVal>
            <c:numRef>
              <c:f>CalAge!$M$5:$M$22</c:f>
              <c:numCache>
                <c:formatCode>General</c:formatCode>
                <c:ptCount val="18"/>
                <c:pt idx="0">
                  <c:v>8799</c:v>
                </c:pt>
                <c:pt idx="1">
                  <c:v>11526</c:v>
                </c:pt>
                <c:pt idx="2">
                  <c:v>12485</c:v>
                </c:pt>
                <c:pt idx="3">
                  <c:v>12854</c:v>
                </c:pt>
                <c:pt idx="4">
                  <c:v>13224</c:v>
                </c:pt>
                <c:pt idx="5">
                  <c:v>13297</c:v>
                </c:pt>
                <c:pt idx="6">
                  <c:v>13350</c:v>
                </c:pt>
                <c:pt idx="7">
                  <c:v>13883</c:v>
                </c:pt>
                <c:pt idx="8">
                  <c:v>15986</c:v>
                </c:pt>
                <c:pt idx="9">
                  <c:v>16342</c:v>
                </c:pt>
                <c:pt idx="10">
                  <c:v>16991</c:v>
                </c:pt>
                <c:pt idx="11">
                  <c:v>17676</c:v>
                </c:pt>
                <c:pt idx="12">
                  <c:v>17676</c:v>
                </c:pt>
                <c:pt idx="13">
                  <c:v>24084</c:v>
                </c:pt>
                <c:pt idx="14">
                  <c:v>28098</c:v>
                </c:pt>
                <c:pt idx="15">
                  <c:v>30742</c:v>
                </c:pt>
                <c:pt idx="16">
                  <c:v>32019</c:v>
                </c:pt>
                <c:pt idx="17">
                  <c:v>33614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D7-5D4E-8651-4D8CA39EE993}"/>
            </c:ext>
          </c:extLst>
        </c:ser>
        <c:ser>
          <c:idx val="1"/>
          <c:order val="1"/>
          <c:tx>
            <c:strRef>
              <c:f>CalAge!$N$4</c:f>
              <c:strCache>
                <c:ptCount val="1"/>
                <c:pt idx="0">
                  <c:v>max</c:v>
                </c:pt>
              </c:strCache>
            </c:strRef>
          </c:tx>
          <c:spPr>
            <a:ln w="47625">
              <a:noFill/>
            </a:ln>
          </c:spPr>
          <c:marker>
            <c:symbol val="square"/>
            <c:size val="5"/>
          </c:marker>
          <c:xVal>
            <c:numRef>
              <c:f>CalAge!$N$5:$N$22</c:f>
              <c:numCache>
                <c:formatCode>General</c:formatCode>
                <c:ptCount val="18"/>
                <c:pt idx="0">
                  <c:v>9239</c:v>
                </c:pt>
                <c:pt idx="1">
                  <c:v>12064</c:v>
                </c:pt>
                <c:pt idx="2">
                  <c:v>12686</c:v>
                </c:pt>
                <c:pt idx="3">
                  <c:v>13047</c:v>
                </c:pt>
                <c:pt idx="4">
                  <c:v>13374</c:v>
                </c:pt>
                <c:pt idx="5">
                  <c:v>13450</c:v>
                </c:pt>
                <c:pt idx="6">
                  <c:v>13569</c:v>
                </c:pt>
                <c:pt idx="7">
                  <c:v>14106</c:v>
                </c:pt>
                <c:pt idx="8">
                  <c:v>16244</c:v>
                </c:pt>
                <c:pt idx="9">
                  <c:v>16632</c:v>
                </c:pt>
                <c:pt idx="10">
                  <c:v>17284</c:v>
                </c:pt>
                <c:pt idx="11">
                  <c:v>17979</c:v>
                </c:pt>
                <c:pt idx="12">
                  <c:v>17979</c:v>
                </c:pt>
                <c:pt idx="13">
                  <c:v>24986</c:v>
                </c:pt>
                <c:pt idx="14">
                  <c:v>28684</c:v>
                </c:pt>
                <c:pt idx="15">
                  <c:v>31421</c:v>
                </c:pt>
                <c:pt idx="16">
                  <c:v>33264</c:v>
                </c:pt>
                <c:pt idx="17">
                  <c:v>34810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D7-5D4E-8651-4D8CA39EE993}"/>
            </c:ext>
          </c:extLst>
        </c:ser>
        <c:ser>
          <c:idx val="2"/>
          <c:order val="2"/>
          <c:tx>
            <c:strRef>
              <c:f>CalAge!$O$4</c:f>
              <c:strCache>
                <c:ptCount val="1"/>
                <c:pt idx="0">
                  <c:v>min</c:v>
                </c:pt>
              </c:strCache>
            </c:strRef>
          </c:tx>
          <c:spPr>
            <a:ln w="47625">
              <a:noFill/>
            </a:ln>
          </c:spPr>
          <c:marker>
            <c:symbol val="triangle"/>
            <c:size val="5"/>
          </c:marker>
          <c:xVal>
            <c:numRef>
              <c:f>CalAge!$O$5:$O$22</c:f>
              <c:numCache>
                <c:formatCode>General</c:formatCode>
                <c:ptCount val="18"/>
                <c:pt idx="0">
                  <c:v>8422</c:v>
                </c:pt>
                <c:pt idx="1">
                  <c:v>11145</c:v>
                </c:pt>
                <c:pt idx="2">
                  <c:v>12368</c:v>
                </c:pt>
                <c:pt idx="3">
                  <c:v>12706</c:v>
                </c:pt>
                <c:pt idx="4">
                  <c:v>13086</c:v>
                </c:pt>
                <c:pt idx="5">
                  <c:v>13134</c:v>
                </c:pt>
                <c:pt idx="6">
                  <c:v>13114</c:v>
                </c:pt>
                <c:pt idx="7">
                  <c:v>13721</c:v>
                </c:pt>
                <c:pt idx="8">
                  <c:v>15732</c:v>
                </c:pt>
                <c:pt idx="9">
                  <c:v>16090</c:v>
                </c:pt>
                <c:pt idx="10">
                  <c:v>16647</c:v>
                </c:pt>
                <c:pt idx="11">
                  <c:v>17359</c:v>
                </c:pt>
                <c:pt idx="12">
                  <c:v>17359</c:v>
                </c:pt>
                <c:pt idx="13">
                  <c:v>23365</c:v>
                </c:pt>
                <c:pt idx="14">
                  <c:v>27614</c:v>
                </c:pt>
                <c:pt idx="15">
                  <c:v>29704</c:v>
                </c:pt>
                <c:pt idx="16">
                  <c:v>31097</c:v>
                </c:pt>
                <c:pt idx="17">
                  <c:v>32119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D7-5D4E-8651-4D8CA39EE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1696216"/>
        <c:axId val="-2111607672"/>
      </c:scatterChart>
      <c:valAx>
        <c:axId val="-2131696216"/>
        <c:scaling>
          <c:orientation val="minMax"/>
          <c:max val="35000"/>
          <c:min val="5000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</a:t>
                </a:r>
                <a:r>
                  <a:rPr lang="en-US" baseline="0"/>
                  <a:t> Calender years 14C - ResAge 396 +/- 50 yr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crossAx val="-2111607672"/>
        <c:crosses val="autoZero"/>
        <c:crossBetween val="midCat"/>
        <c:minorUnit val="1000"/>
      </c:valAx>
      <c:valAx>
        <c:axId val="-2111607672"/>
        <c:scaling>
          <c:orientation val="maxMin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31696216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49278918833699697"/>
          <c:y val="0.17273458633762701"/>
          <c:w val="0.21111661216361899"/>
          <c:h val="0.125518208661417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927741234793"/>
          <c:y val="0.123490713086152"/>
          <c:w val="0.80025855499986898"/>
          <c:h val="0.84330366750133201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CalAge!$F$4</c:f>
              <c:strCache>
                <c:ptCount val="1"/>
                <c:pt idx="0">
                  <c:v> Median Cal years R540+/-70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  <c:spPr>
              <a:solidFill>
                <a:schemeClr val="tx1"/>
              </a:solidFill>
            </c:spPr>
          </c:marker>
          <c:xVal>
            <c:numRef>
              <c:f>CalAge!$F$5:$F$22</c:f>
              <c:numCache>
                <c:formatCode>General</c:formatCode>
                <c:ptCount val="18"/>
                <c:pt idx="0">
                  <c:v>8559</c:v>
                </c:pt>
                <c:pt idx="1">
                  <c:v>11199</c:v>
                </c:pt>
                <c:pt idx="2">
                  <c:v>12121</c:v>
                </c:pt>
                <c:pt idx="3">
                  <c:v>12647</c:v>
                </c:pt>
                <c:pt idx="4">
                  <c:v>12979</c:v>
                </c:pt>
                <c:pt idx="5">
                  <c:v>13053</c:v>
                </c:pt>
                <c:pt idx="6">
                  <c:v>13116</c:v>
                </c:pt>
                <c:pt idx="7">
                  <c:v>13597</c:v>
                </c:pt>
                <c:pt idx="8">
                  <c:v>15546</c:v>
                </c:pt>
                <c:pt idx="9">
                  <c:v>15944</c:v>
                </c:pt>
                <c:pt idx="10">
                  <c:v>16481</c:v>
                </c:pt>
                <c:pt idx="11">
                  <c:v>17200</c:v>
                </c:pt>
                <c:pt idx="12">
                  <c:v>17200</c:v>
                </c:pt>
                <c:pt idx="13">
                  <c:v>23614</c:v>
                </c:pt>
                <c:pt idx="14">
                  <c:v>27769</c:v>
                </c:pt>
                <c:pt idx="15">
                  <c:v>30373</c:v>
                </c:pt>
                <c:pt idx="16">
                  <c:v>31632</c:v>
                </c:pt>
                <c:pt idx="17">
                  <c:v>33189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D-F943-A619-CCA801E8CFBF}"/>
            </c:ext>
          </c:extLst>
        </c:ser>
        <c:ser>
          <c:idx val="1"/>
          <c:order val="1"/>
          <c:tx>
            <c:strRef>
              <c:f>CalAge!$M$4</c:f>
              <c:strCache>
                <c:ptCount val="1"/>
                <c:pt idx="0">
                  <c:v> Median R396+/-50</c:v>
                </c:pt>
              </c:strCache>
            </c:strRef>
          </c:tx>
          <c:spPr>
            <a:ln w="47625">
              <a:noFill/>
            </a:ln>
          </c:spPr>
          <c:marker>
            <c:symbol val="square"/>
            <c:size val="5"/>
          </c:marker>
          <c:xVal>
            <c:numRef>
              <c:f>CalAge!$M$5:$M$22</c:f>
              <c:numCache>
                <c:formatCode>General</c:formatCode>
                <c:ptCount val="18"/>
                <c:pt idx="0">
                  <c:v>8799</c:v>
                </c:pt>
                <c:pt idx="1">
                  <c:v>11526</c:v>
                </c:pt>
                <c:pt idx="2">
                  <c:v>12485</c:v>
                </c:pt>
                <c:pt idx="3">
                  <c:v>12854</c:v>
                </c:pt>
                <c:pt idx="4">
                  <c:v>13224</c:v>
                </c:pt>
                <c:pt idx="5">
                  <c:v>13297</c:v>
                </c:pt>
                <c:pt idx="6">
                  <c:v>13350</c:v>
                </c:pt>
                <c:pt idx="7">
                  <c:v>13883</c:v>
                </c:pt>
                <c:pt idx="8">
                  <c:v>15986</c:v>
                </c:pt>
                <c:pt idx="9">
                  <c:v>16342</c:v>
                </c:pt>
                <c:pt idx="10">
                  <c:v>16991</c:v>
                </c:pt>
                <c:pt idx="11">
                  <c:v>17676</c:v>
                </c:pt>
                <c:pt idx="12">
                  <c:v>17676</c:v>
                </c:pt>
                <c:pt idx="13">
                  <c:v>24084</c:v>
                </c:pt>
                <c:pt idx="14">
                  <c:v>28098</c:v>
                </c:pt>
                <c:pt idx="15">
                  <c:v>30742</c:v>
                </c:pt>
                <c:pt idx="16">
                  <c:v>32019</c:v>
                </c:pt>
                <c:pt idx="17">
                  <c:v>33614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1D-F943-A619-CCA801E8CFBF}"/>
            </c:ext>
          </c:extLst>
        </c:ser>
        <c:ser>
          <c:idx val="2"/>
          <c:order val="2"/>
          <c:tx>
            <c:strRef>
              <c:f>CalAge!$T$4</c:f>
              <c:strCache>
                <c:ptCount val="1"/>
                <c:pt idx="0">
                  <c:v> Median R396+/-200</c:v>
                </c:pt>
              </c:strCache>
            </c:strRef>
          </c:tx>
          <c:spPr>
            <a:ln w="47625">
              <a:noFill/>
            </a:ln>
          </c:spPr>
          <c:marker>
            <c:symbol val="triangle"/>
            <c:size val="5"/>
          </c:marker>
          <c:xVal>
            <c:numRef>
              <c:f>CalAge!$T$5:$T$22</c:f>
              <c:numCache>
                <c:formatCode>General</c:formatCode>
                <c:ptCount val="18"/>
                <c:pt idx="0">
                  <c:v>8826</c:v>
                </c:pt>
                <c:pt idx="1">
                  <c:v>11563</c:v>
                </c:pt>
                <c:pt idx="2">
                  <c:v>12377</c:v>
                </c:pt>
                <c:pt idx="3">
                  <c:v>12875</c:v>
                </c:pt>
                <c:pt idx="4">
                  <c:v>13237</c:v>
                </c:pt>
                <c:pt idx="5">
                  <c:v>13302</c:v>
                </c:pt>
                <c:pt idx="6">
                  <c:v>13362</c:v>
                </c:pt>
                <c:pt idx="7">
                  <c:v>13927</c:v>
                </c:pt>
                <c:pt idx="8">
                  <c:v>15977</c:v>
                </c:pt>
                <c:pt idx="9">
                  <c:v>16371</c:v>
                </c:pt>
                <c:pt idx="10">
                  <c:v>16981</c:v>
                </c:pt>
                <c:pt idx="11">
                  <c:v>17660</c:v>
                </c:pt>
                <c:pt idx="12">
                  <c:v>17660</c:v>
                </c:pt>
                <c:pt idx="13">
                  <c:v>24097</c:v>
                </c:pt>
                <c:pt idx="14">
                  <c:v>28114</c:v>
                </c:pt>
                <c:pt idx="15">
                  <c:v>30730</c:v>
                </c:pt>
                <c:pt idx="16">
                  <c:v>32041</c:v>
                </c:pt>
                <c:pt idx="17">
                  <c:v>33608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1D-F943-A619-CCA801E8CFBF}"/>
            </c:ext>
          </c:extLst>
        </c:ser>
        <c:ser>
          <c:idx val="3"/>
          <c:order val="3"/>
          <c:tx>
            <c:strRef>
              <c:f>'14C'!$K$2</c:f>
              <c:strCache>
                <c:ptCount val="1"/>
                <c:pt idx="0">
                  <c:v>CALIB 4.3 (Stuiver + '98) Res.age 400</c:v>
                </c:pt>
              </c:strCache>
            </c:strRef>
          </c:tx>
          <c:spPr>
            <a:ln w="47625"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</c:spPr>
          </c:marker>
          <c:xVal>
            <c:numRef>
              <c:f>'14C'!$K$4:$K$17</c:f>
              <c:numCache>
                <c:formatCode>General</c:formatCode>
                <c:ptCount val="14"/>
                <c:pt idx="0">
                  <c:v>8860</c:v>
                </c:pt>
                <c:pt idx="1">
                  <c:v>11240</c:v>
                </c:pt>
                <c:pt idx="2">
                  <c:v>12510</c:v>
                </c:pt>
                <c:pt idx="3">
                  <c:v>12910</c:v>
                </c:pt>
                <c:pt idx="4">
                  <c:v>13174</c:v>
                </c:pt>
                <c:pt idx="5">
                  <c:v>13250</c:v>
                </c:pt>
                <c:pt idx="6">
                  <c:v>13420</c:v>
                </c:pt>
                <c:pt idx="7">
                  <c:v>13936</c:v>
                </c:pt>
                <c:pt idx="8">
                  <c:v>15855</c:v>
                </c:pt>
                <c:pt idx="9">
                  <c:v>16168</c:v>
                </c:pt>
                <c:pt idx="10">
                  <c:v>16663</c:v>
                </c:pt>
                <c:pt idx="11">
                  <c:v>17250</c:v>
                </c:pt>
                <c:pt idx="12">
                  <c:v>17250</c:v>
                </c:pt>
                <c:pt idx="13">
                  <c:v>23580</c:v>
                </c:pt>
              </c:numCache>
            </c:numRef>
          </c:xVal>
          <c:yVal>
            <c:numRef>
              <c:f>'14C'!$B$4:$B$17</c:f>
              <c:numCache>
                <c:formatCode>General</c:formatCode>
                <c:ptCount val="14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1D-F943-A619-CCA801E8C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1547224"/>
        <c:axId val="-2111527768"/>
      </c:scatterChart>
      <c:valAx>
        <c:axId val="-2111547224"/>
        <c:scaling>
          <c:orientation val="minMax"/>
          <c:max val="33000"/>
          <c:min val="8000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</a:t>
                </a:r>
                <a:r>
                  <a:rPr lang="en-US" baseline="0"/>
                  <a:t> Calender years 14C - ResAge 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crossAx val="-2111527768"/>
        <c:crosses val="autoZero"/>
        <c:crossBetween val="midCat"/>
        <c:minorUnit val="1000"/>
      </c:valAx>
      <c:valAx>
        <c:axId val="-2111527768"/>
        <c:scaling>
          <c:orientation val="maxMin"/>
          <c:max val="12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11547224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71088660321172104"/>
          <c:y val="0.128984580052493"/>
          <c:w val="0.21111661216361899"/>
          <c:h val="0.179684875328084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927741234793"/>
          <c:y val="0.123490713086152"/>
          <c:w val="0.80025855499986898"/>
          <c:h val="0.84330366750133201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CalAge!$T$4</c:f>
              <c:strCache>
                <c:ptCount val="1"/>
                <c:pt idx="0">
                  <c:v> Median R396+/-200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  <c:spPr>
              <a:solidFill>
                <a:schemeClr val="tx1"/>
              </a:solidFill>
            </c:spPr>
          </c:marker>
          <c:xVal>
            <c:numRef>
              <c:f>CalAge!$T$5:$T$22</c:f>
              <c:numCache>
                <c:formatCode>General</c:formatCode>
                <c:ptCount val="18"/>
                <c:pt idx="0">
                  <c:v>8826</c:v>
                </c:pt>
                <c:pt idx="1">
                  <c:v>11563</c:v>
                </c:pt>
                <c:pt idx="2">
                  <c:v>12377</c:v>
                </c:pt>
                <c:pt idx="3">
                  <c:v>12875</c:v>
                </c:pt>
                <c:pt idx="4">
                  <c:v>13237</c:v>
                </c:pt>
                <c:pt idx="5">
                  <c:v>13302</c:v>
                </c:pt>
                <c:pt idx="6">
                  <c:v>13362</c:v>
                </c:pt>
                <c:pt idx="7">
                  <c:v>13927</c:v>
                </c:pt>
                <c:pt idx="8">
                  <c:v>15977</c:v>
                </c:pt>
                <c:pt idx="9">
                  <c:v>16371</c:v>
                </c:pt>
                <c:pt idx="10">
                  <c:v>16981</c:v>
                </c:pt>
                <c:pt idx="11">
                  <c:v>17660</c:v>
                </c:pt>
                <c:pt idx="12">
                  <c:v>17660</c:v>
                </c:pt>
                <c:pt idx="13">
                  <c:v>24097</c:v>
                </c:pt>
                <c:pt idx="14">
                  <c:v>28114</c:v>
                </c:pt>
                <c:pt idx="15">
                  <c:v>30730</c:v>
                </c:pt>
                <c:pt idx="16">
                  <c:v>32041</c:v>
                </c:pt>
                <c:pt idx="17">
                  <c:v>33608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0C-BF47-BFC8-BC8AB48E05F2}"/>
            </c:ext>
          </c:extLst>
        </c:ser>
        <c:ser>
          <c:idx val="1"/>
          <c:order val="1"/>
          <c:tx>
            <c:strRef>
              <c:f>CalAge!$U$4</c:f>
              <c:strCache>
                <c:ptCount val="1"/>
                <c:pt idx="0">
                  <c:v>max</c:v>
                </c:pt>
              </c:strCache>
            </c:strRef>
          </c:tx>
          <c:spPr>
            <a:ln w="47625">
              <a:noFill/>
            </a:ln>
          </c:spPr>
          <c:marker>
            <c:symbol val="square"/>
            <c:size val="5"/>
          </c:marker>
          <c:xVal>
            <c:numRef>
              <c:f>CalAge!$U$5:$U$22</c:f>
              <c:numCache>
                <c:formatCode>General</c:formatCode>
                <c:ptCount val="18"/>
                <c:pt idx="0">
                  <c:v>9449</c:v>
                </c:pt>
                <c:pt idx="1">
                  <c:v>12393</c:v>
                </c:pt>
                <c:pt idx="2">
                  <c:v>12827</c:v>
                </c:pt>
                <c:pt idx="3">
                  <c:v>13299</c:v>
                </c:pt>
                <c:pt idx="4">
                  <c:v>13697</c:v>
                </c:pt>
                <c:pt idx="5">
                  <c:v>13743</c:v>
                </c:pt>
                <c:pt idx="6">
                  <c:v>13823</c:v>
                </c:pt>
                <c:pt idx="7">
                  <c:v>14728</c:v>
                </c:pt>
                <c:pt idx="8">
                  <c:v>16594</c:v>
                </c:pt>
                <c:pt idx="9">
                  <c:v>17014</c:v>
                </c:pt>
                <c:pt idx="10">
                  <c:v>17563</c:v>
                </c:pt>
                <c:pt idx="11">
                  <c:v>18241</c:v>
                </c:pt>
                <c:pt idx="12">
                  <c:v>18241</c:v>
                </c:pt>
                <c:pt idx="13">
                  <c:v>25118</c:v>
                </c:pt>
                <c:pt idx="14">
                  <c:v>28782</c:v>
                </c:pt>
                <c:pt idx="15">
                  <c:v>31491</c:v>
                </c:pt>
                <c:pt idx="16">
                  <c:v>33343</c:v>
                </c:pt>
                <c:pt idx="17">
                  <c:v>34845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0C-BF47-BFC8-BC8AB48E05F2}"/>
            </c:ext>
          </c:extLst>
        </c:ser>
        <c:ser>
          <c:idx val="2"/>
          <c:order val="2"/>
          <c:tx>
            <c:strRef>
              <c:f>CalAge!$V$4</c:f>
              <c:strCache>
                <c:ptCount val="1"/>
                <c:pt idx="0">
                  <c:v>min</c:v>
                </c:pt>
              </c:strCache>
            </c:strRef>
          </c:tx>
          <c:spPr>
            <a:ln w="47625">
              <a:noFill/>
            </a:ln>
          </c:spPr>
          <c:marker>
            <c:symbol val="triangle"/>
            <c:size val="5"/>
          </c:marker>
          <c:xVal>
            <c:numRef>
              <c:f>CalAge!$V$5:$V$22</c:f>
              <c:numCache>
                <c:formatCode>General</c:formatCode>
                <c:ptCount val="18"/>
                <c:pt idx="0">
                  <c:v>8344</c:v>
                </c:pt>
                <c:pt idx="1">
                  <c:v>10774</c:v>
                </c:pt>
                <c:pt idx="2">
                  <c:v>11705</c:v>
                </c:pt>
                <c:pt idx="3">
                  <c:v>12520</c:v>
                </c:pt>
                <c:pt idx="4">
                  <c:v>13683</c:v>
                </c:pt>
                <c:pt idx="5">
                  <c:v>12889</c:v>
                </c:pt>
                <c:pt idx="6">
                  <c:v>12854</c:v>
                </c:pt>
                <c:pt idx="7">
                  <c:v>13437</c:v>
                </c:pt>
                <c:pt idx="8">
                  <c:v>15310</c:v>
                </c:pt>
                <c:pt idx="9">
                  <c:v>15783</c:v>
                </c:pt>
                <c:pt idx="10">
                  <c:v>16349</c:v>
                </c:pt>
                <c:pt idx="11">
                  <c:v>17067</c:v>
                </c:pt>
                <c:pt idx="12">
                  <c:v>17067</c:v>
                </c:pt>
                <c:pt idx="13">
                  <c:v>23226</c:v>
                </c:pt>
                <c:pt idx="14">
                  <c:v>27533</c:v>
                </c:pt>
                <c:pt idx="15">
                  <c:v>29602</c:v>
                </c:pt>
                <c:pt idx="16">
                  <c:v>31080</c:v>
                </c:pt>
                <c:pt idx="17">
                  <c:v>32015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0C-BF47-BFC8-BC8AB48E0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2165656"/>
        <c:axId val="-2112159624"/>
      </c:scatterChart>
      <c:valAx>
        <c:axId val="-2112165656"/>
        <c:scaling>
          <c:orientation val="minMax"/>
          <c:max val="35000"/>
          <c:min val="5000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</a:t>
                </a:r>
                <a:r>
                  <a:rPr lang="en-US" baseline="0"/>
                  <a:t> Calender years 14C - ResAge 396 +/- 200 yr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crossAx val="-2112159624"/>
        <c:crosses val="autoZero"/>
        <c:crossBetween val="midCat"/>
        <c:minorUnit val="1000"/>
      </c:valAx>
      <c:valAx>
        <c:axId val="-2112159624"/>
        <c:scaling>
          <c:orientation val="maxMin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12165656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49278918833699697"/>
          <c:y val="0.17273458633762701"/>
          <c:w val="0.21111661216361899"/>
          <c:h val="0.125518208661417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927741234793"/>
          <c:y val="0.123490713086152"/>
          <c:w val="0.84970909405555095"/>
          <c:h val="0.84330366750133201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CalAge!$F$4</c:f>
              <c:strCache>
                <c:ptCount val="1"/>
                <c:pt idx="0">
                  <c:v> Median Cal years R540+/-70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  <c:spPr>
              <a:solidFill>
                <a:schemeClr val="tx1"/>
              </a:solidFill>
            </c:spPr>
          </c:marker>
          <c:xVal>
            <c:numRef>
              <c:f>CalAge!$F$5:$F$22</c:f>
              <c:numCache>
                <c:formatCode>General</c:formatCode>
                <c:ptCount val="18"/>
                <c:pt idx="0">
                  <c:v>8559</c:v>
                </c:pt>
                <c:pt idx="1">
                  <c:v>11199</c:v>
                </c:pt>
                <c:pt idx="2">
                  <c:v>12121</c:v>
                </c:pt>
                <c:pt idx="3">
                  <c:v>12647</c:v>
                </c:pt>
                <c:pt idx="4">
                  <c:v>12979</c:v>
                </c:pt>
                <c:pt idx="5">
                  <c:v>13053</c:v>
                </c:pt>
                <c:pt idx="6">
                  <c:v>13116</c:v>
                </c:pt>
                <c:pt idx="7">
                  <c:v>13597</c:v>
                </c:pt>
                <c:pt idx="8">
                  <c:v>15546</c:v>
                </c:pt>
                <c:pt idx="9">
                  <c:v>15944</c:v>
                </c:pt>
                <c:pt idx="10">
                  <c:v>16481</c:v>
                </c:pt>
                <c:pt idx="11">
                  <c:v>17200</c:v>
                </c:pt>
                <c:pt idx="12">
                  <c:v>17200</c:v>
                </c:pt>
                <c:pt idx="13">
                  <c:v>23614</c:v>
                </c:pt>
                <c:pt idx="14">
                  <c:v>27769</c:v>
                </c:pt>
                <c:pt idx="15">
                  <c:v>30373</c:v>
                </c:pt>
                <c:pt idx="16">
                  <c:v>31632</c:v>
                </c:pt>
                <c:pt idx="17">
                  <c:v>33189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5C-8246-A2A0-287AE4A7D930}"/>
            </c:ext>
          </c:extLst>
        </c:ser>
        <c:ser>
          <c:idx val="1"/>
          <c:order val="1"/>
          <c:tx>
            <c:strRef>
              <c:f>CalAge!$M$4</c:f>
              <c:strCache>
                <c:ptCount val="1"/>
                <c:pt idx="0">
                  <c:v> Median R396+/-50</c:v>
                </c:pt>
              </c:strCache>
            </c:strRef>
          </c:tx>
          <c:spPr>
            <a:ln w="47625">
              <a:noFill/>
            </a:ln>
          </c:spPr>
          <c:marker>
            <c:symbol val="square"/>
            <c:size val="5"/>
          </c:marker>
          <c:xVal>
            <c:numRef>
              <c:f>CalAge!$M$5:$M$22</c:f>
              <c:numCache>
                <c:formatCode>General</c:formatCode>
                <c:ptCount val="18"/>
                <c:pt idx="0">
                  <c:v>8799</c:v>
                </c:pt>
                <c:pt idx="1">
                  <c:v>11526</c:v>
                </c:pt>
                <c:pt idx="2">
                  <c:v>12485</c:v>
                </c:pt>
                <c:pt idx="3">
                  <c:v>12854</c:v>
                </c:pt>
                <c:pt idx="4">
                  <c:v>13224</c:v>
                </c:pt>
                <c:pt idx="5">
                  <c:v>13297</c:v>
                </c:pt>
                <c:pt idx="6">
                  <c:v>13350</c:v>
                </c:pt>
                <c:pt idx="7">
                  <c:v>13883</c:v>
                </c:pt>
                <c:pt idx="8">
                  <c:v>15986</c:v>
                </c:pt>
                <c:pt idx="9">
                  <c:v>16342</c:v>
                </c:pt>
                <c:pt idx="10">
                  <c:v>16991</c:v>
                </c:pt>
                <c:pt idx="11">
                  <c:v>17676</c:v>
                </c:pt>
                <c:pt idx="12">
                  <c:v>17676</c:v>
                </c:pt>
                <c:pt idx="13">
                  <c:v>24084</c:v>
                </c:pt>
                <c:pt idx="14">
                  <c:v>28098</c:v>
                </c:pt>
                <c:pt idx="15">
                  <c:v>30742</c:v>
                </c:pt>
                <c:pt idx="16">
                  <c:v>32019</c:v>
                </c:pt>
                <c:pt idx="17">
                  <c:v>33614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5C-8246-A2A0-287AE4A7D930}"/>
            </c:ext>
          </c:extLst>
        </c:ser>
        <c:ser>
          <c:idx val="2"/>
          <c:order val="2"/>
          <c:tx>
            <c:strRef>
              <c:f>CalAge!$T$4</c:f>
              <c:strCache>
                <c:ptCount val="1"/>
                <c:pt idx="0">
                  <c:v> Median R396+/-200</c:v>
                </c:pt>
              </c:strCache>
            </c:strRef>
          </c:tx>
          <c:spPr>
            <a:ln w="47625">
              <a:noFill/>
            </a:ln>
          </c:spPr>
          <c:marker>
            <c:symbol val="triangle"/>
            <c:size val="5"/>
          </c:marker>
          <c:xVal>
            <c:numRef>
              <c:f>CalAge!$T$5:$T$22</c:f>
              <c:numCache>
                <c:formatCode>General</c:formatCode>
                <c:ptCount val="18"/>
                <c:pt idx="0">
                  <c:v>8826</c:v>
                </c:pt>
                <c:pt idx="1">
                  <c:v>11563</c:v>
                </c:pt>
                <c:pt idx="2">
                  <c:v>12377</c:v>
                </c:pt>
                <c:pt idx="3">
                  <c:v>12875</c:v>
                </c:pt>
                <c:pt idx="4">
                  <c:v>13237</c:v>
                </c:pt>
                <c:pt idx="5">
                  <c:v>13302</c:v>
                </c:pt>
                <c:pt idx="6">
                  <c:v>13362</c:v>
                </c:pt>
                <c:pt idx="7">
                  <c:v>13927</c:v>
                </c:pt>
                <c:pt idx="8">
                  <c:v>15977</c:v>
                </c:pt>
                <c:pt idx="9">
                  <c:v>16371</c:v>
                </c:pt>
                <c:pt idx="10">
                  <c:v>16981</c:v>
                </c:pt>
                <c:pt idx="11">
                  <c:v>17660</c:v>
                </c:pt>
                <c:pt idx="12">
                  <c:v>17660</c:v>
                </c:pt>
                <c:pt idx="13">
                  <c:v>24097</c:v>
                </c:pt>
                <c:pt idx="14">
                  <c:v>28114</c:v>
                </c:pt>
                <c:pt idx="15">
                  <c:v>30730</c:v>
                </c:pt>
                <c:pt idx="16">
                  <c:v>32041</c:v>
                </c:pt>
                <c:pt idx="17">
                  <c:v>33608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5C-8246-A2A0-287AE4A7D930}"/>
            </c:ext>
          </c:extLst>
        </c:ser>
        <c:ser>
          <c:idx val="3"/>
          <c:order val="3"/>
          <c:tx>
            <c:strRef>
              <c:f>'14C'!$K$2</c:f>
              <c:strCache>
                <c:ptCount val="1"/>
                <c:pt idx="0">
                  <c:v>CALIB 4.3 (Stuiver + '98) Res.age 400</c:v>
                </c:pt>
              </c:strCache>
            </c:strRef>
          </c:tx>
          <c:spPr>
            <a:ln w="47625"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</c:spPr>
          </c:marker>
          <c:xVal>
            <c:numRef>
              <c:f>'14C'!$K$4:$K$17</c:f>
              <c:numCache>
                <c:formatCode>General</c:formatCode>
                <c:ptCount val="14"/>
                <c:pt idx="0">
                  <c:v>8860</c:v>
                </c:pt>
                <c:pt idx="1">
                  <c:v>11240</c:v>
                </c:pt>
                <c:pt idx="2">
                  <c:v>12510</c:v>
                </c:pt>
                <c:pt idx="3">
                  <c:v>12910</c:v>
                </c:pt>
                <c:pt idx="4">
                  <c:v>13174</c:v>
                </c:pt>
                <c:pt idx="5">
                  <c:v>13250</c:v>
                </c:pt>
                <c:pt idx="6">
                  <c:v>13420</c:v>
                </c:pt>
                <c:pt idx="7">
                  <c:v>13936</c:v>
                </c:pt>
                <c:pt idx="8">
                  <c:v>15855</c:v>
                </c:pt>
                <c:pt idx="9">
                  <c:v>16168</c:v>
                </c:pt>
                <c:pt idx="10">
                  <c:v>16663</c:v>
                </c:pt>
                <c:pt idx="11">
                  <c:v>17250</c:v>
                </c:pt>
                <c:pt idx="12">
                  <c:v>17250</c:v>
                </c:pt>
                <c:pt idx="13">
                  <c:v>23580</c:v>
                </c:pt>
              </c:numCache>
            </c:numRef>
          </c:xVal>
          <c:yVal>
            <c:numRef>
              <c:f>'14C'!$B$4:$B$17</c:f>
              <c:numCache>
                <c:formatCode>General</c:formatCode>
                <c:ptCount val="14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5C-8246-A2A0-287AE4A7D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2105240"/>
        <c:axId val="-2112097064"/>
      </c:scatterChart>
      <c:valAx>
        <c:axId val="-2112105240"/>
        <c:scaling>
          <c:orientation val="minMax"/>
          <c:max val="18000"/>
          <c:min val="8000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</a:t>
                </a:r>
                <a:r>
                  <a:rPr lang="en-US" baseline="0"/>
                  <a:t> Calender years 14C - T89-16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crossAx val="-2112097064"/>
        <c:crosses val="autoZero"/>
        <c:crossBetween val="midCat"/>
        <c:minorUnit val="1000"/>
      </c:valAx>
      <c:valAx>
        <c:axId val="-2112097064"/>
        <c:scaling>
          <c:orientation val="maxMin"/>
          <c:max val="7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12105240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71088660321172104"/>
          <c:y val="0.128984580052493"/>
          <c:w val="0.21111661216361899"/>
          <c:h val="0.179684875328084"/>
        </c:manualLayout>
      </c:layout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CalAge!$M$4</c:f>
              <c:strCache>
                <c:ptCount val="1"/>
                <c:pt idx="0">
                  <c:v> Median R396+/-50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 w="15875">
                <a:noFill/>
              </a:ln>
            </c:spPr>
          </c:marker>
          <c:xVal>
            <c:numRef>
              <c:f>CalAge!$M$5:$M$22</c:f>
              <c:numCache>
                <c:formatCode>General</c:formatCode>
                <c:ptCount val="18"/>
                <c:pt idx="0">
                  <c:v>8799</c:v>
                </c:pt>
                <c:pt idx="1">
                  <c:v>11526</c:v>
                </c:pt>
                <c:pt idx="2">
                  <c:v>12485</c:v>
                </c:pt>
                <c:pt idx="3">
                  <c:v>12854</c:v>
                </c:pt>
                <c:pt idx="4">
                  <c:v>13224</c:v>
                </c:pt>
                <c:pt idx="5">
                  <c:v>13297</c:v>
                </c:pt>
                <c:pt idx="6">
                  <c:v>13350</c:v>
                </c:pt>
                <c:pt idx="7">
                  <c:v>13883</c:v>
                </c:pt>
                <c:pt idx="8">
                  <c:v>15986</c:v>
                </c:pt>
                <c:pt idx="9">
                  <c:v>16342</c:v>
                </c:pt>
                <c:pt idx="10">
                  <c:v>16991</c:v>
                </c:pt>
                <c:pt idx="11">
                  <c:v>17676</c:v>
                </c:pt>
                <c:pt idx="12">
                  <c:v>17676</c:v>
                </c:pt>
                <c:pt idx="13">
                  <c:v>24084</c:v>
                </c:pt>
                <c:pt idx="14">
                  <c:v>28098</c:v>
                </c:pt>
                <c:pt idx="15">
                  <c:v>30742</c:v>
                </c:pt>
                <c:pt idx="16">
                  <c:v>32019</c:v>
                </c:pt>
                <c:pt idx="17">
                  <c:v>33614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59-4E34-9972-55A2319423FE}"/>
            </c:ext>
          </c:extLst>
        </c:ser>
        <c:ser>
          <c:idx val="1"/>
          <c:order val="1"/>
          <c:tx>
            <c:strRef>
              <c:f>CalAge!$N$4</c:f>
              <c:strCache>
                <c:ptCount val="1"/>
                <c:pt idx="0">
                  <c:v>max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5"/>
          </c:marker>
          <c:xVal>
            <c:numRef>
              <c:f>CalAge!$N$5:$N$22</c:f>
              <c:numCache>
                <c:formatCode>General</c:formatCode>
                <c:ptCount val="18"/>
                <c:pt idx="0">
                  <c:v>9239</c:v>
                </c:pt>
                <c:pt idx="1">
                  <c:v>12064</c:v>
                </c:pt>
                <c:pt idx="2">
                  <c:v>12686</c:v>
                </c:pt>
                <c:pt idx="3">
                  <c:v>13047</c:v>
                </c:pt>
                <c:pt idx="4">
                  <c:v>13374</c:v>
                </c:pt>
                <c:pt idx="5">
                  <c:v>13450</c:v>
                </c:pt>
                <c:pt idx="6">
                  <c:v>13569</c:v>
                </c:pt>
                <c:pt idx="7">
                  <c:v>14106</c:v>
                </c:pt>
                <c:pt idx="8">
                  <c:v>16244</c:v>
                </c:pt>
                <c:pt idx="9">
                  <c:v>16632</c:v>
                </c:pt>
                <c:pt idx="10">
                  <c:v>17284</c:v>
                </c:pt>
                <c:pt idx="11">
                  <c:v>17979</c:v>
                </c:pt>
                <c:pt idx="12">
                  <c:v>17979</c:v>
                </c:pt>
                <c:pt idx="13">
                  <c:v>24986</c:v>
                </c:pt>
                <c:pt idx="14">
                  <c:v>28684</c:v>
                </c:pt>
                <c:pt idx="15">
                  <c:v>31421</c:v>
                </c:pt>
                <c:pt idx="16">
                  <c:v>33264</c:v>
                </c:pt>
                <c:pt idx="17">
                  <c:v>34810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59-4E34-9972-55A2319423FE}"/>
            </c:ext>
          </c:extLst>
        </c:ser>
        <c:ser>
          <c:idx val="2"/>
          <c:order val="2"/>
          <c:tx>
            <c:strRef>
              <c:f>CalAge!$O$4</c:f>
              <c:strCache>
                <c:ptCount val="1"/>
                <c:pt idx="0">
                  <c:v>min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5"/>
          </c:marker>
          <c:xVal>
            <c:numRef>
              <c:f>CalAge!$O$5:$O$22</c:f>
              <c:numCache>
                <c:formatCode>General</c:formatCode>
                <c:ptCount val="18"/>
                <c:pt idx="0">
                  <c:v>8422</c:v>
                </c:pt>
                <c:pt idx="1">
                  <c:v>11145</c:v>
                </c:pt>
                <c:pt idx="2">
                  <c:v>12368</c:v>
                </c:pt>
                <c:pt idx="3">
                  <c:v>12706</c:v>
                </c:pt>
                <c:pt idx="4">
                  <c:v>13086</c:v>
                </c:pt>
                <c:pt idx="5">
                  <c:v>13134</c:v>
                </c:pt>
                <c:pt idx="6">
                  <c:v>13114</c:v>
                </c:pt>
                <c:pt idx="7">
                  <c:v>13721</c:v>
                </c:pt>
                <c:pt idx="8">
                  <c:v>15732</c:v>
                </c:pt>
                <c:pt idx="9">
                  <c:v>16090</c:v>
                </c:pt>
                <c:pt idx="10">
                  <c:v>16647</c:v>
                </c:pt>
                <c:pt idx="11">
                  <c:v>17359</c:v>
                </c:pt>
                <c:pt idx="12">
                  <c:v>17359</c:v>
                </c:pt>
                <c:pt idx="13">
                  <c:v>23365</c:v>
                </c:pt>
                <c:pt idx="14">
                  <c:v>27614</c:v>
                </c:pt>
                <c:pt idx="15">
                  <c:v>29704</c:v>
                </c:pt>
                <c:pt idx="16">
                  <c:v>31097</c:v>
                </c:pt>
                <c:pt idx="17">
                  <c:v>32119</c:v>
                </c:pt>
              </c:numCache>
            </c:numRef>
          </c:xVal>
          <c:y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59-4E34-9972-55A231942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1696216"/>
        <c:axId val="-2111607672"/>
      </c:scatterChart>
      <c:valAx>
        <c:axId val="-2131696216"/>
        <c:scaling>
          <c:orientation val="minMax"/>
          <c:max val="35000"/>
          <c:min val="500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Median Calender years 14C - ResAge 396 +/- 50 yr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2111607672"/>
        <c:crosses val="autoZero"/>
        <c:crossBetween val="midCat"/>
        <c:minorUnit val="1000"/>
      </c:valAx>
      <c:valAx>
        <c:axId val="-21116076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2131696216"/>
        <c:crosses val="autoZero"/>
        <c:crossBetween val="midCat"/>
        <c:majorUnit val="1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CalAge!$M$4</c:f>
              <c:strCache>
                <c:ptCount val="1"/>
                <c:pt idx="0">
                  <c:v> Median R396+/-50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CalAge!$E$5:$E$22</c:f>
              <c:numCache>
                <c:formatCode>General</c:formatCode>
                <c:ptCount val="18"/>
                <c:pt idx="0">
                  <c:v>7.0000000000000007E-2</c:v>
                </c:pt>
                <c:pt idx="1">
                  <c:v>1.78</c:v>
                </c:pt>
                <c:pt idx="2">
                  <c:v>2.2949999999999999</c:v>
                </c:pt>
                <c:pt idx="3">
                  <c:v>3.26</c:v>
                </c:pt>
                <c:pt idx="4">
                  <c:v>3.9950000000000001</c:v>
                </c:pt>
                <c:pt idx="5">
                  <c:v>4.4950000000000001</c:v>
                </c:pt>
                <c:pt idx="6">
                  <c:v>4.79</c:v>
                </c:pt>
                <c:pt idx="7">
                  <c:v>5.05</c:v>
                </c:pt>
                <c:pt idx="8">
                  <c:v>5.6</c:v>
                </c:pt>
                <c:pt idx="9">
                  <c:v>5.7</c:v>
                </c:pt>
                <c:pt idx="10">
                  <c:v>5.79</c:v>
                </c:pt>
                <c:pt idx="11">
                  <c:v>6.09</c:v>
                </c:pt>
                <c:pt idx="12">
                  <c:v>6.15</c:v>
                </c:pt>
                <c:pt idx="13">
                  <c:v>7.06</c:v>
                </c:pt>
                <c:pt idx="14">
                  <c:v>7.84</c:v>
                </c:pt>
                <c:pt idx="15">
                  <c:v>8.7799999999999994</c:v>
                </c:pt>
                <c:pt idx="16">
                  <c:v>9.83</c:v>
                </c:pt>
                <c:pt idx="17">
                  <c:v>10.38</c:v>
                </c:pt>
              </c:numCache>
            </c:numRef>
          </c:xVal>
          <c:yVal>
            <c:numRef>
              <c:f>CalAge!$M$5:$M$22</c:f>
              <c:numCache>
                <c:formatCode>General</c:formatCode>
                <c:ptCount val="18"/>
                <c:pt idx="0">
                  <c:v>8799</c:v>
                </c:pt>
                <c:pt idx="1">
                  <c:v>11526</c:v>
                </c:pt>
                <c:pt idx="2">
                  <c:v>12485</c:v>
                </c:pt>
                <c:pt idx="3">
                  <c:v>12854</c:v>
                </c:pt>
                <c:pt idx="4">
                  <c:v>13224</c:v>
                </c:pt>
                <c:pt idx="5">
                  <c:v>13297</c:v>
                </c:pt>
                <c:pt idx="6">
                  <c:v>13350</c:v>
                </c:pt>
                <c:pt idx="7">
                  <c:v>13883</c:v>
                </c:pt>
                <c:pt idx="8">
                  <c:v>15986</c:v>
                </c:pt>
                <c:pt idx="9">
                  <c:v>16342</c:v>
                </c:pt>
                <c:pt idx="10">
                  <c:v>16991</c:v>
                </c:pt>
                <c:pt idx="11">
                  <c:v>17676</c:v>
                </c:pt>
                <c:pt idx="12">
                  <c:v>17676</c:v>
                </c:pt>
                <c:pt idx="13">
                  <c:v>24084</c:v>
                </c:pt>
                <c:pt idx="14">
                  <c:v>28098</c:v>
                </c:pt>
                <c:pt idx="15">
                  <c:v>30742</c:v>
                </c:pt>
                <c:pt idx="16">
                  <c:v>32019</c:v>
                </c:pt>
                <c:pt idx="17">
                  <c:v>33614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3B-43EB-8E91-1BE0DD82F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707560"/>
        <c:axId val="1150709000"/>
      </c:scatterChart>
      <c:valAx>
        <c:axId val="1150707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50709000"/>
        <c:crosses val="autoZero"/>
        <c:crossBetween val="midCat"/>
      </c:valAx>
      <c:valAx>
        <c:axId val="115070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50707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31</xdr:row>
      <xdr:rowOff>0</xdr:rowOff>
    </xdr:from>
    <xdr:to>
      <xdr:col>7</xdr:col>
      <xdr:colOff>495300</xdr:colOff>
      <xdr:row>63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14</xdr:col>
      <xdr:colOff>520700</xdr:colOff>
      <xdr:row>63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12700</xdr:colOff>
      <xdr:row>64</xdr:row>
      <xdr:rowOff>63500</xdr:rowOff>
    </xdr:from>
    <xdr:to>
      <xdr:col>7</xdr:col>
      <xdr:colOff>533400</xdr:colOff>
      <xdr:row>96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64</xdr:row>
      <xdr:rowOff>0</xdr:rowOff>
    </xdr:from>
    <xdr:to>
      <xdr:col>22</xdr:col>
      <xdr:colOff>279400</xdr:colOff>
      <xdr:row>96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1</xdr:row>
      <xdr:rowOff>0</xdr:rowOff>
    </xdr:from>
    <xdr:to>
      <xdr:col>14</xdr:col>
      <xdr:colOff>266700</xdr:colOff>
      <xdr:row>14</xdr:row>
      <xdr:rowOff>139700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355600" y="190500"/>
          <a:ext cx="8890000" cy="2616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15</xdr:col>
      <xdr:colOff>0</xdr:colOff>
      <xdr:row>134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141</xdr:row>
      <xdr:rowOff>0</xdr:rowOff>
    </xdr:from>
    <xdr:to>
      <xdr:col>7</xdr:col>
      <xdr:colOff>142724</xdr:colOff>
      <xdr:row>173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5AB7C7-F6E6-40F7-90FC-018A0203D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5021</xdr:colOff>
      <xdr:row>30</xdr:row>
      <xdr:rowOff>224657</xdr:rowOff>
    </xdr:from>
    <xdr:to>
      <xdr:col>37</xdr:col>
      <xdr:colOff>231322</xdr:colOff>
      <xdr:row>47</xdr:row>
      <xdr:rowOff>136072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DF2E82-1A11-6F5B-18C1-952911260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zoomScale="75" workbookViewId="0">
      <selection activeCell="N2" sqref="N2"/>
    </sheetView>
  </sheetViews>
  <sheetFormatPr defaultColWidth="10.625" defaultRowHeight="15.75" x14ac:dyDescent="0.25"/>
  <cols>
    <col min="1" max="1" width="12.875" customWidth="1"/>
    <col min="3" max="3" width="20.625" customWidth="1"/>
  </cols>
  <sheetData>
    <row r="1" spans="1:13" x14ac:dyDescent="0.25">
      <c r="B1" t="s">
        <v>0</v>
      </c>
      <c r="C1" t="s">
        <v>1</v>
      </c>
    </row>
    <row r="2" spans="1:13" x14ac:dyDescent="0.25">
      <c r="A2" t="s">
        <v>46</v>
      </c>
      <c r="K2" s="7" t="s">
        <v>48</v>
      </c>
    </row>
    <row r="3" spans="1:13" x14ac:dyDescent="0.25">
      <c r="B3" s="1" t="s">
        <v>2</v>
      </c>
      <c r="C3" s="1" t="s">
        <v>3</v>
      </c>
      <c r="D3" s="2" t="s">
        <v>5</v>
      </c>
      <c r="E3" t="s">
        <v>4</v>
      </c>
      <c r="G3" t="s">
        <v>6</v>
      </c>
      <c r="K3" t="s">
        <v>39</v>
      </c>
      <c r="L3" t="s">
        <v>40</v>
      </c>
      <c r="M3" t="s">
        <v>41</v>
      </c>
    </row>
    <row r="4" spans="1:13" x14ac:dyDescent="0.25">
      <c r="A4" t="s">
        <v>37</v>
      </c>
      <c r="B4" s="1">
        <v>7.0000000000000007E-2</v>
      </c>
      <c r="C4" s="1">
        <v>8.33</v>
      </c>
      <c r="D4">
        <v>0.14000000000000001</v>
      </c>
      <c r="E4">
        <v>0.14000000000000001</v>
      </c>
      <c r="G4" t="s">
        <v>7</v>
      </c>
      <c r="J4">
        <v>8.86</v>
      </c>
      <c r="K4">
        <f>1000*J4</f>
        <v>8860</v>
      </c>
      <c r="L4">
        <v>8.64</v>
      </c>
      <c r="M4">
        <v>8.9600000000000009</v>
      </c>
    </row>
    <row r="5" spans="1:13" x14ac:dyDescent="0.25">
      <c r="A5" t="s">
        <v>38</v>
      </c>
      <c r="B5" s="1">
        <v>1.78</v>
      </c>
      <c r="C5" s="1">
        <v>10.37</v>
      </c>
      <c r="D5">
        <v>0.14000000000000001</v>
      </c>
      <c r="E5">
        <v>0.14000000000000001</v>
      </c>
      <c r="G5" t="s">
        <v>7</v>
      </c>
      <c r="J5">
        <v>11.24</v>
      </c>
      <c r="K5">
        <f t="shared" ref="K5:K17" si="0">1000*J5</f>
        <v>11240</v>
      </c>
      <c r="L5">
        <v>10.85</v>
      </c>
      <c r="M5">
        <v>11.529</v>
      </c>
    </row>
    <row r="6" spans="1:13" x14ac:dyDescent="0.25">
      <c r="B6" s="1">
        <v>2.2949999999999999</v>
      </c>
      <c r="C6" s="1">
        <v>10.93</v>
      </c>
      <c r="D6" s="3">
        <v>0.06</v>
      </c>
      <c r="E6" s="3">
        <v>0.06</v>
      </c>
      <c r="H6" t="s">
        <v>9</v>
      </c>
      <c r="J6">
        <v>12.51</v>
      </c>
      <c r="K6">
        <f t="shared" si="0"/>
        <v>12510</v>
      </c>
      <c r="L6">
        <v>12.29</v>
      </c>
      <c r="M6">
        <v>12.638</v>
      </c>
    </row>
    <row r="7" spans="1:13" x14ac:dyDescent="0.25">
      <c r="A7" t="s">
        <v>42</v>
      </c>
      <c r="B7" s="1">
        <v>3.26</v>
      </c>
      <c r="C7" s="1">
        <v>11.36</v>
      </c>
      <c r="D7">
        <v>0.09</v>
      </c>
      <c r="E7">
        <v>0.09</v>
      </c>
      <c r="G7" t="s">
        <v>7</v>
      </c>
      <c r="J7">
        <v>12.91</v>
      </c>
      <c r="K7">
        <f t="shared" si="0"/>
        <v>12910</v>
      </c>
      <c r="L7">
        <v>12.821999999999999</v>
      </c>
      <c r="M7">
        <v>13.015000000000001</v>
      </c>
    </row>
    <row r="8" spans="1:13" x14ac:dyDescent="0.25">
      <c r="B8" s="1">
        <v>3.9950000000000001</v>
      </c>
      <c r="C8" s="1">
        <v>11.78</v>
      </c>
      <c r="D8" s="3">
        <v>0.05</v>
      </c>
      <c r="E8" s="3">
        <v>0.05</v>
      </c>
      <c r="H8" t="s">
        <v>9</v>
      </c>
      <c r="J8">
        <v>13.173999999999999</v>
      </c>
      <c r="K8">
        <f t="shared" si="0"/>
        <v>13174</v>
      </c>
      <c r="L8">
        <v>13.151</v>
      </c>
      <c r="M8">
        <v>13.336</v>
      </c>
    </row>
    <row r="9" spans="1:13" x14ac:dyDescent="0.25">
      <c r="B9" s="1">
        <v>4.4950000000000001</v>
      </c>
      <c r="C9" s="1">
        <v>11.85</v>
      </c>
      <c r="D9" s="3">
        <v>0.06</v>
      </c>
      <c r="E9" s="3">
        <v>0.06</v>
      </c>
      <c r="H9" t="s">
        <v>9</v>
      </c>
      <c r="J9">
        <v>13.25</v>
      </c>
      <c r="K9">
        <f t="shared" si="0"/>
        <v>13250</v>
      </c>
      <c r="L9">
        <v>13.170999999999999</v>
      </c>
      <c r="M9">
        <v>13.336</v>
      </c>
    </row>
    <row r="10" spans="1:13" x14ac:dyDescent="0.25">
      <c r="A10" t="s">
        <v>43</v>
      </c>
      <c r="B10" s="1">
        <v>4.79</v>
      </c>
      <c r="C10" s="1">
        <v>11.91</v>
      </c>
      <c r="D10">
        <v>0.11</v>
      </c>
      <c r="E10">
        <v>0.11</v>
      </c>
      <c r="G10" t="s">
        <v>7</v>
      </c>
      <c r="J10">
        <v>13.42</v>
      </c>
      <c r="K10">
        <f t="shared" si="0"/>
        <v>13420</v>
      </c>
      <c r="L10">
        <v>13.164</v>
      </c>
      <c r="M10">
        <v>13.452</v>
      </c>
    </row>
    <row r="11" spans="1:13" x14ac:dyDescent="0.25">
      <c r="B11" s="1">
        <v>5.05</v>
      </c>
      <c r="C11" s="1">
        <v>12.42</v>
      </c>
      <c r="D11" s="3">
        <v>0.06</v>
      </c>
      <c r="E11" s="3">
        <v>0.06</v>
      </c>
      <c r="H11" t="s">
        <v>9</v>
      </c>
      <c r="J11">
        <v>13.936</v>
      </c>
      <c r="K11">
        <f t="shared" si="0"/>
        <v>13936</v>
      </c>
      <c r="L11">
        <v>13.827</v>
      </c>
      <c r="M11">
        <v>14.067</v>
      </c>
    </row>
    <row r="12" spans="1:13" x14ac:dyDescent="0.25">
      <c r="B12" s="1">
        <v>5.6</v>
      </c>
      <c r="C12" s="1">
        <v>13.69</v>
      </c>
      <c r="D12" s="3">
        <v>7.0000000000000007E-2</v>
      </c>
      <c r="E12" s="3">
        <v>7.0000000000000007E-2</v>
      </c>
      <c r="H12" t="s">
        <v>9</v>
      </c>
      <c r="J12">
        <v>15.855</v>
      </c>
      <c r="K12">
        <f t="shared" si="0"/>
        <v>15855</v>
      </c>
      <c r="L12">
        <v>15.62</v>
      </c>
      <c r="M12">
        <v>16.087</v>
      </c>
    </row>
    <row r="13" spans="1:13" x14ac:dyDescent="0.25">
      <c r="B13" s="1">
        <v>5.7</v>
      </c>
      <c r="C13" s="1">
        <v>13.96</v>
      </c>
      <c r="D13" s="3">
        <v>0.06</v>
      </c>
      <c r="E13" s="3">
        <v>0.06</v>
      </c>
      <c r="H13" t="s">
        <v>9</v>
      </c>
      <c r="J13">
        <v>16.167999999999999</v>
      </c>
      <c r="K13">
        <f t="shared" si="0"/>
        <v>16168</v>
      </c>
      <c r="L13">
        <v>15.936999999999999</v>
      </c>
      <c r="M13">
        <v>16.398</v>
      </c>
    </row>
    <row r="14" spans="1:13" x14ac:dyDescent="0.25">
      <c r="B14" s="1">
        <v>5.79</v>
      </c>
      <c r="C14" s="1">
        <v>14.39</v>
      </c>
      <c r="D14" s="3">
        <v>0.06</v>
      </c>
      <c r="E14" s="3">
        <v>0.06</v>
      </c>
      <c r="H14" t="s">
        <v>9</v>
      </c>
      <c r="J14">
        <v>16.663</v>
      </c>
      <c r="K14">
        <f t="shared" si="0"/>
        <v>16663</v>
      </c>
      <c r="L14">
        <v>16.422999999999998</v>
      </c>
      <c r="M14">
        <v>16.902000000000001</v>
      </c>
    </row>
    <row r="15" spans="1:13" x14ac:dyDescent="0.25">
      <c r="A15" t="s">
        <v>44</v>
      </c>
      <c r="B15" s="1">
        <v>6.09</v>
      </c>
      <c r="C15" s="1">
        <v>14.9</v>
      </c>
      <c r="D15">
        <v>0.11</v>
      </c>
      <c r="E15">
        <v>0.11</v>
      </c>
      <c r="G15" t="s">
        <v>7</v>
      </c>
      <c r="J15">
        <v>17.25</v>
      </c>
      <c r="K15">
        <f t="shared" si="0"/>
        <v>17250</v>
      </c>
      <c r="L15">
        <v>16.98</v>
      </c>
      <c r="M15">
        <v>17.52</v>
      </c>
    </row>
    <row r="16" spans="1:13" x14ac:dyDescent="0.25">
      <c r="B16" s="1">
        <v>6.15</v>
      </c>
      <c r="C16" s="1">
        <v>14.9</v>
      </c>
      <c r="D16" s="3">
        <v>0.11</v>
      </c>
      <c r="E16" s="3">
        <v>0.11</v>
      </c>
      <c r="H16" t="s">
        <v>9</v>
      </c>
      <c r="J16">
        <v>17.25</v>
      </c>
      <c r="K16">
        <f t="shared" si="0"/>
        <v>17250</v>
      </c>
      <c r="L16">
        <v>17.003</v>
      </c>
      <c r="M16">
        <v>17.495999999999999</v>
      </c>
    </row>
    <row r="17" spans="1:13" x14ac:dyDescent="0.25">
      <c r="A17" t="s">
        <v>45</v>
      </c>
      <c r="B17" s="1">
        <v>7.06</v>
      </c>
      <c r="C17" s="1">
        <v>20.399999999999999</v>
      </c>
      <c r="D17">
        <v>0.3</v>
      </c>
      <c r="E17">
        <v>0.3</v>
      </c>
      <c r="G17" t="s">
        <v>7</v>
      </c>
      <c r="J17">
        <v>23.58</v>
      </c>
      <c r="K17">
        <f t="shared" si="0"/>
        <v>23580</v>
      </c>
      <c r="L17">
        <v>23.07</v>
      </c>
      <c r="M17">
        <v>24.071999999999999</v>
      </c>
    </row>
    <row r="18" spans="1:13" x14ac:dyDescent="0.25">
      <c r="B18" s="1">
        <v>7.84</v>
      </c>
      <c r="C18" s="1">
        <v>24.4</v>
      </c>
      <c r="D18">
        <v>0.3</v>
      </c>
      <c r="E18">
        <v>0.3</v>
      </c>
      <c r="H18" t="s">
        <v>8</v>
      </c>
    </row>
    <row r="19" spans="1:13" x14ac:dyDescent="0.25">
      <c r="B19" s="1">
        <v>8.7799999999999994</v>
      </c>
      <c r="C19" s="1">
        <v>27</v>
      </c>
      <c r="D19">
        <v>0.47</v>
      </c>
      <c r="E19">
        <v>-0.45</v>
      </c>
      <c r="G19" t="s">
        <v>7</v>
      </c>
    </row>
    <row r="20" spans="1:13" x14ac:dyDescent="0.25">
      <c r="B20" s="1">
        <v>9.83</v>
      </c>
      <c r="C20" s="1">
        <v>28.4</v>
      </c>
      <c r="D20">
        <v>0.5</v>
      </c>
      <c r="E20">
        <v>0.5</v>
      </c>
      <c r="G20" t="s">
        <v>7</v>
      </c>
    </row>
    <row r="21" spans="1:13" x14ac:dyDescent="0.25">
      <c r="B21" s="1">
        <v>10.38</v>
      </c>
      <c r="C21" s="1">
        <v>29.9</v>
      </c>
      <c r="D21">
        <v>0.6</v>
      </c>
      <c r="E21">
        <v>-0.5</v>
      </c>
      <c r="G21" t="s">
        <v>7</v>
      </c>
    </row>
    <row r="23" spans="1:13" x14ac:dyDescent="0.25">
      <c r="H23" t="s">
        <v>9</v>
      </c>
      <c r="K23" t="s">
        <v>9</v>
      </c>
    </row>
    <row r="24" spans="1:13" x14ac:dyDescent="0.25">
      <c r="H24" t="s">
        <v>10</v>
      </c>
      <c r="K24" t="s">
        <v>47</v>
      </c>
    </row>
    <row r="25" spans="1:13" x14ac:dyDescent="0.25">
      <c r="H25" s="3" t="s">
        <v>11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36"/>
  <sheetViews>
    <sheetView tabSelected="1" topLeftCell="A144" zoomScaleNormal="100" workbookViewId="0">
      <pane xSplit="20760" topLeftCell="N1"/>
      <selection activeCell="K146" sqref="K146"/>
      <selection pane="topRight" activeCell="AH31" sqref="AH31"/>
    </sheetView>
  </sheetViews>
  <sheetFormatPr defaultColWidth="10.625" defaultRowHeight="15.75" x14ac:dyDescent="0.25"/>
  <cols>
    <col min="1" max="1" width="6.375" customWidth="1"/>
    <col min="7" max="7" width="15.625" customWidth="1"/>
    <col min="16" max="16" width="1.5" customWidth="1"/>
  </cols>
  <sheetData>
    <row r="1" spans="1:32" x14ac:dyDescent="0.25">
      <c r="B1" t="s">
        <v>56</v>
      </c>
      <c r="E1" t="s">
        <v>54</v>
      </c>
      <c r="AD1" t="s">
        <v>55</v>
      </c>
    </row>
    <row r="2" spans="1:32" x14ac:dyDescent="0.25">
      <c r="E2" t="s">
        <v>12</v>
      </c>
      <c r="M2" t="s">
        <v>19</v>
      </c>
      <c r="U2" t="s">
        <v>24</v>
      </c>
      <c r="AD2" t="s">
        <v>19</v>
      </c>
    </row>
    <row r="4" spans="1:32" x14ac:dyDescent="0.25">
      <c r="A4" t="s">
        <v>33</v>
      </c>
      <c r="B4" t="s">
        <v>57</v>
      </c>
      <c r="C4" s="2" t="s">
        <v>58</v>
      </c>
      <c r="E4" t="s">
        <v>33</v>
      </c>
      <c r="F4" t="s">
        <v>34</v>
      </c>
      <c r="G4" s="10" t="s">
        <v>32</v>
      </c>
      <c r="H4" s="10" t="s">
        <v>31</v>
      </c>
      <c r="I4" t="s">
        <v>14</v>
      </c>
      <c r="M4" t="s">
        <v>35</v>
      </c>
      <c r="N4" t="s">
        <v>32</v>
      </c>
      <c r="O4" t="s">
        <v>31</v>
      </c>
      <c r="P4" t="s">
        <v>14</v>
      </c>
      <c r="S4" t="s">
        <v>13</v>
      </c>
      <c r="T4" t="s">
        <v>36</v>
      </c>
      <c r="U4" t="s">
        <v>32</v>
      </c>
      <c r="V4" t="s">
        <v>31</v>
      </c>
      <c r="W4" t="s">
        <v>14</v>
      </c>
      <c r="AA4" t="s">
        <v>53</v>
      </c>
      <c r="AC4" t="s">
        <v>33</v>
      </c>
      <c r="AD4" t="s">
        <v>59</v>
      </c>
    </row>
    <row r="5" spans="1:32" x14ac:dyDescent="0.25">
      <c r="A5">
        <v>7.0000000000000007E-2</v>
      </c>
      <c r="B5" s="1">
        <v>8.33</v>
      </c>
      <c r="C5">
        <v>0.14000000000000001</v>
      </c>
      <c r="E5">
        <v>7.0000000000000007E-2</v>
      </c>
      <c r="F5">
        <v>8559</v>
      </c>
      <c r="G5">
        <v>8996</v>
      </c>
      <c r="H5">
        <v>8297</v>
      </c>
      <c r="I5">
        <v>-0.93400000000000005</v>
      </c>
      <c r="J5" t="s">
        <v>15</v>
      </c>
      <c r="M5">
        <v>8799</v>
      </c>
      <c r="N5">
        <v>9239</v>
      </c>
      <c r="O5">
        <v>8422</v>
      </c>
      <c r="P5">
        <v>-6.0000000000000001E-3</v>
      </c>
      <c r="Q5" t="s">
        <v>20</v>
      </c>
      <c r="R5" t="s">
        <v>21</v>
      </c>
      <c r="S5">
        <v>7.0000000000000007E-2</v>
      </c>
      <c r="T5">
        <v>8826</v>
      </c>
      <c r="U5">
        <v>9449</v>
      </c>
      <c r="V5">
        <v>8344</v>
      </c>
      <c r="W5">
        <v>-0.95499999999999996</v>
      </c>
      <c r="AA5">
        <f>M5-F5</f>
        <v>240</v>
      </c>
      <c r="AC5">
        <v>7.0000000000000007E-2</v>
      </c>
      <c r="AD5">
        <v>6974</v>
      </c>
      <c r="AE5">
        <v>7319</v>
      </c>
      <c r="AF5">
        <v>6578</v>
      </c>
    </row>
    <row r="6" spans="1:32" x14ac:dyDescent="0.25">
      <c r="A6">
        <v>1.78</v>
      </c>
      <c r="B6" s="1">
        <v>10.37</v>
      </c>
      <c r="C6">
        <v>0.14000000000000001</v>
      </c>
      <c r="E6">
        <v>1.78</v>
      </c>
      <c r="F6">
        <v>11199</v>
      </c>
      <c r="G6">
        <v>11749</v>
      </c>
      <c r="H6">
        <v>11738</v>
      </c>
      <c r="I6">
        <v>-3.0000000000000001E-3</v>
      </c>
      <c r="J6" t="s">
        <v>16</v>
      </c>
      <c r="K6" t="s">
        <v>17</v>
      </c>
      <c r="M6">
        <v>11526</v>
      </c>
      <c r="N6">
        <v>12064</v>
      </c>
      <c r="O6">
        <v>11145</v>
      </c>
      <c r="P6">
        <v>-0.95499999999999996</v>
      </c>
      <c r="S6">
        <v>1.78</v>
      </c>
      <c r="T6">
        <v>11563</v>
      </c>
      <c r="U6">
        <v>12393</v>
      </c>
      <c r="V6">
        <v>10774</v>
      </c>
      <c r="W6">
        <v>-0.95499999999999996</v>
      </c>
      <c r="AA6">
        <f t="shared" ref="AA6:AA22" si="0">M6-F6</f>
        <v>327</v>
      </c>
      <c r="AC6">
        <v>1.78</v>
      </c>
      <c r="AD6">
        <v>9804</v>
      </c>
      <c r="AE6">
        <v>10219</v>
      </c>
      <c r="AF6">
        <v>9296</v>
      </c>
    </row>
    <row r="7" spans="1:32" x14ac:dyDescent="0.25">
      <c r="A7">
        <v>2.2949999999999999</v>
      </c>
      <c r="B7" s="1">
        <v>10.93</v>
      </c>
      <c r="C7" s="3">
        <v>0.06</v>
      </c>
      <c r="E7">
        <v>2.2949999999999999</v>
      </c>
      <c r="F7">
        <v>12121</v>
      </c>
      <c r="G7">
        <v>12515</v>
      </c>
      <c r="H7">
        <v>12501</v>
      </c>
      <c r="I7">
        <v>-5.0000000000000001E-3</v>
      </c>
      <c r="J7" t="s">
        <v>18</v>
      </c>
      <c r="M7">
        <v>12485</v>
      </c>
      <c r="N7">
        <v>12686</v>
      </c>
      <c r="O7">
        <v>12368</v>
      </c>
      <c r="P7">
        <v>-0.80900000000000005</v>
      </c>
      <c r="Q7" t="s">
        <v>22</v>
      </c>
      <c r="R7" t="s">
        <v>23</v>
      </c>
      <c r="S7">
        <v>2.2949999999999999</v>
      </c>
      <c r="T7">
        <v>12377</v>
      </c>
      <c r="U7">
        <v>12827</v>
      </c>
      <c r="V7">
        <v>11705</v>
      </c>
      <c r="W7">
        <v>-0.95299999999999996</v>
      </c>
      <c r="X7" t="s">
        <v>25</v>
      </c>
      <c r="AA7">
        <f t="shared" si="0"/>
        <v>364</v>
      </c>
      <c r="AC7">
        <v>2.2949999999999999</v>
      </c>
      <c r="AD7">
        <v>10505</v>
      </c>
      <c r="AE7">
        <v>10650</v>
      </c>
      <c r="AF7">
        <v>10346</v>
      </c>
    </row>
    <row r="8" spans="1:32" x14ac:dyDescent="0.25">
      <c r="A8">
        <v>3.26</v>
      </c>
      <c r="B8" s="1">
        <v>11.36</v>
      </c>
      <c r="C8">
        <v>0.09</v>
      </c>
      <c r="E8">
        <v>3.26</v>
      </c>
      <c r="F8">
        <v>12647</v>
      </c>
      <c r="G8">
        <v>12814</v>
      </c>
      <c r="H8">
        <v>12411</v>
      </c>
      <c r="I8">
        <v>-0.95499999999999996</v>
      </c>
      <c r="M8">
        <v>12854</v>
      </c>
      <c r="N8">
        <v>13047</v>
      </c>
      <c r="O8">
        <v>12706</v>
      </c>
      <c r="P8">
        <v>-0.95499999999999996</v>
      </c>
      <c r="S8">
        <v>3.26</v>
      </c>
      <c r="T8">
        <v>12875</v>
      </c>
      <c r="U8">
        <v>13299</v>
      </c>
      <c r="V8">
        <v>12520</v>
      </c>
      <c r="W8">
        <v>-0.94299999999999995</v>
      </c>
      <c r="X8" t="s">
        <v>26</v>
      </c>
      <c r="AA8">
        <f t="shared" si="0"/>
        <v>207</v>
      </c>
      <c r="AC8">
        <v>3.26</v>
      </c>
      <c r="AD8">
        <v>10880</v>
      </c>
      <c r="AE8">
        <v>11083</v>
      </c>
      <c r="AF8">
        <v>10689</v>
      </c>
    </row>
    <row r="9" spans="1:32" x14ac:dyDescent="0.25">
      <c r="A9">
        <v>3.9950000000000001</v>
      </c>
      <c r="B9" s="1">
        <v>11.78</v>
      </c>
      <c r="C9" s="3">
        <v>0.05</v>
      </c>
      <c r="E9">
        <v>3.9950000000000001</v>
      </c>
      <c r="F9">
        <v>12979</v>
      </c>
      <c r="G9">
        <v>13131</v>
      </c>
      <c r="H9">
        <v>12779</v>
      </c>
      <c r="I9">
        <v>-0.95499999999999996</v>
      </c>
      <c r="M9">
        <v>13224</v>
      </c>
      <c r="N9">
        <v>13374</v>
      </c>
      <c r="O9">
        <v>13086</v>
      </c>
      <c r="P9">
        <v>-0.95499999999999996</v>
      </c>
      <c r="S9">
        <v>3.9950000000000001</v>
      </c>
      <c r="T9">
        <v>13237</v>
      </c>
      <c r="U9">
        <v>13697</v>
      </c>
      <c r="V9">
        <v>13683</v>
      </c>
      <c r="W9">
        <v>-4.0000000000000001E-3</v>
      </c>
      <c r="X9" t="s">
        <v>27</v>
      </c>
      <c r="AA9">
        <f t="shared" si="0"/>
        <v>245</v>
      </c>
      <c r="AC9">
        <v>3.9950000000000001</v>
      </c>
    </row>
    <row r="10" spans="1:32" x14ac:dyDescent="0.25">
      <c r="A10">
        <v>4.4950000000000001</v>
      </c>
      <c r="B10" s="1">
        <v>11.85</v>
      </c>
      <c r="C10" s="3">
        <v>0.06</v>
      </c>
      <c r="E10">
        <v>4.4950000000000001</v>
      </c>
      <c r="F10">
        <v>13053</v>
      </c>
      <c r="G10">
        <v>13251</v>
      </c>
      <c r="H10">
        <v>12828</v>
      </c>
      <c r="I10">
        <v>-0.95499999999999996</v>
      </c>
      <c r="M10">
        <v>13297</v>
      </c>
      <c r="N10">
        <v>13450</v>
      </c>
      <c r="O10">
        <v>13134</v>
      </c>
      <c r="P10">
        <v>-0.95499999999999996</v>
      </c>
      <c r="S10">
        <v>4.4950000000000001</v>
      </c>
      <c r="T10">
        <v>13302</v>
      </c>
      <c r="U10">
        <v>13743</v>
      </c>
      <c r="V10">
        <v>12889</v>
      </c>
      <c r="W10">
        <v>-0.95499999999999996</v>
      </c>
      <c r="AA10">
        <f t="shared" si="0"/>
        <v>244</v>
      </c>
      <c r="AC10">
        <v>4.4950000000000001</v>
      </c>
    </row>
    <row r="11" spans="1:32" x14ac:dyDescent="0.25">
      <c r="A11">
        <v>4.79</v>
      </c>
      <c r="B11" s="1">
        <v>11.91</v>
      </c>
      <c r="C11">
        <v>0.11</v>
      </c>
      <c r="E11">
        <v>4.79</v>
      </c>
      <c r="F11">
        <v>13116</v>
      </c>
      <c r="G11">
        <v>13367</v>
      </c>
      <c r="H11">
        <v>12815</v>
      </c>
      <c r="I11">
        <v>-0.95499999999999996</v>
      </c>
      <c r="M11">
        <v>13350</v>
      </c>
      <c r="N11">
        <v>13569</v>
      </c>
      <c r="O11">
        <v>13114</v>
      </c>
      <c r="P11">
        <v>-0.95499999999999996</v>
      </c>
      <c r="S11">
        <v>4.79</v>
      </c>
      <c r="T11">
        <v>13362</v>
      </c>
      <c r="U11">
        <v>13823</v>
      </c>
      <c r="V11">
        <v>12854</v>
      </c>
      <c r="W11">
        <v>-0.95499999999999996</v>
      </c>
      <c r="AA11">
        <f t="shared" si="0"/>
        <v>234</v>
      </c>
      <c r="AC11">
        <v>4.79</v>
      </c>
    </row>
    <row r="12" spans="1:32" x14ac:dyDescent="0.25">
      <c r="A12">
        <v>5.05</v>
      </c>
      <c r="B12" s="1">
        <v>12.42</v>
      </c>
      <c r="C12" s="3">
        <v>0.06</v>
      </c>
      <c r="E12">
        <v>5.05</v>
      </c>
      <c r="F12">
        <v>13597</v>
      </c>
      <c r="G12">
        <v>13771</v>
      </c>
      <c r="H12">
        <v>13427</v>
      </c>
      <c r="I12">
        <v>-0.95499999999999996</v>
      </c>
      <c r="M12">
        <v>13883</v>
      </c>
      <c r="N12">
        <v>14106</v>
      </c>
      <c r="O12">
        <v>13721</v>
      </c>
      <c r="P12">
        <v>-0.95499999999999996</v>
      </c>
      <c r="S12">
        <v>5.05</v>
      </c>
      <c r="T12">
        <v>13927</v>
      </c>
      <c r="U12">
        <v>14728</v>
      </c>
      <c r="V12">
        <v>13437</v>
      </c>
      <c r="W12">
        <v>-0.95499999999999996</v>
      </c>
      <c r="AA12">
        <f t="shared" si="0"/>
        <v>286</v>
      </c>
      <c r="AC12">
        <v>5.05</v>
      </c>
    </row>
    <row r="13" spans="1:32" x14ac:dyDescent="0.25">
      <c r="A13">
        <v>5.6</v>
      </c>
      <c r="B13" s="1">
        <v>13.69</v>
      </c>
      <c r="C13" s="3">
        <v>7.0000000000000007E-2</v>
      </c>
      <c r="E13">
        <v>5.6</v>
      </c>
      <c r="F13">
        <v>15546</v>
      </c>
      <c r="G13">
        <v>15868</v>
      </c>
      <c r="H13">
        <v>15240</v>
      </c>
      <c r="I13">
        <v>-0.95499999999999996</v>
      </c>
      <c r="M13">
        <v>15986</v>
      </c>
      <c r="N13">
        <v>16244</v>
      </c>
      <c r="O13">
        <v>15732</v>
      </c>
      <c r="P13">
        <v>-0.95499999999999996</v>
      </c>
      <c r="S13">
        <v>5.6</v>
      </c>
      <c r="T13">
        <v>15977</v>
      </c>
      <c r="U13">
        <v>16594</v>
      </c>
      <c r="V13">
        <v>15310</v>
      </c>
      <c r="W13">
        <v>-0.95499999999999996</v>
      </c>
      <c r="AA13">
        <f t="shared" si="0"/>
        <v>440</v>
      </c>
      <c r="AC13">
        <v>5.6</v>
      </c>
    </row>
    <row r="14" spans="1:32" x14ac:dyDescent="0.25">
      <c r="A14">
        <v>5.7</v>
      </c>
      <c r="B14" s="1">
        <v>13.96</v>
      </c>
      <c r="C14" s="3">
        <v>0.06</v>
      </c>
      <c r="E14">
        <v>5.7</v>
      </c>
      <c r="F14">
        <v>15944</v>
      </c>
      <c r="G14">
        <v>16223</v>
      </c>
      <c r="H14">
        <v>15680</v>
      </c>
      <c r="I14">
        <v>-0.95499999999999996</v>
      </c>
      <c r="M14">
        <v>16342</v>
      </c>
      <c r="N14">
        <v>16632</v>
      </c>
      <c r="O14">
        <v>16090</v>
      </c>
      <c r="P14">
        <v>-0.95499999999999996</v>
      </c>
      <c r="S14">
        <v>5.7</v>
      </c>
      <c r="T14">
        <v>16371</v>
      </c>
      <c r="U14">
        <v>17014</v>
      </c>
      <c r="V14">
        <v>15783</v>
      </c>
      <c r="W14">
        <v>-0.95499999999999996</v>
      </c>
      <c r="AA14">
        <f t="shared" si="0"/>
        <v>398</v>
      </c>
      <c r="AC14">
        <v>5.7</v>
      </c>
    </row>
    <row r="15" spans="1:32" x14ac:dyDescent="0.25">
      <c r="A15">
        <v>5.79</v>
      </c>
      <c r="B15" s="1">
        <v>14.39</v>
      </c>
      <c r="C15" s="3">
        <v>0.06</v>
      </c>
      <c r="E15">
        <v>5.79</v>
      </c>
      <c r="F15">
        <v>16481</v>
      </c>
      <c r="G15">
        <v>16803</v>
      </c>
      <c r="H15">
        <v>16224</v>
      </c>
      <c r="I15">
        <v>-0.95499999999999996</v>
      </c>
      <c r="M15">
        <v>16991</v>
      </c>
      <c r="N15">
        <v>17284</v>
      </c>
      <c r="O15">
        <v>16647</v>
      </c>
      <c r="P15">
        <v>-0.95499999999999996</v>
      </c>
      <c r="S15">
        <v>5.79</v>
      </c>
      <c r="T15">
        <v>16981</v>
      </c>
      <c r="U15">
        <v>17563</v>
      </c>
      <c r="V15">
        <v>16349</v>
      </c>
      <c r="W15">
        <v>-0.95499999999999996</v>
      </c>
      <c r="AA15">
        <f t="shared" si="0"/>
        <v>510</v>
      </c>
      <c r="AC15">
        <v>5.79</v>
      </c>
    </row>
    <row r="16" spans="1:32" s="9" customFormat="1" x14ac:dyDescent="0.25">
      <c r="A16" s="9">
        <v>6.09</v>
      </c>
      <c r="B16" s="1">
        <v>14.9</v>
      </c>
      <c r="C16">
        <v>0.11</v>
      </c>
      <c r="E16" s="9">
        <v>6.09</v>
      </c>
      <c r="F16" s="9">
        <v>17200</v>
      </c>
      <c r="G16" s="9">
        <v>17562</v>
      </c>
      <c r="H16" s="9">
        <v>16807</v>
      </c>
      <c r="I16" s="9">
        <v>-0.95499999999999996</v>
      </c>
      <c r="M16" s="9">
        <v>17676</v>
      </c>
      <c r="N16" s="9">
        <v>17979</v>
      </c>
      <c r="O16" s="9">
        <v>17359</v>
      </c>
      <c r="P16" s="9">
        <v>-0.95499999999999996</v>
      </c>
      <c r="S16" s="9">
        <v>6.09</v>
      </c>
      <c r="T16" s="9">
        <v>17660</v>
      </c>
      <c r="U16" s="9">
        <v>18241</v>
      </c>
      <c r="V16" s="9">
        <v>17067</v>
      </c>
      <c r="W16" s="9">
        <v>-0.95499999999999996</v>
      </c>
      <c r="AA16" s="9">
        <f t="shared" si="0"/>
        <v>476</v>
      </c>
      <c r="AC16" s="9">
        <v>6.09</v>
      </c>
      <c r="AD16" s="9">
        <v>15775</v>
      </c>
      <c r="AE16" s="9">
        <v>16064</v>
      </c>
      <c r="AF16" s="9">
        <v>15475</v>
      </c>
    </row>
    <row r="17" spans="1:32" x14ac:dyDescent="0.25">
      <c r="A17">
        <v>6.15</v>
      </c>
      <c r="B17" s="1">
        <v>14.9</v>
      </c>
      <c r="C17" s="3">
        <v>0.11</v>
      </c>
      <c r="E17">
        <v>6.15</v>
      </c>
      <c r="F17">
        <v>17200</v>
      </c>
      <c r="G17">
        <v>17562</v>
      </c>
      <c r="H17">
        <v>16807</v>
      </c>
      <c r="I17">
        <v>-0.95499999999999996</v>
      </c>
      <c r="M17">
        <v>17676</v>
      </c>
      <c r="N17">
        <v>17979</v>
      </c>
      <c r="O17">
        <v>17359</v>
      </c>
      <c r="P17">
        <v>-0.95499999999999996</v>
      </c>
      <c r="S17">
        <v>6.15</v>
      </c>
      <c r="T17">
        <v>17660</v>
      </c>
      <c r="U17">
        <v>18241</v>
      </c>
      <c r="V17">
        <v>17067</v>
      </c>
      <c r="W17">
        <v>-0.95499999999999996</v>
      </c>
      <c r="AA17">
        <f t="shared" si="0"/>
        <v>476</v>
      </c>
      <c r="AC17">
        <v>6.15</v>
      </c>
    </row>
    <row r="18" spans="1:32" x14ac:dyDescent="0.25">
      <c r="A18">
        <v>7.06</v>
      </c>
      <c r="B18" s="1">
        <v>20.399999999999999</v>
      </c>
      <c r="C18">
        <v>0.3</v>
      </c>
      <c r="E18">
        <v>7.06</v>
      </c>
      <c r="F18">
        <v>23614</v>
      </c>
      <c r="G18">
        <v>24342</v>
      </c>
      <c r="H18">
        <v>22880</v>
      </c>
      <c r="I18">
        <v>-0.95499999999999996</v>
      </c>
      <c r="M18">
        <v>24084</v>
      </c>
      <c r="N18">
        <v>24986</v>
      </c>
      <c r="O18">
        <v>23365</v>
      </c>
      <c r="P18">
        <v>-0.95499999999999996</v>
      </c>
      <c r="S18">
        <v>7.06</v>
      </c>
      <c r="T18">
        <v>24097</v>
      </c>
      <c r="U18">
        <v>25118</v>
      </c>
      <c r="V18">
        <v>23226</v>
      </c>
      <c r="W18">
        <v>-0.95499999999999996</v>
      </c>
      <c r="AA18">
        <f t="shared" si="0"/>
        <v>470</v>
      </c>
      <c r="AC18">
        <v>7.06</v>
      </c>
    </row>
    <row r="19" spans="1:32" s="9" customFormat="1" x14ac:dyDescent="0.25">
      <c r="A19" s="9">
        <v>7.84</v>
      </c>
      <c r="B19" s="1">
        <v>24.4</v>
      </c>
      <c r="C19">
        <v>0.3</v>
      </c>
      <c r="E19" s="9">
        <v>7.84</v>
      </c>
      <c r="F19" s="9">
        <v>27769</v>
      </c>
      <c r="G19" s="9">
        <v>28401</v>
      </c>
      <c r="H19" s="9">
        <v>27309</v>
      </c>
      <c r="I19" s="9">
        <v>-0.95499999999999996</v>
      </c>
      <c r="M19" s="9">
        <v>28098</v>
      </c>
      <c r="N19" s="9">
        <v>28684</v>
      </c>
      <c r="O19" s="9">
        <v>27614</v>
      </c>
      <c r="P19" s="9">
        <v>-0.95499999999999996</v>
      </c>
      <c r="S19" s="9">
        <v>7.84</v>
      </c>
      <c r="T19" s="9">
        <v>28114</v>
      </c>
      <c r="U19" s="9">
        <v>28782</v>
      </c>
      <c r="V19" s="9">
        <v>27533</v>
      </c>
      <c r="W19" s="9">
        <v>-0.95499999999999996</v>
      </c>
      <c r="AA19" s="9">
        <f t="shared" si="0"/>
        <v>329</v>
      </c>
      <c r="AC19" s="9">
        <v>7.84</v>
      </c>
      <c r="AD19" s="9">
        <v>26090</v>
      </c>
      <c r="AE19" s="9">
        <v>26741</v>
      </c>
      <c r="AF19" s="9">
        <v>25550</v>
      </c>
    </row>
    <row r="20" spans="1:32" x14ac:dyDescent="0.25">
      <c r="A20">
        <v>8.7799999999999994</v>
      </c>
      <c r="B20" s="1">
        <v>27</v>
      </c>
      <c r="C20">
        <v>0.47</v>
      </c>
      <c r="E20">
        <v>8.7799999999999994</v>
      </c>
      <c r="F20">
        <v>30373</v>
      </c>
      <c r="G20">
        <v>31151</v>
      </c>
      <c r="H20">
        <v>29407</v>
      </c>
      <c r="I20">
        <v>-0.95499999999999996</v>
      </c>
      <c r="M20">
        <v>30742</v>
      </c>
      <c r="N20">
        <v>31421</v>
      </c>
      <c r="O20">
        <v>29704</v>
      </c>
      <c r="P20">
        <v>-0.95499999999999996</v>
      </c>
      <c r="S20">
        <v>8.7799999999999994</v>
      </c>
      <c r="T20">
        <v>30730</v>
      </c>
      <c r="U20">
        <v>31491</v>
      </c>
      <c r="V20">
        <v>29602</v>
      </c>
      <c r="W20">
        <v>-0.95499999999999996</v>
      </c>
      <c r="AA20">
        <f t="shared" si="0"/>
        <v>369</v>
      </c>
      <c r="AC20">
        <v>8.7799999999999994</v>
      </c>
    </row>
    <row r="21" spans="1:32" x14ac:dyDescent="0.25">
      <c r="A21">
        <v>9.83</v>
      </c>
      <c r="B21" s="1">
        <v>28.4</v>
      </c>
      <c r="C21">
        <v>0.5</v>
      </c>
      <c r="E21">
        <v>9.83</v>
      </c>
      <c r="F21">
        <v>31632</v>
      </c>
      <c r="G21">
        <v>32928</v>
      </c>
      <c r="H21">
        <v>30842</v>
      </c>
      <c r="I21">
        <v>-0.95499999999999996</v>
      </c>
      <c r="M21">
        <v>32019</v>
      </c>
      <c r="N21">
        <v>33264</v>
      </c>
      <c r="O21">
        <v>31097</v>
      </c>
      <c r="P21">
        <v>-0.95499999999999996</v>
      </c>
      <c r="S21">
        <v>9.83</v>
      </c>
      <c r="T21">
        <v>32041</v>
      </c>
      <c r="U21">
        <v>33343</v>
      </c>
      <c r="V21">
        <v>31080</v>
      </c>
      <c r="W21">
        <v>-0.95499999999999996</v>
      </c>
      <c r="AA21">
        <f t="shared" si="0"/>
        <v>387</v>
      </c>
      <c r="AC21">
        <v>9.83</v>
      </c>
    </row>
    <row r="22" spans="1:32" x14ac:dyDescent="0.25">
      <c r="A22">
        <v>10.38</v>
      </c>
      <c r="B22" s="1">
        <v>29.9</v>
      </c>
      <c r="C22">
        <v>0.6</v>
      </c>
      <c r="E22">
        <v>10.38</v>
      </c>
      <c r="F22">
        <v>33189</v>
      </c>
      <c r="G22">
        <v>34381</v>
      </c>
      <c r="H22">
        <v>31654</v>
      </c>
      <c r="I22">
        <v>-0.95499999999999996</v>
      </c>
      <c r="M22">
        <v>33614</v>
      </c>
      <c r="N22">
        <v>34810</v>
      </c>
      <c r="O22">
        <v>32119</v>
      </c>
      <c r="P22">
        <v>-0.95499999999999996</v>
      </c>
      <c r="S22">
        <v>10.38</v>
      </c>
      <c r="T22">
        <v>33608</v>
      </c>
      <c r="U22">
        <v>34845</v>
      </c>
      <c r="V22">
        <v>32015</v>
      </c>
      <c r="W22">
        <v>-0.95499999999999996</v>
      </c>
      <c r="AA22">
        <f t="shared" si="0"/>
        <v>425</v>
      </c>
      <c r="AC22">
        <v>10.38</v>
      </c>
    </row>
    <row r="24" spans="1:32" x14ac:dyDescent="0.25">
      <c r="E24" t="s">
        <v>49</v>
      </c>
      <c r="G24" s="8">
        <f>(E22-E5)*100/(F22-F5)</f>
        <v>4.1859520909460012E-2</v>
      </c>
      <c r="N24" s="8">
        <f>(AC22-AC5)*100/(M22-M5)</f>
        <v>4.1547451138424341E-2</v>
      </c>
      <c r="U24" s="8">
        <f>(S22-S5)*100/(T22-T5)</f>
        <v>4.1602776208538458E-2</v>
      </c>
    </row>
    <row r="25" spans="1:32" x14ac:dyDescent="0.25">
      <c r="E25" t="s">
        <v>50</v>
      </c>
      <c r="G25">
        <f>G24*1000</f>
        <v>41.859520909460009</v>
      </c>
      <c r="N25">
        <f>N24*1000</f>
        <v>41.547451138424343</v>
      </c>
      <c r="U25">
        <f>U24*1000</f>
        <v>41.602776208538458</v>
      </c>
    </row>
    <row r="27" spans="1:32" x14ac:dyDescent="0.25">
      <c r="B27" s="4" t="s">
        <v>28</v>
      </c>
    </row>
    <row r="28" spans="1:32" x14ac:dyDescent="0.25">
      <c r="B28" s="5" t="s">
        <v>29</v>
      </c>
    </row>
    <row r="29" spans="1:32" x14ac:dyDescent="0.25">
      <c r="B29" s="5" t="s">
        <v>30</v>
      </c>
    </row>
    <row r="30" spans="1:32" x14ac:dyDescent="0.25">
      <c r="B30" s="5"/>
    </row>
    <row r="31" spans="1:32" ht="18.75" x14ac:dyDescent="0.3">
      <c r="A31" s="6" t="s">
        <v>0</v>
      </c>
    </row>
    <row r="36" spans="18:19" x14ac:dyDescent="0.25">
      <c r="R36" t="s">
        <v>32</v>
      </c>
      <c r="S36" t="s">
        <v>31</v>
      </c>
    </row>
  </sheetData>
  <phoneticPr fontId="8" type="noConversion"/>
  <pageMargins left="0.55314960629921262" right="0.15944881889763785" top="1" bottom="0.60629921259842523" header="0.5" footer="0.5"/>
  <pageSetup paperSize="9" scale="82" orientation="landscape" horizontalDpi="4294967292" verticalDpi="4294967292"/>
  <drawing r:id="rId1"/>
  <legacyDrawing r:id="rId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6"/>
  <sheetViews>
    <sheetView workbookViewId="0">
      <selection activeCell="E115" sqref="E115"/>
    </sheetView>
  </sheetViews>
  <sheetFormatPr defaultColWidth="10.625" defaultRowHeight="15.75" x14ac:dyDescent="0.25"/>
  <sheetData>
    <row r="1" spans="1:2" x14ac:dyDescent="0.25">
      <c r="A1" t="s">
        <v>52</v>
      </c>
      <c r="B1" t="s">
        <v>51</v>
      </c>
    </row>
    <row r="2" spans="1:2" x14ac:dyDescent="0.25">
      <c r="A2">
        <v>1</v>
      </c>
      <c r="B2">
        <v>28</v>
      </c>
    </row>
    <row r="3" spans="1:2" x14ac:dyDescent="0.25">
      <c r="A3">
        <v>6</v>
      </c>
      <c r="B3">
        <v>17</v>
      </c>
    </row>
    <row r="4" spans="1:2" x14ac:dyDescent="0.25">
      <c r="A4">
        <v>11</v>
      </c>
      <c r="B4">
        <v>25</v>
      </c>
    </row>
    <row r="5" spans="1:2" x14ac:dyDescent="0.25">
      <c r="A5">
        <v>16</v>
      </c>
      <c r="B5">
        <v>25</v>
      </c>
    </row>
    <row r="6" spans="1:2" x14ac:dyDescent="0.25">
      <c r="A6">
        <v>19</v>
      </c>
      <c r="B6">
        <v>6</v>
      </c>
    </row>
    <row r="7" spans="1:2" x14ac:dyDescent="0.25">
      <c r="A7">
        <v>28</v>
      </c>
      <c r="B7">
        <v>23</v>
      </c>
    </row>
    <row r="8" spans="1:2" x14ac:dyDescent="0.25">
      <c r="A8">
        <v>31</v>
      </c>
      <c r="B8">
        <v>21</v>
      </c>
    </row>
    <row r="9" spans="1:2" x14ac:dyDescent="0.25">
      <c r="A9">
        <v>36</v>
      </c>
      <c r="B9">
        <v>24</v>
      </c>
    </row>
    <row r="10" spans="1:2" x14ac:dyDescent="0.25">
      <c r="A10">
        <v>41</v>
      </c>
      <c r="B10">
        <v>16</v>
      </c>
    </row>
    <row r="11" spans="1:2" x14ac:dyDescent="0.25">
      <c r="A11">
        <v>46</v>
      </c>
      <c r="B11">
        <v>16</v>
      </c>
    </row>
    <row r="12" spans="1:2" x14ac:dyDescent="0.25">
      <c r="A12">
        <v>51</v>
      </c>
      <c r="B12">
        <v>24</v>
      </c>
    </row>
    <row r="13" spans="1:2" x14ac:dyDescent="0.25">
      <c r="A13">
        <v>61</v>
      </c>
      <c r="B13">
        <v>19</v>
      </c>
    </row>
    <row r="14" spans="1:2" x14ac:dyDescent="0.25">
      <c r="A14">
        <v>66</v>
      </c>
      <c r="B14">
        <v>14</v>
      </c>
    </row>
    <row r="15" spans="1:2" x14ac:dyDescent="0.25">
      <c r="A15">
        <v>71</v>
      </c>
      <c r="B15">
        <v>14</v>
      </c>
    </row>
    <row r="16" spans="1:2" x14ac:dyDescent="0.25">
      <c r="A16">
        <v>76</v>
      </c>
      <c r="B16">
        <v>19</v>
      </c>
    </row>
    <row r="17" spans="1:2" x14ac:dyDescent="0.25">
      <c r="A17">
        <v>81</v>
      </c>
      <c r="B17">
        <v>16</v>
      </c>
    </row>
    <row r="18" spans="1:2" x14ac:dyDescent="0.25">
      <c r="A18">
        <v>86</v>
      </c>
      <c r="B18">
        <v>23</v>
      </c>
    </row>
    <row r="19" spans="1:2" x14ac:dyDescent="0.25">
      <c r="A19">
        <v>91</v>
      </c>
      <c r="B19">
        <v>14</v>
      </c>
    </row>
    <row r="20" spans="1:2" x14ac:dyDescent="0.25">
      <c r="A20">
        <v>96</v>
      </c>
      <c r="B20">
        <v>17</v>
      </c>
    </row>
    <row r="21" spans="1:2" x14ac:dyDescent="0.25">
      <c r="A21">
        <v>101</v>
      </c>
      <c r="B21">
        <v>18</v>
      </c>
    </row>
    <row r="22" spans="1:2" x14ac:dyDescent="0.25">
      <c r="A22">
        <v>106</v>
      </c>
      <c r="B22">
        <v>18</v>
      </c>
    </row>
    <row r="23" spans="1:2" x14ac:dyDescent="0.25">
      <c r="A23">
        <v>111</v>
      </c>
      <c r="B23">
        <v>17</v>
      </c>
    </row>
    <row r="24" spans="1:2" x14ac:dyDescent="0.25">
      <c r="A24">
        <v>116</v>
      </c>
      <c r="B24">
        <v>22</v>
      </c>
    </row>
    <row r="25" spans="1:2" x14ac:dyDescent="0.25">
      <c r="A25">
        <v>121</v>
      </c>
      <c r="B25">
        <v>19</v>
      </c>
    </row>
    <row r="26" spans="1:2" x14ac:dyDescent="0.25">
      <c r="A26">
        <v>126</v>
      </c>
      <c r="B26">
        <v>19</v>
      </c>
    </row>
    <row r="27" spans="1:2" x14ac:dyDescent="0.25">
      <c r="A27">
        <v>131</v>
      </c>
      <c r="B27">
        <v>10</v>
      </c>
    </row>
    <row r="28" spans="1:2" x14ac:dyDescent="0.25">
      <c r="A28">
        <v>134</v>
      </c>
      <c r="B28">
        <v>12</v>
      </c>
    </row>
    <row r="29" spans="1:2" x14ac:dyDescent="0.25">
      <c r="A29">
        <v>136</v>
      </c>
      <c r="B29">
        <v>16</v>
      </c>
    </row>
    <row r="30" spans="1:2" x14ac:dyDescent="0.25">
      <c r="A30">
        <v>141</v>
      </c>
      <c r="B30">
        <v>19</v>
      </c>
    </row>
    <row r="31" spans="1:2" x14ac:dyDescent="0.25">
      <c r="A31">
        <v>146</v>
      </c>
      <c r="B31">
        <v>13</v>
      </c>
    </row>
    <row r="32" spans="1:2" x14ac:dyDescent="0.25">
      <c r="A32">
        <v>151</v>
      </c>
      <c r="B32">
        <v>22</v>
      </c>
    </row>
    <row r="33" spans="1:2" x14ac:dyDescent="0.25">
      <c r="A33">
        <v>156</v>
      </c>
      <c r="B33">
        <v>18</v>
      </c>
    </row>
    <row r="34" spans="1:2" x14ac:dyDescent="0.25">
      <c r="A34">
        <v>161</v>
      </c>
      <c r="B34">
        <v>11</v>
      </c>
    </row>
    <row r="35" spans="1:2" x14ac:dyDescent="0.25">
      <c r="A35">
        <v>166</v>
      </c>
      <c r="B35">
        <v>49</v>
      </c>
    </row>
    <row r="36" spans="1:2" x14ac:dyDescent="0.25">
      <c r="A36">
        <v>171</v>
      </c>
      <c r="B36">
        <v>18</v>
      </c>
    </row>
    <row r="37" spans="1:2" x14ac:dyDescent="0.25">
      <c r="A37">
        <v>176</v>
      </c>
      <c r="B37">
        <v>49</v>
      </c>
    </row>
    <row r="38" spans="1:2" x14ac:dyDescent="0.25">
      <c r="A38">
        <v>181</v>
      </c>
      <c r="B38">
        <v>43</v>
      </c>
    </row>
    <row r="39" spans="1:2" x14ac:dyDescent="0.25">
      <c r="A39">
        <v>186</v>
      </c>
      <c r="B39">
        <v>14</v>
      </c>
    </row>
    <row r="40" spans="1:2" x14ac:dyDescent="0.25">
      <c r="A40">
        <v>191</v>
      </c>
      <c r="B40">
        <v>18</v>
      </c>
    </row>
    <row r="41" spans="1:2" x14ac:dyDescent="0.25">
      <c r="A41">
        <v>196</v>
      </c>
      <c r="B41">
        <v>17</v>
      </c>
    </row>
    <row r="42" spans="1:2" x14ac:dyDescent="0.25">
      <c r="A42">
        <v>201</v>
      </c>
      <c r="B42">
        <v>18</v>
      </c>
    </row>
    <row r="43" spans="1:2" x14ac:dyDescent="0.25">
      <c r="A43">
        <v>211</v>
      </c>
      <c r="B43">
        <v>18</v>
      </c>
    </row>
    <row r="44" spans="1:2" x14ac:dyDescent="0.25">
      <c r="A44">
        <v>216</v>
      </c>
      <c r="B44">
        <v>19</v>
      </c>
    </row>
    <row r="45" spans="1:2" x14ac:dyDescent="0.25">
      <c r="A45">
        <v>221</v>
      </c>
      <c r="B45">
        <v>19</v>
      </c>
    </row>
    <row r="46" spans="1:2" x14ac:dyDescent="0.25">
      <c r="A46">
        <v>226</v>
      </c>
      <c r="B46">
        <v>36</v>
      </c>
    </row>
    <row r="47" spans="1:2" x14ac:dyDescent="0.25">
      <c r="A47">
        <v>231</v>
      </c>
      <c r="B47">
        <v>16</v>
      </c>
    </row>
    <row r="48" spans="1:2" x14ac:dyDescent="0.25">
      <c r="A48">
        <v>236</v>
      </c>
      <c r="B48">
        <v>18</v>
      </c>
    </row>
    <row r="49" spans="1:2" x14ac:dyDescent="0.25">
      <c r="A49">
        <v>241</v>
      </c>
      <c r="B49">
        <v>17</v>
      </c>
    </row>
    <row r="50" spans="1:2" x14ac:dyDescent="0.25">
      <c r="A50">
        <v>246</v>
      </c>
      <c r="B50">
        <v>26</v>
      </c>
    </row>
    <row r="51" spans="1:2" x14ac:dyDescent="0.25">
      <c r="A51">
        <v>251</v>
      </c>
      <c r="B51">
        <v>16</v>
      </c>
    </row>
    <row r="52" spans="1:2" x14ac:dyDescent="0.25">
      <c r="A52">
        <v>256</v>
      </c>
      <c r="B52">
        <v>30</v>
      </c>
    </row>
    <row r="53" spans="1:2" x14ac:dyDescent="0.25">
      <c r="A53">
        <v>260.89999999999998</v>
      </c>
      <c r="B53">
        <v>34</v>
      </c>
    </row>
    <row r="54" spans="1:2" x14ac:dyDescent="0.25">
      <c r="A54">
        <v>266</v>
      </c>
      <c r="B54">
        <v>19</v>
      </c>
    </row>
    <row r="55" spans="1:2" x14ac:dyDescent="0.25">
      <c r="A55">
        <v>271</v>
      </c>
      <c r="B55">
        <v>36</v>
      </c>
    </row>
    <row r="56" spans="1:2" x14ac:dyDescent="0.25">
      <c r="A56">
        <v>276</v>
      </c>
      <c r="B56">
        <v>21</v>
      </c>
    </row>
    <row r="57" spans="1:2" x14ac:dyDescent="0.25">
      <c r="A57">
        <v>280.89999999999998</v>
      </c>
      <c r="B57">
        <v>21</v>
      </c>
    </row>
    <row r="58" spans="1:2" x14ac:dyDescent="0.25">
      <c r="A58">
        <v>286</v>
      </c>
      <c r="B58">
        <v>59</v>
      </c>
    </row>
    <row r="59" spans="1:2" x14ac:dyDescent="0.25">
      <c r="A59">
        <v>291</v>
      </c>
      <c r="B59">
        <v>25</v>
      </c>
    </row>
    <row r="60" spans="1:2" x14ac:dyDescent="0.25">
      <c r="A60">
        <v>296</v>
      </c>
      <c r="B60">
        <v>49</v>
      </c>
    </row>
    <row r="61" spans="1:2" x14ac:dyDescent="0.25">
      <c r="A61">
        <v>301</v>
      </c>
      <c r="B61">
        <v>64</v>
      </c>
    </row>
    <row r="62" spans="1:2" x14ac:dyDescent="0.25">
      <c r="A62">
        <v>305.89999999999998</v>
      </c>
      <c r="B62">
        <v>72</v>
      </c>
    </row>
    <row r="63" spans="1:2" x14ac:dyDescent="0.25">
      <c r="A63">
        <v>310.89999999999998</v>
      </c>
      <c r="B63">
        <v>76</v>
      </c>
    </row>
    <row r="64" spans="1:2" x14ac:dyDescent="0.25">
      <c r="A64">
        <v>316</v>
      </c>
      <c r="B64">
        <v>98</v>
      </c>
    </row>
    <row r="65" spans="1:2" x14ac:dyDescent="0.25">
      <c r="A65">
        <v>321</v>
      </c>
      <c r="B65">
        <v>85</v>
      </c>
    </row>
    <row r="66" spans="1:2" x14ac:dyDescent="0.25">
      <c r="A66">
        <v>330.9</v>
      </c>
      <c r="B66">
        <v>78</v>
      </c>
    </row>
    <row r="67" spans="1:2" x14ac:dyDescent="0.25">
      <c r="A67">
        <v>335.9</v>
      </c>
      <c r="B67">
        <v>96</v>
      </c>
    </row>
    <row r="68" spans="1:2" x14ac:dyDescent="0.25">
      <c r="A68">
        <v>341</v>
      </c>
      <c r="B68">
        <v>61</v>
      </c>
    </row>
    <row r="69" spans="1:2" x14ac:dyDescent="0.25">
      <c r="A69">
        <v>346</v>
      </c>
      <c r="B69">
        <v>98</v>
      </c>
    </row>
    <row r="70" spans="1:2" x14ac:dyDescent="0.25">
      <c r="A70">
        <v>351</v>
      </c>
      <c r="B70">
        <v>91</v>
      </c>
    </row>
    <row r="71" spans="1:2" x14ac:dyDescent="0.25">
      <c r="A71">
        <v>362</v>
      </c>
      <c r="B71">
        <v>45</v>
      </c>
    </row>
    <row r="72" spans="1:2" x14ac:dyDescent="0.25">
      <c r="A72">
        <v>367</v>
      </c>
      <c r="B72">
        <v>62</v>
      </c>
    </row>
    <row r="73" spans="1:2" x14ac:dyDescent="0.25">
      <c r="A73">
        <v>372</v>
      </c>
      <c r="B73">
        <v>64</v>
      </c>
    </row>
    <row r="74" spans="1:2" x14ac:dyDescent="0.25">
      <c r="A74">
        <v>377</v>
      </c>
      <c r="B74">
        <v>66</v>
      </c>
    </row>
    <row r="75" spans="1:2" x14ac:dyDescent="0.25">
      <c r="A75">
        <v>382</v>
      </c>
      <c r="B75">
        <v>69</v>
      </c>
    </row>
    <row r="76" spans="1:2" x14ac:dyDescent="0.25">
      <c r="A76">
        <v>387</v>
      </c>
      <c r="B76">
        <v>67</v>
      </c>
    </row>
    <row r="77" spans="1:2" x14ac:dyDescent="0.25">
      <c r="A77">
        <v>391.9</v>
      </c>
      <c r="B77">
        <v>49</v>
      </c>
    </row>
    <row r="78" spans="1:2" x14ac:dyDescent="0.25">
      <c r="A78">
        <v>397</v>
      </c>
      <c r="B78">
        <v>72</v>
      </c>
    </row>
    <row r="79" spans="1:2" x14ac:dyDescent="0.25">
      <c r="A79">
        <v>402</v>
      </c>
      <c r="B79">
        <v>78</v>
      </c>
    </row>
    <row r="80" spans="1:2" x14ac:dyDescent="0.25">
      <c r="A80">
        <v>407</v>
      </c>
      <c r="B80">
        <v>78</v>
      </c>
    </row>
    <row r="81" spans="1:2" x14ac:dyDescent="0.25">
      <c r="A81">
        <v>412</v>
      </c>
      <c r="B81">
        <v>71</v>
      </c>
    </row>
    <row r="82" spans="1:2" x14ac:dyDescent="0.25">
      <c r="A82">
        <v>417</v>
      </c>
      <c r="B82">
        <v>56</v>
      </c>
    </row>
    <row r="83" spans="1:2" x14ac:dyDescent="0.25">
      <c r="A83">
        <v>422</v>
      </c>
      <c r="B83">
        <v>56</v>
      </c>
    </row>
    <row r="84" spans="1:2" x14ac:dyDescent="0.25">
      <c r="A84">
        <v>426.9</v>
      </c>
      <c r="B84">
        <v>40</v>
      </c>
    </row>
    <row r="85" spans="1:2" x14ac:dyDescent="0.25">
      <c r="A85">
        <v>431.9</v>
      </c>
      <c r="B85">
        <v>43</v>
      </c>
    </row>
    <row r="86" spans="1:2" x14ac:dyDescent="0.25">
      <c r="A86">
        <v>437</v>
      </c>
      <c r="B86">
        <v>42</v>
      </c>
    </row>
    <row r="87" spans="1:2" x14ac:dyDescent="0.25">
      <c r="A87">
        <v>441.9</v>
      </c>
      <c r="B87">
        <v>39</v>
      </c>
    </row>
    <row r="88" spans="1:2" x14ac:dyDescent="0.25">
      <c r="A88">
        <v>447</v>
      </c>
      <c r="B88">
        <v>46</v>
      </c>
    </row>
    <row r="89" spans="1:2" x14ac:dyDescent="0.25">
      <c r="A89">
        <v>451.9</v>
      </c>
      <c r="B89">
        <v>53</v>
      </c>
    </row>
    <row r="90" spans="1:2" x14ac:dyDescent="0.25">
      <c r="A90">
        <v>456.9</v>
      </c>
      <c r="B90">
        <v>42</v>
      </c>
    </row>
    <row r="91" spans="1:2" x14ac:dyDescent="0.25">
      <c r="A91">
        <v>462</v>
      </c>
      <c r="B91">
        <v>43</v>
      </c>
    </row>
    <row r="92" spans="1:2" x14ac:dyDescent="0.25">
      <c r="A92">
        <v>467</v>
      </c>
      <c r="B92">
        <v>48</v>
      </c>
    </row>
    <row r="93" spans="1:2" x14ac:dyDescent="0.25">
      <c r="A93">
        <v>471.9</v>
      </c>
      <c r="B93">
        <v>46</v>
      </c>
    </row>
    <row r="94" spans="1:2" x14ac:dyDescent="0.25">
      <c r="A94">
        <v>476.9</v>
      </c>
      <c r="B94">
        <v>47</v>
      </c>
    </row>
    <row r="95" spans="1:2" x14ac:dyDescent="0.25">
      <c r="A95">
        <v>482</v>
      </c>
      <c r="B95">
        <v>47</v>
      </c>
    </row>
    <row r="96" spans="1:2" x14ac:dyDescent="0.25">
      <c r="A96">
        <v>487</v>
      </c>
      <c r="B96">
        <v>39</v>
      </c>
    </row>
    <row r="97" spans="1:2" x14ac:dyDescent="0.25">
      <c r="A97">
        <v>491.9</v>
      </c>
      <c r="B97">
        <v>34</v>
      </c>
    </row>
    <row r="98" spans="1:2" x14ac:dyDescent="0.25">
      <c r="A98">
        <v>496.9</v>
      </c>
      <c r="B98">
        <v>42</v>
      </c>
    </row>
    <row r="99" spans="1:2" x14ac:dyDescent="0.25">
      <c r="A99">
        <v>502</v>
      </c>
      <c r="B99">
        <v>39</v>
      </c>
    </row>
    <row r="100" spans="1:2" x14ac:dyDescent="0.25">
      <c r="A100">
        <v>542</v>
      </c>
      <c r="B100">
        <v>43</v>
      </c>
    </row>
    <row r="101" spans="1:2" x14ac:dyDescent="0.25">
      <c r="A101">
        <v>547</v>
      </c>
      <c r="B101">
        <v>26</v>
      </c>
    </row>
    <row r="102" spans="1:2" x14ac:dyDescent="0.25">
      <c r="A102">
        <v>552</v>
      </c>
      <c r="B102">
        <v>71</v>
      </c>
    </row>
    <row r="103" spans="1:2" x14ac:dyDescent="0.25">
      <c r="A103">
        <v>557</v>
      </c>
      <c r="B103">
        <v>72</v>
      </c>
    </row>
    <row r="104" spans="1:2" x14ac:dyDescent="0.25">
      <c r="A104">
        <v>559.9</v>
      </c>
      <c r="B104">
        <v>58</v>
      </c>
    </row>
    <row r="105" spans="1:2" x14ac:dyDescent="0.25">
      <c r="A105">
        <v>565</v>
      </c>
      <c r="B105">
        <v>60</v>
      </c>
    </row>
    <row r="106" spans="1:2" x14ac:dyDescent="0.25">
      <c r="A106">
        <v>572</v>
      </c>
      <c r="B106">
        <v>60</v>
      </c>
    </row>
    <row r="107" spans="1:2" x14ac:dyDescent="0.25">
      <c r="A107">
        <v>576.9</v>
      </c>
      <c r="B107">
        <v>137</v>
      </c>
    </row>
    <row r="108" spans="1:2" x14ac:dyDescent="0.25">
      <c r="A108">
        <v>582</v>
      </c>
      <c r="B108">
        <v>129</v>
      </c>
    </row>
    <row r="109" spans="1:2" x14ac:dyDescent="0.25">
      <c r="A109">
        <v>586.9</v>
      </c>
      <c r="B109">
        <v>173</v>
      </c>
    </row>
    <row r="110" spans="1:2" x14ac:dyDescent="0.25">
      <c r="A110">
        <v>592</v>
      </c>
      <c r="B110">
        <v>204</v>
      </c>
    </row>
    <row r="111" spans="1:2" x14ac:dyDescent="0.25">
      <c r="A111">
        <v>596.9</v>
      </c>
      <c r="B111">
        <v>187</v>
      </c>
    </row>
    <row r="112" spans="1:2" x14ac:dyDescent="0.25">
      <c r="A112">
        <v>601.9</v>
      </c>
      <c r="B112">
        <v>176</v>
      </c>
    </row>
    <row r="113" spans="1:2" x14ac:dyDescent="0.25">
      <c r="A113">
        <v>607</v>
      </c>
      <c r="B113">
        <v>232</v>
      </c>
    </row>
    <row r="114" spans="1:2" x14ac:dyDescent="0.25">
      <c r="A114">
        <v>611.9</v>
      </c>
      <c r="B114">
        <v>212</v>
      </c>
    </row>
    <row r="115" spans="1:2" x14ac:dyDescent="0.25">
      <c r="A115">
        <v>621</v>
      </c>
      <c r="B115">
        <v>90</v>
      </c>
    </row>
    <row r="116" spans="1:2" x14ac:dyDescent="0.25">
      <c r="A116">
        <v>626</v>
      </c>
      <c r="B116">
        <v>111</v>
      </c>
    </row>
    <row r="117" spans="1:2" x14ac:dyDescent="0.25">
      <c r="A117">
        <v>631</v>
      </c>
      <c r="B117">
        <v>115</v>
      </c>
    </row>
    <row r="118" spans="1:2" x14ac:dyDescent="0.25">
      <c r="A118">
        <v>636</v>
      </c>
      <c r="B118">
        <v>113</v>
      </c>
    </row>
    <row r="119" spans="1:2" x14ac:dyDescent="0.25">
      <c r="A119">
        <v>641</v>
      </c>
      <c r="B119">
        <v>117</v>
      </c>
    </row>
    <row r="120" spans="1:2" x14ac:dyDescent="0.25">
      <c r="A120">
        <v>648</v>
      </c>
      <c r="B120">
        <v>114</v>
      </c>
    </row>
    <row r="121" spans="1:2" x14ac:dyDescent="0.25">
      <c r="A121">
        <v>650.9</v>
      </c>
      <c r="B121">
        <v>98</v>
      </c>
    </row>
    <row r="122" spans="1:2" x14ac:dyDescent="0.25">
      <c r="A122">
        <v>656</v>
      </c>
      <c r="B122">
        <v>78</v>
      </c>
    </row>
    <row r="123" spans="1:2" x14ac:dyDescent="0.25">
      <c r="A123">
        <v>660.9</v>
      </c>
      <c r="B123">
        <v>88</v>
      </c>
    </row>
    <row r="124" spans="1:2" x14ac:dyDescent="0.25">
      <c r="A124">
        <v>666</v>
      </c>
      <c r="B124">
        <v>90</v>
      </c>
    </row>
    <row r="125" spans="1:2" x14ac:dyDescent="0.25">
      <c r="A125">
        <v>670.9</v>
      </c>
      <c r="B125">
        <v>90</v>
      </c>
    </row>
    <row r="126" spans="1:2" x14ac:dyDescent="0.25">
      <c r="A126">
        <v>675.9</v>
      </c>
      <c r="B126">
        <v>104</v>
      </c>
    </row>
    <row r="127" spans="1:2" x14ac:dyDescent="0.25">
      <c r="A127">
        <v>681</v>
      </c>
      <c r="B127">
        <v>88</v>
      </c>
    </row>
    <row r="128" spans="1:2" x14ac:dyDescent="0.25">
      <c r="A128">
        <v>686</v>
      </c>
      <c r="B128">
        <v>75</v>
      </c>
    </row>
    <row r="129" spans="1:2" x14ac:dyDescent="0.25">
      <c r="A129">
        <v>691</v>
      </c>
      <c r="B129">
        <v>99</v>
      </c>
    </row>
    <row r="130" spans="1:2" x14ac:dyDescent="0.25">
      <c r="A130">
        <v>696</v>
      </c>
      <c r="B130">
        <v>102</v>
      </c>
    </row>
    <row r="131" spans="1:2" x14ac:dyDescent="0.25">
      <c r="A131">
        <v>701</v>
      </c>
      <c r="B131">
        <v>94</v>
      </c>
    </row>
    <row r="132" spans="1:2" x14ac:dyDescent="0.25">
      <c r="A132">
        <v>710.9</v>
      </c>
      <c r="B132">
        <v>100</v>
      </c>
    </row>
    <row r="133" spans="1:2" x14ac:dyDescent="0.25">
      <c r="A133">
        <v>716.9</v>
      </c>
      <c r="B133">
        <v>109</v>
      </c>
    </row>
    <row r="134" spans="1:2" x14ac:dyDescent="0.25">
      <c r="A134">
        <v>721</v>
      </c>
      <c r="B134">
        <v>96</v>
      </c>
    </row>
    <row r="135" spans="1:2" x14ac:dyDescent="0.25">
      <c r="A135">
        <v>726</v>
      </c>
      <c r="B135">
        <v>97</v>
      </c>
    </row>
    <row r="136" spans="1:2" x14ac:dyDescent="0.25">
      <c r="A136">
        <v>731</v>
      </c>
      <c r="B136">
        <v>86</v>
      </c>
    </row>
    <row r="137" spans="1:2" x14ac:dyDescent="0.25">
      <c r="A137">
        <v>735.9</v>
      </c>
      <c r="B137">
        <v>96</v>
      </c>
    </row>
    <row r="138" spans="1:2" x14ac:dyDescent="0.25">
      <c r="A138">
        <v>740.9</v>
      </c>
      <c r="B138">
        <v>80</v>
      </c>
    </row>
    <row r="139" spans="1:2" x14ac:dyDescent="0.25">
      <c r="A139">
        <v>745.9</v>
      </c>
      <c r="B139">
        <v>82</v>
      </c>
    </row>
    <row r="140" spans="1:2" x14ac:dyDescent="0.25">
      <c r="A140">
        <v>750.9</v>
      </c>
      <c r="B140">
        <v>92</v>
      </c>
    </row>
    <row r="141" spans="1:2" x14ac:dyDescent="0.25">
      <c r="A141">
        <v>755.9</v>
      </c>
      <c r="B141">
        <v>96</v>
      </c>
    </row>
    <row r="142" spans="1:2" x14ac:dyDescent="0.25">
      <c r="A142">
        <v>761</v>
      </c>
      <c r="B142">
        <v>107</v>
      </c>
    </row>
    <row r="143" spans="1:2" x14ac:dyDescent="0.25">
      <c r="A143">
        <v>778.9</v>
      </c>
      <c r="B143">
        <v>122</v>
      </c>
    </row>
    <row r="144" spans="1:2" x14ac:dyDescent="0.25">
      <c r="A144">
        <v>786.9</v>
      </c>
      <c r="B144">
        <v>98</v>
      </c>
    </row>
    <row r="145" spans="1:2" x14ac:dyDescent="0.25">
      <c r="A145">
        <v>794.9</v>
      </c>
      <c r="B145">
        <v>88</v>
      </c>
    </row>
    <row r="146" spans="1:2" x14ac:dyDescent="0.25">
      <c r="A146">
        <v>798.9</v>
      </c>
      <c r="B146">
        <v>119</v>
      </c>
    </row>
    <row r="147" spans="1:2" x14ac:dyDescent="0.25">
      <c r="A147">
        <v>804</v>
      </c>
      <c r="B147">
        <v>97</v>
      </c>
    </row>
    <row r="148" spans="1:2" x14ac:dyDescent="0.25">
      <c r="A148">
        <v>809</v>
      </c>
      <c r="B148">
        <v>82</v>
      </c>
    </row>
    <row r="149" spans="1:2" x14ac:dyDescent="0.25">
      <c r="A149">
        <v>813.9</v>
      </c>
      <c r="B149">
        <v>91</v>
      </c>
    </row>
    <row r="150" spans="1:2" x14ac:dyDescent="0.25">
      <c r="A150">
        <v>818.9</v>
      </c>
      <c r="B150">
        <v>93</v>
      </c>
    </row>
    <row r="151" spans="1:2" x14ac:dyDescent="0.25">
      <c r="A151">
        <v>823.9</v>
      </c>
      <c r="B151">
        <v>85</v>
      </c>
    </row>
    <row r="152" spans="1:2" x14ac:dyDescent="0.25">
      <c r="A152">
        <v>833</v>
      </c>
      <c r="B152">
        <v>88</v>
      </c>
    </row>
    <row r="153" spans="1:2" x14ac:dyDescent="0.25">
      <c r="A153">
        <v>836.9</v>
      </c>
      <c r="B153">
        <v>83</v>
      </c>
    </row>
    <row r="154" spans="1:2" x14ac:dyDescent="0.25">
      <c r="A154">
        <v>844.9</v>
      </c>
      <c r="B154">
        <v>81</v>
      </c>
    </row>
    <row r="155" spans="1:2" x14ac:dyDescent="0.25">
      <c r="A155">
        <v>853</v>
      </c>
      <c r="B155">
        <v>98</v>
      </c>
    </row>
    <row r="156" spans="1:2" x14ac:dyDescent="0.25">
      <c r="A156">
        <v>857.9</v>
      </c>
      <c r="B156">
        <v>67</v>
      </c>
    </row>
    <row r="157" spans="1:2" x14ac:dyDescent="0.25">
      <c r="A157">
        <v>862.9</v>
      </c>
      <c r="B157">
        <v>117</v>
      </c>
    </row>
    <row r="158" spans="1:2" x14ac:dyDescent="0.25">
      <c r="A158">
        <v>871</v>
      </c>
      <c r="B158">
        <v>129</v>
      </c>
    </row>
    <row r="159" spans="1:2" x14ac:dyDescent="0.25">
      <c r="A159">
        <v>883</v>
      </c>
      <c r="B159">
        <v>124</v>
      </c>
    </row>
    <row r="160" spans="1:2" x14ac:dyDescent="0.25">
      <c r="A160">
        <v>888</v>
      </c>
      <c r="B160">
        <v>114</v>
      </c>
    </row>
    <row r="161" spans="1:2" x14ac:dyDescent="0.25">
      <c r="A161">
        <v>900.9</v>
      </c>
      <c r="B161">
        <v>98</v>
      </c>
    </row>
    <row r="162" spans="1:2" x14ac:dyDescent="0.25">
      <c r="A162">
        <v>905.9</v>
      </c>
      <c r="B162">
        <v>135</v>
      </c>
    </row>
    <row r="163" spans="1:2" x14ac:dyDescent="0.25">
      <c r="A163">
        <v>911</v>
      </c>
      <c r="B163">
        <v>142</v>
      </c>
    </row>
    <row r="164" spans="1:2" x14ac:dyDescent="0.25">
      <c r="A164">
        <v>913.9</v>
      </c>
      <c r="B164">
        <v>146</v>
      </c>
    </row>
    <row r="165" spans="1:2" x14ac:dyDescent="0.25">
      <c r="A165">
        <v>930.9</v>
      </c>
      <c r="B165">
        <v>131</v>
      </c>
    </row>
    <row r="166" spans="1:2" x14ac:dyDescent="0.25">
      <c r="A166">
        <v>935.9</v>
      </c>
      <c r="B166">
        <v>106</v>
      </c>
    </row>
    <row r="167" spans="1:2" x14ac:dyDescent="0.25">
      <c r="A167">
        <v>940</v>
      </c>
      <c r="B167">
        <v>136</v>
      </c>
    </row>
    <row r="168" spans="1:2" x14ac:dyDescent="0.25">
      <c r="A168">
        <v>950.9</v>
      </c>
      <c r="B168">
        <v>120</v>
      </c>
    </row>
    <row r="169" spans="1:2" x14ac:dyDescent="0.25">
      <c r="A169">
        <v>955.9</v>
      </c>
      <c r="B169">
        <v>132</v>
      </c>
    </row>
    <row r="170" spans="1:2" x14ac:dyDescent="0.25">
      <c r="A170">
        <v>960.9</v>
      </c>
      <c r="B170">
        <v>99</v>
      </c>
    </row>
    <row r="171" spans="1:2" x14ac:dyDescent="0.25">
      <c r="A171">
        <v>966</v>
      </c>
      <c r="B171">
        <v>98</v>
      </c>
    </row>
    <row r="172" spans="1:2" x14ac:dyDescent="0.25">
      <c r="A172">
        <v>978.9</v>
      </c>
      <c r="B172">
        <v>108</v>
      </c>
    </row>
    <row r="173" spans="1:2" x14ac:dyDescent="0.25">
      <c r="A173">
        <v>988</v>
      </c>
      <c r="B173">
        <v>108</v>
      </c>
    </row>
    <row r="174" spans="1:2" x14ac:dyDescent="0.25">
      <c r="A174">
        <v>991</v>
      </c>
      <c r="B174">
        <v>63</v>
      </c>
    </row>
    <row r="175" spans="1:2" x14ac:dyDescent="0.25">
      <c r="A175">
        <v>1040.9000000000001</v>
      </c>
      <c r="B175">
        <v>22</v>
      </c>
    </row>
    <row r="177" spans="1:2" x14ac:dyDescent="0.25">
      <c r="A177">
        <v>7</v>
      </c>
      <c r="B177">
        <v>8.33</v>
      </c>
    </row>
    <row r="178" spans="1:2" x14ac:dyDescent="0.25">
      <c r="A178">
        <v>178</v>
      </c>
      <c r="B178">
        <v>10.37</v>
      </c>
    </row>
    <row r="179" spans="1:2" x14ac:dyDescent="0.25">
      <c r="A179">
        <v>326</v>
      </c>
      <c r="B179">
        <v>11.36</v>
      </c>
    </row>
    <row r="180" spans="1:2" x14ac:dyDescent="0.25">
      <c r="A180">
        <v>479</v>
      </c>
      <c r="B180">
        <v>11.91</v>
      </c>
    </row>
    <row r="181" spans="1:2" x14ac:dyDescent="0.25">
      <c r="A181">
        <v>609</v>
      </c>
      <c r="B181">
        <v>14.9</v>
      </c>
    </row>
    <row r="182" spans="1:2" x14ac:dyDescent="0.25">
      <c r="A182">
        <v>706</v>
      </c>
      <c r="B182">
        <v>20.399999999999999</v>
      </c>
    </row>
    <row r="183" spans="1:2" x14ac:dyDescent="0.25">
      <c r="A183">
        <v>783.9</v>
      </c>
      <c r="B183">
        <v>24.4</v>
      </c>
    </row>
    <row r="184" spans="1:2" x14ac:dyDescent="0.25">
      <c r="A184">
        <v>878</v>
      </c>
      <c r="B184">
        <v>27</v>
      </c>
    </row>
    <row r="185" spans="1:2" x14ac:dyDescent="0.25">
      <c r="A185">
        <v>983</v>
      </c>
      <c r="B185">
        <v>28.4</v>
      </c>
    </row>
    <row r="186" spans="1:2" x14ac:dyDescent="0.25">
      <c r="A186">
        <v>1037</v>
      </c>
      <c r="B186">
        <v>29.9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14C</vt:lpstr>
      <vt:lpstr>CalAge</vt:lpstr>
      <vt:lpstr>Ca</vt:lpstr>
      <vt:lpstr>CalAge!Print_Area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 Ufkes</dc:creator>
  <cp:lastModifiedBy>Rik Bas</cp:lastModifiedBy>
  <cp:lastPrinted>2018-04-03T13:27:39Z</cp:lastPrinted>
  <dcterms:created xsi:type="dcterms:W3CDTF">2018-03-04T15:35:00Z</dcterms:created>
  <dcterms:modified xsi:type="dcterms:W3CDTF">2026-05-06T21:58:23Z</dcterms:modified>
</cp:coreProperties>
</file>